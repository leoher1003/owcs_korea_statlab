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xmlns:r="http://schemas.openxmlformats.org/officeDocument/2006/relationships" name="TEAM INFO" sheetId="1" state="visible" r:id="rId1"/>
    <sheet xmlns:r="http://schemas.openxmlformats.org/officeDocument/2006/relationships" name="MATCH INFO" sheetId="2" state="visible" r:id="rId2"/>
    <sheet xmlns:r="http://schemas.openxmlformats.org/officeDocument/2006/relationships" name="MATCH_W1" sheetId="3" state="visible" r:id="rId3"/>
    <sheet xmlns:r="http://schemas.openxmlformats.org/officeDocument/2006/relationships" name="MATCH_W2" sheetId="4" state="visible" r:id="rId4"/>
    <sheet xmlns:r="http://schemas.openxmlformats.org/officeDocument/2006/relationships" name="MATCH_W3" sheetId="5" state="visible" r:id="rId5"/>
    <sheet xmlns:r="http://schemas.openxmlformats.org/officeDocument/2006/relationships" name="MATCH_W4" sheetId="6" state="visible" r:id="rId6"/>
    <sheet xmlns:r="http://schemas.openxmlformats.org/officeDocument/2006/relationships" name="MATCH_W5" sheetId="7" state="visible" r:id="rId7"/>
    <sheet xmlns:r="http://schemas.openxmlformats.org/officeDocument/2006/relationships" name="MATCH_W6" sheetId="8" state="visible" r:id="rId8"/>
    <sheet xmlns:r="http://schemas.openxmlformats.org/officeDocument/2006/relationships" name="TOTAL STATISTICS" sheetId="9" state="visible" r:id="rId9"/>
    <sheet xmlns:r="http://schemas.openxmlformats.org/officeDocument/2006/relationships" name="Per10 STATISTICS" sheetId="10" state="visible" r:id="rId10"/>
    <sheet xmlns:r="http://schemas.openxmlformats.org/officeDocument/2006/relationships" name="POT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#,##0.00_ "/>
    <numFmt numFmtId="166" formatCode="#,##0_ "/>
  </numFmts>
  <fonts count="9">
    <font>
      <name val="맑은 고딕"/>
      <color theme="1"/>
      <sz val="12"/>
    </font>
    <font>
      <name val="맑은 고딕"/>
      <charset val="129"/>
      <family val="2"/>
      <color rgb="FF000000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2"/>
    </font>
    <font>
      <name val="맑은 고딕"/>
      <charset val="129"/>
      <family val="2"/>
      <b val="1"/>
      <sz val="12"/>
    </font>
    <font>
      <name val="맑은 고딕"/>
      <charset val="129"/>
      <family val="2"/>
      <b val="1"/>
      <color theme="1"/>
      <sz val="12"/>
    </font>
    <font>
      <name val="맑은 고딕"/>
      <charset val="129"/>
      <family val="2"/>
      <b val="1"/>
      <sz val="11"/>
    </font>
    <font>
      <name val="맑은 고딕"/>
      <charset val="129"/>
      <family val="2"/>
      <color theme="1"/>
      <sz val="12"/>
    </font>
    <font>
      <name val="굴림"/>
      <charset val="129"/>
      <family val="2"/>
      <sz val="8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5"/>
      </patternFill>
    </fill>
    <fill>
      <patternFill patternType="solid">
        <fgColor theme="2" tint="-0.0999786370433668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vertical="center"/>
    </xf>
    <xf numFmtId="4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14" fontId="0" fillId="2" borderId="2" applyAlignment="1" pivotButton="0" quotePrefix="0" xfId="0">
      <alignment vertical="center"/>
    </xf>
    <xf numFmtId="45" fontId="0" fillId="2" borderId="2" applyAlignment="1" pivotButton="0" quotePrefix="0" xfId="0">
      <alignment vertical="center"/>
    </xf>
    <xf numFmtId="0" fontId="0" fillId="2" borderId="2" pivotButton="0" quotePrefix="0" xfId="0"/>
    <xf numFmtId="0" fontId="2" fillId="2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4" fontId="0" fillId="0" borderId="2" pivotButton="0" quotePrefix="0" xfId="0"/>
    <xf numFmtId="14" fontId="0" fillId="2" borderId="2" pivotButton="0" quotePrefix="0" xfId="0"/>
    <xf numFmtId="2" fontId="0" fillId="0" borderId="0" pivotButton="0" quotePrefix="0" xfId="0"/>
    <xf numFmtId="0" fontId="7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14" fontId="7" fillId="2" borderId="2" applyAlignment="1" pivotButton="0" quotePrefix="0" xfId="0">
      <alignment vertical="center"/>
    </xf>
    <xf numFmtId="0" fontId="7" fillId="2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5" fontId="0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4" fontId="7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4" fontId="7" fillId="3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45" fontId="0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3" borderId="2" pivotButton="0" quotePrefix="0" xfId="0"/>
    <xf numFmtId="0" fontId="0" fillId="0" borderId="2" pivotButton="0" quotePrefix="0" xfId="0"/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표준" xfId="0" builtinId="0"/>
  </cellStyles>
  <dxfs count="12"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H70" sqref="H70"/>
    </sheetView>
  </sheetViews>
  <sheetFormatPr baseColWidth="10" defaultRowHeight="18"/>
  <cols>
    <col width="11.28515625" customWidth="1" style="2" min="1" max="1"/>
    <col width="13.140625" customWidth="1" style="2" min="3" max="3"/>
    <col width="12.28515625" customWidth="1" style="2" min="4" max="4"/>
  </cols>
  <sheetData>
    <row r="1">
      <c r="A1" s="4" t="inlineStr">
        <is>
          <t>Team Name</t>
        </is>
      </c>
      <c r="B1" s="4" t="inlineStr">
        <is>
          <t>Shortened</t>
        </is>
      </c>
      <c r="C1" s="4" t="inlineStr">
        <is>
          <t>Player Name</t>
        </is>
      </c>
      <c r="D1" s="4" t="inlineStr">
        <is>
          <t>Player Position</t>
        </is>
      </c>
      <c r="E1" s="4" t="inlineStr">
        <is>
          <t>Detailed</t>
        </is>
      </c>
    </row>
    <row r="2">
      <c r="A2" s="4" t="inlineStr">
        <is>
          <t>Crazy Raccoon</t>
        </is>
      </c>
      <c r="B2" s="4" t="inlineStr">
        <is>
          <t>CR</t>
        </is>
      </c>
      <c r="C2" s="4" t="inlineStr">
        <is>
          <t>JUNBIN</t>
        </is>
      </c>
      <c r="D2" s="4" t="inlineStr">
        <is>
          <t>TANK</t>
        </is>
      </c>
      <c r="E2" s="46" t="inlineStr">
        <is>
          <t>TANK</t>
        </is>
      </c>
    </row>
    <row r="3">
      <c r="A3" s="31" t="n"/>
      <c r="C3" s="4" t="inlineStr">
        <is>
          <t>MAX</t>
        </is>
      </c>
      <c r="D3" s="4" t="inlineStr">
        <is>
          <t>TANK</t>
        </is>
      </c>
      <c r="E3" s="46" t="inlineStr">
        <is>
          <t>TANK</t>
        </is>
      </c>
    </row>
    <row r="4">
      <c r="C4" s="4" t="inlineStr">
        <is>
          <t>HEESANG</t>
        </is>
      </c>
      <c r="D4" s="4" t="inlineStr">
        <is>
          <t>DPS</t>
        </is>
      </c>
      <c r="E4" s="46" t="inlineStr">
        <is>
          <t>FLEX DPS</t>
        </is>
      </c>
    </row>
    <row r="5">
      <c r="C5" s="4" t="inlineStr">
        <is>
          <t>LIP</t>
        </is>
      </c>
      <c r="D5" s="4" t="inlineStr">
        <is>
          <t>DPS</t>
        </is>
      </c>
      <c r="E5" s="47" t="inlineStr">
        <is>
          <t>MAIN DPS</t>
        </is>
      </c>
    </row>
    <row r="6">
      <c r="C6" s="4" t="inlineStr">
        <is>
          <t>STALK3R</t>
        </is>
      </c>
      <c r="D6" s="4" t="inlineStr">
        <is>
          <t>DPS</t>
        </is>
      </c>
      <c r="E6" s="47" t="inlineStr">
        <is>
          <t>FLEX DPS</t>
        </is>
      </c>
    </row>
    <row r="7">
      <c r="C7" s="4" t="inlineStr">
        <is>
          <t>CH0R0NG</t>
        </is>
      </c>
      <c r="D7" s="4" t="inlineStr">
        <is>
          <t>SPT</t>
        </is>
      </c>
      <c r="E7" s="47" t="inlineStr">
        <is>
          <t>MAIN SPT</t>
        </is>
      </c>
    </row>
    <row r="8">
      <c r="C8" s="4" t="inlineStr">
        <is>
          <t>VIGILANTE</t>
        </is>
      </c>
      <c r="D8" s="4" t="inlineStr">
        <is>
          <t>SPT</t>
        </is>
      </c>
      <c r="E8" s="47" t="inlineStr">
        <is>
          <t>FLEX SPT</t>
        </is>
      </c>
    </row>
    <row r="9">
      <c r="A9" s="0" t="inlineStr">
        <is>
          <t>Team Falcons</t>
        </is>
      </c>
      <c r="B9" s="0" t="inlineStr">
        <is>
          <t>FLC</t>
        </is>
      </c>
      <c r="C9" s="4" t="inlineStr">
        <is>
          <t>SOMEONE</t>
        </is>
      </c>
      <c r="D9" s="4" t="inlineStr">
        <is>
          <t>TANK</t>
        </is>
      </c>
      <c r="E9" s="47" t="inlineStr">
        <is>
          <t>TANK</t>
        </is>
      </c>
    </row>
    <row r="10">
      <c r="A10" s="4" t="n"/>
      <c r="B10" s="4" t="n"/>
      <c r="C10" s="4" t="inlineStr">
        <is>
          <t>HANBIN</t>
        </is>
      </c>
      <c r="D10" s="4" t="inlineStr">
        <is>
          <t>TANK</t>
        </is>
      </c>
      <c r="E10" s="46" t="inlineStr">
        <is>
          <t>TANK</t>
        </is>
      </c>
    </row>
    <row r="11">
      <c r="A11" s="31" t="n"/>
      <c r="C11" s="4" t="inlineStr">
        <is>
          <t>CHECKMATE</t>
        </is>
      </c>
      <c r="D11" s="4" t="inlineStr">
        <is>
          <t>DPS</t>
        </is>
      </c>
      <c r="E11" s="46" t="inlineStr">
        <is>
          <t>FLEX DPS</t>
        </is>
      </c>
    </row>
    <row r="12">
      <c r="C12" s="4" t="inlineStr">
        <is>
          <t>MER1T</t>
        </is>
      </c>
      <c r="D12" s="4" t="inlineStr">
        <is>
          <t>DPS</t>
        </is>
      </c>
      <c r="E12" s="46" t="inlineStr">
        <is>
          <t>MAIN DPS</t>
        </is>
      </c>
    </row>
    <row r="13">
      <c r="C13" s="4" t="inlineStr">
        <is>
          <t>CHIYO</t>
        </is>
      </c>
      <c r="D13" s="4" t="inlineStr">
        <is>
          <t>SPT</t>
        </is>
      </c>
      <c r="E13" s="47" t="inlineStr">
        <is>
          <t>MAIN SPT</t>
        </is>
      </c>
    </row>
    <row r="14">
      <c r="C14" s="4" t="inlineStr">
        <is>
          <t>FIELDER</t>
        </is>
      </c>
      <c r="D14" s="4" t="inlineStr">
        <is>
          <t>SPT</t>
        </is>
      </c>
      <c r="E14" s="47" t="inlineStr">
        <is>
          <t>FLEX SPT</t>
        </is>
      </c>
    </row>
    <row r="15">
      <c r="A15" s="0" t="inlineStr">
        <is>
          <t>T1</t>
        </is>
      </c>
      <c r="B15" s="0" t="inlineStr">
        <is>
          <t>T1</t>
        </is>
      </c>
      <c r="C15" s="4" t="inlineStr">
        <is>
          <t>DONGHAK</t>
        </is>
      </c>
      <c r="D15" s="4" t="inlineStr">
        <is>
          <t>TANK</t>
        </is>
      </c>
      <c r="E15" s="47" t="inlineStr">
        <is>
          <t>TANK</t>
        </is>
      </c>
    </row>
    <row r="16">
      <c r="C16" s="4" t="inlineStr">
        <is>
          <t>JASM1NE</t>
        </is>
      </c>
      <c r="D16" s="4" t="inlineStr">
        <is>
          <t>TANK</t>
        </is>
      </c>
      <c r="E16" s="47" t="inlineStr">
        <is>
          <t>TANK</t>
        </is>
      </c>
    </row>
    <row r="17">
      <c r="C17" s="4" t="inlineStr">
        <is>
          <t>ZEST</t>
        </is>
      </c>
      <c r="D17" s="4" t="inlineStr">
        <is>
          <t>DPS</t>
        </is>
      </c>
      <c r="E17" s="47" t="inlineStr">
        <is>
          <t>FLEX DPS</t>
        </is>
      </c>
    </row>
    <row r="18">
      <c r="A18" s="4" t="n"/>
      <c r="B18" s="4" t="n"/>
      <c r="C18" s="4" t="inlineStr">
        <is>
          <t>PROUD</t>
        </is>
      </c>
      <c r="D18" s="4" t="inlineStr">
        <is>
          <t>DPS</t>
        </is>
      </c>
      <c r="E18" s="46" t="inlineStr">
        <is>
          <t>MAIN DPS</t>
        </is>
      </c>
    </row>
    <row r="19">
      <c r="A19" s="31" t="n"/>
      <c r="C19" s="4" t="inlineStr">
        <is>
          <t>BLISS</t>
        </is>
      </c>
      <c r="D19" s="4" t="inlineStr">
        <is>
          <t>SPT</t>
        </is>
      </c>
      <c r="E19" s="46" t="inlineStr">
        <is>
          <t>MAIN SPT</t>
        </is>
      </c>
    </row>
    <row r="20">
      <c r="C20" s="4" t="inlineStr">
        <is>
          <t>SKEWED</t>
        </is>
      </c>
      <c r="D20" s="4" t="inlineStr">
        <is>
          <t>SPT</t>
        </is>
      </c>
      <c r="E20" s="46" t="inlineStr">
        <is>
          <t>FLEX SPT</t>
        </is>
      </c>
    </row>
    <row r="21">
      <c r="A21" s="0" t="inlineStr">
        <is>
          <t>ZETA DIVISION</t>
        </is>
      </c>
      <c r="B21" s="0" t="inlineStr">
        <is>
          <t>ZETA</t>
        </is>
      </c>
      <c r="C21" s="4" t="inlineStr">
        <is>
          <t>BERNAR</t>
        </is>
      </c>
      <c r="D21" s="4" t="inlineStr">
        <is>
          <t>TANK</t>
        </is>
      </c>
      <c r="E21" s="47" t="inlineStr">
        <is>
          <t>TANK</t>
        </is>
      </c>
    </row>
    <row r="22">
      <c r="C22" s="4" t="inlineStr">
        <is>
          <t>MEALGARU</t>
        </is>
      </c>
      <c r="D22" s="4" t="inlineStr">
        <is>
          <t>TANK</t>
        </is>
      </c>
      <c r="E22" s="47" t="inlineStr">
        <is>
          <t>TANK</t>
        </is>
      </c>
    </row>
    <row r="23">
      <c r="C23" s="4" t="inlineStr">
        <is>
          <t>PROPER</t>
        </is>
      </c>
      <c r="D23" s="4" t="inlineStr">
        <is>
          <t>DPS</t>
        </is>
      </c>
      <c r="E23" s="47" t="inlineStr">
        <is>
          <t>FLEX DPS</t>
        </is>
      </c>
    </row>
    <row r="24">
      <c r="C24" s="4" t="inlineStr">
        <is>
          <t>KNIFE</t>
        </is>
      </c>
      <c r="D24" s="4" t="inlineStr">
        <is>
          <t>DPS</t>
        </is>
      </c>
      <c r="E24" s="47" t="inlineStr">
        <is>
          <t>MAIN DPS</t>
        </is>
      </c>
    </row>
    <row r="25">
      <c r="A25" s="4" t="n"/>
      <c r="B25" s="4" t="n"/>
      <c r="C25" s="4" t="inlineStr">
        <is>
          <t>VIOL2T</t>
        </is>
      </c>
      <c r="D25" s="4" t="inlineStr">
        <is>
          <t>SPT</t>
        </is>
      </c>
      <c r="E25" s="46" t="inlineStr">
        <is>
          <t>MAIN SPT</t>
        </is>
      </c>
    </row>
    <row r="26">
      <c r="A26" s="31" t="n"/>
      <c r="C26" s="4" t="inlineStr">
        <is>
          <t>SHU</t>
        </is>
      </c>
      <c r="D26" s="4" t="inlineStr">
        <is>
          <t>SPT</t>
        </is>
      </c>
      <c r="E26" s="46" t="inlineStr">
        <is>
          <t>FLEX SPT</t>
        </is>
      </c>
    </row>
    <row r="27">
      <c r="A27" s="0" t="inlineStr">
        <is>
          <t>New Era</t>
        </is>
      </c>
      <c r="B27" s="0" t="inlineStr">
        <is>
          <t>ERA</t>
        </is>
      </c>
      <c r="C27" s="4" t="inlineStr">
        <is>
          <t>SOLA</t>
        </is>
      </c>
      <c r="D27" s="4" t="inlineStr">
        <is>
          <t>TANK</t>
        </is>
      </c>
      <c r="E27" s="46" t="inlineStr">
        <is>
          <t>TANK</t>
        </is>
      </c>
    </row>
    <row r="28">
      <c r="C28" s="4" t="inlineStr">
        <is>
          <t>YATE</t>
        </is>
      </c>
      <c r="D28" s="4" t="inlineStr">
        <is>
          <t>TANK</t>
        </is>
      </c>
      <c r="E28" s="47" t="inlineStr">
        <is>
          <t>TANK</t>
        </is>
      </c>
    </row>
    <row r="29">
      <c r="C29" s="4" t="inlineStr">
        <is>
          <t>D0DO</t>
        </is>
      </c>
      <c r="D29" s="4" t="inlineStr">
        <is>
          <t>DPS</t>
        </is>
      </c>
      <c r="E29" s="47" t="inlineStr">
        <is>
          <t>MAIN DPS</t>
        </is>
      </c>
    </row>
    <row r="30">
      <c r="C30" s="4" t="inlineStr">
        <is>
          <t>PERR</t>
        </is>
      </c>
      <c r="D30" s="4" t="inlineStr">
        <is>
          <t>DPS</t>
        </is>
      </c>
      <c r="E30" s="47" t="inlineStr">
        <is>
          <t>FLEX DPS</t>
        </is>
      </c>
    </row>
    <row r="31">
      <c r="C31" s="4" t="inlineStr">
        <is>
          <t>SECRET</t>
        </is>
      </c>
      <c r="D31" s="4" t="inlineStr">
        <is>
          <t>SPT</t>
        </is>
      </c>
      <c r="E31" s="47" t="inlineStr">
        <is>
          <t>MAIN SPT</t>
        </is>
      </c>
    </row>
    <row r="32">
      <c r="A32" s="4" t="n"/>
      <c r="B32" s="4" t="n"/>
      <c r="C32" s="4" t="inlineStr">
        <is>
          <t>MCD</t>
        </is>
      </c>
      <c r="D32" s="4" t="inlineStr">
        <is>
          <t>SPT</t>
        </is>
      </c>
      <c r="E32" s="46" t="inlineStr">
        <is>
          <t>FLEX SPT</t>
        </is>
      </c>
    </row>
    <row r="33">
      <c r="A33" s="31" t="inlineStr">
        <is>
          <t>ONSIDE GAMING</t>
        </is>
      </c>
      <c r="B33" s="0" t="inlineStr">
        <is>
          <t>OSG</t>
        </is>
      </c>
      <c r="C33" s="4" t="inlineStr">
        <is>
          <t>ATTACK</t>
        </is>
      </c>
      <c r="D33" s="4" t="inlineStr">
        <is>
          <t>TANK</t>
        </is>
      </c>
      <c r="E33" s="46" t="inlineStr">
        <is>
          <t>TANK</t>
        </is>
      </c>
    </row>
    <row r="34">
      <c r="C34" s="4" t="inlineStr">
        <is>
          <t>SP1NT</t>
        </is>
      </c>
      <c r="D34" s="4" t="inlineStr">
        <is>
          <t>DPS</t>
        </is>
      </c>
      <c r="E34" s="46" t="inlineStr">
        <is>
          <t>FLEX DPS</t>
        </is>
      </c>
    </row>
    <row r="35">
      <c r="C35" s="4" t="inlineStr">
        <is>
          <t>KILO</t>
        </is>
      </c>
      <c r="D35" s="4" t="inlineStr">
        <is>
          <t>DPS</t>
        </is>
      </c>
      <c r="E35" s="47" t="inlineStr">
        <is>
          <t>MAIN DPS</t>
        </is>
      </c>
    </row>
    <row r="36">
      <c r="C36" s="4" t="inlineStr">
        <is>
          <t>HAKSAL</t>
        </is>
      </c>
      <c r="D36" s="4" t="inlineStr">
        <is>
          <t>DPS</t>
        </is>
      </c>
      <c r="E36" s="47" t="inlineStr">
        <is>
          <t>FLEX DPS</t>
        </is>
      </c>
    </row>
    <row r="37">
      <c r="C37" s="4" t="inlineStr">
        <is>
          <t>OPENER</t>
        </is>
      </c>
      <c r="D37" s="4" t="inlineStr">
        <is>
          <t>SPT</t>
        </is>
      </c>
      <c r="E37" s="47" t="inlineStr">
        <is>
          <t>MAIN SPT</t>
        </is>
      </c>
    </row>
    <row r="38">
      <c r="C38" s="4" t="inlineStr">
        <is>
          <t>IRONY</t>
        </is>
      </c>
      <c r="D38" s="4" t="inlineStr">
        <is>
          <t>SPT</t>
        </is>
      </c>
      <c r="E38" s="47" t="inlineStr">
        <is>
          <t>FLEX SPT</t>
        </is>
      </c>
    </row>
    <row r="39">
      <c r="A39" s="4" t="inlineStr">
        <is>
          <t>ZAN Esports</t>
        </is>
      </c>
      <c r="B39" s="4" t="inlineStr">
        <is>
          <t>ZAN</t>
        </is>
      </c>
      <c r="C39" s="4" t="inlineStr">
        <is>
          <t>HEISER</t>
        </is>
      </c>
      <c r="D39" s="4" t="inlineStr">
        <is>
          <t>TANK</t>
        </is>
      </c>
      <c r="E39" s="46" t="inlineStr">
        <is>
          <t>TANK</t>
        </is>
      </c>
    </row>
    <row r="40">
      <c r="A40" s="31" t="n"/>
      <c r="C40" s="4" t="inlineStr">
        <is>
          <t>A1IEN</t>
        </is>
      </c>
      <c r="D40" s="4" t="inlineStr">
        <is>
          <t>DPS</t>
        </is>
      </c>
      <c r="E40" s="46" t="inlineStr">
        <is>
          <t>MAIN DPS</t>
        </is>
      </c>
    </row>
    <row r="41">
      <c r="C41" s="4" t="inlineStr">
        <is>
          <t>PROBE</t>
        </is>
      </c>
      <c r="D41" s="4" t="inlineStr">
        <is>
          <t>DPS</t>
        </is>
      </c>
      <c r="E41" s="46" t="inlineStr">
        <is>
          <t>MAIN DPS</t>
        </is>
      </c>
    </row>
    <row r="42">
      <c r="C42" s="4" t="inlineStr">
        <is>
          <t>BECKY</t>
        </is>
      </c>
      <c r="D42" s="4" t="inlineStr">
        <is>
          <t>DPS</t>
        </is>
      </c>
      <c r="E42" s="47" t="inlineStr">
        <is>
          <t>FLEX DPS</t>
        </is>
      </c>
    </row>
    <row r="43">
      <c r="C43" s="4" t="inlineStr">
        <is>
          <t>HAVIRA</t>
        </is>
      </c>
      <c r="D43" s="4" t="inlineStr">
        <is>
          <t>SPT</t>
        </is>
      </c>
      <c r="E43" s="47" t="inlineStr">
        <is>
          <t>MAIN SPT</t>
        </is>
      </c>
    </row>
    <row r="44">
      <c r="C44" s="4" t="inlineStr">
        <is>
          <t>YANGIUN</t>
        </is>
      </c>
      <c r="D44" s="4" t="inlineStr">
        <is>
          <t>SPT</t>
        </is>
      </c>
      <c r="E44" s="47" t="inlineStr">
        <is>
          <t>FLEX SPT</t>
        </is>
      </c>
    </row>
    <row r="45">
      <c r="C45" s="4" t="inlineStr">
        <is>
          <t>KIVIS</t>
        </is>
      </c>
      <c r="D45" s="4" t="inlineStr">
        <is>
          <t>SPT</t>
        </is>
      </c>
      <c r="E45" s="47" t="inlineStr">
        <is>
          <t>FLEX SPT</t>
        </is>
      </c>
    </row>
    <row r="46">
      <c r="A46" s="0" t="inlineStr">
        <is>
          <t>Cheeseburger</t>
        </is>
      </c>
      <c r="B46" s="0" t="inlineStr">
        <is>
          <t>CB</t>
        </is>
      </c>
      <c r="C46" s="4" t="inlineStr">
        <is>
          <t>FARMER</t>
        </is>
      </c>
      <c r="D46" s="4" t="inlineStr">
        <is>
          <t>TANK</t>
        </is>
      </c>
      <c r="E46" s="47" t="inlineStr">
        <is>
          <t>TANK</t>
        </is>
      </c>
    </row>
    <row r="47">
      <c r="A47" s="4" t="n"/>
      <c r="B47" s="4" t="n"/>
      <c r="C47" s="4" t="inlineStr">
        <is>
          <t>SEUNGAN</t>
        </is>
      </c>
      <c r="D47" s="4" t="inlineStr">
        <is>
          <t>TANK</t>
        </is>
      </c>
      <c r="E47" s="46" t="inlineStr">
        <is>
          <t>TANK</t>
        </is>
      </c>
    </row>
    <row r="48">
      <c r="A48" s="31" t="n"/>
      <c r="C48" s="4" t="inlineStr">
        <is>
          <t>ARGON</t>
        </is>
      </c>
      <c r="D48" s="4" t="inlineStr">
        <is>
          <t>DPS</t>
        </is>
      </c>
      <c r="E48" s="46" t="inlineStr">
        <is>
          <t>FLEX DPS</t>
        </is>
      </c>
    </row>
    <row r="49">
      <c r="C49" s="4" t="inlineStr">
        <is>
          <t>ZESIN</t>
        </is>
      </c>
      <c r="D49" s="4" t="inlineStr">
        <is>
          <t>DPS</t>
        </is>
      </c>
      <c r="E49" s="46" t="inlineStr">
        <is>
          <t>MAIN DPS</t>
        </is>
      </c>
    </row>
    <row r="50">
      <c r="C50" s="4" t="inlineStr">
        <is>
          <t>JAMELGONG</t>
        </is>
      </c>
      <c r="D50" s="4" t="inlineStr">
        <is>
          <t>DPS</t>
        </is>
      </c>
      <c r="E50" s="47" t="inlineStr">
        <is>
          <t>FLEX DPS</t>
        </is>
      </c>
    </row>
    <row r="51">
      <c r="C51" s="4" t="inlineStr">
        <is>
          <t>WOOCHAN</t>
        </is>
      </c>
      <c r="D51" s="4" t="inlineStr">
        <is>
          <t>SPT</t>
        </is>
      </c>
      <c r="E51" s="47" t="inlineStr">
        <is>
          <t>MAIN SPT</t>
        </is>
      </c>
    </row>
    <row r="52">
      <c r="C52" s="4" t="inlineStr">
        <is>
          <t>FAITH</t>
        </is>
      </c>
      <c r="D52" s="4" t="inlineStr">
        <is>
          <t>SPT</t>
        </is>
      </c>
      <c r="E52" s="47" t="inlineStr">
        <is>
          <t>MAIN SPT</t>
        </is>
      </c>
    </row>
    <row r="53">
      <c r="A53" s="0" t="inlineStr">
        <is>
          <t>Poker Face</t>
        </is>
      </c>
      <c r="B53" s="0" t="inlineStr">
        <is>
          <t>PF</t>
        </is>
      </c>
      <c r="C53" s="4" t="inlineStr">
        <is>
          <t>FEARFUL</t>
        </is>
      </c>
      <c r="D53" s="4" t="inlineStr">
        <is>
          <t>TANK</t>
        </is>
      </c>
      <c r="E53" s="47" t="inlineStr">
        <is>
          <t>TANK</t>
        </is>
      </c>
    </row>
    <row r="54">
      <c r="C54" s="4" t="inlineStr">
        <is>
          <t>GUR3UM</t>
        </is>
      </c>
      <c r="D54" s="4" t="inlineStr">
        <is>
          <t>TANK</t>
        </is>
      </c>
      <c r="E54" s="47" t="inlineStr">
        <is>
          <t>TANK</t>
        </is>
      </c>
      <c r="F54" s="1" t="n"/>
      <c r="G54" s="1" t="n"/>
      <c r="H54" s="1" t="n"/>
      <c r="I54" s="1" t="n"/>
    </row>
    <row r="55">
      <c r="A55" s="4" t="n"/>
      <c r="B55" s="4" t="n"/>
      <c r="C55" s="4" t="inlineStr">
        <is>
          <t>M1NUT2</t>
        </is>
      </c>
      <c r="D55" s="4" t="inlineStr">
        <is>
          <t>DPS</t>
        </is>
      </c>
      <c r="E55" s="46" t="inlineStr">
        <is>
          <t>MAIN DPS</t>
        </is>
      </c>
      <c r="F55" s="1" t="n"/>
      <c r="G55" s="1" t="n"/>
      <c r="H55" s="1" t="n"/>
      <c r="I55" s="1" t="n"/>
    </row>
    <row r="56">
      <c r="A56" s="31" t="n"/>
      <c r="C56" s="4" t="inlineStr">
        <is>
          <t>D4RT</t>
        </is>
      </c>
      <c r="D56" s="4" t="inlineStr">
        <is>
          <t>DPS</t>
        </is>
      </c>
      <c r="E56" s="46" t="inlineStr">
        <is>
          <t>FLEX DPS</t>
        </is>
      </c>
      <c r="F56" s="1" t="n"/>
      <c r="G56" s="1" t="n"/>
      <c r="H56" s="1" t="n"/>
      <c r="I56" s="1" t="n"/>
    </row>
    <row r="57">
      <c r="C57" s="4" t="inlineStr">
        <is>
          <t>TENTEN</t>
        </is>
      </c>
      <c r="D57" s="4" t="inlineStr">
        <is>
          <t>SPT</t>
        </is>
      </c>
      <c r="E57" s="46" t="inlineStr">
        <is>
          <t>MAIN SPT</t>
        </is>
      </c>
      <c r="F57" s="1" t="n"/>
      <c r="G57" s="1" t="n"/>
      <c r="H57" s="1" t="n"/>
      <c r="I57" s="1" t="n"/>
    </row>
    <row r="58">
      <c r="C58" s="4" t="inlineStr">
        <is>
          <t>CARU</t>
        </is>
      </c>
      <c r="D58" s="4" t="inlineStr">
        <is>
          <t>SPT</t>
        </is>
      </c>
      <c r="E58" s="47" t="inlineStr">
        <is>
          <t>FLEX SPT</t>
        </is>
      </c>
      <c r="F58" s="1" t="n"/>
      <c r="G58" s="1" t="n"/>
      <c r="H58" s="1" t="n"/>
      <c r="I58" s="1" t="n"/>
    </row>
    <row r="59">
      <c r="C59" s="4" t="inlineStr">
        <is>
          <t>SP1NEL</t>
        </is>
      </c>
      <c r="D59" s="4" t="inlineStr">
        <is>
          <t>SPT</t>
        </is>
      </c>
      <c r="E59" s="47" t="inlineStr">
        <is>
          <t>FLEX SPT</t>
        </is>
      </c>
      <c r="F59" s="1" t="n"/>
      <c r="G59" s="1" t="n"/>
      <c r="H59" s="1" t="n"/>
      <c r="I5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7"/>
  <sheetViews>
    <sheetView tabSelected="1" topLeftCell="F1" workbookViewId="0">
      <selection activeCell="N6" sqref="N6"/>
    </sheetView>
  </sheetViews>
  <sheetFormatPr baseColWidth="10" defaultRowHeight="18"/>
  <cols>
    <col width="11.140625" customWidth="1" style="2" min="4" max="4"/>
    <col width="15.42578125" customWidth="1" style="2" min="7" max="7"/>
    <col width="16.42578125" customWidth="1" style="2" min="9" max="9"/>
    <col width="10.7109375" customWidth="1" style="2" min="10" max="10"/>
    <col width="13.7109375" customWidth="1" style="2" min="11" max="12"/>
    <col width="14.5703125" customWidth="1" style="2" min="13" max="13"/>
    <col width="15.7109375" customWidth="1" style="2" min="14" max="14"/>
    <col width="17.42578125" customWidth="1" style="2" min="15" max="15"/>
    <col width="13.5703125" customWidth="1" style="2" min="16" max="16"/>
    <col width="12.5703125" customWidth="1" style="2" min="17" max="17"/>
    <col width="15.42578125" customWidth="1" style="2" min="18" max="18"/>
  </cols>
  <sheetData>
    <row r="1">
      <c r="A1" s="46" t="inlineStr">
        <is>
          <t>WEEK</t>
        </is>
      </c>
      <c r="B1" s="46" t="inlineStr">
        <is>
          <t>DAY</t>
        </is>
      </c>
      <c r="C1" s="46" t="inlineStr">
        <is>
          <t>MATCH</t>
        </is>
      </c>
      <c r="D1" s="46" t="inlineStr">
        <is>
          <t>Set #</t>
        </is>
      </c>
      <c r="E1" s="46" t="inlineStr">
        <is>
          <t>DATE</t>
        </is>
      </c>
      <c r="F1" s="46" t="inlineStr">
        <is>
          <t>PHASE</t>
        </is>
      </c>
      <c r="G1" s="46" t="inlineStr">
        <is>
          <t>TEAM 1</t>
        </is>
      </c>
      <c r="H1" s="46" t="inlineStr">
        <is>
          <t>TEAM 2</t>
        </is>
      </c>
      <c r="I1" s="46" t="inlineStr">
        <is>
          <t>MAP</t>
        </is>
      </c>
      <c r="J1" s="46" t="inlineStr">
        <is>
          <t>MAP TYPE</t>
        </is>
      </c>
      <c r="K1" s="46" t="inlineStr">
        <is>
          <t>TIME</t>
        </is>
      </c>
      <c r="L1" s="46" t="inlineStr">
        <is>
          <t>WINNER</t>
        </is>
      </c>
      <c r="M1" s="46" t="inlineStr">
        <is>
          <t>TEAM 1 BAN</t>
        </is>
      </c>
      <c r="N1" s="46" t="inlineStr">
        <is>
          <t>TEAM 2 BAN</t>
        </is>
      </c>
      <c r="O1" s="46" t="inlineStr">
        <is>
          <t>MATCH_ID</t>
        </is>
      </c>
      <c r="P1" s="46" t="inlineStr">
        <is>
          <t>TEAM 1 SCORE</t>
        </is>
      </c>
      <c r="Q1" s="47" t="inlineStr">
        <is>
          <t>TEAM 2 SCORE</t>
        </is>
      </c>
      <c r="R1" s="34" t="inlineStr">
        <is>
          <t>INITIAL BAN RIGHT</t>
        </is>
      </c>
      <c r="S1" s="34" t="inlineStr">
        <is>
          <t>INITIAL BAN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2026-03-20</t>
        </is>
      </c>
      <c r="F2" t="inlineStr">
        <is>
          <t>Round Robin</t>
        </is>
      </c>
      <c r="G2" t="inlineStr">
        <is>
          <t>CB</t>
        </is>
      </c>
      <c r="H2" t="inlineStr">
        <is>
          <t>PF</t>
        </is>
      </c>
      <c r="I2" t="inlineStr">
        <is>
          <t>Busan</t>
        </is>
      </c>
      <c r="J2" t="inlineStr">
        <is>
          <t>Control</t>
        </is>
      </c>
      <c r="L2" t="inlineStr">
        <is>
          <t>PF</t>
        </is>
      </c>
      <c r="M2" t="inlineStr">
        <is>
          <t>Zarya</t>
        </is>
      </c>
      <c r="N2" t="inlineStr">
        <is>
          <t>Emre</t>
        </is>
      </c>
      <c r="O2">
        <f>TEXT(E2, "yymmdd") &amp; "_" &amp; G2 &amp; "_" &amp; H2 &amp; "_S" &amp; D2</f>
        <v/>
      </c>
      <c r="P2" t="n">
        <v>0</v>
      </c>
      <c r="Q2" t="n">
        <v>2</v>
      </c>
      <c r="R2" t="inlineStr">
        <is>
          <t>TEAM 2</t>
        </is>
      </c>
      <c r="S2" t="inlineStr">
        <is>
          <t>Emre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inlineStr">
        <is>
          <t>2026-03-20</t>
        </is>
      </c>
      <c r="F3" t="inlineStr">
        <is>
          <t>Round Robin</t>
        </is>
      </c>
      <c r="G3" t="inlineStr">
        <is>
          <t>CB</t>
        </is>
      </c>
      <c r="H3" t="inlineStr">
        <is>
          <t>PF</t>
        </is>
      </c>
      <c r="I3" t="inlineStr">
        <is>
          <t>Runasapi</t>
        </is>
      </c>
      <c r="J3" t="inlineStr">
        <is>
          <t>Push</t>
        </is>
      </c>
      <c r="L3" t="inlineStr">
        <is>
          <t>PF</t>
        </is>
      </c>
      <c r="M3" t="inlineStr">
        <is>
          <t>Symmetra</t>
        </is>
      </c>
      <c r="N3" t="inlineStr">
        <is>
          <t>Orisa</t>
        </is>
      </c>
      <c r="O3">
        <f>TEXT(E3, "yymmdd") &amp; "_" &amp; G3 &amp; "_" &amp; H3 &amp; "_S" &amp; D3</f>
        <v/>
      </c>
      <c r="P3" t="n">
        <v>94.06</v>
      </c>
      <c r="Q3" t="n">
        <v>94.06999999999999</v>
      </c>
      <c r="R3" t="inlineStr">
        <is>
          <t>TEAM 1</t>
        </is>
      </c>
      <c r="S3" t="inlineStr">
        <is>
          <t>Symmetra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inlineStr">
        <is>
          <t>2026-03-20</t>
        </is>
      </c>
      <c r="F4" t="inlineStr">
        <is>
          <t>Round Robin</t>
        </is>
      </c>
      <c r="G4" t="inlineStr">
        <is>
          <t>CB</t>
        </is>
      </c>
      <c r="H4" t="inlineStr">
        <is>
          <t>PF</t>
        </is>
      </c>
      <c r="I4" t="inlineStr">
        <is>
          <t>Numbani</t>
        </is>
      </c>
      <c r="J4" t="inlineStr">
        <is>
          <t>Hybrid</t>
        </is>
      </c>
      <c r="L4" t="inlineStr">
        <is>
          <t>PF</t>
        </is>
      </c>
      <c r="M4" t="inlineStr">
        <is>
          <t>Wuyang</t>
        </is>
      </c>
      <c r="N4" t="inlineStr">
        <is>
          <t>D.Va</t>
        </is>
      </c>
      <c r="O4">
        <f>TEXT(E4, "yymmdd") &amp; "_" &amp; G4 &amp; "_" &amp; H4 &amp; "_S" &amp; D4</f>
        <v/>
      </c>
      <c r="P4" t="n">
        <v>2</v>
      </c>
      <c r="Q4" t="n">
        <v>3</v>
      </c>
      <c r="R4" t="inlineStr">
        <is>
          <t>TEAM 1</t>
        </is>
      </c>
      <c r="S4" t="inlineStr">
        <is>
          <t>Wuyang</t>
        </is>
      </c>
    </row>
    <row r="5">
      <c r="A5" t="n">
        <v>1</v>
      </c>
      <c r="B5" t="n">
        <v>1</v>
      </c>
      <c r="C5" t="n">
        <v>2</v>
      </c>
      <c r="D5" t="n">
        <v>1</v>
      </c>
      <c r="E5" t="inlineStr">
        <is>
          <t>2026-03-20</t>
        </is>
      </c>
      <c r="F5" t="inlineStr">
        <is>
          <t>Round Robin</t>
        </is>
      </c>
      <c r="G5" t="inlineStr">
        <is>
          <t>CR</t>
        </is>
      </c>
      <c r="H5" t="inlineStr">
        <is>
          <t>ZETA</t>
        </is>
      </c>
      <c r="I5" t="inlineStr">
        <is>
          <t>Busan</t>
        </is>
      </c>
      <c r="J5" t="inlineStr">
        <is>
          <t>Control</t>
        </is>
      </c>
      <c r="L5" t="inlineStr">
        <is>
          <t>ZETA</t>
        </is>
      </c>
      <c r="M5" t="inlineStr">
        <is>
          <t>Wuyang</t>
        </is>
      </c>
      <c r="N5" t="inlineStr">
        <is>
          <t>Zarya</t>
        </is>
      </c>
      <c r="O5">
        <f>TEXT(E5, "yymmdd") &amp; "_" &amp; G5 &amp; "_" &amp; H5 &amp; "_S" &amp; D5</f>
        <v/>
      </c>
      <c r="P5" t="n">
        <v>1</v>
      </c>
      <c r="Q5" t="n">
        <v>2</v>
      </c>
      <c r="R5" t="inlineStr">
        <is>
          <t>TEAM 1</t>
        </is>
      </c>
      <c r="S5" t="inlineStr">
        <is>
          <t>Wuyang</t>
        </is>
      </c>
    </row>
    <row r="6">
      <c r="A6" t="n">
        <v>1</v>
      </c>
      <c r="B6" t="n">
        <v>1</v>
      </c>
      <c r="C6" t="n">
        <v>2</v>
      </c>
      <c r="D6" t="n">
        <v>2</v>
      </c>
      <c r="E6" t="inlineStr">
        <is>
          <t>2026-03-20</t>
        </is>
      </c>
      <c r="F6" t="inlineStr">
        <is>
          <t>Round Robin</t>
        </is>
      </c>
      <c r="G6" t="inlineStr">
        <is>
          <t>CR</t>
        </is>
      </c>
      <c r="H6" t="inlineStr">
        <is>
          <t>ZETA</t>
        </is>
      </c>
      <c r="I6" t="inlineStr">
        <is>
          <t>Suravasa</t>
        </is>
      </c>
      <c r="J6" t="inlineStr">
        <is>
          <t>Flashpoint</t>
        </is>
      </c>
      <c r="L6" t="inlineStr">
        <is>
          <t>ZETA</t>
        </is>
      </c>
      <c r="M6" t="inlineStr">
        <is>
          <t>Cassidy</t>
        </is>
      </c>
      <c r="N6" t="inlineStr">
        <is>
          <t>Winston</t>
        </is>
      </c>
      <c r="O6">
        <f>TEXT(E6, "yymmdd") &amp; "_" &amp; G6 &amp; "_" &amp; H6 &amp; "_S" &amp; D6</f>
        <v/>
      </c>
      <c r="P6" t="n">
        <v>1</v>
      </c>
      <c r="Q6" t="n">
        <v>3</v>
      </c>
      <c r="R6" t="inlineStr">
        <is>
          <t>TEAM 1</t>
        </is>
      </c>
      <c r="S6" t="inlineStr">
        <is>
          <t>Cassidy</t>
        </is>
      </c>
    </row>
    <row r="7">
      <c r="A7" t="n">
        <v>1</v>
      </c>
      <c r="B7" t="n">
        <v>1</v>
      </c>
      <c r="C7" t="n">
        <v>2</v>
      </c>
      <c r="D7" t="n">
        <v>3</v>
      </c>
      <c r="E7" t="inlineStr">
        <is>
          <t>2026-03-20</t>
        </is>
      </c>
      <c r="F7" t="inlineStr">
        <is>
          <t>Round Robin</t>
        </is>
      </c>
      <c r="G7" t="inlineStr">
        <is>
          <t>CR</t>
        </is>
      </c>
      <c r="H7" t="inlineStr">
        <is>
          <t>ZETA</t>
        </is>
      </c>
      <c r="I7" t="inlineStr">
        <is>
          <t>Havana</t>
        </is>
      </c>
      <c r="J7" t="inlineStr">
        <is>
          <t>Escort</t>
        </is>
      </c>
      <c r="L7" t="inlineStr">
        <is>
          <t>CR</t>
        </is>
      </c>
      <c r="M7" t="inlineStr">
        <is>
          <t>Ana</t>
        </is>
      </c>
      <c r="N7" t="inlineStr">
        <is>
          <t>Vendetta</t>
        </is>
      </c>
      <c r="O7">
        <f>TEXT(E7, "yymmdd") &amp; "_" &amp; G7 &amp; "_" &amp; H7 &amp; "_S" &amp; D7</f>
        <v/>
      </c>
      <c r="P7" t="n">
        <v>4</v>
      </c>
      <c r="Q7" t="n">
        <v>3</v>
      </c>
      <c r="R7" t="inlineStr">
        <is>
          <t>TEAM 1</t>
        </is>
      </c>
      <c r="S7" t="inlineStr">
        <is>
          <t>Ana</t>
        </is>
      </c>
    </row>
    <row r="8">
      <c r="A8" t="n">
        <v>1</v>
      </c>
      <c r="B8" t="n">
        <v>1</v>
      </c>
      <c r="C8" t="n">
        <v>2</v>
      </c>
      <c r="D8" t="n">
        <v>4</v>
      </c>
      <c r="E8" t="inlineStr">
        <is>
          <t>2026-03-20</t>
        </is>
      </c>
      <c r="F8" t="inlineStr">
        <is>
          <t>Round Robin</t>
        </is>
      </c>
      <c r="G8" t="inlineStr">
        <is>
          <t>CR</t>
        </is>
      </c>
      <c r="H8" t="inlineStr">
        <is>
          <t>ZETA</t>
        </is>
      </c>
      <c r="I8" t="inlineStr">
        <is>
          <t>Blizzard World</t>
        </is>
      </c>
      <c r="J8" t="inlineStr">
        <is>
          <t>Hybrid</t>
        </is>
      </c>
      <c r="L8" t="inlineStr">
        <is>
          <t>ZETA</t>
        </is>
      </c>
      <c r="M8" t="inlineStr">
        <is>
          <t>Illari</t>
        </is>
      </c>
      <c r="N8" t="inlineStr">
        <is>
          <t>D.Va</t>
        </is>
      </c>
      <c r="O8">
        <f>TEXT(E8, "yymmdd") &amp; "_" &amp; G8 &amp; "_" &amp; H8 &amp; "_S" &amp; D8</f>
        <v/>
      </c>
      <c r="P8" t="n">
        <v>0</v>
      </c>
      <c r="Q8" t="n">
        <v>3</v>
      </c>
      <c r="R8" t="inlineStr">
        <is>
          <t>TEAM 2</t>
        </is>
      </c>
      <c r="S8" t="inlineStr">
        <is>
          <t>D.Va</t>
        </is>
      </c>
    </row>
    <row r="9">
      <c r="A9" t="n">
        <v>1</v>
      </c>
      <c r="B9" t="n">
        <v>1</v>
      </c>
      <c r="C9" t="n">
        <v>3</v>
      </c>
      <c r="D9" t="n">
        <v>1</v>
      </c>
      <c r="E9" t="inlineStr">
        <is>
          <t>2026-03-20</t>
        </is>
      </c>
      <c r="F9" t="inlineStr">
        <is>
          <t>Round Robin</t>
        </is>
      </c>
      <c r="G9" t="inlineStr">
        <is>
          <t>ZAN</t>
        </is>
      </c>
      <c r="H9" t="inlineStr">
        <is>
          <t>OSG</t>
        </is>
      </c>
      <c r="I9" t="inlineStr">
        <is>
          <t>Busan</t>
        </is>
      </c>
      <c r="J9" t="inlineStr">
        <is>
          <t>Control</t>
        </is>
      </c>
      <c r="L9" t="inlineStr">
        <is>
          <t>ZAN</t>
        </is>
      </c>
      <c r="M9" t="inlineStr">
        <is>
          <t>Emre</t>
        </is>
      </c>
      <c r="N9" t="inlineStr">
        <is>
          <t>Zarya</t>
        </is>
      </c>
      <c r="O9">
        <f>TEXT(E9, "yymmdd") &amp; "_" &amp; G9 &amp; "_" &amp; H9 &amp; "_S" &amp; D9</f>
        <v/>
      </c>
      <c r="P9" t="n">
        <v>2</v>
      </c>
      <c r="Q9" t="n">
        <v>1</v>
      </c>
      <c r="R9" t="inlineStr">
        <is>
          <t>TEAM 2</t>
        </is>
      </c>
      <c r="S9" t="inlineStr">
        <is>
          <t>Zarya</t>
        </is>
      </c>
    </row>
    <row r="10">
      <c r="A10" t="n">
        <v>1</v>
      </c>
      <c r="B10" t="n">
        <v>1</v>
      </c>
      <c r="C10" t="n">
        <v>3</v>
      </c>
      <c r="D10" t="n">
        <v>2</v>
      </c>
      <c r="E10" t="inlineStr">
        <is>
          <t>2026-03-20</t>
        </is>
      </c>
      <c r="F10" t="inlineStr">
        <is>
          <t>Round Robin</t>
        </is>
      </c>
      <c r="G10" t="inlineStr">
        <is>
          <t>ZAN</t>
        </is>
      </c>
      <c r="H10" t="inlineStr">
        <is>
          <t>OSG</t>
        </is>
      </c>
      <c r="I10" t="inlineStr">
        <is>
          <t>Runasapi</t>
        </is>
      </c>
      <c r="J10" t="inlineStr">
        <is>
          <t>Push</t>
        </is>
      </c>
      <c r="L10" t="inlineStr">
        <is>
          <t>OSG</t>
        </is>
      </c>
      <c r="M10" t="inlineStr">
        <is>
          <t>Brigitte</t>
        </is>
      </c>
      <c r="N10" t="inlineStr">
        <is>
          <t>Vendetta</t>
        </is>
      </c>
      <c r="O10">
        <f>TEXT(E10, "yymmdd") &amp; "_" &amp; G10 &amp; "_" &amp; H10 &amp; "_S" &amp; D10</f>
        <v/>
      </c>
      <c r="P10" t="n">
        <v>54.63</v>
      </c>
      <c r="Q10" t="n">
        <v>108.73</v>
      </c>
      <c r="R10" t="inlineStr">
        <is>
          <t>TEAM 2</t>
        </is>
      </c>
      <c r="S10" t="inlineStr">
        <is>
          <t>Vendetta</t>
        </is>
      </c>
    </row>
    <row r="11">
      <c r="A11" t="n">
        <v>1</v>
      </c>
      <c r="B11" t="n">
        <v>1</v>
      </c>
      <c r="C11" t="n">
        <v>3</v>
      </c>
      <c r="D11" t="n">
        <v>3</v>
      </c>
      <c r="E11" t="inlineStr">
        <is>
          <t>2026-03-20</t>
        </is>
      </c>
      <c r="F11" t="inlineStr">
        <is>
          <t>Round Robin</t>
        </is>
      </c>
      <c r="G11" t="inlineStr">
        <is>
          <t>ZAN</t>
        </is>
      </c>
      <c r="H11" t="inlineStr">
        <is>
          <t>OSG</t>
        </is>
      </c>
      <c r="I11" t="inlineStr">
        <is>
          <t>Midtown</t>
        </is>
      </c>
      <c r="J11" t="inlineStr">
        <is>
          <t>Hybrid</t>
        </is>
      </c>
      <c r="L11" t="inlineStr">
        <is>
          <t>OSG</t>
        </is>
      </c>
      <c r="M11" t="inlineStr">
        <is>
          <t>Symmetra</t>
        </is>
      </c>
      <c r="N11" t="inlineStr">
        <is>
          <t>Juno</t>
        </is>
      </c>
      <c r="O11">
        <f>TEXT(E11, "yymmdd") &amp; "_" &amp; G11 &amp; "_" &amp; H11 &amp; "_S" &amp; D11</f>
        <v/>
      </c>
      <c r="P11" t="n">
        <v>1</v>
      </c>
      <c r="Q11" t="n">
        <v>2</v>
      </c>
      <c r="R11" t="inlineStr">
        <is>
          <t>TEAM 1</t>
        </is>
      </c>
      <c r="S11" t="inlineStr">
        <is>
          <t>Symmetra</t>
        </is>
      </c>
    </row>
    <row r="12">
      <c r="A12" t="n">
        <v>1</v>
      </c>
      <c r="B12" t="n">
        <v>1</v>
      </c>
      <c r="C12" t="n">
        <v>3</v>
      </c>
      <c r="D12" t="n">
        <v>4</v>
      </c>
      <c r="E12" t="inlineStr">
        <is>
          <t>2026-03-20</t>
        </is>
      </c>
      <c r="F12" t="inlineStr">
        <is>
          <t>Round Robin</t>
        </is>
      </c>
      <c r="G12" t="inlineStr">
        <is>
          <t>ZAN</t>
        </is>
      </c>
      <c r="H12" t="inlineStr">
        <is>
          <t>OSG</t>
        </is>
      </c>
      <c r="I12" t="inlineStr">
        <is>
          <t>Havana</t>
        </is>
      </c>
      <c r="J12" t="inlineStr">
        <is>
          <t>Escort</t>
        </is>
      </c>
      <c r="L12" t="inlineStr">
        <is>
          <t>ZAN</t>
        </is>
      </c>
      <c r="M12" t="inlineStr">
        <is>
          <t>Ana</t>
        </is>
      </c>
      <c r="N12" t="inlineStr">
        <is>
          <t>Orisa</t>
        </is>
      </c>
      <c r="O12">
        <f>TEXT(E12, "yymmdd") &amp; "_" &amp; G12 &amp; "_" &amp; H12 &amp; "_S" &amp; D12</f>
        <v/>
      </c>
      <c r="P12" t="n">
        <v>3</v>
      </c>
      <c r="Q12" t="n">
        <v>2</v>
      </c>
      <c r="R12" t="inlineStr">
        <is>
          <t>TEAM 1</t>
        </is>
      </c>
      <c r="S12" t="inlineStr">
        <is>
          <t>Ana</t>
        </is>
      </c>
    </row>
    <row r="13">
      <c r="A13" t="n">
        <v>1</v>
      </c>
      <c r="B13" t="n">
        <v>1</v>
      </c>
      <c r="C13" t="n">
        <v>3</v>
      </c>
      <c r="D13" t="n">
        <v>5</v>
      </c>
      <c r="E13" t="inlineStr">
        <is>
          <t>2026-03-20</t>
        </is>
      </c>
      <c r="F13" t="inlineStr">
        <is>
          <t>Round Robin</t>
        </is>
      </c>
      <c r="G13" t="inlineStr">
        <is>
          <t>ZAN</t>
        </is>
      </c>
      <c r="H13" t="inlineStr">
        <is>
          <t>OSG</t>
        </is>
      </c>
      <c r="I13" t="inlineStr">
        <is>
          <t>Aatlis</t>
        </is>
      </c>
      <c r="J13" t="inlineStr">
        <is>
          <t>Flashpoint</t>
        </is>
      </c>
      <c r="L13" t="inlineStr">
        <is>
          <t>OSG</t>
        </is>
      </c>
      <c r="M13" t="inlineStr">
        <is>
          <t>D.Va</t>
        </is>
      </c>
      <c r="N13" t="inlineStr">
        <is>
          <t>Mei</t>
        </is>
      </c>
      <c r="O13">
        <f>TEXT(E13, "yymmdd") &amp; "_" &amp; G13 &amp; "_" &amp; H13 &amp; "_S" &amp; D13</f>
        <v/>
      </c>
      <c r="P13" t="n">
        <v>0</v>
      </c>
      <c r="Q13" t="n">
        <v>3</v>
      </c>
      <c r="R13" t="inlineStr">
        <is>
          <t>TEAM 2</t>
        </is>
      </c>
      <c r="S13" t="inlineStr">
        <is>
          <t>Mei</t>
        </is>
      </c>
    </row>
    <row r="14">
      <c r="A14" t="n">
        <v>1</v>
      </c>
      <c r="B14" t="n">
        <v>1</v>
      </c>
      <c r="C14" t="n">
        <v>4</v>
      </c>
      <c r="D14" t="n">
        <v>1</v>
      </c>
      <c r="E14" t="inlineStr">
        <is>
          <t>2026-03-21</t>
        </is>
      </c>
      <c r="F14" t="inlineStr">
        <is>
          <t>Round Robin</t>
        </is>
      </c>
      <c r="G14" t="inlineStr">
        <is>
          <t>ERA</t>
        </is>
      </c>
      <c r="H14" t="inlineStr">
        <is>
          <t>T1</t>
        </is>
      </c>
      <c r="I14" t="inlineStr">
        <is>
          <t>Lijiang Tower</t>
        </is>
      </c>
      <c r="J14" t="inlineStr">
        <is>
          <t>Control</t>
        </is>
      </c>
      <c r="L14" t="inlineStr">
        <is>
          <t>T1</t>
        </is>
      </c>
      <c r="M14" t="inlineStr">
        <is>
          <t>D.Va</t>
        </is>
      </c>
      <c r="N14" t="inlineStr">
        <is>
          <t>Brigitte</t>
        </is>
      </c>
      <c r="O14">
        <f>TEXT(E14, "yymmdd") &amp; "_" &amp; G14 &amp; "_" &amp; H14 &amp; "_S" &amp; D14</f>
        <v/>
      </c>
      <c r="P14" t="n">
        <v>0</v>
      </c>
      <c r="Q14" t="n">
        <v>2</v>
      </c>
      <c r="R14" t="inlineStr">
        <is>
          <t>TEAM 2</t>
        </is>
      </c>
      <c r="S14" t="inlineStr">
        <is>
          <t>Brigitte</t>
        </is>
      </c>
    </row>
    <row r="15">
      <c r="A15" t="n">
        <v>1</v>
      </c>
      <c r="B15" t="n">
        <v>1</v>
      </c>
      <c r="C15" t="n">
        <v>4</v>
      </c>
      <c r="D15" t="n">
        <v>2</v>
      </c>
      <c r="E15" t="inlineStr">
        <is>
          <t>2026-03-21</t>
        </is>
      </c>
      <c r="F15" t="inlineStr">
        <is>
          <t>Round Robin</t>
        </is>
      </c>
      <c r="G15" t="inlineStr">
        <is>
          <t>ERA</t>
        </is>
      </c>
      <c r="H15" t="inlineStr">
        <is>
          <t>T1</t>
        </is>
      </c>
      <c r="I15" t="inlineStr">
        <is>
          <t>Blizzard World</t>
        </is>
      </c>
      <c r="J15" t="inlineStr">
        <is>
          <t>Hybrid</t>
        </is>
      </c>
      <c r="L15" t="inlineStr">
        <is>
          <t>T1</t>
        </is>
      </c>
      <c r="M15" t="inlineStr">
        <is>
          <t>Kiriko</t>
        </is>
      </c>
      <c r="N15" t="inlineStr">
        <is>
          <t>D.Va</t>
        </is>
      </c>
      <c r="O15">
        <f>TEXT(E15, "yymmdd") &amp; "_" &amp; G15 &amp; "_" &amp; H15 &amp; "_S" &amp; D15</f>
        <v/>
      </c>
      <c r="P15" t="n">
        <v>0</v>
      </c>
      <c r="Q15" t="n">
        <v>3</v>
      </c>
      <c r="R15" t="inlineStr">
        <is>
          <t>TEAM 1</t>
        </is>
      </c>
      <c r="S15" t="inlineStr">
        <is>
          <t>Kiriko</t>
        </is>
      </c>
    </row>
    <row r="16">
      <c r="A16" t="n">
        <v>1</v>
      </c>
      <c r="B16" t="n">
        <v>1</v>
      </c>
      <c r="C16" t="n">
        <v>4</v>
      </c>
      <c r="D16" t="n">
        <v>3</v>
      </c>
      <c r="E16" t="inlineStr">
        <is>
          <t>2026-03-21</t>
        </is>
      </c>
      <c r="F16" t="inlineStr">
        <is>
          <t>Round Robin</t>
        </is>
      </c>
      <c r="G16" t="inlineStr">
        <is>
          <t>ERA</t>
        </is>
      </c>
      <c r="H16" t="inlineStr">
        <is>
          <t>T1</t>
        </is>
      </c>
      <c r="I16" t="inlineStr">
        <is>
          <t>Suravasa</t>
        </is>
      </c>
      <c r="J16" t="inlineStr">
        <is>
          <t>Flashpoint</t>
        </is>
      </c>
      <c r="L16" t="inlineStr">
        <is>
          <t>T1</t>
        </is>
      </c>
      <c r="M16" t="inlineStr">
        <is>
          <t>Symmetra</t>
        </is>
      </c>
      <c r="N16" t="inlineStr">
        <is>
          <t>Mizuki</t>
        </is>
      </c>
      <c r="O16">
        <f>TEXT(E16, "yymmdd") &amp; "_" &amp; G16 &amp; "_" &amp; H16 &amp; "_S" &amp; D16</f>
        <v/>
      </c>
      <c r="P16" t="n">
        <v>0</v>
      </c>
      <c r="Q16" t="n">
        <v>3</v>
      </c>
      <c r="R16" t="inlineStr">
        <is>
          <t>TEAM 1</t>
        </is>
      </c>
      <c r="S16" t="inlineStr">
        <is>
          <t>Symmetra</t>
        </is>
      </c>
    </row>
    <row r="17">
      <c r="A17" t="n">
        <v>1</v>
      </c>
      <c r="B17" t="n">
        <v>1</v>
      </c>
      <c r="C17" t="n">
        <v>5</v>
      </c>
      <c r="D17" t="n">
        <v>1</v>
      </c>
      <c r="E17" t="inlineStr">
        <is>
          <t>2026-03-21</t>
        </is>
      </c>
      <c r="F17" t="inlineStr">
        <is>
          <t>Round Robin</t>
        </is>
      </c>
      <c r="G17" t="inlineStr">
        <is>
          <t>CB</t>
        </is>
      </c>
      <c r="H17" t="inlineStr">
        <is>
          <t>FLC</t>
        </is>
      </c>
      <c r="I17" t="inlineStr">
        <is>
          <t>Oasis</t>
        </is>
      </c>
      <c r="J17" t="inlineStr">
        <is>
          <t>Control</t>
        </is>
      </c>
      <c r="L17" t="inlineStr">
        <is>
          <t>FLC</t>
        </is>
      </c>
      <c r="M17" t="inlineStr">
        <is>
          <t>Symmetra</t>
        </is>
      </c>
      <c r="N17" t="inlineStr">
        <is>
          <t>Illari</t>
        </is>
      </c>
      <c r="O17">
        <f>TEXT(E17, "yymmdd") &amp; "_" &amp; G17 &amp; "_" &amp; H17 &amp; "_S" &amp; D17</f>
        <v/>
      </c>
      <c r="P17" t="n">
        <v>0</v>
      </c>
      <c r="Q17" t="n">
        <v>2</v>
      </c>
      <c r="R17" t="inlineStr">
        <is>
          <t>TEAM 1</t>
        </is>
      </c>
      <c r="S17" t="inlineStr">
        <is>
          <t>Symmetra</t>
        </is>
      </c>
    </row>
    <row r="18">
      <c r="A18" t="n">
        <v>1</v>
      </c>
      <c r="B18" t="n">
        <v>1</v>
      </c>
      <c r="C18" t="n">
        <v>5</v>
      </c>
      <c r="D18" t="n">
        <v>2</v>
      </c>
      <c r="E18" t="inlineStr">
        <is>
          <t>2026-03-21</t>
        </is>
      </c>
      <c r="F18" t="inlineStr">
        <is>
          <t>Round Robin</t>
        </is>
      </c>
      <c r="G18" t="inlineStr">
        <is>
          <t>CB</t>
        </is>
      </c>
      <c r="H18" t="inlineStr">
        <is>
          <t>FLC</t>
        </is>
      </c>
      <c r="I18" t="inlineStr">
        <is>
          <t>Watchpoint: Gibraltar</t>
        </is>
      </c>
      <c r="J18" t="inlineStr">
        <is>
          <t>Escort</t>
        </is>
      </c>
      <c r="L18" t="inlineStr">
        <is>
          <t>FLC</t>
        </is>
      </c>
      <c r="M18" t="inlineStr">
        <is>
          <t>D.Va</t>
        </is>
      </c>
      <c r="N18" t="inlineStr">
        <is>
          <t>Wuyang</t>
        </is>
      </c>
      <c r="O18">
        <f>TEXT(E18, "yymmdd") &amp; "_" &amp; G18 &amp; "_" &amp; H18 &amp; "_S" &amp; D18</f>
        <v/>
      </c>
      <c r="P18" t="n">
        <v>0</v>
      </c>
      <c r="Q18" t="n">
        <v>3</v>
      </c>
      <c r="R18" t="inlineStr">
        <is>
          <t>TEAM 1</t>
        </is>
      </c>
      <c r="S18" t="inlineStr">
        <is>
          <t>D.Va</t>
        </is>
      </c>
    </row>
    <row r="19">
      <c r="A19" t="n">
        <v>1</v>
      </c>
      <c r="B19" t="n">
        <v>1</v>
      </c>
      <c r="C19" t="n">
        <v>5</v>
      </c>
      <c r="D19" t="n">
        <v>3</v>
      </c>
      <c r="E19" t="inlineStr">
        <is>
          <t>2026-03-21</t>
        </is>
      </c>
      <c r="F19" t="inlineStr">
        <is>
          <t>Round Robin</t>
        </is>
      </c>
      <c r="G19" t="inlineStr">
        <is>
          <t>CB</t>
        </is>
      </c>
      <c r="H19" t="inlineStr">
        <is>
          <t>FLC</t>
        </is>
      </c>
      <c r="I19" t="inlineStr">
        <is>
          <t>Suravasa</t>
        </is>
      </c>
      <c r="J19" t="inlineStr">
        <is>
          <t>Flashpoint</t>
        </is>
      </c>
      <c r="L19" t="inlineStr">
        <is>
          <t>FLC</t>
        </is>
      </c>
      <c r="M19" t="inlineStr">
        <is>
          <t>Zarya</t>
        </is>
      </c>
      <c r="N19" t="inlineStr">
        <is>
          <t>Baptiste</t>
        </is>
      </c>
      <c r="O19">
        <f>TEXT(E19, "yymmdd") &amp; "_" &amp; G19 &amp; "_" &amp; H19 &amp; "_S" &amp; D19</f>
        <v/>
      </c>
      <c r="P19" t="n">
        <v>0</v>
      </c>
      <c r="Q19" t="n">
        <v>3</v>
      </c>
      <c r="R19" t="inlineStr">
        <is>
          <t>TEAM 2</t>
        </is>
      </c>
      <c r="S19" t="inlineStr">
        <is>
          <t>Baptiste</t>
        </is>
      </c>
    </row>
    <row r="20">
      <c r="A20" t="n">
        <v>1</v>
      </c>
      <c r="B20" t="n">
        <v>1</v>
      </c>
      <c r="C20" t="n">
        <v>6</v>
      </c>
      <c r="D20" t="n">
        <v>1</v>
      </c>
      <c r="E20" t="inlineStr">
        <is>
          <t>2026-03-21</t>
        </is>
      </c>
      <c r="F20" t="inlineStr">
        <is>
          <t>Round Robin</t>
        </is>
      </c>
      <c r="G20" t="inlineStr">
        <is>
          <t>ZAN</t>
        </is>
      </c>
      <c r="H20" t="inlineStr">
        <is>
          <t>CR</t>
        </is>
      </c>
      <c r="I20" t="inlineStr">
        <is>
          <t>Lijiang Tower</t>
        </is>
      </c>
      <c r="J20" t="inlineStr">
        <is>
          <t>Control</t>
        </is>
      </c>
      <c r="L20" t="inlineStr">
        <is>
          <t>CR</t>
        </is>
      </c>
      <c r="M20" t="inlineStr">
        <is>
          <t>Wuyang</t>
        </is>
      </c>
      <c r="N20" t="inlineStr">
        <is>
          <t>Emre</t>
        </is>
      </c>
      <c r="O20">
        <f>TEXT(E20, "yymmdd") &amp; "_" &amp; G20 &amp; "_" &amp; H20 &amp; "_S" &amp; D20</f>
        <v/>
      </c>
      <c r="P20" t="n">
        <v>1</v>
      </c>
      <c r="Q20" t="n">
        <v>2</v>
      </c>
      <c r="R20" t="inlineStr">
        <is>
          <t>TEAM 2</t>
        </is>
      </c>
      <c r="S20" t="inlineStr">
        <is>
          <t>Emre</t>
        </is>
      </c>
    </row>
    <row r="21">
      <c r="A21" t="n">
        <v>1</v>
      </c>
      <c r="B21" t="n">
        <v>1</v>
      </c>
      <c r="C21" t="n">
        <v>6</v>
      </c>
      <c r="D21" t="n">
        <v>2</v>
      </c>
      <c r="E21" t="inlineStr">
        <is>
          <t>2026-03-21</t>
        </is>
      </c>
      <c r="F21" t="inlineStr">
        <is>
          <t>Round Robin</t>
        </is>
      </c>
      <c r="G21" t="inlineStr">
        <is>
          <t>ZAN</t>
        </is>
      </c>
      <c r="H21" t="inlineStr">
        <is>
          <t>CR</t>
        </is>
      </c>
      <c r="I21" t="inlineStr">
        <is>
          <t>Havana</t>
        </is>
      </c>
      <c r="J21" t="inlineStr">
        <is>
          <t>Escort</t>
        </is>
      </c>
      <c r="L21" t="inlineStr">
        <is>
          <t>CR</t>
        </is>
      </c>
      <c r="M21" t="inlineStr">
        <is>
          <t>Sigma</t>
        </is>
      </c>
      <c r="N21" t="inlineStr">
        <is>
          <t>Vendetta</t>
        </is>
      </c>
      <c r="O21">
        <f>TEXT(E21, "yymmdd") &amp; "_" &amp; G21 &amp; "_" &amp; H21 &amp; "_S" &amp; D21</f>
        <v/>
      </c>
      <c r="P21" t="n">
        <v>1</v>
      </c>
      <c r="Q21" t="n">
        <v>3</v>
      </c>
      <c r="R21" t="inlineStr">
        <is>
          <t>TEAM 1</t>
        </is>
      </c>
      <c r="S21" t="inlineStr">
        <is>
          <t>Sigma</t>
        </is>
      </c>
    </row>
    <row r="22">
      <c r="A22" t="n">
        <v>1</v>
      </c>
      <c r="B22" t="n">
        <v>1</v>
      </c>
      <c r="C22" t="n">
        <v>6</v>
      </c>
      <c r="D22" t="n">
        <v>3</v>
      </c>
      <c r="E22" t="inlineStr">
        <is>
          <t>2026-03-21</t>
        </is>
      </c>
      <c r="F22" t="inlineStr">
        <is>
          <t>Round Robin</t>
        </is>
      </c>
      <c r="G22" t="inlineStr">
        <is>
          <t>ZAN</t>
        </is>
      </c>
      <c r="H22" t="inlineStr">
        <is>
          <t>CR</t>
        </is>
      </c>
      <c r="I22" t="inlineStr">
        <is>
          <t>Esperança</t>
        </is>
      </c>
      <c r="J22" t="inlineStr">
        <is>
          <t>Push</t>
        </is>
      </c>
      <c r="L22" t="inlineStr">
        <is>
          <t>ZAN</t>
        </is>
      </c>
      <c r="M22" t="inlineStr">
        <is>
          <t>Zarya</t>
        </is>
      </c>
      <c r="N22" t="inlineStr">
        <is>
          <t>Brigitte</t>
        </is>
      </c>
      <c r="O22">
        <f>TEXT(E22, "yymmdd") &amp; "_" &amp; G22 &amp; "_" &amp; H22 &amp; "_S" &amp; D22</f>
        <v/>
      </c>
      <c r="P22" t="n">
        <v>129.75</v>
      </c>
      <c r="Q22" t="n">
        <v>60.23</v>
      </c>
      <c r="R22" t="inlineStr">
        <is>
          <t>TEAM 1</t>
        </is>
      </c>
      <c r="S22" t="inlineStr">
        <is>
          <t>Zarya</t>
        </is>
      </c>
    </row>
    <row r="23">
      <c r="A23" t="n">
        <v>1</v>
      </c>
      <c r="B23" t="n">
        <v>1</v>
      </c>
      <c r="C23" t="n">
        <v>6</v>
      </c>
      <c r="D23" t="n">
        <v>4</v>
      </c>
      <c r="E23" t="inlineStr">
        <is>
          <t>2026-03-21</t>
        </is>
      </c>
      <c r="F23" t="inlineStr">
        <is>
          <t>Round Robin</t>
        </is>
      </c>
      <c r="G23" t="inlineStr">
        <is>
          <t>ZAN</t>
        </is>
      </c>
      <c r="H23" t="inlineStr">
        <is>
          <t>CR</t>
        </is>
      </c>
      <c r="I23" t="inlineStr">
        <is>
          <t>Midtown</t>
        </is>
      </c>
      <c r="J23" t="inlineStr">
        <is>
          <t>Hybrid</t>
        </is>
      </c>
      <c r="L23" t="inlineStr">
        <is>
          <t>CR</t>
        </is>
      </c>
      <c r="M23" t="inlineStr">
        <is>
          <t>D.Va</t>
        </is>
      </c>
      <c r="N23" t="inlineStr">
        <is>
          <t>Sojourn</t>
        </is>
      </c>
      <c r="O23">
        <f>TEXT(E23, "yymmdd") &amp; "_" &amp; G23 &amp; "_" &amp; H23 &amp; "_S" &amp; D23</f>
        <v/>
      </c>
      <c r="P23" t="n">
        <v>1</v>
      </c>
      <c r="Q23" t="n">
        <v>3</v>
      </c>
      <c r="R23" t="inlineStr">
        <is>
          <t>TEAM 2</t>
        </is>
      </c>
      <c r="S23" t="inlineStr">
        <is>
          <t>Sojourn</t>
        </is>
      </c>
    </row>
    <row r="24">
      <c r="A24" t="n">
        <v>1</v>
      </c>
      <c r="B24" t="n">
        <v>1</v>
      </c>
      <c r="C24" t="n">
        <v>7</v>
      </c>
      <c r="D24" t="n">
        <v>1</v>
      </c>
      <c r="E24" t="inlineStr">
        <is>
          <t>2026-03-22</t>
        </is>
      </c>
      <c r="F24" t="inlineStr">
        <is>
          <t>Round Robin</t>
        </is>
      </c>
      <c r="G24" t="inlineStr">
        <is>
          <t>PF</t>
        </is>
      </c>
      <c r="H24" t="inlineStr">
        <is>
          <t>ERA</t>
        </is>
      </c>
      <c r="I24" t="inlineStr">
        <is>
          <t>Busan</t>
        </is>
      </c>
      <c r="J24" t="inlineStr">
        <is>
          <t>Control</t>
        </is>
      </c>
      <c r="L24" t="inlineStr">
        <is>
          <t>PF</t>
        </is>
      </c>
      <c r="M24" t="inlineStr">
        <is>
          <t>Orisa</t>
        </is>
      </c>
      <c r="N24" t="inlineStr">
        <is>
          <t>Lucio</t>
        </is>
      </c>
      <c r="O24">
        <f>TEXT(E24, "yymmdd") &amp; "_" &amp; G24 &amp; "_" &amp; H24 &amp; "_S" &amp; D24</f>
        <v/>
      </c>
      <c r="P24" t="n">
        <v>2</v>
      </c>
      <c r="Q24" t="n">
        <v>0</v>
      </c>
      <c r="R24" t="inlineStr">
        <is>
          <t>TEAM 2</t>
        </is>
      </c>
      <c r="S24" t="inlineStr">
        <is>
          <t>Lucio</t>
        </is>
      </c>
    </row>
    <row r="25">
      <c r="A25" t="n">
        <v>1</v>
      </c>
      <c r="B25" t="n">
        <v>1</v>
      </c>
      <c r="C25" t="n">
        <v>7</v>
      </c>
      <c r="D25" t="n">
        <v>2</v>
      </c>
      <c r="E25" t="inlineStr">
        <is>
          <t>2026-03-22</t>
        </is>
      </c>
      <c r="F25" t="inlineStr">
        <is>
          <t>Round Robin</t>
        </is>
      </c>
      <c r="G25" t="inlineStr">
        <is>
          <t>PF</t>
        </is>
      </c>
      <c r="H25" t="inlineStr">
        <is>
          <t>ERA</t>
        </is>
      </c>
      <c r="I25" t="inlineStr">
        <is>
          <t>Rialto</t>
        </is>
      </c>
      <c r="J25" t="inlineStr">
        <is>
          <t>Escort</t>
        </is>
      </c>
      <c r="L25" t="inlineStr">
        <is>
          <t>PF</t>
        </is>
      </c>
      <c r="M25" t="inlineStr">
        <is>
          <t>Vendetta</t>
        </is>
      </c>
      <c r="N25" t="inlineStr">
        <is>
          <t>Wuyang</t>
        </is>
      </c>
      <c r="O25">
        <f>TEXT(E25, "yymmdd") &amp; "_" &amp; G25 &amp; "_" &amp; H25 &amp; "_S" &amp; D25</f>
        <v/>
      </c>
      <c r="P25" t="n">
        <v>3</v>
      </c>
      <c r="Q25" t="n">
        <v>0</v>
      </c>
      <c r="R25" t="inlineStr">
        <is>
          <t>TEAM 2</t>
        </is>
      </c>
      <c r="S25" t="inlineStr">
        <is>
          <t>Wuyang</t>
        </is>
      </c>
    </row>
    <row r="26">
      <c r="A26" t="n">
        <v>1</v>
      </c>
      <c r="B26" t="n">
        <v>1</v>
      </c>
      <c r="C26" t="n">
        <v>7</v>
      </c>
      <c r="D26" t="n">
        <v>3</v>
      </c>
      <c r="E26" t="inlineStr">
        <is>
          <t>2026-03-22</t>
        </is>
      </c>
      <c r="F26" t="inlineStr">
        <is>
          <t>Round Robin</t>
        </is>
      </c>
      <c r="G26" t="inlineStr">
        <is>
          <t>PF</t>
        </is>
      </c>
      <c r="H26" t="inlineStr">
        <is>
          <t>ERA</t>
        </is>
      </c>
      <c r="I26" t="inlineStr">
        <is>
          <t>Midtown</t>
        </is>
      </c>
      <c r="J26" t="inlineStr">
        <is>
          <t>Hybrid</t>
        </is>
      </c>
      <c r="L26" t="inlineStr">
        <is>
          <t>PF</t>
        </is>
      </c>
      <c r="M26" t="inlineStr">
        <is>
          <t>Cassidy</t>
        </is>
      </c>
      <c r="N26" t="inlineStr">
        <is>
          <t>Kiriko</t>
        </is>
      </c>
      <c r="O26">
        <f>TEXT(E26, "yymmdd") &amp; "_" &amp; G26 &amp; "_" &amp; H26 &amp; "_S" &amp; D26</f>
        <v/>
      </c>
      <c r="P26" t="n">
        <v>3</v>
      </c>
      <c r="Q26" t="n">
        <v>0</v>
      </c>
      <c r="R26" t="inlineStr">
        <is>
          <t>TEAM 2</t>
        </is>
      </c>
      <c r="S26" t="inlineStr">
        <is>
          <t>Kiriko</t>
        </is>
      </c>
    </row>
    <row r="27">
      <c r="A27" t="n">
        <v>1</v>
      </c>
      <c r="B27" t="n">
        <v>1</v>
      </c>
      <c r="C27" t="n">
        <v>8</v>
      </c>
      <c r="D27" t="n">
        <v>1</v>
      </c>
      <c r="E27" t="inlineStr">
        <is>
          <t>2026-03-22</t>
        </is>
      </c>
      <c r="F27" t="inlineStr">
        <is>
          <t>Round Robin</t>
        </is>
      </c>
      <c r="G27" t="inlineStr">
        <is>
          <t>OSG</t>
        </is>
      </c>
      <c r="H27" t="inlineStr">
        <is>
          <t>T1</t>
        </is>
      </c>
      <c r="I27" t="inlineStr">
        <is>
          <t>Busan</t>
        </is>
      </c>
      <c r="J27" t="inlineStr">
        <is>
          <t>Control</t>
        </is>
      </c>
      <c r="L27" t="inlineStr">
        <is>
          <t>OSG</t>
        </is>
      </c>
      <c r="M27" t="inlineStr">
        <is>
          <t>Cassidy</t>
        </is>
      </c>
      <c r="N27" t="inlineStr">
        <is>
          <t>Zarya</t>
        </is>
      </c>
      <c r="O27">
        <f>TEXT(E27, "yymmdd") &amp; "_" &amp; G27 &amp; "_" &amp; H27 &amp; "_S" &amp; D27</f>
        <v/>
      </c>
      <c r="P27" t="n">
        <v>2</v>
      </c>
      <c r="Q27" t="n">
        <v>0</v>
      </c>
      <c r="R27" t="inlineStr">
        <is>
          <t>TEAM 1</t>
        </is>
      </c>
      <c r="S27" t="inlineStr">
        <is>
          <t>Cassidy</t>
        </is>
      </c>
    </row>
    <row r="28">
      <c r="A28" t="n">
        <v>1</v>
      </c>
      <c r="B28" t="n">
        <v>1</v>
      </c>
      <c r="C28" t="n">
        <v>8</v>
      </c>
      <c r="D28" t="n">
        <v>2</v>
      </c>
      <c r="E28" t="inlineStr">
        <is>
          <t>2026-03-22</t>
        </is>
      </c>
      <c r="F28" t="inlineStr">
        <is>
          <t>Round Robin</t>
        </is>
      </c>
      <c r="G28" t="inlineStr">
        <is>
          <t>OSG</t>
        </is>
      </c>
      <c r="H28" t="inlineStr">
        <is>
          <t>T1</t>
        </is>
      </c>
      <c r="I28" t="inlineStr">
        <is>
          <t>Rialto</t>
        </is>
      </c>
      <c r="J28" t="inlineStr">
        <is>
          <t>Escort</t>
        </is>
      </c>
      <c r="L28" t="inlineStr">
        <is>
          <t>T1</t>
        </is>
      </c>
      <c r="M28" t="inlineStr">
        <is>
          <t>Wuyang</t>
        </is>
      </c>
      <c r="N28" t="inlineStr">
        <is>
          <t>Vendetta</t>
        </is>
      </c>
      <c r="O28">
        <f>TEXT(E28, "yymmdd") &amp; "_" &amp; G28 &amp; "_" &amp; H28 &amp; "_S" &amp; D28</f>
        <v/>
      </c>
      <c r="P28" t="n">
        <v>0</v>
      </c>
      <c r="Q28" t="n">
        <v>1</v>
      </c>
      <c r="R28" t="inlineStr">
        <is>
          <t>TEAM 2</t>
        </is>
      </c>
      <c r="S28" t="inlineStr">
        <is>
          <t>Vendetta</t>
        </is>
      </c>
    </row>
    <row r="29">
      <c r="A29" t="n">
        <v>1</v>
      </c>
      <c r="B29" t="n">
        <v>1</v>
      </c>
      <c r="C29" t="n">
        <v>8</v>
      </c>
      <c r="D29" t="n">
        <v>3</v>
      </c>
      <c r="E29" t="inlineStr">
        <is>
          <t>2026-03-22</t>
        </is>
      </c>
      <c r="F29" t="inlineStr">
        <is>
          <t>Round Robin</t>
        </is>
      </c>
      <c r="G29" t="inlineStr">
        <is>
          <t>OSG</t>
        </is>
      </c>
      <c r="H29" t="inlineStr">
        <is>
          <t>T1</t>
        </is>
      </c>
      <c r="I29" t="inlineStr">
        <is>
          <t>Aatlis</t>
        </is>
      </c>
      <c r="J29" t="inlineStr">
        <is>
          <t>Flashpoint</t>
        </is>
      </c>
      <c r="L29" t="inlineStr">
        <is>
          <t>T1</t>
        </is>
      </c>
      <c r="M29" t="inlineStr">
        <is>
          <t>Sojourn</t>
        </is>
      </c>
      <c r="N29" t="inlineStr">
        <is>
          <t>Mauga</t>
        </is>
      </c>
      <c r="O29">
        <f>TEXT(E29, "yymmdd") &amp; "_" &amp; G29 &amp; "_" &amp; H29 &amp; "_S" &amp; D29</f>
        <v/>
      </c>
      <c r="P29" t="n">
        <v>0</v>
      </c>
      <c r="Q29" t="n">
        <v>3</v>
      </c>
      <c r="R29" t="inlineStr">
        <is>
          <t>TEAM 1</t>
        </is>
      </c>
      <c r="S29" t="inlineStr">
        <is>
          <t>Sojourn</t>
        </is>
      </c>
    </row>
    <row r="30">
      <c r="A30" t="n">
        <v>1</v>
      </c>
      <c r="B30" t="n">
        <v>1</v>
      </c>
      <c r="C30" t="n">
        <v>8</v>
      </c>
      <c r="D30" t="n">
        <v>4</v>
      </c>
      <c r="E30" t="inlineStr">
        <is>
          <t>2026-03-22</t>
        </is>
      </c>
      <c r="F30" t="inlineStr">
        <is>
          <t>Round Robin</t>
        </is>
      </c>
      <c r="G30" t="inlineStr">
        <is>
          <t>OSG</t>
        </is>
      </c>
      <c r="H30" t="inlineStr">
        <is>
          <t>T1</t>
        </is>
      </c>
      <c r="I30" t="inlineStr">
        <is>
          <t>Numbani</t>
        </is>
      </c>
      <c r="J30" t="inlineStr">
        <is>
          <t>Hybrid</t>
        </is>
      </c>
      <c r="L30" t="inlineStr">
        <is>
          <t>OSG</t>
        </is>
      </c>
      <c r="M30" t="inlineStr">
        <is>
          <t>Zarya</t>
        </is>
      </c>
      <c r="N30" t="inlineStr">
        <is>
          <t>Symmetra</t>
        </is>
      </c>
      <c r="O30">
        <f>TEXT(E30, "yymmdd") &amp; "_" &amp; G30 &amp; "_" &amp; H30 &amp; "_S" &amp; D30</f>
        <v/>
      </c>
      <c r="P30" t="n">
        <v>3</v>
      </c>
      <c r="Q30" t="n">
        <v>2</v>
      </c>
      <c r="R30" t="inlineStr">
        <is>
          <t>TEAM 1</t>
        </is>
      </c>
      <c r="S30" t="inlineStr">
        <is>
          <t>Zarya</t>
        </is>
      </c>
    </row>
    <row r="31">
      <c r="A31" t="n">
        <v>1</v>
      </c>
      <c r="B31" t="n">
        <v>1</v>
      </c>
      <c r="C31" t="n">
        <v>8</v>
      </c>
      <c r="D31" t="n">
        <v>5</v>
      </c>
      <c r="E31" t="inlineStr">
        <is>
          <t>2026-03-22</t>
        </is>
      </c>
      <c r="F31" t="inlineStr">
        <is>
          <t>Round Robin</t>
        </is>
      </c>
      <c r="G31" t="inlineStr">
        <is>
          <t>OSG</t>
        </is>
      </c>
      <c r="H31" t="inlineStr">
        <is>
          <t>T1</t>
        </is>
      </c>
      <c r="I31" t="inlineStr">
        <is>
          <t>Runasapi</t>
        </is>
      </c>
      <c r="J31" t="inlineStr">
        <is>
          <t>Push</t>
        </is>
      </c>
      <c r="L31" t="inlineStr">
        <is>
          <t>OSG</t>
        </is>
      </c>
      <c r="M31" t="inlineStr">
        <is>
          <t>Lucio</t>
        </is>
      </c>
      <c r="N31" t="inlineStr">
        <is>
          <t>Emre</t>
        </is>
      </c>
      <c r="O31">
        <f>TEXT(E31, "yymmdd") &amp; "_" &amp; G31 &amp; "_" &amp; H31 &amp; "_S" &amp; D31</f>
        <v/>
      </c>
      <c r="P31" t="n">
        <v>117.63</v>
      </c>
      <c r="Q31" t="n">
        <v>84</v>
      </c>
      <c r="R31" t="inlineStr">
        <is>
          <t>TEAM 2</t>
        </is>
      </c>
      <c r="S31" t="inlineStr">
        <is>
          <t>Emre</t>
        </is>
      </c>
    </row>
    <row r="32">
      <c r="A32" t="n">
        <v>1</v>
      </c>
      <c r="B32" t="n">
        <v>1</v>
      </c>
      <c r="C32" t="n">
        <v>9</v>
      </c>
      <c r="D32" t="n">
        <v>1</v>
      </c>
      <c r="E32" t="inlineStr">
        <is>
          <t>2026-03-22</t>
        </is>
      </c>
      <c r="F32" t="inlineStr">
        <is>
          <t>Round Robin</t>
        </is>
      </c>
      <c r="G32" t="inlineStr">
        <is>
          <t>ZETA</t>
        </is>
      </c>
      <c r="H32" t="inlineStr">
        <is>
          <t>FLC</t>
        </is>
      </c>
      <c r="I32" t="inlineStr">
        <is>
          <t>Lijiang Tower</t>
        </is>
      </c>
      <c r="J32" t="inlineStr">
        <is>
          <t>Control</t>
        </is>
      </c>
      <c r="L32" t="inlineStr">
        <is>
          <t>ZETA</t>
        </is>
      </c>
      <c r="M32" t="inlineStr">
        <is>
          <t>Symmetra</t>
        </is>
      </c>
      <c r="N32" t="inlineStr">
        <is>
          <t>Brigitte</t>
        </is>
      </c>
      <c r="O32">
        <f>TEXT(E32, "yymmdd") &amp; "_" &amp; G32 &amp; "_" &amp; H32 &amp; "_S" &amp; D32</f>
        <v/>
      </c>
      <c r="P32" t="n">
        <v>2</v>
      </c>
      <c r="Q32" t="n">
        <v>1</v>
      </c>
      <c r="R32" t="inlineStr">
        <is>
          <t>TEAM 2</t>
        </is>
      </c>
      <c r="S32" t="inlineStr">
        <is>
          <t>Brigitte</t>
        </is>
      </c>
    </row>
    <row r="33">
      <c r="A33" t="n">
        <v>1</v>
      </c>
      <c r="B33" t="n">
        <v>1</v>
      </c>
      <c r="C33" t="n">
        <v>9</v>
      </c>
      <c r="D33" t="n">
        <v>2</v>
      </c>
      <c r="E33" t="inlineStr">
        <is>
          <t>2026-03-22</t>
        </is>
      </c>
      <c r="F33" t="inlineStr">
        <is>
          <t>Round Robin</t>
        </is>
      </c>
      <c r="G33" t="inlineStr">
        <is>
          <t>ZETA</t>
        </is>
      </c>
      <c r="H33" t="inlineStr">
        <is>
          <t>FLC</t>
        </is>
      </c>
      <c r="I33" t="inlineStr">
        <is>
          <t>Esperança</t>
        </is>
      </c>
      <c r="J33" t="inlineStr">
        <is>
          <t>Push</t>
        </is>
      </c>
      <c r="L33" t="inlineStr">
        <is>
          <t>FLC</t>
        </is>
      </c>
      <c r="M33" t="inlineStr">
        <is>
          <t>Zarya</t>
        </is>
      </c>
      <c r="N33" t="inlineStr">
        <is>
          <t>Baptiste</t>
        </is>
      </c>
      <c r="O33">
        <f>TEXT(E33, "yymmdd") &amp; "_" &amp; G33 &amp; "_" &amp; H33 &amp; "_S" &amp; D33</f>
        <v/>
      </c>
      <c r="P33" t="n">
        <v>63.7</v>
      </c>
      <c r="Q33" t="n">
        <v>110.47</v>
      </c>
      <c r="R33" t="inlineStr">
        <is>
          <t>TEAM 1</t>
        </is>
      </c>
      <c r="S33" t="inlineStr">
        <is>
          <t>Zarya</t>
        </is>
      </c>
    </row>
    <row r="34">
      <c r="A34" t="n">
        <v>1</v>
      </c>
      <c r="B34" t="n">
        <v>1</v>
      </c>
      <c r="C34" t="n">
        <v>9</v>
      </c>
      <c r="D34" t="n">
        <v>3</v>
      </c>
      <c r="E34" t="inlineStr">
        <is>
          <t>2026-03-22</t>
        </is>
      </c>
      <c r="F34" t="inlineStr">
        <is>
          <t>Round Robin</t>
        </is>
      </c>
      <c r="G34" t="inlineStr">
        <is>
          <t>ZETA</t>
        </is>
      </c>
      <c r="H34" t="inlineStr">
        <is>
          <t>FLC</t>
        </is>
      </c>
      <c r="I34" t="inlineStr">
        <is>
          <t>Rialto</t>
        </is>
      </c>
      <c r="J34" t="inlineStr">
        <is>
          <t>Escort</t>
        </is>
      </c>
      <c r="L34" t="inlineStr">
        <is>
          <t>ZETA</t>
        </is>
      </c>
      <c r="M34" t="inlineStr">
        <is>
          <t>D.Va</t>
        </is>
      </c>
      <c r="N34" t="inlineStr">
        <is>
          <t>Ana</t>
        </is>
      </c>
      <c r="O34">
        <f>TEXT(E34, "yymmdd") &amp; "_" &amp; G34 &amp; "_" &amp; H34 &amp; "_S" &amp; D34</f>
        <v/>
      </c>
      <c r="P34" t="n">
        <v>4</v>
      </c>
      <c r="Q34" t="n">
        <v>3</v>
      </c>
      <c r="R34" t="inlineStr">
        <is>
          <t>TEAM 1</t>
        </is>
      </c>
      <c r="S34" t="inlineStr">
        <is>
          <t>D.Va</t>
        </is>
      </c>
    </row>
    <row r="35">
      <c r="A35" t="n">
        <v>1</v>
      </c>
      <c r="B35" t="n">
        <v>1</v>
      </c>
      <c r="C35" t="n">
        <v>9</v>
      </c>
      <c r="D35" t="n">
        <v>4</v>
      </c>
      <c r="E35" t="inlineStr">
        <is>
          <t>2026-03-22</t>
        </is>
      </c>
      <c r="F35" t="inlineStr">
        <is>
          <t>Round Robin</t>
        </is>
      </c>
      <c r="G35" t="inlineStr">
        <is>
          <t>ZETA</t>
        </is>
      </c>
      <c r="H35" t="inlineStr">
        <is>
          <t>FLC</t>
        </is>
      </c>
      <c r="I35" t="inlineStr">
        <is>
          <t>Numbani</t>
        </is>
      </c>
      <c r="J35" t="inlineStr">
        <is>
          <t>Hybrid</t>
        </is>
      </c>
      <c r="L35" t="inlineStr">
        <is>
          <t>FLC</t>
        </is>
      </c>
      <c r="M35" t="inlineStr">
        <is>
          <t>Sojourn</t>
        </is>
      </c>
      <c r="N35" t="inlineStr">
        <is>
          <t>Illari</t>
        </is>
      </c>
      <c r="O35">
        <f>TEXT(E35, "yymmdd") &amp; "_" &amp; G35 &amp; "_" &amp; H35 &amp; "_S" &amp; D35</f>
        <v/>
      </c>
      <c r="P35" t="n">
        <v>2</v>
      </c>
      <c r="Q35" t="n">
        <v>3</v>
      </c>
      <c r="R35" t="inlineStr">
        <is>
          <t>TEAM 2</t>
        </is>
      </c>
      <c r="S35" t="inlineStr">
        <is>
          <t>Illari</t>
        </is>
      </c>
    </row>
    <row r="36">
      <c r="A36" t="n">
        <v>1</v>
      </c>
      <c r="B36" t="n">
        <v>1</v>
      </c>
      <c r="C36" t="n">
        <v>9</v>
      </c>
      <c r="D36" t="n">
        <v>5</v>
      </c>
      <c r="E36" t="inlineStr">
        <is>
          <t>2026-03-22</t>
        </is>
      </c>
      <c r="F36" t="inlineStr">
        <is>
          <t>Round Robin</t>
        </is>
      </c>
      <c r="G36" t="inlineStr">
        <is>
          <t>ZETA</t>
        </is>
      </c>
      <c r="H36" t="inlineStr">
        <is>
          <t>FLC</t>
        </is>
      </c>
      <c r="I36" t="inlineStr">
        <is>
          <t>Blizzard World</t>
        </is>
      </c>
      <c r="J36" t="inlineStr">
        <is>
          <t>Hybrid</t>
        </is>
      </c>
      <c r="L36" t="inlineStr">
        <is>
          <t>ZETA</t>
        </is>
      </c>
      <c r="M36" t="inlineStr">
        <is>
          <t>Kiriko</t>
        </is>
      </c>
      <c r="N36" t="inlineStr">
        <is>
          <t>Vendetta</t>
        </is>
      </c>
      <c r="O36">
        <f>TEXT(E36, "yymmdd") &amp; "_" &amp; G36 &amp; "_" &amp; H36 &amp; "_S" &amp; D36</f>
        <v/>
      </c>
      <c r="P36" t="n">
        <v>3</v>
      </c>
      <c r="Q36" t="n">
        <v>0</v>
      </c>
      <c r="R36" t="inlineStr">
        <is>
          <t>TEAM 1</t>
        </is>
      </c>
      <c r="S36" t="inlineStr">
        <is>
          <t>Kiriko</t>
        </is>
      </c>
    </row>
    <row r="37">
      <c r="A37" t="n">
        <v>2</v>
      </c>
      <c r="B37" t="n">
        <v>1</v>
      </c>
      <c r="C37" t="n">
        <v>1</v>
      </c>
      <c r="D37" t="n">
        <v>1</v>
      </c>
      <c r="E37" t="inlineStr">
        <is>
          <t>2026-04-03</t>
        </is>
      </c>
      <c r="F37" t="inlineStr">
        <is>
          <t>Round Robin</t>
        </is>
      </c>
      <c r="G37" t="inlineStr">
        <is>
          <t>CB</t>
        </is>
      </c>
      <c r="H37" t="inlineStr">
        <is>
          <t>ZAN</t>
        </is>
      </c>
      <c r="I37" t="inlineStr">
        <is>
          <t>Oasis</t>
        </is>
      </c>
      <c r="J37" t="inlineStr">
        <is>
          <t>Control</t>
        </is>
      </c>
      <c r="L37" t="inlineStr">
        <is>
          <t>ZAN</t>
        </is>
      </c>
      <c r="M37" t="inlineStr">
        <is>
          <t>Vendetta</t>
        </is>
      </c>
      <c r="N37" t="inlineStr">
        <is>
          <t>Orisa</t>
        </is>
      </c>
      <c r="O37">
        <f>TEXT(E37, "yymmdd") &amp; "_" &amp; G37 &amp; "_" &amp; H37 &amp; "_S" &amp; D37</f>
        <v/>
      </c>
      <c r="P37" t="n">
        <v>0</v>
      </c>
      <c r="Q37" t="n">
        <v>2</v>
      </c>
      <c r="R37" t="inlineStr">
        <is>
          <t>TEAM 2</t>
        </is>
      </c>
      <c r="S37" t="inlineStr">
        <is>
          <t>Orisa</t>
        </is>
      </c>
    </row>
    <row r="38">
      <c r="A38" t="n">
        <v>2</v>
      </c>
      <c r="B38" t="n">
        <v>1</v>
      </c>
      <c r="C38" t="n">
        <v>1</v>
      </c>
      <c r="D38" t="n">
        <v>2</v>
      </c>
      <c r="E38" t="inlineStr">
        <is>
          <t>2026-04-03</t>
        </is>
      </c>
      <c r="F38" t="inlineStr">
        <is>
          <t>Round Robin</t>
        </is>
      </c>
      <c r="G38" t="inlineStr">
        <is>
          <t>CB</t>
        </is>
      </c>
      <c r="H38" t="inlineStr">
        <is>
          <t>ZAN</t>
        </is>
      </c>
      <c r="I38" t="inlineStr">
        <is>
          <t>Watchpoint: Gibraltar</t>
        </is>
      </c>
      <c r="J38" t="inlineStr">
        <is>
          <t>Escort</t>
        </is>
      </c>
      <c r="L38" t="inlineStr">
        <is>
          <t>ZAN</t>
        </is>
      </c>
      <c r="M38" t="inlineStr">
        <is>
          <t>Hazard</t>
        </is>
      </c>
      <c r="N38" t="inlineStr">
        <is>
          <t>Ana</t>
        </is>
      </c>
      <c r="O38">
        <f>TEXT(E38, "yymmdd") &amp; "_" &amp; G38 &amp; "_" &amp; H38 &amp; "_S" &amp; D38</f>
        <v/>
      </c>
      <c r="P38" t="n">
        <v>1</v>
      </c>
      <c r="Q38" t="n">
        <v>2</v>
      </c>
      <c r="R38" t="inlineStr">
        <is>
          <t>TEAM 1</t>
        </is>
      </c>
      <c r="S38" t="inlineStr">
        <is>
          <t>Hazard</t>
        </is>
      </c>
    </row>
    <row r="39">
      <c r="A39" t="n">
        <v>2</v>
      </c>
      <c r="B39" t="n">
        <v>1</v>
      </c>
      <c r="C39" t="n">
        <v>1</v>
      </c>
      <c r="D39" t="n">
        <v>3</v>
      </c>
      <c r="E39" t="inlineStr">
        <is>
          <t>2026-04-03</t>
        </is>
      </c>
      <c r="F39" t="inlineStr">
        <is>
          <t>Round Robin</t>
        </is>
      </c>
      <c r="G39" t="inlineStr">
        <is>
          <t>CB</t>
        </is>
      </c>
      <c r="H39" t="inlineStr">
        <is>
          <t>ZAN</t>
        </is>
      </c>
      <c r="I39" t="inlineStr">
        <is>
          <t>Aatlis</t>
        </is>
      </c>
      <c r="J39" t="inlineStr">
        <is>
          <t>Flashpoint</t>
        </is>
      </c>
      <c r="L39" t="inlineStr">
        <is>
          <t>ZAN</t>
        </is>
      </c>
      <c r="M39" t="inlineStr">
        <is>
          <t>Mauga</t>
        </is>
      </c>
      <c r="N39" t="inlineStr">
        <is>
          <t>Emre</t>
        </is>
      </c>
      <c r="O39">
        <f>TEXT(E39, "yymmdd") &amp; "_" &amp; G39 &amp; "_" &amp; H39 &amp; "_S" &amp; D39</f>
        <v/>
      </c>
      <c r="P39" t="n">
        <v>0</v>
      </c>
      <c r="Q39" t="n">
        <v>3</v>
      </c>
      <c r="R39" t="inlineStr">
        <is>
          <t>TEAM 1</t>
        </is>
      </c>
      <c r="S39" t="inlineStr">
        <is>
          <t>Mauga</t>
        </is>
      </c>
    </row>
    <row r="40">
      <c r="A40" t="n">
        <v>2</v>
      </c>
      <c r="B40" t="n">
        <v>1</v>
      </c>
      <c r="C40" t="n">
        <v>2</v>
      </c>
      <c r="D40" t="n">
        <v>1</v>
      </c>
      <c r="E40" t="inlineStr">
        <is>
          <t>2026-04-03</t>
        </is>
      </c>
      <c r="F40" t="inlineStr">
        <is>
          <t>Round Robin</t>
        </is>
      </c>
      <c r="G40" t="inlineStr">
        <is>
          <t>PF</t>
        </is>
      </c>
      <c r="H40" t="inlineStr">
        <is>
          <t>ZETA</t>
        </is>
      </c>
      <c r="I40" t="inlineStr">
        <is>
          <t>Lijiang Tower</t>
        </is>
      </c>
      <c r="J40" t="inlineStr">
        <is>
          <t>Control</t>
        </is>
      </c>
      <c r="L40" t="inlineStr">
        <is>
          <t>ZETA</t>
        </is>
      </c>
      <c r="M40" t="inlineStr">
        <is>
          <t>Emre</t>
        </is>
      </c>
      <c r="N40" t="inlineStr">
        <is>
          <t>Hazard</t>
        </is>
      </c>
      <c r="O40">
        <f>TEXT(E40, "yymmdd") &amp; "_" &amp; G40 &amp; "_" &amp; H40 &amp; "_S" &amp; D40</f>
        <v/>
      </c>
      <c r="P40" t="n">
        <v>0</v>
      </c>
      <c r="Q40" t="n">
        <v>2</v>
      </c>
      <c r="R40" t="inlineStr">
        <is>
          <t>TEAM 2</t>
        </is>
      </c>
      <c r="S40" t="inlineStr">
        <is>
          <t>Hazard</t>
        </is>
      </c>
    </row>
    <row r="41">
      <c r="A41" t="n">
        <v>2</v>
      </c>
      <c r="B41" t="n">
        <v>1</v>
      </c>
      <c r="C41" t="n">
        <v>2</v>
      </c>
      <c r="D41" t="n">
        <v>2</v>
      </c>
      <c r="E41" t="inlineStr">
        <is>
          <t>2026-04-03</t>
        </is>
      </c>
      <c r="F41" t="inlineStr">
        <is>
          <t>Round Robin</t>
        </is>
      </c>
      <c r="G41" t="inlineStr">
        <is>
          <t>PF</t>
        </is>
      </c>
      <c r="H41" t="inlineStr">
        <is>
          <t>ZETA</t>
        </is>
      </c>
      <c r="I41" t="inlineStr">
        <is>
          <t>Esperança</t>
        </is>
      </c>
      <c r="J41" t="inlineStr">
        <is>
          <t>Push</t>
        </is>
      </c>
      <c r="L41" t="inlineStr">
        <is>
          <t>ZETA</t>
        </is>
      </c>
      <c r="M41" t="inlineStr">
        <is>
          <t>Ana</t>
        </is>
      </c>
      <c r="N41" t="inlineStr">
        <is>
          <t>D.Va</t>
        </is>
      </c>
      <c r="O41">
        <f>TEXT(E41, "yymmdd") &amp; "_" &amp; G41 &amp; "_" &amp; H41 &amp; "_S" &amp; D41</f>
        <v/>
      </c>
      <c r="P41" t="n">
        <v>21.99</v>
      </c>
      <c r="Q41" t="n">
        <v>142.41</v>
      </c>
      <c r="R41" t="inlineStr">
        <is>
          <t>TEAM 1</t>
        </is>
      </c>
      <c r="S41" t="inlineStr">
        <is>
          <t>Ana</t>
        </is>
      </c>
    </row>
    <row r="42">
      <c r="A42" t="n">
        <v>2</v>
      </c>
      <c r="B42" t="n">
        <v>1</v>
      </c>
      <c r="C42" t="n">
        <v>2</v>
      </c>
      <c r="D42" t="n">
        <v>3</v>
      </c>
      <c r="E42" t="inlineStr">
        <is>
          <t>2026-04-03</t>
        </is>
      </c>
      <c r="F42" t="inlineStr">
        <is>
          <t>Round Robin</t>
        </is>
      </c>
      <c r="G42" t="inlineStr">
        <is>
          <t>PF</t>
        </is>
      </c>
      <c r="H42" t="inlineStr">
        <is>
          <t>ZETA</t>
        </is>
      </c>
      <c r="I42" t="inlineStr">
        <is>
          <t>Rialto</t>
        </is>
      </c>
      <c r="J42" t="inlineStr">
        <is>
          <t>Escort</t>
        </is>
      </c>
      <c r="L42" t="inlineStr">
        <is>
          <t>ZETA</t>
        </is>
      </c>
      <c r="M42" t="inlineStr">
        <is>
          <t>Illari</t>
        </is>
      </c>
      <c r="N42" t="inlineStr">
        <is>
          <t>Zarya</t>
        </is>
      </c>
      <c r="O42">
        <f>TEXT(E42, "yymmdd") &amp; "_" &amp; G42 &amp; "_" &amp; H42 &amp; "_S" &amp; D42</f>
        <v/>
      </c>
      <c r="P42" t="n">
        <v>0</v>
      </c>
      <c r="Q42" t="n">
        <v>3</v>
      </c>
      <c r="R42" t="inlineStr">
        <is>
          <t>TEAM 1</t>
        </is>
      </c>
      <c r="S42" t="inlineStr">
        <is>
          <t>Illari</t>
        </is>
      </c>
    </row>
    <row r="43">
      <c r="A43" t="n">
        <v>2</v>
      </c>
      <c r="B43" t="n">
        <v>1</v>
      </c>
      <c r="C43" t="n">
        <v>3</v>
      </c>
      <c r="D43" t="n">
        <v>1</v>
      </c>
      <c r="E43" t="inlineStr">
        <is>
          <t>2026-04-03</t>
        </is>
      </c>
      <c r="F43" t="inlineStr">
        <is>
          <t>Round Robin</t>
        </is>
      </c>
      <c r="G43" t="inlineStr">
        <is>
          <t>CR</t>
        </is>
      </c>
      <c r="H43" t="inlineStr">
        <is>
          <t>OSG</t>
        </is>
      </c>
      <c r="I43" t="inlineStr">
        <is>
          <t>Busan</t>
        </is>
      </c>
      <c r="J43" t="inlineStr">
        <is>
          <t>Control</t>
        </is>
      </c>
      <c r="L43" t="inlineStr">
        <is>
          <t>OSG</t>
        </is>
      </c>
      <c r="M43" t="inlineStr">
        <is>
          <t>Zarya</t>
        </is>
      </c>
      <c r="N43" t="inlineStr">
        <is>
          <t>Sojourn</t>
        </is>
      </c>
      <c r="O43">
        <f>TEXT(E43, "yymmdd") &amp; "_" &amp; G43 &amp; "_" &amp; H43 &amp; "_S" &amp; D43</f>
        <v/>
      </c>
      <c r="P43" t="n">
        <v>0</v>
      </c>
      <c r="Q43" t="n">
        <v>2</v>
      </c>
      <c r="R43" t="inlineStr">
        <is>
          <t>TEAM 2</t>
        </is>
      </c>
      <c r="S43" t="inlineStr">
        <is>
          <t>Sojourn</t>
        </is>
      </c>
    </row>
    <row r="44">
      <c r="A44" t="n">
        <v>2</v>
      </c>
      <c r="B44" t="n">
        <v>1</v>
      </c>
      <c r="C44" t="n">
        <v>3</v>
      </c>
      <c r="D44" t="n">
        <v>2</v>
      </c>
      <c r="E44" t="inlineStr">
        <is>
          <t>2026-04-03</t>
        </is>
      </c>
      <c r="F44" t="inlineStr">
        <is>
          <t>Round Robin</t>
        </is>
      </c>
      <c r="G44" t="inlineStr">
        <is>
          <t>CR</t>
        </is>
      </c>
      <c r="H44" t="inlineStr">
        <is>
          <t>OSG</t>
        </is>
      </c>
      <c r="I44" t="inlineStr">
        <is>
          <t>Havana</t>
        </is>
      </c>
      <c r="J44" t="inlineStr">
        <is>
          <t>Escort</t>
        </is>
      </c>
      <c r="L44" t="inlineStr">
        <is>
          <t>CR</t>
        </is>
      </c>
      <c r="M44" t="inlineStr">
        <is>
          <t>Wuyang</t>
        </is>
      </c>
      <c r="N44" t="inlineStr">
        <is>
          <t>Mei</t>
        </is>
      </c>
      <c r="O44">
        <f>TEXT(E44, "yymmdd") &amp; "_" &amp; G44 &amp; "_" &amp; H44 &amp; "_S" &amp; D44</f>
        <v/>
      </c>
      <c r="P44" t="n">
        <v>2</v>
      </c>
      <c r="Q44" t="n">
        <v>1</v>
      </c>
      <c r="R44" t="inlineStr">
        <is>
          <t>TEAM 2</t>
        </is>
      </c>
      <c r="S44" t="inlineStr">
        <is>
          <t>Mei</t>
        </is>
      </c>
    </row>
    <row r="45">
      <c r="A45" t="n">
        <v>2</v>
      </c>
      <c r="B45" t="n">
        <v>1</v>
      </c>
      <c r="C45" t="n">
        <v>3</v>
      </c>
      <c r="D45" t="n">
        <v>3</v>
      </c>
      <c r="E45" t="inlineStr">
        <is>
          <t>2026-04-03</t>
        </is>
      </c>
      <c r="F45" t="inlineStr">
        <is>
          <t>Round Robin</t>
        </is>
      </c>
      <c r="G45" t="inlineStr">
        <is>
          <t>CR</t>
        </is>
      </c>
      <c r="H45" t="inlineStr">
        <is>
          <t>OSG</t>
        </is>
      </c>
      <c r="I45" t="inlineStr">
        <is>
          <t>Blizzard World</t>
        </is>
      </c>
      <c r="J45" t="inlineStr">
        <is>
          <t>Hybrid</t>
        </is>
      </c>
      <c r="L45" t="inlineStr">
        <is>
          <t>OSG</t>
        </is>
      </c>
      <c r="M45" t="inlineStr">
        <is>
          <t>Emre</t>
        </is>
      </c>
      <c r="N45" t="inlineStr">
        <is>
          <t>Lucio</t>
        </is>
      </c>
      <c r="O45">
        <f>TEXT(E45, "yymmdd") &amp; "_" &amp; G45 &amp; "_" &amp; H45 &amp; "_S" &amp; D45</f>
        <v/>
      </c>
      <c r="P45" t="n">
        <v>1</v>
      </c>
      <c r="Q45" t="n">
        <v>2</v>
      </c>
      <c r="R45" t="inlineStr">
        <is>
          <t>TEAM 2</t>
        </is>
      </c>
      <c r="S45" t="inlineStr">
        <is>
          <t>Lucio</t>
        </is>
      </c>
    </row>
    <row r="46">
      <c r="A46" t="n">
        <v>2</v>
      </c>
      <c r="B46" t="n">
        <v>1</v>
      </c>
      <c r="C46" t="n">
        <v>3</v>
      </c>
      <c r="D46" t="n">
        <v>4</v>
      </c>
      <c r="E46" t="inlineStr">
        <is>
          <t>2026-04-03</t>
        </is>
      </c>
      <c r="F46" t="inlineStr">
        <is>
          <t>Round Robin</t>
        </is>
      </c>
      <c r="G46" t="inlineStr">
        <is>
          <t>CR</t>
        </is>
      </c>
      <c r="H46" t="inlineStr">
        <is>
          <t>OSG</t>
        </is>
      </c>
      <c r="I46" t="inlineStr">
        <is>
          <t>Runasapi</t>
        </is>
      </c>
      <c r="J46" t="inlineStr">
        <is>
          <t>Push</t>
        </is>
      </c>
      <c r="L46" t="inlineStr">
        <is>
          <t>CR</t>
        </is>
      </c>
      <c r="M46" t="inlineStr">
        <is>
          <t>Hazard</t>
        </is>
      </c>
      <c r="N46" t="inlineStr">
        <is>
          <t>Brigitte</t>
        </is>
      </c>
      <c r="O46">
        <f>TEXT(E46, "yymmdd") &amp; "_" &amp; G46 &amp; "_" &amp; H46 &amp; "_S" &amp; D46</f>
        <v/>
      </c>
      <c r="P46" t="n">
        <v>123.31</v>
      </c>
      <c r="Q46" t="n">
        <v>123.3</v>
      </c>
      <c r="R46" t="inlineStr">
        <is>
          <t>TEAM 2</t>
        </is>
      </c>
      <c r="S46" t="inlineStr">
        <is>
          <t>Brigitte</t>
        </is>
      </c>
    </row>
    <row r="47">
      <c r="A47" t="n">
        <v>2</v>
      </c>
      <c r="B47" t="n">
        <v>1</v>
      </c>
      <c r="C47" t="n">
        <v>3</v>
      </c>
      <c r="D47" t="n">
        <v>5</v>
      </c>
      <c r="E47" t="inlineStr">
        <is>
          <t>2026-04-03</t>
        </is>
      </c>
      <c r="F47" t="inlineStr">
        <is>
          <t>Round Robin</t>
        </is>
      </c>
      <c r="G47" t="inlineStr">
        <is>
          <t>CR</t>
        </is>
      </c>
      <c r="H47" t="inlineStr">
        <is>
          <t>OSG</t>
        </is>
      </c>
      <c r="I47" t="inlineStr">
        <is>
          <t>Rialto</t>
        </is>
      </c>
      <c r="J47" t="inlineStr">
        <is>
          <t>Escort</t>
        </is>
      </c>
      <c r="L47" t="inlineStr">
        <is>
          <t>CR</t>
        </is>
      </c>
      <c r="M47" t="inlineStr">
        <is>
          <t>Pharah</t>
        </is>
      </c>
      <c r="N47" t="inlineStr">
        <is>
          <t>Zarya</t>
        </is>
      </c>
      <c r="O47">
        <f>TEXT(E47, "yymmdd") &amp; "_" &amp; G47 &amp; "_" &amp; H47 &amp; "_S" &amp; D47</f>
        <v/>
      </c>
      <c r="P47" t="n">
        <v>3</v>
      </c>
      <c r="Q47" t="n">
        <v>2</v>
      </c>
      <c r="R47" t="inlineStr">
        <is>
          <t>TEAM 2</t>
        </is>
      </c>
      <c r="S47" t="inlineStr">
        <is>
          <t>Zarya</t>
        </is>
      </c>
    </row>
    <row r="48">
      <c r="A48" t="n">
        <v>2</v>
      </c>
      <c r="B48" t="n">
        <v>1</v>
      </c>
      <c r="C48" t="n">
        <v>4</v>
      </c>
      <c r="D48" t="n">
        <v>1</v>
      </c>
      <c r="E48" t="inlineStr">
        <is>
          <t>2026-04-04</t>
        </is>
      </c>
      <c r="F48" t="inlineStr">
        <is>
          <t>Round Robin</t>
        </is>
      </c>
      <c r="G48" t="inlineStr">
        <is>
          <t>ERA</t>
        </is>
      </c>
      <c r="H48" t="inlineStr">
        <is>
          <t>FLC</t>
        </is>
      </c>
      <c r="I48" t="inlineStr">
        <is>
          <t>Oasis</t>
        </is>
      </c>
      <c r="J48" t="inlineStr">
        <is>
          <t>Control</t>
        </is>
      </c>
      <c r="L48" t="inlineStr">
        <is>
          <t>FLC</t>
        </is>
      </c>
      <c r="M48" t="inlineStr">
        <is>
          <t>Lucio</t>
        </is>
      </c>
      <c r="N48" t="inlineStr">
        <is>
          <t>Torbjörn</t>
        </is>
      </c>
      <c r="O48">
        <f>TEXT(E48, "yymmdd") &amp; "_" &amp; G48 &amp; "_" &amp; H48 &amp; "_S" &amp; D48</f>
        <v/>
      </c>
      <c r="P48" t="n">
        <v>0</v>
      </c>
      <c r="Q48" t="n">
        <v>2</v>
      </c>
      <c r="R48" t="inlineStr">
        <is>
          <t>TEAM 1</t>
        </is>
      </c>
      <c r="S48" t="inlineStr">
        <is>
          <t>Lucio</t>
        </is>
      </c>
    </row>
    <row r="49">
      <c r="A49" t="n">
        <v>2</v>
      </c>
      <c r="B49" t="n">
        <v>1</v>
      </c>
      <c r="C49" t="n">
        <v>4</v>
      </c>
      <c r="D49" t="n">
        <v>2</v>
      </c>
      <c r="E49" t="inlineStr">
        <is>
          <t>2026-04-04</t>
        </is>
      </c>
      <c r="F49" t="inlineStr">
        <is>
          <t>Round Robin</t>
        </is>
      </c>
      <c r="G49" t="inlineStr">
        <is>
          <t>ERA</t>
        </is>
      </c>
      <c r="H49" t="inlineStr">
        <is>
          <t>FLC</t>
        </is>
      </c>
      <c r="I49" t="inlineStr">
        <is>
          <t>Havana</t>
        </is>
      </c>
      <c r="J49" t="inlineStr">
        <is>
          <t>Escort</t>
        </is>
      </c>
      <c r="L49" t="inlineStr">
        <is>
          <t>FLC</t>
        </is>
      </c>
      <c r="M49" t="inlineStr">
        <is>
          <t>Kiriko</t>
        </is>
      </c>
      <c r="N49" t="inlineStr">
        <is>
          <t>Widowmaker</t>
        </is>
      </c>
      <c r="O49">
        <f>TEXT(E49, "yymmdd") &amp; "_" &amp; G49 &amp; "_" &amp; H49 &amp; "_S" &amp; D49</f>
        <v/>
      </c>
      <c r="P49" t="n">
        <v>0</v>
      </c>
      <c r="Q49" t="n">
        <v>3</v>
      </c>
      <c r="R49" t="inlineStr">
        <is>
          <t>TEAM 1</t>
        </is>
      </c>
      <c r="S49" t="inlineStr">
        <is>
          <t>Kiriko</t>
        </is>
      </c>
    </row>
    <row r="50">
      <c r="A50" t="n">
        <v>2</v>
      </c>
      <c r="B50" t="n">
        <v>1</v>
      </c>
      <c r="C50" t="n">
        <v>4</v>
      </c>
      <c r="D50" t="n">
        <v>3</v>
      </c>
      <c r="E50" t="inlineStr">
        <is>
          <t>2026-04-04</t>
        </is>
      </c>
      <c r="F50" t="inlineStr">
        <is>
          <t>Round Robin</t>
        </is>
      </c>
      <c r="G50" t="inlineStr">
        <is>
          <t>ERA</t>
        </is>
      </c>
      <c r="H50" t="inlineStr">
        <is>
          <t>FLC</t>
        </is>
      </c>
      <c r="I50" t="inlineStr">
        <is>
          <t>Midtown</t>
        </is>
      </c>
      <c r="J50" t="inlineStr">
        <is>
          <t>Hybrid</t>
        </is>
      </c>
      <c r="L50" t="inlineStr">
        <is>
          <t>FLC</t>
        </is>
      </c>
      <c r="M50" t="inlineStr">
        <is>
          <t>Vendetta</t>
        </is>
      </c>
      <c r="N50" t="inlineStr">
        <is>
          <t>Brigitte</t>
        </is>
      </c>
      <c r="O50">
        <f>TEXT(E50, "yymmdd") &amp; "_" &amp; G50 &amp; "_" &amp; H50 &amp; "_S" &amp; D50</f>
        <v/>
      </c>
      <c r="P50" t="n">
        <v>0</v>
      </c>
      <c r="Q50" t="n">
        <v>3</v>
      </c>
      <c r="R50" t="inlineStr">
        <is>
          <t>TEAM 1</t>
        </is>
      </c>
      <c r="S50" t="inlineStr">
        <is>
          <t>Vendetta</t>
        </is>
      </c>
    </row>
    <row r="51">
      <c r="A51" t="n">
        <v>2</v>
      </c>
      <c r="B51" t="n">
        <v>1</v>
      </c>
      <c r="C51" t="n">
        <v>5</v>
      </c>
      <c r="D51" t="n">
        <v>1</v>
      </c>
      <c r="E51" t="inlineStr">
        <is>
          <t>2026-04-04</t>
        </is>
      </c>
      <c r="F51" t="inlineStr">
        <is>
          <t>Round Robin</t>
        </is>
      </c>
      <c r="G51" t="inlineStr">
        <is>
          <t>T1</t>
        </is>
      </c>
      <c r="H51" t="inlineStr">
        <is>
          <t>PF</t>
        </is>
      </c>
      <c r="I51" t="inlineStr">
        <is>
          <t>Oasis</t>
        </is>
      </c>
      <c r="J51" t="inlineStr">
        <is>
          <t>Control</t>
        </is>
      </c>
      <c r="L51" t="inlineStr">
        <is>
          <t>T1</t>
        </is>
      </c>
      <c r="M51" t="inlineStr">
        <is>
          <t>Mercy</t>
        </is>
      </c>
      <c r="N51" t="inlineStr">
        <is>
          <t>Emre</t>
        </is>
      </c>
      <c r="O51">
        <f>TEXT(E51, "yymmdd") &amp; "_" &amp; G51 &amp; "_" &amp; H51 &amp; "_S" &amp; D51</f>
        <v/>
      </c>
      <c r="P51" t="n">
        <v>2</v>
      </c>
      <c r="Q51" t="n">
        <v>0</v>
      </c>
      <c r="R51" t="inlineStr">
        <is>
          <t>TEAM 1</t>
        </is>
      </c>
      <c r="S51" t="inlineStr">
        <is>
          <t>Mercy</t>
        </is>
      </c>
    </row>
    <row r="52">
      <c r="A52" t="n">
        <v>2</v>
      </c>
      <c r="B52" t="n">
        <v>1</v>
      </c>
      <c r="C52" t="n">
        <v>5</v>
      </c>
      <c r="D52" t="n">
        <v>2</v>
      </c>
      <c r="E52" t="inlineStr">
        <is>
          <t>2026-04-04</t>
        </is>
      </c>
      <c r="F52" t="inlineStr">
        <is>
          <t>Round Robin</t>
        </is>
      </c>
      <c r="G52" t="inlineStr">
        <is>
          <t>T1</t>
        </is>
      </c>
      <c r="H52" t="inlineStr">
        <is>
          <t>PF</t>
        </is>
      </c>
      <c r="I52" t="inlineStr">
        <is>
          <t>Numbani</t>
        </is>
      </c>
      <c r="J52" t="inlineStr">
        <is>
          <t>Hybrid</t>
        </is>
      </c>
      <c r="L52" t="inlineStr">
        <is>
          <t>T1</t>
        </is>
      </c>
      <c r="M52" t="inlineStr">
        <is>
          <t>Pharah</t>
        </is>
      </c>
      <c r="N52" t="inlineStr">
        <is>
          <t>Doomfist</t>
        </is>
      </c>
      <c r="O52">
        <f>TEXT(E52, "yymmdd") &amp; "_" &amp; G52 &amp; "_" &amp; H52 &amp; "_S" &amp; D52</f>
        <v/>
      </c>
      <c r="P52" t="n">
        <v>4</v>
      </c>
      <c r="Q52" t="n">
        <v>3</v>
      </c>
      <c r="R52" t="inlineStr">
        <is>
          <t>TEAM 2</t>
        </is>
      </c>
      <c r="S52" t="inlineStr">
        <is>
          <t>Doomfist</t>
        </is>
      </c>
    </row>
    <row r="53">
      <c r="A53" t="n">
        <v>2</v>
      </c>
      <c r="B53" t="n">
        <v>1</v>
      </c>
      <c r="C53" t="n">
        <v>5</v>
      </c>
      <c r="D53" t="n">
        <v>3</v>
      </c>
      <c r="E53" t="inlineStr">
        <is>
          <t>2026-04-04</t>
        </is>
      </c>
      <c r="F53" t="inlineStr">
        <is>
          <t>Round Robin</t>
        </is>
      </c>
      <c r="G53" t="inlineStr">
        <is>
          <t>T1</t>
        </is>
      </c>
      <c r="H53" t="inlineStr">
        <is>
          <t>PF</t>
        </is>
      </c>
      <c r="I53" t="inlineStr">
        <is>
          <t>Esperança</t>
        </is>
      </c>
      <c r="J53" t="inlineStr">
        <is>
          <t>Push</t>
        </is>
      </c>
      <c r="L53" t="inlineStr">
        <is>
          <t>T1</t>
        </is>
      </c>
      <c r="M53" t="inlineStr">
        <is>
          <t>Vendetta</t>
        </is>
      </c>
      <c r="N53" t="inlineStr">
        <is>
          <t>Zarya</t>
        </is>
      </c>
      <c r="O53">
        <f>TEXT(E53, "yymmdd") &amp; "_" &amp; G53 &amp; "_" &amp; H53 &amp; "_S" &amp; D53</f>
        <v/>
      </c>
      <c r="P53" t="n">
        <v>142.41</v>
      </c>
      <c r="Q53" t="n">
        <v>15.92</v>
      </c>
      <c r="R53" t="inlineStr">
        <is>
          <t>TEAM 2</t>
        </is>
      </c>
      <c r="S53" t="inlineStr">
        <is>
          <t>Zarya</t>
        </is>
      </c>
    </row>
    <row r="54">
      <c r="A54" t="n">
        <v>2</v>
      </c>
      <c r="B54" t="n">
        <v>1</v>
      </c>
      <c r="C54" t="n">
        <v>6</v>
      </c>
      <c r="D54" t="n">
        <v>1</v>
      </c>
      <c r="E54" t="inlineStr">
        <is>
          <t>2026-04-04</t>
        </is>
      </c>
      <c r="F54" t="inlineStr">
        <is>
          <t>Round Robin</t>
        </is>
      </c>
      <c r="G54" t="inlineStr">
        <is>
          <t>CR</t>
        </is>
      </c>
      <c r="H54" t="inlineStr">
        <is>
          <t>CB</t>
        </is>
      </c>
      <c r="I54" t="inlineStr">
        <is>
          <t>Lijiang Tower</t>
        </is>
      </c>
      <c r="J54" t="inlineStr">
        <is>
          <t>Control</t>
        </is>
      </c>
      <c r="L54" t="inlineStr">
        <is>
          <t>CR</t>
        </is>
      </c>
      <c r="M54" t="inlineStr">
        <is>
          <t>Roadhog</t>
        </is>
      </c>
      <c r="N54" t="inlineStr">
        <is>
          <t>Emre</t>
        </is>
      </c>
      <c r="O54">
        <f>TEXT(E54, "yymmdd") &amp; "_" &amp; G54 &amp; "_" &amp; H54 &amp; "_S" &amp; D54</f>
        <v/>
      </c>
      <c r="P54" t="n">
        <v>2</v>
      </c>
      <c r="Q54" t="n">
        <v>0</v>
      </c>
      <c r="R54" t="inlineStr">
        <is>
          <t>TEAM 1</t>
        </is>
      </c>
      <c r="S54" t="inlineStr">
        <is>
          <t>Roadhog</t>
        </is>
      </c>
    </row>
    <row r="55">
      <c r="A55" t="n">
        <v>2</v>
      </c>
      <c r="B55" t="n">
        <v>1</v>
      </c>
      <c r="C55" t="n">
        <v>6</v>
      </c>
      <c r="D55" t="n">
        <v>2</v>
      </c>
      <c r="E55" t="inlineStr">
        <is>
          <t>2026-04-04</t>
        </is>
      </c>
      <c r="F55" t="inlineStr">
        <is>
          <t>Round Robin</t>
        </is>
      </c>
      <c r="G55" t="inlineStr">
        <is>
          <t>CR</t>
        </is>
      </c>
      <c r="H55" t="inlineStr">
        <is>
          <t>CB</t>
        </is>
      </c>
      <c r="I55" t="inlineStr">
        <is>
          <t>Aatlis</t>
        </is>
      </c>
      <c r="J55" t="inlineStr">
        <is>
          <t>Flashpoint</t>
        </is>
      </c>
      <c r="L55" t="inlineStr">
        <is>
          <t>CR</t>
        </is>
      </c>
      <c r="M55" t="inlineStr">
        <is>
          <t>Mauga</t>
        </is>
      </c>
      <c r="N55" t="inlineStr">
        <is>
          <t>Sojourn</t>
        </is>
      </c>
      <c r="O55">
        <f>TEXT(E55, "yymmdd") &amp; "_" &amp; G55 &amp; "_" &amp; H55 &amp; "_S" &amp; D55</f>
        <v/>
      </c>
      <c r="P55" t="n">
        <v>3</v>
      </c>
      <c r="Q55" t="n">
        <v>2</v>
      </c>
      <c r="R55" t="inlineStr">
        <is>
          <t>TEAM 2</t>
        </is>
      </c>
      <c r="S55" t="inlineStr">
        <is>
          <t>Sojourn</t>
        </is>
      </c>
    </row>
    <row r="56">
      <c r="A56" t="n">
        <v>2</v>
      </c>
      <c r="B56" t="n">
        <v>1</v>
      </c>
      <c r="C56" t="n">
        <v>6</v>
      </c>
      <c r="D56" t="n">
        <v>3</v>
      </c>
      <c r="E56" t="inlineStr">
        <is>
          <t>2026-04-04</t>
        </is>
      </c>
      <c r="F56" t="inlineStr">
        <is>
          <t>Round Robin</t>
        </is>
      </c>
      <c r="G56" t="inlineStr">
        <is>
          <t>CR</t>
        </is>
      </c>
      <c r="H56" t="inlineStr">
        <is>
          <t>CB</t>
        </is>
      </c>
      <c r="I56" t="inlineStr">
        <is>
          <t>Havana</t>
        </is>
      </c>
      <c r="J56" t="inlineStr">
        <is>
          <t>Escort</t>
        </is>
      </c>
      <c r="L56" t="inlineStr">
        <is>
          <t>CR</t>
        </is>
      </c>
      <c r="M56" t="inlineStr">
        <is>
          <t>Vendetta</t>
        </is>
      </c>
      <c r="N56" t="inlineStr">
        <is>
          <t>Lucio</t>
        </is>
      </c>
      <c r="O56">
        <f>TEXT(E56, "yymmdd") &amp; "_" &amp; G56 &amp; "_" &amp; H56 &amp; "_S" &amp; D56</f>
        <v/>
      </c>
      <c r="P56" t="n">
        <v>3</v>
      </c>
      <c r="Q56" t="n">
        <v>1</v>
      </c>
      <c r="R56" t="inlineStr">
        <is>
          <t>TEAM 2</t>
        </is>
      </c>
      <c r="S56" t="inlineStr">
        <is>
          <t>Lucio</t>
        </is>
      </c>
    </row>
    <row r="57">
      <c r="A57" t="n">
        <v>2</v>
      </c>
      <c r="B57" t="n">
        <v>1</v>
      </c>
      <c r="C57" t="n">
        <v>7</v>
      </c>
      <c r="D57" t="n">
        <v>1</v>
      </c>
      <c r="E57" t="inlineStr">
        <is>
          <t>2026-04-05</t>
        </is>
      </c>
      <c r="F57" t="inlineStr">
        <is>
          <t>Round Robin</t>
        </is>
      </c>
      <c r="G57" t="inlineStr">
        <is>
          <t>OSG</t>
        </is>
      </c>
      <c r="H57" t="inlineStr">
        <is>
          <t>ERA</t>
        </is>
      </c>
      <c r="I57" t="inlineStr">
        <is>
          <t>Lijiang Tower</t>
        </is>
      </c>
      <c r="J57" t="inlineStr">
        <is>
          <t>Control</t>
        </is>
      </c>
      <c r="L57" t="inlineStr">
        <is>
          <t>OSG</t>
        </is>
      </c>
      <c r="M57" t="inlineStr">
        <is>
          <t>Juno</t>
        </is>
      </c>
      <c r="N57" t="inlineStr">
        <is>
          <t>Zarya</t>
        </is>
      </c>
      <c r="O57">
        <f>TEXT(E57, "yymmdd") &amp; "_" &amp; G57 &amp; "_" &amp; H57 &amp; "_S" &amp; D57</f>
        <v/>
      </c>
      <c r="P57" t="n">
        <v>2</v>
      </c>
      <c r="Q57" t="n">
        <v>0</v>
      </c>
      <c r="R57" t="inlineStr">
        <is>
          <t>TEAM 2</t>
        </is>
      </c>
      <c r="S57" t="inlineStr">
        <is>
          <t>Zarya</t>
        </is>
      </c>
    </row>
    <row r="58">
      <c r="A58" t="n">
        <v>2</v>
      </c>
      <c r="B58" t="n">
        <v>1</v>
      </c>
      <c r="C58" t="n">
        <v>7</v>
      </c>
      <c r="D58" t="n">
        <v>2</v>
      </c>
      <c r="E58" t="inlineStr">
        <is>
          <t>2026-04-05</t>
        </is>
      </c>
      <c r="F58" t="inlineStr">
        <is>
          <t>Round Robin</t>
        </is>
      </c>
      <c r="G58" t="inlineStr">
        <is>
          <t>OSG</t>
        </is>
      </c>
      <c r="H58" t="inlineStr">
        <is>
          <t>ERA</t>
        </is>
      </c>
      <c r="I58" t="inlineStr">
        <is>
          <t>Blizzard World</t>
        </is>
      </c>
      <c r="J58" t="inlineStr">
        <is>
          <t>Hybrid</t>
        </is>
      </c>
      <c r="L58" t="inlineStr">
        <is>
          <t>OSG</t>
        </is>
      </c>
      <c r="M58" t="inlineStr">
        <is>
          <t>Zarya</t>
        </is>
      </c>
      <c r="N58" t="inlineStr">
        <is>
          <t>Kiriko</t>
        </is>
      </c>
      <c r="O58">
        <f>TEXT(E58, "yymmdd") &amp; "_" &amp; G58 &amp; "_" &amp; H58 &amp; "_S" &amp; D58</f>
        <v/>
      </c>
      <c r="P58" t="n">
        <v>3</v>
      </c>
      <c r="Q58" t="n">
        <v>1</v>
      </c>
      <c r="R58" t="inlineStr">
        <is>
          <t>TEAM 2</t>
        </is>
      </c>
      <c r="S58" t="inlineStr">
        <is>
          <t>Kiriko</t>
        </is>
      </c>
    </row>
    <row r="59">
      <c r="A59" t="n">
        <v>2</v>
      </c>
      <c r="B59" t="n">
        <v>1</v>
      </c>
      <c r="C59" t="n">
        <v>7</v>
      </c>
      <c r="D59" t="n">
        <v>3</v>
      </c>
      <c r="E59" t="inlineStr">
        <is>
          <t>2026-04-05</t>
        </is>
      </c>
      <c r="F59" t="inlineStr">
        <is>
          <t>Round Robin</t>
        </is>
      </c>
      <c r="G59" t="inlineStr">
        <is>
          <t>OSG</t>
        </is>
      </c>
      <c r="H59" t="inlineStr">
        <is>
          <t>ERA</t>
        </is>
      </c>
      <c r="I59" t="inlineStr">
        <is>
          <t>Havana</t>
        </is>
      </c>
      <c r="J59" t="inlineStr">
        <is>
          <t>Escort</t>
        </is>
      </c>
      <c r="L59" t="inlineStr">
        <is>
          <t>OSG</t>
        </is>
      </c>
      <c r="M59" t="inlineStr">
        <is>
          <t>Domina</t>
        </is>
      </c>
      <c r="N59" t="inlineStr">
        <is>
          <t>Lucio</t>
        </is>
      </c>
      <c r="O59">
        <f>TEXT(E59, "yymmdd") &amp; "_" &amp; G59 &amp; "_" &amp; H59 &amp; "_S" &amp; D59</f>
        <v/>
      </c>
      <c r="P59" t="n">
        <v>3</v>
      </c>
      <c r="Q59" t="n">
        <v>0</v>
      </c>
      <c r="R59" t="inlineStr">
        <is>
          <t>TEAM 2</t>
        </is>
      </c>
      <c r="S59" t="inlineStr">
        <is>
          <t>Lucio</t>
        </is>
      </c>
    </row>
    <row r="60">
      <c r="A60" t="n">
        <v>2</v>
      </c>
      <c r="B60" t="n">
        <v>1</v>
      </c>
      <c r="C60" t="n">
        <v>8</v>
      </c>
      <c r="D60" t="n">
        <v>1</v>
      </c>
      <c r="E60" t="inlineStr">
        <is>
          <t>2026-04-05</t>
        </is>
      </c>
      <c r="F60" t="inlineStr">
        <is>
          <t>Round Robin</t>
        </is>
      </c>
      <c r="G60" t="inlineStr">
        <is>
          <t>ZAN</t>
        </is>
      </c>
      <c r="H60" t="inlineStr">
        <is>
          <t>ZETA</t>
        </is>
      </c>
      <c r="I60" t="inlineStr">
        <is>
          <t>Busan</t>
        </is>
      </c>
      <c r="J60" t="inlineStr">
        <is>
          <t>Control</t>
        </is>
      </c>
      <c r="L60" t="inlineStr">
        <is>
          <t>ZETA</t>
        </is>
      </c>
      <c r="M60" t="inlineStr">
        <is>
          <t>Ana</t>
        </is>
      </c>
      <c r="N60" t="inlineStr">
        <is>
          <t>Hazard</t>
        </is>
      </c>
      <c r="O60">
        <f>TEXT(E60, "yymmdd") &amp; "_" &amp; G60 &amp; "_" &amp; H60 &amp; "_S" &amp; D60</f>
        <v/>
      </c>
      <c r="P60" t="n">
        <v>1</v>
      </c>
      <c r="Q60" t="n">
        <v>2</v>
      </c>
      <c r="R60" t="inlineStr">
        <is>
          <t>TEAM 1</t>
        </is>
      </c>
      <c r="S60" t="inlineStr">
        <is>
          <t>Ana</t>
        </is>
      </c>
    </row>
    <row r="61">
      <c r="A61" t="n">
        <v>2</v>
      </c>
      <c r="B61" t="n">
        <v>1</v>
      </c>
      <c r="C61" t="n">
        <v>8</v>
      </c>
      <c r="D61" t="n">
        <v>2</v>
      </c>
      <c r="E61" t="inlineStr">
        <is>
          <t>2026-04-05</t>
        </is>
      </c>
      <c r="F61" t="inlineStr">
        <is>
          <t>Round Robin</t>
        </is>
      </c>
      <c r="G61" t="inlineStr">
        <is>
          <t>ZAN</t>
        </is>
      </c>
      <c r="H61" t="inlineStr">
        <is>
          <t>ZETA</t>
        </is>
      </c>
      <c r="I61" t="inlineStr">
        <is>
          <t>Suravasa</t>
        </is>
      </c>
      <c r="J61" t="inlineStr">
        <is>
          <t>Flashpoint</t>
        </is>
      </c>
      <c r="L61" t="inlineStr">
        <is>
          <t>ZETA</t>
        </is>
      </c>
      <c r="M61" t="inlineStr">
        <is>
          <t>Tracer</t>
        </is>
      </c>
      <c r="N61" t="inlineStr">
        <is>
          <t>Kiriko</t>
        </is>
      </c>
      <c r="O61">
        <f>TEXT(E61, "yymmdd") &amp; "_" &amp; G61 &amp; "_" &amp; H61 &amp; "_S" &amp; D61</f>
        <v/>
      </c>
      <c r="P61" t="n">
        <v>2</v>
      </c>
      <c r="Q61" t="n">
        <v>3</v>
      </c>
      <c r="R61" t="inlineStr">
        <is>
          <t>TEAM 1</t>
        </is>
      </c>
      <c r="S61" t="inlineStr">
        <is>
          <t>Tracer</t>
        </is>
      </c>
    </row>
    <row r="62">
      <c r="A62" t="n">
        <v>2</v>
      </c>
      <c r="B62" t="n">
        <v>1</v>
      </c>
      <c r="C62" t="n">
        <v>8</v>
      </c>
      <c r="D62" t="n">
        <v>3</v>
      </c>
      <c r="E62" t="inlineStr">
        <is>
          <t>2026-04-05</t>
        </is>
      </c>
      <c r="F62" t="inlineStr">
        <is>
          <t>Round Robin</t>
        </is>
      </c>
      <c r="G62" t="inlineStr">
        <is>
          <t>ZAN</t>
        </is>
      </c>
      <c r="H62" t="inlineStr">
        <is>
          <t>ZETA</t>
        </is>
      </c>
      <c r="I62" t="inlineStr">
        <is>
          <t>Havana</t>
        </is>
      </c>
      <c r="J62" t="inlineStr">
        <is>
          <t>Escort</t>
        </is>
      </c>
      <c r="L62" t="inlineStr">
        <is>
          <t>ZETA</t>
        </is>
      </c>
      <c r="M62" t="inlineStr">
        <is>
          <t>Illari</t>
        </is>
      </c>
      <c r="N62" t="inlineStr">
        <is>
          <t>D.Va</t>
        </is>
      </c>
      <c r="O62">
        <f>TEXT(E62, "yymmdd") &amp; "_" &amp; G62 &amp; "_" &amp; H62 &amp; "_S" &amp; D62</f>
        <v/>
      </c>
      <c r="P62" t="n">
        <v>0</v>
      </c>
      <c r="Q62" t="n">
        <v>3</v>
      </c>
      <c r="R62" t="inlineStr">
        <is>
          <t>TEAM 1</t>
        </is>
      </c>
      <c r="S62" t="inlineStr">
        <is>
          <t>Illari</t>
        </is>
      </c>
    </row>
    <row r="63">
      <c r="A63" t="n">
        <v>2</v>
      </c>
      <c r="B63" t="n">
        <v>1</v>
      </c>
      <c r="C63" t="n">
        <v>9</v>
      </c>
      <c r="D63" t="n">
        <v>1</v>
      </c>
      <c r="E63" t="inlineStr">
        <is>
          <t>2026-04-05</t>
        </is>
      </c>
      <c r="F63" t="inlineStr">
        <is>
          <t>Round Robin</t>
        </is>
      </c>
      <c r="G63" t="inlineStr">
        <is>
          <t>FLC</t>
        </is>
      </c>
      <c r="H63" t="inlineStr">
        <is>
          <t>T1</t>
        </is>
      </c>
      <c r="I63" t="inlineStr">
        <is>
          <t>Busan</t>
        </is>
      </c>
      <c r="J63" t="inlineStr">
        <is>
          <t>Control</t>
        </is>
      </c>
      <c r="L63" t="inlineStr">
        <is>
          <t>T1</t>
        </is>
      </c>
      <c r="M63" t="inlineStr">
        <is>
          <t>Emre</t>
        </is>
      </c>
      <c r="N63" t="inlineStr">
        <is>
          <t>Mauga</t>
        </is>
      </c>
      <c r="O63">
        <f>TEXT(E63, "yymmdd") &amp; "_" &amp; G63 &amp; "_" &amp; H63 &amp; "_S" &amp; D63</f>
        <v/>
      </c>
      <c r="P63" t="n">
        <v>0</v>
      </c>
      <c r="Q63" t="n">
        <v>2</v>
      </c>
      <c r="R63" t="inlineStr">
        <is>
          <t>TEAM 1</t>
        </is>
      </c>
      <c r="S63" t="inlineStr">
        <is>
          <t>Emre</t>
        </is>
      </c>
    </row>
    <row r="64">
      <c r="A64" t="n">
        <v>2</v>
      </c>
      <c r="B64" t="n">
        <v>1</v>
      </c>
      <c r="C64" t="n">
        <v>9</v>
      </c>
      <c r="D64" t="n">
        <v>2</v>
      </c>
      <c r="E64" t="inlineStr">
        <is>
          <t>2026-04-05</t>
        </is>
      </c>
      <c r="F64" t="inlineStr">
        <is>
          <t>Round Robin</t>
        </is>
      </c>
      <c r="G64" t="inlineStr">
        <is>
          <t>FLC</t>
        </is>
      </c>
      <c r="H64" t="inlineStr">
        <is>
          <t>T1</t>
        </is>
      </c>
      <c r="I64" t="inlineStr">
        <is>
          <t>Esperança</t>
        </is>
      </c>
      <c r="J64" t="inlineStr">
        <is>
          <t>Push</t>
        </is>
      </c>
      <c r="L64" t="inlineStr">
        <is>
          <t>FLC</t>
        </is>
      </c>
      <c r="M64" t="inlineStr">
        <is>
          <t>Brigitte</t>
        </is>
      </c>
      <c r="N64" t="inlineStr">
        <is>
          <t>Vendetta</t>
        </is>
      </c>
      <c r="O64">
        <f>TEXT(E64, "yymmdd") &amp; "_" &amp; G64 &amp; "_" &amp; H64 &amp; "_S" &amp; D64</f>
        <v/>
      </c>
      <c r="P64" t="n">
        <v>131.31</v>
      </c>
      <c r="Q64" t="n">
        <v>129.23</v>
      </c>
      <c r="R64" t="inlineStr">
        <is>
          <t>TEAM 2</t>
        </is>
      </c>
      <c r="S64" t="inlineStr">
        <is>
          <t>Vendetta</t>
        </is>
      </c>
    </row>
    <row r="65">
      <c r="A65" t="n">
        <v>2</v>
      </c>
      <c r="B65" t="n">
        <v>1</v>
      </c>
      <c r="C65" t="n">
        <v>9</v>
      </c>
      <c r="D65" t="n">
        <v>3</v>
      </c>
      <c r="E65" t="inlineStr">
        <is>
          <t>2026-04-05</t>
        </is>
      </c>
      <c r="F65" t="inlineStr">
        <is>
          <t>Round Robin</t>
        </is>
      </c>
      <c r="G65" t="inlineStr">
        <is>
          <t>FLC</t>
        </is>
      </c>
      <c r="H65" t="inlineStr">
        <is>
          <t>T1</t>
        </is>
      </c>
      <c r="I65" t="inlineStr">
        <is>
          <t>Havana</t>
        </is>
      </c>
      <c r="J65" t="inlineStr">
        <is>
          <t>Escort</t>
        </is>
      </c>
      <c r="L65" t="inlineStr">
        <is>
          <t>FLC</t>
        </is>
      </c>
      <c r="M65" t="inlineStr">
        <is>
          <t>Wuyang</t>
        </is>
      </c>
      <c r="N65" t="inlineStr">
        <is>
          <t>D.Va</t>
        </is>
      </c>
      <c r="O65">
        <f>TEXT(E65, "yymmdd") &amp; "_" &amp; G65 &amp; "_" &amp; H65 &amp; "_S" &amp; D65</f>
        <v/>
      </c>
      <c r="P65" t="n">
        <v>2</v>
      </c>
      <c r="Q65" t="n">
        <v>1</v>
      </c>
      <c r="R65" t="inlineStr">
        <is>
          <t>TEAM 2</t>
        </is>
      </c>
      <c r="S65" t="inlineStr">
        <is>
          <t>D.Va</t>
        </is>
      </c>
    </row>
    <row r="66">
      <c r="A66" t="n">
        <v>2</v>
      </c>
      <c r="B66" t="n">
        <v>1</v>
      </c>
      <c r="C66" t="n">
        <v>9</v>
      </c>
      <c r="D66" t="n">
        <v>4</v>
      </c>
      <c r="E66" t="inlineStr">
        <is>
          <t>2026-04-05</t>
        </is>
      </c>
      <c r="F66" t="inlineStr">
        <is>
          <t>Round Robin</t>
        </is>
      </c>
      <c r="G66" t="inlineStr">
        <is>
          <t>FLC</t>
        </is>
      </c>
      <c r="H66" t="inlineStr">
        <is>
          <t>T1</t>
        </is>
      </c>
      <c r="I66" t="inlineStr">
        <is>
          <t>Blizzard World</t>
        </is>
      </c>
      <c r="J66" t="inlineStr">
        <is>
          <t>Hybrid</t>
        </is>
      </c>
      <c r="L66" t="inlineStr">
        <is>
          <t>FLC</t>
        </is>
      </c>
      <c r="M66" t="inlineStr">
        <is>
          <t>Mercy</t>
        </is>
      </c>
      <c r="N66" t="inlineStr">
        <is>
          <t>Winston</t>
        </is>
      </c>
      <c r="O66">
        <f>TEXT(E66, "yymmdd") &amp; "_" &amp; G66 &amp; "_" &amp; H66 &amp; "_S" &amp; D66</f>
        <v/>
      </c>
      <c r="P66" t="n">
        <v>3</v>
      </c>
      <c r="Q66" t="n">
        <v>2</v>
      </c>
      <c r="R66" t="inlineStr">
        <is>
          <t>TEAM 2</t>
        </is>
      </c>
      <c r="S66" t="inlineStr">
        <is>
          <t>Winston</t>
        </is>
      </c>
    </row>
    <row r="67">
      <c r="A67" t="n">
        <v>3</v>
      </c>
      <c r="B67" t="n">
        <v>1</v>
      </c>
      <c r="C67" t="n">
        <v>1</v>
      </c>
      <c r="D67" t="n">
        <v>1</v>
      </c>
      <c r="E67" t="inlineStr">
        <is>
          <t>2026-04-10</t>
        </is>
      </c>
      <c r="F67" t="inlineStr">
        <is>
          <t>Round Robin</t>
        </is>
      </c>
      <c r="G67" t="inlineStr">
        <is>
          <t>OSG</t>
        </is>
      </c>
      <c r="H67" t="inlineStr">
        <is>
          <t>CB</t>
        </is>
      </c>
      <c r="I67" t="inlineStr">
        <is>
          <t>Oasis</t>
        </is>
      </c>
      <c r="J67" t="inlineStr">
        <is>
          <t>Control</t>
        </is>
      </c>
      <c r="L67" t="inlineStr">
        <is>
          <t>OSG</t>
        </is>
      </c>
      <c r="M67" t="inlineStr">
        <is>
          <t>D.Va</t>
        </is>
      </c>
      <c r="N67" t="inlineStr">
        <is>
          <t>Emre</t>
        </is>
      </c>
      <c r="O67">
        <f>TEXT(E67, "yymmdd") &amp; "_" &amp; G67 &amp; "_" &amp; H67 &amp; "_S" &amp; D67</f>
        <v/>
      </c>
      <c r="P67" t="n">
        <v>2</v>
      </c>
      <c r="Q67" t="n">
        <v>0</v>
      </c>
      <c r="R67" t="inlineStr">
        <is>
          <t>TEAM 2</t>
        </is>
      </c>
      <c r="S67" t="inlineStr">
        <is>
          <t>Emre</t>
        </is>
      </c>
    </row>
    <row r="68">
      <c r="A68" t="n">
        <v>3</v>
      </c>
      <c r="B68" t="n">
        <v>1</v>
      </c>
      <c r="C68" t="n">
        <v>1</v>
      </c>
      <c r="D68" t="n">
        <v>2</v>
      </c>
      <c r="E68" t="inlineStr">
        <is>
          <t>2026-04-10</t>
        </is>
      </c>
      <c r="F68" t="inlineStr">
        <is>
          <t>Round Robin</t>
        </is>
      </c>
      <c r="G68" t="inlineStr">
        <is>
          <t>OSG</t>
        </is>
      </c>
      <c r="H68" t="inlineStr">
        <is>
          <t>CB</t>
        </is>
      </c>
      <c r="I68" t="inlineStr">
        <is>
          <t>Aatlis</t>
        </is>
      </c>
      <c r="J68" t="inlineStr">
        <is>
          <t>Flashpoint</t>
        </is>
      </c>
      <c r="L68" t="inlineStr">
        <is>
          <t>OSG</t>
        </is>
      </c>
      <c r="M68" t="inlineStr">
        <is>
          <t>Mauga</t>
        </is>
      </c>
      <c r="N68" t="inlineStr">
        <is>
          <t>Tracer</t>
        </is>
      </c>
      <c r="O68">
        <f>TEXT(E68, "yymmdd") &amp; "_" &amp; G68 &amp; "_" &amp; H68 &amp; "_S" &amp; D68</f>
        <v/>
      </c>
      <c r="P68" t="n">
        <v>3</v>
      </c>
      <c r="Q68" t="n">
        <v>0</v>
      </c>
      <c r="R68" t="inlineStr">
        <is>
          <t>TEAM 1</t>
        </is>
      </c>
      <c r="S68" t="inlineStr">
        <is>
          <t>Mauga</t>
        </is>
      </c>
    </row>
    <row r="69">
      <c r="A69" t="n">
        <v>3</v>
      </c>
      <c r="B69" t="n">
        <v>1</v>
      </c>
      <c r="C69" t="n">
        <v>1</v>
      </c>
      <c r="D69" t="n">
        <v>3</v>
      </c>
      <c r="E69" t="inlineStr">
        <is>
          <t>2026-04-10</t>
        </is>
      </c>
      <c r="F69" t="inlineStr">
        <is>
          <t>Round Robin</t>
        </is>
      </c>
      <c r="G69" t="inlineStr">
        <is>
          <t>OSG</t>
        </is>
      </c>
      <c r="H69" t="inlineStr">
        <is>
          <t>CB</t>
        </is>
      </c>
      <c r="I69" t="inlineStr">
        <is>
          <t>Blizzard World</t>
        </is>
      </c>
      <c r="J69" t="inlineStr">
        <is>
          <t>Hybrid</t>
        </is>
      </c>
      <c r="L69" t="inlineStr">
        <is>
          <t>OSG</t>
        </is>
      </c>
      <c r="M69" t="inlineStr">
        <is>
          <t>Vendetta</t>
        </is>
      </c>
      <c r="N69" t="inlineStr">
        <is>
          <t>Kiriko</t>
        </is>
      </c>
      <c r="O69">
        <f>TEXT(E69, "yymmdd") &amp; "_" &amp; G69 &amp; "_" &amp; H69 &amp; "_S" &amp; D69</f>
        <v/>
      </c>
      <c r="P69" t="n">
        <v>2</v>
      </c>
      <c r="Q69" t="n">
        <v>1</v>
      </c>
      <c r="R69" t="inlineStr">
        <is>
          <t>TEAM 2</t>
        </is>
      </c>
      <c r="S69" t="inlineStr">
        <is>
          <t>Kiriko</t>
        </is>
      </c>
    </row>
    <row r="70">
      <c r="A70" t="n">
        <v>3</v>
      </c>
      <c r="B70" t="n">
        <v>1</v>
      </c>
      <c r="C70" t="n">
        <v>2</v>
      </c>
      <c r="D70" t="n">
        <v>1</v>
      </c>
      <c r="E70" t="inlineStr">
        <is>
          <t>2026-04-10</t>
        </is>
      </c>
      <c r="F70" t="inlineStr">
        <is>
          <t>Round Robin</t>
        </is>
      </c>
      <c r="G70" t="inlineStr">
        <is>
          <t>FLC</t>
        </is>
      </c>
      <c r="H70" t="inlineStr">
        <is>
          <t>PF</t>
        </is>
      </c>
      <c r="I70" t="inlineStr">
        <is>
          <t>Oasis</t>
        </is>
      </c>
      <c r="J70" t="inlineStr">
        <is>
          <t>Control</t>
        </is>
      </c>
      <c r="L70" t="inlineStr">
        <is>
          <t>FLC</t>
        </is>
      </c>
      <c r="M70" t="inlineStr">
        <is>
          <t>Jetpack Cat</t>
        </is>
      </c>
      <c r="N70" t="inlineStr">
        <is>
          <t>D.Va</t>
        </is>
      </c>
      <c r="O70">
        <f>TEXT(E70, "yymmdd") &amp; "_" &amp; G70 &amp; "_" &amp; H70 &amp; "_S" &amp; D70</f>
        <v/>
      </c>
      <c r="P70" t="n">
        <v>2</v>
      </c>
      <c r="Q70" t="n">
        <v>0</v>
      </c>
      <c r="R70" t="inlineStr">
        <is>
          <t>TEAM 1</t>
        </is>
      </c>
      <c r="S70" t="inlineStr">
        <is>
          <t>Jetpack Cat</t>
        </is>
      </c>
    </row>
    <row r="71">
      <c r="A71" t="n">
        <v>3</v>
      </c>
      <c r="B71" t="n">
        <v>1</v>
      </c>
      <c r="C71" t="n">
        <v>2</v>
      </c>
      <c r="D71" t="n">
        <v>2</v>
      </c>
      <c r="E71" t="inlineStr">
        <is>
          <t>2026-04-10</t>
        </is>
      </c>
      <c r="F71" t="inlineStr">
        <is>
          <t>Round Robin</t>
        </is>
      </c>
      <c r="G71" t="inlineStr">
        <is>
          <t>FLC</t>
        </is>
      </c>
      <c r="H71" t="inlineStr">
        <is>
          <t>PF</t>
        </is>
      </c>
      <c r="I71" t="inlineStr">
        <is>
          <t>Numbani</t>
        </is>
      </c>
      <c r="J71" t="inlineStr">
        <is>
          <t>Hybrid</t>
        </is>
      </c>
      <c r="L71" t="inlineStr">
        <is>
          <t>FLC</t>
        </is>
      </c>
      <c r="M71" t="inlineStr">
        <is>
          <t>Lifeweaver</t>
        </is>
      </c>
      <c r="N71" t="inlineStr">
        <is>
          <t>Tracer</t>
        </is>
      </c>
      <c r="O71">
        <f>TEXT(E71, "yymmdd") &amp; "_" &amp; G71 &amp; "_" &amp; H71 &amp; "_S" &amp; D71</f>
        <v/>
      </c>
      <c r="P71" t="n">
        <v>6</v>
      </c>
      <c r="Q71" t="n">
        <v>5</v>
      </c>
      <c r="R71" t="inlineStr">
        <is>
          <t>TEAM 2</t>
        </is>
      </c>
      <c r="S71" t="inlineStr">
        <is>
          <t>Tracer</t>
        </is>
      </c>
    </row>
    <row r="72">
      <c r="A72" t="n">
        <v>3</v>
      </c>
      <c r="B72" t="n">
        <v>1</v>
      </c>
      <c r="C72" t="n">
        <v>2</v>
      </c>
      <c r="D72" t="n">
        <v>3</v>
      </c>
      <c r="E72" t="inlineStr">
        <is>
          <t>2026-04-10</t>
        </is>
      </c>
      <c r="F72" t="inlineStr">
        <is>
          <t>Round Robin</t>
        </is>
      </c>
      <c r="G72" t="inlineStr">
        <is>
          <t>FLC</t>
        </is>
      </c>
      <c r="H72" t="inlineStr">
        <is>
          <t>PF</t>
        </is>
      </c>
      <c r="I72" t="inlineStr">
        <is>
          <t>Aatlis</t>
        </is>
      </c>
      <c r="J72" t="inlineStr">
        <is>
          <t>Flashpoint</t>
        </is>
      </c>
      <c r="L72" t="inlineStr">
        <is>
          <t>FLC</t>
        </is>
      </c>
      <c r="M72" t="inlineStr">
        <is>
          <t>Vendetta</t>
        </is>
      </c>
      <c r="N72" t="inlineStr">
        <is>
          <t>Orisa</t>
        </is>
      </c>
      <c r="O72">
        <f>TEXT(E72, "yymmdd") &amp; "_" &amp; G72 &amp; "_" &amp; H72 &amp; "_S" &amp; D72</f>
        <v/>
      </c>
      <c r="P72" t="n">
        <v>3</v>
      </c>
      <c r="Q72" t="n">
        <v>1</v>
      </c>
      <c r="R72" t="inlineStr">
        <is>
          <t>TEAM 2</t>
        </is>
      </c>
      <c r="S72" t="inlineStr">
        <is>
          <t>Orisa</t>
        </is>
      </c>
    </row>
    <row r="73">
      <c r="A73" t="n">
        <v>3</v>
      </c>
      <c r="B73" t="n">
        <v>1</v>
      </c>
      <c r="C73" t="n">
        <v>3</v>
      </c>
      <c r="D73" t="n">
        <v>1</v>
      </c>
      <c r="E73" t="inlineStr">
        <is>
          <t>2026-04-10</t>
        </is>
      </c>
      <c r="F73" t="inlineStr">
        <is>
          <t>Round Robin</t>
        </is>
      </c>
      <c r="G73" t="inlineStr">
        <is>
          <t>T1</t>
        </is>
      </c>
      <c r="H73" t="inlineStr">
        <is>
          <t>CR</t>
        </is>
      </c>
      <c r="I73" t="inlineStr">
        <is>
          <t>Oasis</t>
        </is>
      </c>
      <c r="J73" t="inlineStr">
        <is>
          <t>Control</t>
        </is>
      </c>
      <c r="L73" t="inlineStr">
        <is>
          <t>CR</t>
        </is>
      </c>
      <c r="M73" t="inlineStr">
        <is>
          <t>Wrecking Ball</t>
        </is>
      </c>
      <c r="N73" t="inlineStr">
        <is>
          <t>Lucio</t>
        </is>
      </c>
      <c r="O73">
        <f>TEXT(E73, "yymmdd") &amp; "_" &amp; G73 &amp; "_" &amp; H73 &amp; "_S" &amp; D73</f>
        <v/>
      </c>
      <c r="P73" t="n">
        <v>1</v>
      </c>
      <c r="Q73" t="n">
        <v>2</v>
      </c>
      <c r="R73" t="inlineStr">
        <is>
          <t>TEAM 2</t>
        </is>
      </c>
      <c r="S73" t="inlineStr">
        <is>
          <t>Lucio</t>
        </is>
      </c>
    </row>
    <row r="74">
      <c r="A74" t="n">
        <v>3</v>
      </c>
      <c r="B74" t="n">
        <v>1</v>
      </c>
      <c r="C74" t="n">
        <v>3</v>
      </c>
      <c r="D74" t="n">
        <v>2</v>
      </c>
      <c r="E74" t="inlineStr">
        <is>
          <t>2026-04-10</t>
        </is>
      </c>
      <c r="F74" t="inlineStr">
        <is>
          <t>Round Robin</t>
        </is>
      </c>
      <c r="G74" t="inlineStr">
        <is>
          <t>T1</t>
        </is>
      </c>
      <c r="H74" t="inlineStr">
        <is>
          <t>CR</t>
        </is>
      </c>
      <c r="I74" t="inlineStr">
        <is>
          <t>Havana</t>
        </is>
      </c>
      <c r="J74" t="inlineStr">
        <is>
          <t>Escort</t>
        </is>
      </c>
      <c r="L74" t="inlineStr">
        <is>
          <t>CR</t>
        </is>
      </c>
      <c r="M74" t="inlineStr">
        <is>
          <t>Genji</t>
        </is>
      </c>
      <c r="N74" t="inlineStr">
        <is>
          <t>Kiriko</t>
        </is>
      </c>
      <c r="O74">
        <f>TEXT(E74, "yymmdd") &amp; "_" &amp; G74 &amp; "_" &amp; H74 &amp; "_S" &amp; D74</f>
        <v/>
      </c>
      <c r="P74" t="n">
        <v>0</v>
      </c>
      <c r="Q74" t="n">
        <v>3</v>
      </c>
      <c r="R74" t="inlineStr">
        <is>
          <t>TEAM 1</t>
        </is>
      </c>
      <c r="S74" t="inlineStr">
        <is>
          <t>Genji</t>
        </is>
      </c>
    </row>
    <row r="75">
      <c r="A75" t="n">
        <v>3</v>
      </c>
      <c r="B75" t="n">
        <v>1</v>
      </c>
      <c r="C75" t="n">
        <v>3</v>
      </c>
      <c r="D75" t="n">
        <v>3</v>
      </c>
      <c r="E75" t="inlineStr">
        <is>
          <t>2026-04-10</t>
        </is>
      </c>
      <c r="F75" t="inlineStr">
        <is>
          <t>Round Robin</t>
        </is>
      </c>
      <c r="G75" t="inlineStr">
        <is>
          <t>T1</t>
        </is>
      </c>
      <c r="H75" t="inlineStr">
        <is>
          <t>CR</t>
        </is>
      </c>
      <c r="I75" t="inlineStr">
        <is>
          <t>Suravasa</t>
        </is>
      </c>
      <c r="J75" t="inlineStr">
        <is>
          <t>Flashpoint</t>
        </is>
      </c>
      <c r="L75" t="inlineStr">
        <is>
          <t>T1</t>
        </is>
      </c>
      <c r="M75" t="inlineStr">
        <is>
          <t>Kiriko</t>
        </is>
      </c>
      <c r="N75" t="inlineStr">
        <is>
          <t>Tracer</t>
        </is>
      </c>
      <c r="O75">
        <f>TEXT(E75, "yymmdd") &amp; "_" &amp; G75 &amp; "_" &amp; H75 &amp; "_S" &amp; D75</f>
        <v/>
      </c>
      <c r="P75" t="n">
        <v>3</v>
      </c>
      <c r="Q75" t="n">
        <v>2</v>
      </c>
      <c r="R75" t="inlineStr">
        <is>
          <t>TEAM 1</t>
        </is>
      </c>
      <c r="S75" t="inlineStr">
        <is>
          <t>Kiriko</t>
        </is>
      </c>
    </row>
    <row r="76">
      <c r="A76" t="n">
        <v>3</v>
      </c>
      <c r="B76" t="n">
        <v>1</v>
      </c>
      <c r="C76" t="n">
        <v>3</v>
      </c>
      <c r="D76" t="n">
        <v>4</v>
      </c>
      <c r="E76" t="inlineStr">
        <is>
          <t>2026-04-10</t>
        </is>
      </c>
      <c r="F76" t="inlineStr">
        <is>
          <t>Round Robin</t>
        </is>
      </c>
      <c r="G76" t="inlineStr">
        <is>
          <t>T1</t>
        </is>
      </c>
      <c r="H76" t="inlineStr">
        <is>
          <t>CR</t>
        </is>
      </c>
      <c r="I76" t="inlineStr">
        <is>
          <t>Blizzard World</t>
        </is>
      </c>
      <c r="J76" t="inlineStr">
        <is>
          <t>Hybrid</t>
        </is>
      </c>
      <c r="L76" t="inlineStr">
        <is>
          <t>T1</t>
        </is>
      </c>
      <c r="M76" t="inlineStr">
        <is>
          <t>Winston</t>
        </is>
      </c>
      <c r="N76" t="inlineStr">
        <is>
          <t>Ana</t>
        </is>
      </c>
      <c r="O76">
        <f>TEXT(E76, "yymmdd") &amp; "_" &amp; G76 &amp; "_" &amp; H76 &amp; "_S" &amp; D76</f>
        <v/>
      </c>
      <c r="P76" t="n">
        <v>2</v>
      </c>
      <c r="Q76" t="n">
        <v>1</v>
      </c>
      <c r="R76" t="inlineStr">
        <is>
          <t>TEAM 2</t>
        </is>
      </c>
      <c r="S76" t="inlineStr">
        <is>
          <t>Ana</t>
        </is>
      </c>
    </row>
    <row r="77">
      <c r="A77" t="n">
        <v>3</v>
      </c>
      <c r="B77" t="n">
        <v>1</v>
      </c>
      <c r="C77" t="n">
        <v>3</v>
      </c>
      <c r="D77" t="n">
        <v>5</v>
      </c>
      <c r="E77" t="inlineStr">
        <is>
          <t>2026-04-10</t>
        </is>
      </c>
      <c r="F77" t="inlineStr">
        <is>
          <t>Round Robin</t>
        </is>
      </c>
      <c r="G77" t="inlineStr">
        <is>
          <t>T1</t>
        </is>
      </c>
      <c r="H77" t="inlineStr">
        <is>
          <t>CR</t>
        </is>
      </c>
      <c r="I77" t="inlineStr">
        <is>
          <t>Aatlis</t>
        </is>
      </c>
      <c r="J77" t="inlineStr">
        <is>
          <t>Flashpoint</t>
        </is>
      </c>
      <c r="L77" t="inlineStr">
        <is>
          <t>T1</t>
        </is>
      </c>
      <c r="M77" t="inlineStr">
        <is>
          <t>Vendetta</t>
        </is>
      </c>
      <c r="N77" t="inlineStr">
        <is>
          <t>Doomfist</t>
        </is>
      </c>
      <c r="O77">
        <f>TEXT(E77, "yymmdd") &amp; "_" &amp; G77 &amp; "_" &amp; H77 &amp; "_S" &amp; D77</f>
        <v/>
      </c>
      <c r="P77" t="n">
        <v>3</v>
      </c>
      <c r="Q77" t="n">
        <v>1</v>
      </c>
      <c r="R77" t="inlineStr">
        <is>
          <t>TEAM 2</t>
        </is>
      </c>
      <c r="S77" t="inlineStr">
        <is>
          <t>Doomfist</t>
        </is>
      </c>
    </row>
    <row r="78">
      <c r="A78" t="n">
        <v>3</v>
      </c>
      <c r="B78" t="n">
        <v>1</v>
      </c>
      <c r="C78" t="n">
        <v>4</v>
      </c>
      <c r="D78" t="n">
        <v>1</v>
      </c>
      <c r="E78" t="inlineStr">
        <is>
          <t>2026-04-11</t>
        </is>
      </c>
      <c r="F78" t="inlineStr">
        <is>
          <t>Round Robin</t>
        </is>
      </c>
      <c r="G78" t="inlineStr">
        <is>
          <t>ERA</t>
        </is>
      </c>
      <c r="H78" t="inlineStr">
        <is>
          <t>ZAN</t>
        </is>
      </c>
      <c r="I78" t="inlineStr">
        <is>
          <t>Busan</t>
        </is>
      </c>
      <c r="J78" t="inlineStr">
        <is>
          <t>Control</t>
        </is>
      </c>
      <c r="L78" t="inlineStr">
        <is>
          <t>ZAN</t>
        </is>
      </c>
      <c r="M78" t="inlineStr">
        <is>
          <t>Zarya</t>
        </is>
      </c>
      <c r="N78" t="inlineStr">
        <is>
          <t>Juno</t>
        </is>
      </c>
      <c r="O78">
        <f>TEXT(E78, "yymmdd") &amp; "_" &amp; G78 &amp; "_" &amp; H78 &amp; "_S" &amp; D78</f>
        <v/>
      </c>
      <c r="P78" t="n">
        <v>0</v>
      </c>
      <c r="Q78" t="n">
        <v>2</v>
      </c>
      <c r="R78" t="inlineStr">
        <is>
          <t>TEAM 2</t>
        </is>
      </c>
      <c r="S78" t="inlineStr">
        <is>
          <t>Juno</t>
        </is>
      </c>
    </row>
    <row r="79">
      <c r="A79" t="n">
        <v>3</v>
      </c>
      <c r="B79" t="n">
        <v>1</v>
      </c>
      <c r="C79" t="n">
        <v>4</v>
      </c>
      <c r="D79" t="n">
        <v>2</v>
      </c>
      <c r="E79" t="inlineStr">
        <is>
          <t>2026-04-11</t>
        </is>
      </c>
      <c r="F79" t="inlineStr">
        <is>
          <t>Round Robin</t>
        </is>
      </c>
      <c r="G79" t="inlineStr">
        <is>
          <t>ERA</t>
        </is>
      </c>
      <c r="H79" t="inlineStr">
        <is>
          <t>ZAN</t>
        </is>
      </c>
      <c r="I79" t="inlineStr">
        <is>
          <t>Esperança</t>
        </is>
      </c>
      <c r="J79" t="inlineStr">
        <is>
          <t>Push</t>
        </is>
      </c>
      <c r="L79" t="inlineStr">
        <is>
          <t>ZAN</t>
        </is>
      </c>
      <c r="M79" t="inlineStr">
        <is>
          <t>Hazard</t>
        </is>
      </c>
      <c r="N79" t="inlineStr">
        <is>
          <t>Mizuki</t>
        </is>
      </c>
      <c r="O79">
        <f>TEXT(E79, "yymmdd") &amp; "_" &amp; G79 &amp; "_" &amp; H79 &amp; "_S" &amp; D79</f>
        <v/>
      </c>
      <c r="P79" t="n">
        <v>0</v>
      </c>
      <c r="Q79" t="n">
        <v>142.41</v>
      </c>
      <c r="R79" t="inlineStr">
        <is>
          <t>TEAM 1</t>
        </is>
      </c>
      <c r="S79" t="inlineStr">
        <is>
          <t>Hazard</t>
        </is>
      </c>
    </row>
    <row r="80">
      <c r="A80" t="n">
        <v>3</v>
      </c>
      <c r="B80" t="n">
        <v>1</v>
      </c>
      <c r="C80" t="n">
        <v>4</v>
      </c>
      <c r="D80" t="n">
        <v>3</v>
      </c>
      <c r="E80" t="inlineStr">
        <is>
          <t>2026-04-11</t>
        </is>
      </c>
      <c r="F80" t="inlineStr">
        <is>
          <t>Round Robin</t>
        </is>
      </c>
      <c r="G80" t="inlineStr">
        <is>
          <t>ERA</t>
        </is>
      </c>
      <c r="H80" t="inlineStr">
        <is>
          <t>ZAN</t>
        </is>
      </c>
      <c r="I80" t="inlineStr">
        <is>
          <t>Havana</t>
        </is>
      </c>
      <c r="J80" t="inlineStr">
        <is>
          <t>Escort</t>
        </is>
      </c>
      <c r="L80" t="inlineStr">
        <is>
          <t>ZAN</t>
        </is>
      </c>
      <c r="M80" t="inlineStr">
        <is>
          <t>Tracer</t>
        </is>
      </c>
      <c r="N80" t="inlineStr">
        <is>
          <t>Kiriko</t>
        </is>
      </c>
      <c r="O80">
        <f>TEXT(E80, "yymmdd") &amp; "_" &amp; G80 &amp; "_" &amp; H80 &amp; "_S" &amp; D80</f>
        <v/>
      </c>
      <c r="P80" t="n">
        <v>0</v>
      </c>
      <c r="Q80" t="n">
        <v>3</v>
      </c>
      <c r="R80" t="inlineStr">
        <is>
          <t>TEAM 1</t>
        </is>
      </c>
      <c r="S80" t="inlineStr">
        <is>
          <t>Tracer</t>
        </is>
      </c>
    </row>
    <row r="81">
      <c r="A81" t="n">
        <v>3</v>
      </c>
      <c r="B81" t="n">
        <v>1</v>
      </c>
      <c r="C81" t="n">
        <v>5</v>
      </c>
      <c r="D81" t="n">
        <v>1</v>
      </c>
      <c r="E81" t="inlineStr">
        <is>
          <t>2026-04-11</t>
        </is>
      </c>
      <c r="F81" t="inlineStr">
        <is>
          <t>Round Robin</t>
        </is>
      </c>
      <c r="G81" t="inlineStr">
        <is>
          <t>ZETA</t>
        </is>
      </c>
      <c r="H81" t="inlineStr">
        <is>
          <t>OSG</t>
        </is>
      </c>
      <c r="I81" t="inlineStr">
        <is>
          <t>Oasis</t>
        </is>
      </c>
      <c r="J81" t="inlineStr">
        <is>
          <t>Control</t>
        </is>
      </c>
      <c r="L81" t="inlineStr">
        <is>
          <t>OSG</t>
        </is>
      </c>
      <c r="M81" t="inlineStr">
        <is>
          <t>Cassidy</t>
        </is>
      </c>
      <c r="N81" t="inlineStr">
        <is>
          <t>Ana</t>
        </is>
      </c>
      <c r="O81">
        <f>TEXT(E81, "yymmdd") &amp; "_" &amp; G81 &amp; "_" &amp; H81 &amp; "_S" &amp; D81</f>
        <v/>
      </c>
      <c r="P81" t="n">
        <v>0</v>
      </c>
      <c r="Q81" t="n">
        <v>2</v>
      </c>
      <c r="R81" t="inlineStr">
        <is>
          <t>TEAM 2</t>
        </is>
      </c>
      <c r="S81" t="inlineStr">
        <is>
          <t>Ana</t>
        </is>
      </c>
    </row>
    <row r="82">
      <c r="A82" t="n">
        <v>3</v>
      </c>
      <c r="B82" t="n">
        <v>1</v>
      </c>
      <c r="C82" t="n">
        <v>5</v>
      </c>
      <c r="D82" t="n">
        <v>2</v>
      </c>
      <c r="E82" t="inlineStr">
        <is>
          <t>2026-04-11</t>
        </is>
      </c>
      <c r="F82" t="inlineStr">
        <is>
          <t>Round Robin</t>
        </is>
      </c>
      <c r="G82" t="inlineStr">
        <is>
          <t>ZETA</t>
        </is>
      </c>
      <c r="H82" t="inlineStr">
        <is>
          <t>OSG</t>
        </is>
      </c>
      <c r="I82" t="inlineStr">
        <is>
          <t>Blizzard World</t>
        </is>
      </c>
      <c r="J82" t="inlineStr">
        <is>
          <t>Hybrid</t>
        </is>
      </c>
      <c r="L82" t="inlineStr">
        <is>
          <t>ZETA</t>
        </is>
      </c>
      <c r="M82" t="inlineStr">
        <is>
          <t>D.Va</t>
        </is>
      </c>
      <c r="N82" t="inlineStr">
        <is>
          <t>Illari</t>
        </is>
      </c>
      <c r="O82">
        <f>TEXT(E82, "yymmdd") &amp; "_" &amp; G82 &amp; "_" &amp; H82 &amp; "_S" &amp; D82</f>
        <v/>
      </c>
      <c r="P82" t="n">
        <v>3</v>
      </c>
      <c r="Q82" t="n">
        <v>0</v>
      </c>
      <c r="R82" t="inlineStr">
        <is>
          <t>TEAM 1</t>
        </is>
      </c>
      <c r="S82" t="inlineStr">
        <is>
          <t>D.Va</t>
        </is>
      </c>
    </row>
    <row r="83">
      <c r="A83" t="n">
        <v>3</v>
      </c>
      <c r="B83" t="n">
        <v>1</v>
      </c>
      <c r="C83" t="n">
        <v>5</v>
      </c>
      <c r="D83" t="n">
        <v>3</v>
      </c>
      <c r="E83" t="inlineStr">
        <is>
          <t>2026-04-11</t>
        </is>
      </c>
      <c r="F83" t="inlineStr">
        <is>
          <t>Round Robin</t>
        </is>
      </c>
      <c r="G83" t="inlineStr">
        <is>
          <t>ZETA</t>
        </is>
      </c>
      <c r="H83" t="inlineStr">
        <is>
          <t>OSG</t>
        </is>
      </c>
      <c r="I83" t="inlineStr">
        <is>
          <t>Runasapi</t>
        </is>
      </c>
      <c r="J83" t="inlineStr">
        <is>
          <t>Push</t>
        </is>
      </c>
      <c r="L83" t="inlineStr">
        <is>
          <t>OSG</t>
        </is>
      </c>
      <c r="M83" t="inlineStr">
        <is>
          <t>Hazard</t>
        </is>
      </c>
      <c r="N83" t="inlineStr">
        <is>
          <t>Juno</t>
        </is>
      </c>
      <c r="O83">
        <f>TEXT(E83, "yymmdd") &amp; "_" &amp; G83 &amp; "_" &amp; H83 &amp; "_S" &amp; D83</f>
        <v/>
      </c>
      <c r="P83" t="n">
        <v>114.91</v>
      </c>
      <c r="Q83" t="n">
        <v>119.29</v>
      </c>
      <c r="R83" t="inlineStr">
        <is>
          <t>TEAM 2</t>
        </is>
      </c>
      <c r="S83" t="inlineStr">
        <is>
          <t>Juno</t>
        </is>
      </c>
    </row>
    <row r="84">
      <c r="A84" t="n">
        <v>3</v>
      </c>
      <c r="B84" t="n">
        <v>1</v>
      </c>
      <c r="C84" t="n">
        <v>5</v>
      </c>
      <c r="D84" t="n">
        <v>4</v>
      </c>
      <c r="E84" t="inlineStr">
        <is>
          <t>2026-04-11</t>
        </is>
      </c>
      <c r="F84" t="inlineStr">
        <is>
          <t>Round Robin</t>
        </is>
      </c>
      <c r="G84" t="inlineStr">
        <is>
          <t>ZETA</t>
        </is>
      </c>
      <c r="H84" t="inlineStr">
        <is>
          <t>OSG</t>
        </is>
      </c>
      <c r="I84" t="inlineStr">
        <is>
          <t>Watchpoint: Gibraltar</t>
        </is>
      </c>
      <c r="J84" t="inlineStr">
        <is>
          <t>Escort</t>
        </is>
      </c>
      <c r="L84" t="inlineStr">
        <is>
          <t>ZETA</t>
        </is>
      </c>
      <c r="M84" t="inlineStr">
        <is>
          <t>Brigitte</t>
        </is>
      </c>
      <c r="N84" t="inlineStr">
        <is>
          <t>Winston</t>
        </is>
      </c>
      <c r="O84">
        <f>TEXT(E84, "yymmdd") &amp; "_" &amp; G84 &amp; "_" &amp; H84 &amp; "_S" &amp; D84</f>
        <v/>
      </c>
      <c r="P84" t="n">
        <v>3</v>
      </c>
      <c r="Q84" t="n">
        <v>0</v>
      </c>
      <c r="R84" t="inlineStr">
        <is>
          <t>TEAM 1</t>
        </is>
      </c>
      <c r="S84" t="inlineStr">
        <is>
          <t>Brigitte</t>
        </is>
      </c>
    </row>
    <row r="85">
      <c r="A85" t="n">
        <v>3</v>
      </c>
      <c r="B85" t="n">
        <v>1</v>
      </c>
      <c r="C85" t="n">
        <v>5</v>
      </c>
      <c r="D85" t="n">
        <v>5</v>
      </c>
      <c r="E85" t="inlineStr">
        <is>
          <t>2026-04-11</t>
        </is>
      </c>
      <c r="F85" t="inlineStr">
        <is>
          <t>Round Robin</t>
        </is>
      </c>
      <c r="G85" t="inlineStr">
        <is>
          <t>ZETA</t>
        </is>
      </c>
      <c r="H85" t="inlineStr">
        <is>
          <t>OSG</t>
        </is>
      </c>
      <c r="I85" t="inlineStr">
        <is>
          <t>Busan</t>
        </is>
      </c>
      <c r="J85" t="inlineStr">
        <is>
          <t>Control</t>
        </is>
      </c>
      <c r="L85" t="inlineStr">
        <is>
          <t>ZETA</t>
        </is>
      </c>
      <c r="M85" t="inlineStr">
        <is>
          <t>Vendetta</t>
        </is>
      </c>
      <c r="N85" t="inlineStr">
        <is>
          <t>Brigitte</t>
        </is>
      </c>
      <c r="O85">
        <f>TEXT(E85, "yymmdd") &amp; "_" &amp; G85 &amp; "_" &amp; H85 &amp; "_S" &amp; D85</f>
        <v/>
      </c>
      <c r="P85" t="n">
        <v>2</v>
      </c>
      <c r="Q85" t="n">
        <v>0</v>
      </c>
      <c r="R85" t="inlineStr">
        <is>
          <t>TEAM 2</t>
        </is>
      </c>
      <c r="S85" t="inlineStr">
        <is>
          <t>Brigitte</t>
        </is>
      </c>
    </row>
    <row r="86">
      <c r="A86" t="n">
        <v>3</v>
      </c>
      <c r="B86" t="n">
        <v>1</v>
      </c>
      <c r="C86" t="n">
        <v>6</v>
      </c>
      <c r="D86" t="n">
        <v>1</v>
      </c>
      <c r="E86" t="inlineStr">
        <is>
          <t>2026-04-11</t>
        </is>
      </c>
      <c r="F86" t="inlineStr">
        <is>
          <t>Round Robin</t>
        </is>
      </c>
      <c r="G86" t="inlineStr">
        <is>
          <t>CB</t>
        </is>
      </c>
      <c r="H86" t="inlineStr">
        <is>
          <t>T1</t>
        </is>
      </c>
      <c r="I86" t="inlineStr">
        <is>
          <t>Lijiang Tower</t>
        </is>
      </c>
      <c r="J86" t="inlineStr">
        <is>
          <t>Control</t>
        </is>
      </c>
      <c r="L86" t="inlineStr">
        <is>
          <t>T1</t>
        </is>
      </c>
      <c r="M86" t="inlineStr">
        <is>
          <t>Jetpack Cat</t>
        </is>
      </c>
      <c r="N86" t="inlineStr">
        <is>
          <t>Cassidy</t>
        </is>
      </c>
      <c r="O86">
        <f>TEXT(E86, "yymmdd") &amp; "_" &amp; G86 &amp; "_" &amp; H86 &amp; "_S" &amp; D86</f>
        <v/>
      </c>
      <c r="P86" t="n">
        <v>0</v>
      </c>
      <c r="Q86" t="n">
        <v>2</v>
      </c>
      <c r="R86" t="inlineStr">
        <is>
          <t>TEAM 2</t>
        </is>
      </c>
      <c r="S86" t="inlineStr">
        <is>
          <t>Cassidy</t>
        </is>
      </c>
    </row>
    <row r="87">
      <c r="A87" t="n">
        <v>3</v>
      </c>
      <c r="B87" t="n">
        <v>1</v>
      </c>
      <c r="C87" t="n">
        <v>6</v>
      </c>
      <c r="D87" t="n">
        <v>2</v>
      </c>
      <c r="E87" t="inlineStr">
        <is>
          <t>2026-04-11</t>
        </is>
      </c>
      <c r="F87" t="inlineStr">
        <is>
          <t>Round Robin</t>
        </is>
      </c>
      <c r="G87" t="inlineStr">
        <is>
          <t>CB</t>
        </is>
      </c>
      <c r="H87" t="inlineStr">
        <is>
          <t>T1</t>
        </is>
      </c>
      <c r="I87" t="inlineStr">
        <is>
          <t>Havana</t>
        </is>
      </c>
      <c r="J87" t="inlineStr">
        <is>
          <t>Escort</t>
        </is>
      </c>
      <c r="L87" t="inlineStr">
        <is>
          <t>T1</t>
        </is>
      </c>
      <c r="M87" t="inlineStr">
        <is>
          <t>Mauga</t>
        </is>
      </c>
      <c r="N87" t="inlineStr">
        <is>
          <t>Ana</t>
        </is>
      </c>
      <c r="O87">
        <f>TEXT(E87, "yymmdd") &amp; "_" &amp; G87 &amp; "_" &amp; H87 &amp; "_S" &amp; D87</f>
        <v/>
      </c>
      <c r="P87" t="n">
        <v>0</v>
      </c>
      <c r="Q87" t="n">
        <v>1</v>
      </c>
      <c r="R87" t="inlineStr">
        <is>
          <t>TEAM 1</t>
        </is>
      </c>
      <c r="S87" t="inlineStr">
        <is>
          <t>Mauga</t>
        </is>
      </c>
    </row>
    <row r="88">
      <c r="A88" t="n">
        <v>3</v>
      </c>
      <c r="B88" t="n">
        <v>1</v>
      </c>
      <c r="C88" t="n">
        <v>6</v>
      </c>
      <c r="D88" t="n">
        <v>3</v>
      </c>
      <c r="E88" t="inlineStr">
        <is>
          <t>2026-04-11</t>
        </is>
      </c>
      <c r="F88" t="inlineStr">
        <is>
          <t>Round Robin</t>
        </is>
      </c>
      <c r="G88" t="inlineStr">
        <is>
          <t>CB</t>
        </is>
      </c>
      <c r="H88" t="inlineStr">
        <is>
          <t>T1</t>
        </is>
      </c>
      <c r="I88" t="inlineStr">
        <is>
          <t>Blizzard World</t>
        </is>
      </c>
      <c r="J88" t="inlineStr">
        <is>
          <t>Hybrid</t>
        </is>
      </c>
      <c r="L88" t="inlineStr">
        <is>
          <t>T1</t>
        </is>
      </c>
      <c r="M88" t="inlineStr">
        <is>
          <t>Hazard</t>
        </is>
      </c>
      <c r="N88" t="inlineStr">
        <is>
          <t>Lucio</t>
        </is>
      </c>
      <c r="O88">
        <f>TEXT(E88, "yymmdd") &amp; "_" &amp; G88 &amp; "_" &amp; H88 &amp; "_S" &amp; D88</f>
        <v/>
      </c>
      <c r="P88" t="n">
        <v>1</v>
      </c>
      <c r="Q88" t="n">
        <v>2</v>
      </c>
      <c r="R88" t="inlineStr">
        <is>
          <t>TEAM 1</t>
        </is>
      </c>
      <c r="S88" t="inlineStr">
        <is>
          <t>Hazard</t>
        </is>
      </c>
    </row>
    <row r="89">
      <c r="A89" t="n">
        <v>3</v>
      </c>
      <c r="B89" t="n">
        <v>1</v>
      </c>
      <c r="C89" t="n">
        <v>7</v>
      </c>
      <c r="D89" t="n">
        <v>1</v>
      </c>
      <c r="E89" t="inlineStr">
        <is>
          <t>2026-04-12</t>
        </is>
      </c>
      <c r="F89" t="inlineStr">
        <is>
          <t>Round Robin</t>
        </is>
      </c>
      <c r="G89" t="inlineStr">
        <is>
          <t>FLC</t>
        </is>
      </c>
      <c r="H89" t="inlineStr">
        <is>
          <t>ZAN</t>
        </is>
      </c>
      <c r="I89" t="inlineStr">
        <is>
          <t>Lijiang Tower</t>
        </is>
      </c>
      <c r="J89" t="inlineStr">
        <is>
          <t>Control</t>
        </is>
      </c>
      <c r="L89" t="inlineStr">
        <is>
          <t>FLC</t>
        </is>
      </c>
      <c r="M89" t="inlineStr">
        <is>
          <t>Hazard</t>
        </is>
      </c>
      <c r="N89" t="inlineStr">
        <is>
          <t>Juno</t>
        </is>
      </c>
      <c r="O89">
        <f>TEXT(E89, "yymmdd") &amp; "_" &amp; G89 &amp; "_" &amp; H89 &amp; "_S" &amp; D89</f>
        <v/>
      </c>
      <c r="P89" t="n">
        <v>2</v>
      </c>
      <c r="Q89" t="n">
        <v>1</v>
      </c>
      <c r="R89" t="inlineStr">
        <is>
          <t>TEAM 2</t>
        </is>
      </c>
      <c r="S89" t="inlineStr">
        <is>
          <t>Juno</t>
        </is>
      </c>
    </row>
    <row r="90">
      <c r="A90" t="n">
        <v>3</v>
      </c>
      <c r="B90" t="n">
        <v>1</v>
      </c>
      <c r="C90" t="n">
        <v>7</v>
      </c>
      <c r="D90" t="n">
        <v>2</v>
      </c>
      <c r="E90" t="inlineStr">
        <is>
          <t>2026-04-12</t>
        </is>
      </c>
      <c r="F90" t="inlineStr">
        <is>
          <t>Round Robin</t>
        </is>
      </c>
      <c r="G90" t="inlineStr">
        <is>
          <t>FLC</t>
        </is>
      </c>
      <c r="H90" t="inlineStr">
        <is>
          <t>ZAN</t>
        </is>
      </c>
      <c r="I90" t="inlineStr">
        <is>
          <t>Suravasa</t>
        </is>
      </c>
      <c r="J90" t="inlineStr">
        <is>
          <t>Flashpoint</t>
        </is>
      </c>
      <c r="L90" t="inlineStr">
        <is>
          <t>FLC</t>
        </is>
      </c>
      <c r="M90" t="inlineStr">
        <is>
          <t>Lifeweaver</t>
        </is>
      </c>
      <c r="N90" t="inlineStr">
        <is>
          <t>Tracer</t>
        </is>
      </c>
      <c r="O90">
        <f>TEXT(E90, "yymmdd") &amp; "_" &amp; G90 &amp; "_" &amp; H90 &amp; "_S" &amp; D90</f>
        <v/>
      </c>
      <c r="P90" t="n">
        <v>3</v>
      </c>
      <c r="Q90" t="n">
        <v>1</v>
      </c>
      <c r="R90" t="inlineStr">
        <is>
          <t>TEAM 2</t>
        </is>
      </c>
      <c r="S90" t="inlineStr">
        <is>
          <t>Tracer</t>
        </is>
      </c>
    </row>
    <row r="91">
      <c r="A91" t="n">
        <v>3</v>
      </c>
      <c r="B91" t="n">
        <v>1</v>
      </c>
      <c r="C91" t="n">
        <v>7</v>
      </c>
      <c r="D91" t="n">
        <v>3</v>
      </c>
      <c r="E91" t="inlineStr">
        <is>
          <t>2026-04-12</t>
        </is>
      </c>
      <c r="F91" t="inlineStr">
        <is>
          <t>Round Robin</t>
        </is>
      </c>
      <c r="G91" t="inlineStr">
        <is>
          <t>FLC</t>
        </is>
      </c>
      <c r="H91" t="inlineStr">
        <is>
          <t>ZAN</t>
        </is>
      </c>
      <c r="I91" t="inlineStr">
        <is>
          <t>Watchpoint: Gibraltar</t>
        </is>
      </c>
      <c r="J91" t="inlineStr">
        <is>
          <t>Escort</t>
        </is>
      </c>
      <c r="L91" t="inlineStr">
        <is>
          <t>FLC</t>
        </is>
      </c>
      <c r="M91" t="inlineStr">
        <is>
          <t>Vendetta</t>
        </is>
      </c>
      <c r="N91" t="inlineStr">
        <is>
          <t>Ana</t>
        </is>
      </c>
      <c r="O91">
        <f>TEXT(E91, "yymmdd") &amp; "_" &amp; G91 &amp; "_" &amp; H91 &amp; "_S" &amp; D91</f>
        <v/>
      </c>
      <c r="P91" t="n">
        <v>3</v>
      </c>
      <c r="Q91" t="n">
        <v>0</v>
      </c>
      <c r="R91" t="inlineStr">
        <is>
          <t>TEAM 2</t>
        </is>
      </c>
      <c r="S91" t="inlineStr">
        <is>
          <t>Ana</t>
        </is>
      </c>
    </row>
    <row r="92">
      <c r="A92" t="n">
        <v>3</v>
      </c>
      <c r="B92" t="n">
        <v>1</v>
      </c>
      <c r="C92" t="n">
        <v>8</v>
      </c>
      <c r="D92" t="n">
        <v>1</v>
      </c>
      <c r="E92" t="inlineStr">
        <is>
          <t>2026-04-12</t>
        </is>
      </c>
      <c r="F92" t="inlineStr">
        <is>
          <t>Round Robin</t>
        </is>
      </c>
      <c r="G92" t="inlineStr">
        <is>
          <t>PF</t>
        </is>
      </c>
      <c r="H92" t="inlineStr">
        <is>
          <t>CR</t>
        </is>
      </c>
      <c r="I92" t="inlineStr">
        <is>
          <t>Lijiang Tower</t>
        </is>
      </c>
      <c r="J92" t="inlineStr">
        <is>
          <t>Control</t>
        </is>
      </c>
      <c r="L92" t="inlineStr">
        <is>
          <t>CR</t>
        </is>
      </c>
      <c r="M92" t="inlineStr">
        <is>
          <t>Pharah</t>
        </is>
      </c>
      <c r="N92" t="inlineStr">
        <is>
          <t>D.Va</t>
        </is>
      </c>
      <c r="O92">
        <f>TEXT(E92, "yymmdd") &amp; "_" &amp; G92 &amp; "_" &amp; H92 &amp; "_S" &amp; D92</f>
        <v/>
      </c>
      <c r="P92" t="n">
        <v>0</v>
      </c>
      <c r="Q92" t="n">
        <v>2</v>
      </c>
      <c r="R92" t="inlineStr">
        <is>
          <t>TEAM 2</t>
        </is>
      </c>
      <c r="S92" t="inlineStr">
        <is>
          <t>D.Va</t>
        </is>
      </c>
    </row>
    <row r="93">
      <c r="A93" t="n">
        <v>3</v>
      </c>
      <c r="B93" t="n">
        <v>1</v>
      </c>
      <c r="C93" t="n">
        <v>8</v>
      </c>
      <c r="D93" t="n">
        <v>2</v>
      </c>
      <c r="E93" t="inlineStr">
        <is>
          <t>2026-04-12</t>
        </is>
      </c>
      <c r="F93" t="inlineStr">
        <is>
          <t>Round Robin</t>
        </is>
      </c>
      <c r="G93" t="inlineStr">
        <is>
          <t>PF</t>
        </is>
      </c>
      <c r="H93" t="inlineStr">
        <is>
          <t>CR</t>
        </is>
      </c>
      <c r="I93" t="inlineStr">
        <is>
          <t>Numbani</t>
        </is>
      </c>
      <c r="J93" t="inlineStr">
        <is>
          <t>Hybrid</t>
        </is>
      </c>
      <c r="L93" t="inlineStr">
        <is>
          <t>CR</t>
        </is>
      </c>
      <c r="M93" t="inlineStr">
        <is>
          <t>Tracer</t>
        </is>
      </c>
      <c r="N93" t="inlineStr">
        <is>
          <t>Hazard</t>
        </is>
      </c>
      <c r="O93">
        <f>TEXT(E93, "yymmdd") &amp; "_" &amp; G93 &amp; "_" &amp; H93 &amp; "_S" &amp; D93</f>
        <v/>
      </c>
      <c r="P93" t="n">
        <v>0</v>
      </c>
      <c r="Q93" t="n">
        <v>2</v>
      </c>
      <c r="R93" t="inlineStr">
        <is>
          <t>TEAM 1</t>
        </is>
      </c>
      <c r="S93" t="inlineStr">
        <is>
          <t>Tracer</t>
        </is>
      </c>
    </row>
    <row r="94">
      <c r="A94" t="n">
        <v>3</v>
      </c>
      <c r="B94" t="n">
        <v>1</v>
      </c>
      <c r="C94" t="n">
        <v>8</v>
      </c>
      <c r="D94" t="n">
        <v>3</v>
      </c>
      <c r="E94" t="inlineStr">
        <is>
          <t>2026-04-12</t>
        </is>
      </c>
      <c r="F94" t="inlineStr">
        <is>
          <t>Round Robin</t>
        </is>
      </c>
      <c r="G94" t="inlineStr">
        <is>
          <t>PF</t>
        </is>
      </c>
      <c r="H94" t="inlineStr">
        <is>
          <t>CR</t>
        </is>
      </c>
      <c r="I94" t="inlineStr">
        <is>
          <t>Aatlis</t>
        </is>
      </c>
      <c r="J94" t="inlineStr">
        <is>
          <t>Flashpoint</t>
        </is>
      </c>
      <c r="L94" t="inlineStr">
        <is>
          <t>CR</t>
        </is>
      </c>
      <c r="M94" t="inlineStr">
        <is>
          <t>Zarya</t>
        </is>
      </c>
      <c r="N94" t="inlineStr">
        <is>
          <t>Kiriko</t>
        </is>
      </c>
      <c r="O94">
        <f>TEXT(E94, "yymmdd") &amp; "_" &amp; G94 &amp; "_" &amp; H94 &amp; "_S" &amp; D94</f>
        <v/>
      </c>
      <c r="P94" t="n">
        <v>2</v>
      </c>
      <c r="Q94" t="n">
        <v>3</v>
      </c>
      <c r="R94" t="inlineStr">
        <is>
          <t>TEAM 1</t>
        </is>
      </c>
      <c r="S94" t="inlineStr">
        <is>
          <t>Zarya</t>
        </is>
      </c>
    </row>
    <row r="95">
      <c r="A95" t="n">
        <v>3</v>
      </c>
      <c r="B95" t="n">
        <v>1</v>
      </c>
      <c r="C95" t="n">
        <v>9</v>
      </c>
      <c r="D95" t="n">
        <v>1</v>
      </c>
      <c r="E95" t="inlineStr">
        <is>
          <t>2026-04-12</t>
        </is>
      </c>
      <c r="F95" t="inlineStr">
        <is>
          <t>Round Robin</t>
        </is>
      </c>
      <c r="G95" t="inlineStr">
        <is>
          <t>ZETA</t>
        </is>
      </c>
      <c r="H95" t="inlineStr">
        <is>
          <t>ERA</t>
        </is>
      </c>
      <c r="I95" t="inlineStr">
        <is>
          <t>Oasis</t>
        </is>
      </c>
      <c r="J95" t="inlineStr">
        <is>
          <t>Control</t>
        </is>
      </c>
      <c r="L95" t="inlineStr">
        <is>
          <t>ZETA</t>
        </is>
      </c>
      <c r="M95" t="inlineStr">
        <is>
          <t>Roadhog</t>
        </is>
      </c>
      <c r="N95" t="inlineStr">
        <is>
          <t>Jetpack Cat</t>
        </is>
      </c>
      <c r="O95">
        <f>TEXT(E95, "yymmdd") &amp; "_" &amp; G95 &amp; "_" &amp; H95 &amp; "_S" &amp; D95</f>
        <v/>
      </c>
      <c r="P95" t="n">
        <v>2</v>
      </c>
      <c r="Q95" t="n">
        <v>0</v>
      </c>
      <c r="R95" t="inlineStr">
        <is>
          <t>TEAM 1</t>
        </is>
      </c>
      <c r="S95" t="inlineStr">
        <is>
          <t>Roadhog</t>
        </is>
      </c>
    </row>
    <row r="96">
      <c r="A96" t="n">
        <v>3</v>
      </c>
      <c r="B96" t="n">
        <v>1</v>
      </c>
      <c r="C96" t="n">
        <v>9</v>
      </c>
      <c r="D96" t="n">
        <v>2</v>
      </c>
      <c r="E96" t="inlineStr">
        <is>
          <t>2026-04-12</t>
        </is>
      </c>
      <c r="F96" t="inlineStr">
        <is>
          <t>Round Robin</t>
        </is>
      </c>
      <c r="G96" t="inlineStr">
        <is>
          <t>ZETA</t>
        </is>
      </c>
      <c r="H96" t="inlineStr">
        <is>
          <t>ERA</t>
        </is>
      </c>
      <c r="I96" t="inlineStr">
        <is>
          <t>Runasapi</t>
        </is>
      </c>
      <c r="J96" t="inlineStr">
        <is>
          <t>Push</t>
        </is>
      </c>
      <c r="L96" t="inlineStr">
        <is>
          <t>ZETA</t>
        </is>
      </c>
      <c r="M96" t="inlineStr">
        <is>
          <t>Lucio</t>
        </is>
      </c>
      <c r="N96" t="inlineStr">
        <is>
          <t>Tracer</t>
        </is>
      </c>
      <c r="O96">
        <f>TEXT(E96, "yymmdd") &amp; "_" &amp; G96 &amp; "_" &amp; H96 &amp; "_S" &amp; D96</f>
        <v/>
      </c>
      <c r="P96" t="n">
        <v>144.86</v>
      </c>
      <c r="Q96" t="n">
        <v>0</v>
      </c>
      <c r="R96" t="inlineStr">
        <is>
          <t>TEAM 2</t>
        </is>
      </c>
      <c r="S96" t="inlineStr">
        <is>
          <t>Tracer</t>
        </is>
      </c>
    </row>
    <row r="97">
      <c r="A97" t="n">
        <v>3</v>
      </c>
      <c r="B97" t="n">
        <v>1</v>
      </c>
      <c r="C97" t="n">
        <v>9</v>
      </c>
      <c r="D97" t="n">
        <v>3</v>
      </c>
      <c r="E97" t="inlineStr">
        <is>
          <t>2026-04-12</t>
        </is>
      </c>
      <c r="F97" t="inlineStr">
        <is>
          <t>Round Robin</t>
        </is>
      </c>
      <c r="G97" t="inlineStr">
        <is>
          <t>ZETA</t>
        </is>
      </c>
      <c r="H97" t="inlineStr">
        <is>
          <t>ERA</t>
        </is>
      </c>
      <c r="I97" t="inlineStr">
        <is>
          <t>Havana</t>
        </is>
      </c>
      <c r="J97" t="inlineStr">
        <is>
          <t>Escort</t>
        </is>
      </c>
      <c r="L97" t="inlineStr">
        <is>
          <t>ZETA</t>
        </is>
      </c>
      <c r="M97" t="inlineStr">
        <is>
          <t>Anran</t>
        </is>
      </c>
      <c r="N97" t="inlineStr">
        <is>
          <t>Illari</t>
        </is>
      </c>
      <c r="O97">
        <f>TEXT(E97, "yymmdd") &amp; "_" &amp; G97 &amp; "_" &amp; H97 &amp; "_S" &amp; D97</f>
        <v/>
      </c>
      <c r="P97" t="n">
        <v>3</v>
      </c>
      <c r="Q97" t="n">
        <v>1</v>
      </c>
      <c r="R97" t="inlineStr">
        <is>
          <t>TEAM 2</t>
        </is>
      </c>
      <c r="S97" t="inlineStr">
        <is>
          <t>Illari</t>
        </is>
      </c>
    </row>
    <row r="98">
      <c r="A98" t="n">
        <v>4</v>
      </c>
      <c r="B98" t="n">
        <v>1</v>
      </c>
      <c r="C98" t="n">
        <v>1</v>
      </c>
      <c r="D98" t="n">
        <v>1</v>
      </c>
      <c r="E98" t="inlineStr">
        <is>
          <t>2026-04-17</t>
        </is>
      </c>
      <c r="F98" t="inlineStr">
        <is>
          <t>Round Robin</t>
        </is>
      </c>
      <c r="G98" t="inlineStr">
        <is>
          <t>PF</t>
        </is>
      </c>
      <c r="H98" t="inlineStr">
        <is>
          <t>OSG</t>
        </is>
      </c>
      <c r="I98" t="inlineStr">
        <is>
          <t>Oasis</t>
        </is>
      </c>
      <c r="J98" t="inlineStr">
        <is>
          <t>Control</t>
        </is>
      </c>
      <c r="L98" t="inlineStr">
        <is>
          <t>OSG</t>
        </is>
      </c>
      <c r="M98" t="inlineStr">
        <is>
          <t>D.Va</t>
        </is>
      </c>
      <c r="N98" t="inlineStr">
        <is>
          <t>Pharah</t>
        </is>
      </c>
      <c r="O98">
        <f>TEXT(E98, "yymmdd") &amp; "_" &amp; G98 &amp; "_" &amp; H98 &amp; "_S" &amp; D98</f>
        <v/>
      </c>
      <c r="P98" t="n">
        <v>0</v>
      </c>
      <c r="Q98" t="n">
        <v>2</v>
      </c>
      <c r="R98" t="inlineStr">
        <is>
          <t>TEAM 1</t>
        </is>
      </c>
      <c r="S98" t="inlineStr">
        <is>
          <t>D.Va</t>
        </is>
      </c>
    </row>
    <row r="99">
      <c r="A99" t="n">
        <v>4</v>
      </c>
      <c r="B99" t="n">
        <v>1</v>
      </c>
      <c r="C99" t="n">
        <v>1</v>
      </c>
      <c r="D99" t="n">
        <v>2</v>
      </c>
      <c r="E99" t="inlineStr">
        <is>
          <t>2026-04-17</t>
        </is>
      </c>
      <c r="F99" t="inlineStr">
        <is>
          <t>Round Robin</t>
        </is>
      </c>
      <c r="G99" t="inlineStr">
        <is>
          <t>PF</t>
        </is>
      </c>
      <c r="H99" t="inlineStr">
        <is>
          <t>OSG</t>
        </is>
      </c>
      <c r="I99" t="inlineStr">
        <is>
          <t>Aatlis</t>
        </is>
      </c>
      <c r="J99" t="inlineStr">
        <is>
          <t>Flashpoint</t>
        </is>
      </c>
      <c r="L99" t="inlineStr">
        <is>
          <t>OSG</t>
        </is>
      </c>
      <c r="M99" t="inlineStr">
        <is>
          <t>Kiriko</t>
        </is>
      </c>
      <c r="N99" t="inlineStr">
        <is>
          <t>Mauga</t>
        </is>
      </c>
      <c r="O99">
        <f>TEXT(E99, "yymmdd") &amp; "_" &amp; G99 &amp; "_" &amp; H99 &amp; "_S" &amp; D99</f>
        <v/>
      </c>
      <c r="P99" t="n">
        <v>0</v>
      </c>
      <c r="Q99" t="n">
        <v>3</v>
      </c>
      <c r="R99" t="inlineStr">
        <is>
          <t>TEAM 1</t>
        </is>
      </c>
      <c r="S99" t="inlineStr">
        <is>
          <t>Kiriko</t>
        </is>
      </c>
    </row>
    <row r="100">
      <c r="A100" t="n">
        <v>4</v>
      </c>
      <c r="B100" t="n">
        <v>1</v>
      </c>
      <c r="C100" t="n">
        <v>1</v>
      </c>
      <c r="D100" t="n">
        <v>3</v>
      </c>
      <c r="E100" t="inlineStr">
        <is>
          <t>2026-04-17</t>
        </is>
      </c>
      <c r="F100" t="inlineStr">
        <is>
          <t>Round Robin</t>
        </is>
      </c>
      <c r="G100" t="inlineStr">
        <is>
          <t>PF</t>
        </is>
      </c>
      <c r="H100" t="inlineStr">
        <is>
          <t>OSG</t>
        </is>
      </c>
      <c r="I100" t="inlineStr">
        <is>
          <t>Rialto</t>
        </is>
      </c>
      <c r="J100" t="inlineStr">
        <is>
          <t>Escort</t>
        </is>
      </c>
      <c r="L100" t="inlineStr">
        <is>
          <t>OSG</t>
        </is>
      </c>
      <c r="M100" t="inlineStr">
        <is>
          <t>Hazard</t>
        </is>
      </c>
      <c r="N100" t="inlineStr">
        <is>
          <t>Ana</t>
        </is>
      </c>
      <c r="O100">
        <f>TEXT(E100, "yymmdd") &amp; "_" &amp; G100 &amp; "_" &amp; H100 &amp; "_S" &amp; D100</f>
        <v/>
      </c>
      <c r="P100" t="n">
        <v>3</v>
      </c>
      <c r="Q100" t="n">
        <v>4</v>
      </c>
      <c r="R100" t="inlineStr">
        <is>
          <t>TEAM 1</t>
        </is>
      </c>
      <c r="S100" t="inlineStr">
        <is>
          <t>Hazard</t>
        </is>
      </c>
    </row>
    <row r="101">
      <c r="A101" t="n">
        <v>4</v>
      </c>
      <c r="B101" t="n">
        <v>1</v>
      </c>
      <c r="C101" t="n">
        <v>2</v>
      </c>
      <c r="D101" t="n">
        <v>1</v>
      </c>
      <c r="E101" t="inlineStr">
        <is>
          <t>2026-04-17</t>
        </is>
      </c>
      <c r="F101" t="inlineStr">
        <is>
          <t>Round Robin</t>
        </is>
      </c>
      <c r="G101" t="inlineStr">
        <is>
          <t>T1</t>
        </is>
      </c>
      <c r="H101" t="inlineStr">
        <is>
          <t>ZETA</t>
        </is>
      </c>
      <c r="I101" t="inlineStr">
        <is>
          <t>Busan</t>
        </is>
      </c>
      <c r="J101" t="inlineStr">
        <is>
          <t>Control</t>
        </is>
      </c>
      <c r="L101" t="inlineStr">
        <is>
          <t>ZETA</t>
        </is>
      </c>
      <c r="M101" t="inlineStr">
        <is>
          <t>Pharah</t>
        </is>
      </c>
      <c r="N101" t="inlineStr">
        <is>
          <t>Lucio</t>
        </is>
      </c>
      <c r="O101">
        <f>TEXT(E101, "yymmdd") &amp; "_" &amp; G101 &amp; "_" &amp; H101 &amp; "_S" &amp; D101</f>
        <v/>
      </c>
      <c r="P101" t="n">
        <v>0</v>
      </c>
      <c r="Q101" t="n">
        <v>2</v>
      </c>
      <c r="R101" t="inlineStr">
        <is>
          <t>TEAM 2</t>
        </is>
      </c>
      <c r="S101" t="inlineStr">
        <is>
          <t>Lucio</t>
        </is>
      </c>
    </row>
    <row r="102">
      <c r="A102" t="n">
        <v>4</v>
      </c>
      <c r="B102" t="n">
        <v>1</v>
      </c>
      <c r="C102" t="n">
        <v>2</v>
      </c>
      <c r="D102" t="n">
        <v>2</v>
      </c>
      <c r="E102" t="inlineStr">
        <is>
          <t>2026-04-17</t>
        </is>
      </c>
      <c r="F102" t="inlineStr">
        <is>
          <t>Round Robin</t>
        </is>
      </c>
      <c r="G102" t="inlineStr">
        <is>
          <t>T1</t>
        </is>
      </c>
      <c r="H102" t="inlineStr">
        <is>
          <t>ZETA</t>
        </is>
      </c>
      <c r="I102" t="inlineStr">
        <is>
          <t>Suravasa</t>
        </is>
      </c>
      <c r="J102" t="inlineStr">
        <is>
          <t>Flashpoint</t>
        </is>
      </c>
      <c r="L102" t="inlineStr">
        <is>
          <t>T1</t>
        </is>
      </c>
      <c r="M102" t="inlineStr">
        <is>
          <t>Illari</t>
        </is>
      </c>
      <c r="N102" t="inlineStr">
        <is>
          <t>Doomfist</t>
        </is>
      </c>
      <c r="O102">
        <f>TEXT(E102, "yymmdd") &amp; "_" &amp; G102 &amp; "_" &amp; H102 &amp; "_S" &amp; D102</f>
        <v/>
      </c>
      <c r="P102" t="n">
        <v>3</v>
      </c>
      <c r="Q102" t="n">
        <v>1</v>
      </c>
      <c r="R102" t="inlineStr">
        <is>
          <t>TEAM 1</t>
        </is>
      </c>
      <c r="S102" t="inlineStr">
        <is>
          <t>Illari</t>
        </is>
      </c>
    </row>
    <row r="103">
      <c r="A103" t="n">
        <v>4</v>
      </c>
      <c r="B103" t="n">
        <v>1</v>
      </c>
      <c r="C103" t="n">
        <v>2</v>
      </c>
      <c r="D103" t="n">
        <v>3</v>
      </c>
      <c r="E103" t="inlineStr">
        <is>
          <t>2026-04-17</t>
        </is>
      </c>
      <c r="F103" t="inlineStr">
        <is>
          <t>Round Robin</t>
        </is>
      </c>
      <c r="G103" t="inlineStr">
        <is>
          <t>T1</t>
        </is>
      </c>
      <c r="H103" t="inlineStr">
        <is>
          <t>ZETA</t>
        </is>
      </c>
      <c r="I103" t="inlineStr">
        <is>
          <t>Havana</t>
        </is>
      </c>
      <c r="J103" t="inlineStr">
        <is>
          <t>Escort</t>
        </is>
      </c>
      <c r="L103" t="inlineStr">
        <is>
          <t>ZETA</t>
        </is>
      </c>
      <c r="M103" t="inlineStr">
        <is>
          <t>Zarya</t>
        </is>
      </c>
      <c r="N103" t="inlineStr">
        <is>
          <t>Kiriko</t>
        </is>
      </c>
      <c r="O103">
        <f>TEXT(E103, "yymmdd") &amp; "_" &amp; G103 &amp; "_" &amp; H103 &amp; "_S" &amp; D103</f>
        <v/>
      </c>
      <c r="P103" t="n">
        <v>1</v>
      </c>
      <c r="Q103" t="n">
        <v>2</v>
      </c>
      <c r="R103" t="inlineStr">
        <is>
          <t>TEAM 2</t>
        </is>
      </c>
      <c r="S103" t="inlineStr">
        <is>
          <t>Kiriko</t>
        </is>
      </c>
    </row>
    <row r="104">
      <c r="A104" t="n">
        <v>4</v>
      </c>
      <c r="B104" t="n">
        <v>1</v>
      </c>
      <c r="C104" t="n">
        <v>2</v>
      </c>
      <c r="D104" t="n">
        <v>4</v>
      </c>
      <c r="E104" t="inlineStr">
        <is>
          <t>2026-04-17</t>
        </is>
      </c>
      <c r="F104" t="inlineStr">
        <is>
          <t>Round Robin</t>
        </is>
      </c>
      <c r="G104" t="inlineStr">
        <is>
          <t>T1</t>
        </is>
      </c>
      <c r="H104" t="inlineStr">
        <is>
          <t>ZETA</t>
        </is>
      </c>
      <c r="I104" t="inlineStr">
        <is>
          <t>Blizzard World</t>
        </is>
      </c>
      <c r="J104" t="inlineStr">
        <is>
          <t>Hybrid</t>
        </is>
      </c>
      <c r="L104" t="inlineStr">
        <is>
          <t>ZETA</t>
        </is>
      </c>
      <c r="M104" t="inlineStr">
        <is>
          <t>Ana</t>
        </is>
      </c>
      <c r="N104" t="inlineStr">
        <is>
          <t>Sojourn</t>
        </is>
      </c>
      <c r="O104">
        <f>TEXT(E104, "yymmdd") &amp; "_" &amp; G104 &amp; "_" &amp; H104 &amp; "_S" &amp; D104</f>
        <v/>
      </c>
      <c r="P104" t="n">
        <v>0</v>
      </c>
      <c r="Q104" t="n">
        <v>2</v>
      </c>
      <c r="R104" t="inlineStr">
        <is>
          <t>TEAM 2</t>
        </is>
      </c>
      <c r="S104" t="inlineStr">
        <is>
          <t>Sojourn</t>
        </is>
      </c>
    </row>
    <row r="105">
      <c r="A105" t="n">
        <v>4</v>
      </c>
      <c r="B105" t="n">
        <v>1</v>
      </c>
      <c r="C105" t="n">
        <v>3</v>
      </c>
      <c r="D105" t="n">
        <v>1</v>
      </c>
      <c r="E105" t="inlineStr">
        <is>
          <t>2026-04-17</t>
        </is>
      </c>
      <c r="F105" t="inlineStr">
        <is>
          <t>Round Robin</t>
        </is>
      </c>
      <c r="G105" t="inlineStr">
        <is>
          <t>CR</t>
        </is>
      </c>
      <c r="H105" t="inlineStr">
        <is>
          <t>ERA</t>
        </is>
      </c>
      <c r="I105" t="inlineStr">
        <is>
          <t>Oasis</t>
        </is>
      </c>
      <c r="J105" t="inlineStr">
        <is>
          <t>Control</t>
        </is>
      </c>
      <c r="L105" t="inlineStr">
        <is>
          <t>CR</t>
        </is>
      </c>
      <c r="M105" t="inlineStr">
        <is>
          <t>Emre</t>
        </is>
      </c>
      <c r="N105" t="inlineStr">
        <is>
          <t>Ana</t>
        </is>
      </c>
      <c r="O105">
        <f>TEXT(E105, "yymmdd") &amp; "_" &amp; G105 &amp; "_" &amp; H105 &amp; "_S" &amp; D105</f>
        <v/>
      </c>
      <c r="P105" t="n">
        <v>2</v>
      </c>
      <c r="Q105" t="n">
        <v>0</v>
      </c>
      <c r="R105" t="inlineStr">
        <is>
          <t>TEAM 1</t>
        </is>
      </c>
      <c r="S105" t="inlineStr">
        <is>
          <t>Emre</t>
        </is>
      </c>
    </row>
    <row r="106">
      <c r="A106" t="n">
        <v>4</v>
      </c>
      <c r="B106" t="n">
        <v>1</v>
      </c>
      <c r="C106" t="n">
        <v>3</v>
      </c>
      <c r="D106" t="n">
        <v>2</v>
      </c>
      <c r="E106" t="inlineStr">
        <is>
          <t>2026-04-17</t>
        </is>
      </c>
      <c r="F106" t="inlineStr">
        <is>
          <t>Round Robin</t>
        </is>
      </c>
      <c r="G106" t="inlineStr">
        <is>
          <t>CR</t>
        </is>
      </c>
      <c r="H106" t="inlineStr">
        <is>
          <t>ERA</t>
        </is>
      </c>
      <c r="I106" t="inlineStr">
        <is>
          <t>Suravasa</t>
        </is>
      </c>
      <c r="J106" t="inlineStr">
        <is>
          <t>Flashpoint</t>
        </is>
      </c>
      <c r="L106" t="inlineStr">
        <is>
          <t>CR</t>
        </is>
      </c>
      <c r="M106" t="inlineStr">
        <is>
          <t>Cassidy</t>
        </is>
      </c>
      <c r="N106" t="inlineStr">
        <is>
          <t>Lucio</t>
        </is>
      </c>
      <c r="O106">
        <f>TEXT(E106, "yymmdd") &amp; "_" &amp; G106 &amp; "_" &amp; H106 &amp; "_S" &amp; D106</f>
        <v/>
      </c>
      <c r="P106" t="n">
        <v>3</v>
      </c>
      <c r="Q106" t="n">
        <v>1</v>
      </c>
      <c r="R106" t="inlineStr">
        <is>
          <t>TEAM 2</t>
        </is>
      </c>
      <c r="S106" t="inlineStr">
        <is>
          <t>Lucio</t>
        </is>
      </c>
    </row>
    <row r="107">
      <c r="A107" t="n">
        <v>4</v>
      </c>
      <c r="B107" t="n">
        <v>1</v>
      </c>
      <c r="C107" t="n">
        <v>3</v>
      </c>
      <c r="D107" t="n">
        <v>3</v>
      </c>
      <c r="E107" t="inlineStr">
        <is>
          <t>2026-04-17</t>
        </is>
      </c>
      <c r="F107" t="inlineStr">
        <is>
          <t>Round Robin</t>
        </is>
      </c>
      <c r="G107" t="inlineStr">
        <is>
          <t>CR</t>
        </is>
      </c>
      <c r="H107" t="inlineStr">
        <is>
          <t>ERA</t>
        </is>
      </c>
      <c r="I107" t="inlineStr">
        <is>
          <t>Rialto</t>
        </is>
      </c>
      <c r="J107" t="inlineStr">
        <is>
          <t>Escort</t>
        </is>
      </c>
      <c r="L107" t="inlineStr">
        <is>
          <t>CR</t>
        </is>
      </c>
      <c r="M107" t="inlineStr">
        <is>
          <t>Moira</t>
        </is>
      </c>
      <c r="N107" t="inlineStr">
        <is>
          <t>Winston</t>
        </is>
      </c>
      <c r="O107">
        <f>TEXT(E107, "yymmdd") &amp; "_" &amp; G107 &amp; "_" &amp; H107 &amp; "_S" &amp; D107</f>
        <v/>
      </c>
      <c r="P107" t="n">
        <v>3</v>
      </c>
      <c r="Q107" t="n">
        <v>0</v>
      </c>
      <c r="R107" t="inlineStr">
        <is>
          <t>TEAM 2</t>
        </is>
      </c>
      <c r="S107" t="inlineStr">
        <is>
          <t>Winston</t>
        </is>
      </c>
    </row>
    <row r="108">
      <c r="A108" t="n">
        <v>4</v>
      </c>
      <c r="B108" t="n">
        <v>1</v>
      </c>
      <c r="C108" t="n">
        <v>4</v>
      </c>
      <c r="D108" t="n">
        <v>1</v>
      </c>
      <c r="E108" t="inlineStr">
        <is>
          <t>2026-04-18</t>
        </is>
      </c>
      <c r="F108" t="inlineStr">
        <is>
          <t>Round Robin</t>
        </is>
      </c>
      <c r="G108" t="inlineStr">
        <is>
          <t>T1</t>
        </is>
      </c>
      <c r="H108" t="inlineStr">
        <is>
          <t>ZAN</t>
        </is>
      </c>
      <c r="I108" t="inlineStr">
        <is>
          <t>Oasis</t>
        </is>
      </c>
      <c r="J108" t="inlineStr">
        <is>
          <t>Control</t>
        </is>
      </c>
      <c r="L108" t="inlineStr">
        <is>
          <t>T1</t>
        </is>
      </c>
      <c r="M108" t="inlineStr">
        <is>
          <t>Pharah</t>
        </is>
      </c>
      <c r="N108" t="inlineStr">
        <is>
          <t>Wrecking Ball</t>
        </is>
      </c>
      <c r="O108">
        <f>TEXT(E108, "yymmdd") &amp; "_" &amp; G108 &amp; "_" &amp; H108 &amp; "_S" &amp; D108</f>
        <v/>
      </c>
      <c r="P108" t="n">
        <v>2</v>
      </c>
      <c r="Q108" t="n">
        <v>1</v>
      </c>
      <c r="R108" t="inlineStr">
        <is>
          <t>TEAM 1</t>
        </is>
      </c>
      <c r="S108" t="inlineStr">
        <is>
          <t>Pharah</t>
        </is>
      </c>
    </row>
    <row r="109">
      <c r="A109" t="n">
        <v>4</v>
      </c>
      <c r="B109" t="n">
        <v>1</v>
      </c>
      <c r="C109" t="n">
        <v>4</v>
      </c>
      <c r="D109" t="n">
        <v>2</v>
      </c>
      <c r="E109" t="inlineStr">
        <is>
          <t>2026-04-18</t>
        </is>
      </c>
      <c r="F109" t="inlineStr">
        <is>
          <t>Round Robin</t>
        </is>
      </c>
      <c r="G109" t="inlineStr">
        <is>
          <t>T1</t>
        </is>
      </c>
      <c r="H109" t="inlineStr">
        <is>
          <t>ZAN</t>
        </is>
      </c>
      <c r="I109" t="inlineStr">
        <is>
          <t>Watchpoint: Gibraltar</t>
        </is>
      </c>
      <c r="J109" t="inlineStr">
        <is>
          <t>Escort</t>
        </is>
      </c>
      <c r="L109" t="inlineStr">
        <is>
          <t>T1</t>
        </is>
      </c>
      <c r="M109" t="inlineStr">
        <is>
          <t>Cassidy</t>
        </is>
      </c>
      <c r="N109" t="inlineStr">
        <is>
          <t>Ana</t>
        </is>
      </c>
      <c r="O109">
        <f>TEXT(E109, "yymmdd") &amp; "_" &amp; G109 &amp; "_" &amp; H109 &amp; "_S" &amp; D109</f>
        <v/>
      </c>
      <c r="P109" t="n">
        <v>5</v>
      </c>
      <c r="Q109" t="n">
        <v>4</v>
      </c>
      <c r="R109" t="inlineStr">
        <is>
          <t>TEAM 2</t>
        </is>
      </c>
      <c r="S109" t="inlineStr">
        <is>
          <t>Ana</t>
        </is>
      </c>
    </row>
    <row r="110">
      <c r="A110" t="n">
        <v>4</v>
      </c>
      <c r="B110" t="n">
        <v>1</v>
      </c>
      <c r="C110" t="n">
        <v>4</v>
      </c>
      <c r="D110" t="n">
        <v>3</v>
      </c>
      <c r="E110" t="inlineStr">
        <is>
          <t>2026-04-18</t>
        </is>
      </c>
      <c r="F110" t="inlineStr">
        <is>
          <t>Round Robin</t>
        </is>
      </c>
      <c r="G110" t="inlineStr">
        <is>
          <t>T1</t>
        </is>
      </c>
      <c r="H110" t="inlineStr">
        <is>
          <t>ZAN</t>
        </is>
      </c>
      <c r="I110" t="inlineStr">
        <is>
          <t>Esperança</t>
        </is>
      </c>
      <c r="J110" t="inlineStr">
        <is>
          <t>Push</t>
        </is>
      </c>
      <c r="L110" t="inlineStr">
        <is>
          <t>T1</t>
        </is>
      </c>
      <c r="M110" t="inlineStr">
        <is>
          <t>Sojourn</t>
        </is>
      </c>
      <c r="N110" t="inlineStr">
        <is>
          <t>Mauga</t>
        </is>
      </c>
      <c r="O110">
        <f>TEXT(E110, "yymmdd") &amp; "_" &amp; G110 &amp; "_" &amp; H110 &amp; "_S" &amp; D110</f>
        <v/>
      </c>
      <c r="P110" t="n">
        <v>123.64</v>
      </c>
      <c r="Q110" t="n">
        <v>84.26000000000001</v>
      </c>
      <c r="R110" t="inlineStr">
        <is>
          <t>TEAM 2</t>
        </is>
      </c>
      <c r="S110" t="inlineStr">
        <is>
          <t>Mauga</t>
        </is>
      </c>
    </row>
    <row r="111">
      <c r="A111" t="n">
        <v>4</v>
      </c>
      <c r="B111" t="n">
        <v>1</v>
      </c>
      <c r="C111" t="n">
        <v>5</v>
      </c>
      <c r="D111" t="n">
        <v>1</v>
      </c>
      <c r="E111" t="inlineStr">
        <is>
          <t>2026-04-18</t>
        </is>
      </c>
      <c r="F111" t="inlineStr">
        <is>
          <t>Round Robin</t>
        </is>
      </c>
      <c r="G111" t="inlineStr">
        <is>
          <t>ZETA</t>
        </is>
      </c>
      <c r="H111" t="inlineStr">
        <is>
          <t>CB</t>
        </is>
      </c>
      <c r="I111" t="inlineStr">
        <is>
          <t>Lijiang Tower</t>
        </is>
      </c>
      <c r="J111" t="inlineStr">
        <is>
          <t>Control</t>
        </is>
      </c>
      <c r="L111" t="inlineStr">
        <is>
          <t>ZETA</t>
        </is>
      </c>
      <c r="M111" t="inlineStr">
        <is>
          <t>Lucio</t>
        </is>
      </c>
      <c r="N111" t="inlineStr">
        <is>
          <t>Pharah</t>
        </is>
      </c>
      <c r="O111">
        <f>TEXT(E111, "yymmdd") &amp; "_" &amp; G111 &amp; "_" &amp; H111 &amp; "_S" &amp; D111</f>
        <v/>
      </c>
      <c r="P111" t="n">
        <v>2</v>
      </c>
      <c r="Q111" t="n">
        <v>0</v>
      </c>
      <c r="R111" t="inlineStr">
        <is>
          <t>TEAM 2</t>
        </is>
      </c>
      <c r="S111" t="inlineStr">
        <is>
          <t>Pharah</t>
        </is>
      </c>
    </row>
    <row r="112">
      <c r="A112" t="n">
        <v>4</v>
      </c>
      <c r="B112" t="n">
        <v>1</v>
      </c>
      <c r="C112" t="n">
        <v>5</v>
      </c>
      <c r="D112" t="n">
        <v>2</v>
      </c>
      <c r="E112" t="inlineStr">
        <is>
          <t>2026-04-18</t>
        </is>
      </c>
      <c r="F112" t="inlineStr">
        <is>
          <t>Round Robin</t>
        </is>
      </c>
      <c r="G112" t="inlineStr">
        <is>
          <t>ZETA</t>
        </is>
      </c>
      <c r="H112" t="inlineStr">
        <is>
          <t>CB</t>
        </is>
      </c>
      <c r="I112" t="inlineStr">
        <is>
          <t>Watchpoint: Gibraltar</t>
        </is>
      </c>
      <c r="J112" t="inlineStr">
        <is>
          <t>Escort</t>
        </is>
      </c>
      <c r="L112" t="inlineStr">
        <is>
          <t>ZETA</t>
        </is>
      </c>
      <c r="M112" t="inlineStr">
        <is>
          <t>Emre</t>
        </is>
      </c>
      <c r="N112" t="inlineStr">
        <is>
          <t>D.Va</t>
        </is>
      </c>
      <c r="O112">
        <f>TEXT(E112, "yymmdd") &amp; "_" &amp; G112 &amp; "_" &amp; H112 &amp; "_S" &amp; D112</f>
        <v/>
      </c>
      <c r="P112" t="n">
        <v>3</v>
      </c>
      <c r="Q112" t="n">
        <v>1</v>
      </c>
      <c r="R112" t="inlineStr">
        <is>
          <t>TEAM 2</t>
        </is>
      </c>
      <c r="S112" t="inlineStr">
        <is>
          <t>D.Va</t>
        </is>
      </c>
    </row>
    <row r="113">
      <c r="A113" t="n">
        <v>4</v>
      </c>
      <c r="B113" t="n">
        <v>1</v>
      </c>
      <c r="C113" t="n">
        <v>5</v>
      </c>
      <c r="D113" t="n">
        <v>3</v>
      </c>
      <c r="E113" t="inlineStr">
        <is>
          <t>2026-04-18</t>
        </is>
      </c>
      <c r="F113" t="inlineStr">
        <is>
          <t>Round Robin</t>
        </is>
      </c>
      <c r="G113" t="inlineStr">
        <is>
          <t>ZETA</t>
        </is>
      </c>
      <c r="H113" t="inlineStr">
        <is>
          <t>CB</t>
        </is>
      </c>
      <c r="I113" t="inlineStr">
        <is>
          <t>Blizzard World</t>
        </is>
      </c>
      <c r="J113" t="inlineStr">
        <is>
          <t>Hybrid</t>
        </is>
      </c>
      <c r="L113" t="inlineStr">
        <is>
          <t>ZETA</t>
        </is>
      </c>
      <c r="M113" t="inlineStr">
        <is>
          <t>Winston</t>
        </is>
      </c>
      <c r="N113" t="inlineStr">
        <is>
          <t>Jetpack Cat</t>
        </is>
      </c>
      <c r="O113">
        <f>TEXT(E113, "yymmdd") &amp; "_" &amp; G113 &amp; "_" &amp; H113 &amp; "_S" &amp; D113</f>
        <v/>
      </c>
      <c r="P113" t="n">
        <v>3</v>
      </c>
      <c r="Q113" t="n">
        <v>0</v>
      </c>
      <c r="R113" t="inlineStr">
        <is>
          <t>TEAM 2</t>
        </is>
      </c>
      <c r="S113" t="inlineStr">
        <is>
          <t>Jetpack Cat</t>
        </is>
      </c>
    </row>
    <row r="114">
      <c r="A114" t="n">
        <v>4</v>
      </c>
      <c r="B114" t="n">
        <v>1</v>
      </c>
      <c r="C114" t="n">
        <v>6</v>
      </c>
      <c r="D114" t="n">
        <v>1</v>
      </c>
      <c r="E114" t="inlineStr">
        <is>
          <t>2026-04-18</t>
        </is>
      </c>
      <c r="F114" t="inlineStr">
        <is>
          <t>Round Robin</t>
        </is>
      </c>
      <c r="G114" t="inlineStr">
        <is>
          <t>FLC</t>
        </is>
      </c>
      <c r="H114" t="inlineStr">
        <is>
          <t>CR</t>
        </is>
      </c>
      <c r="I114" t="inlineStr">
        <is>
          <t>Busan</t>
        </is>
      </c>
      <c r="J114" t="inlineStr">
        <is>
          <t>Control</t>
        </is>
      </c>
      <c r="L114" t="inlineStr">
        <is>
          <t>CR</t>
        </is>
      </c>
      <c r="M114" t="inlineStr">
        <is>
          <t>Pharah</t>
        </is>
      </c>
      <c r="N114" t="inlineStr">
        <is>
          <t>D.Va</t>
        </is>
      </c>
      <c r="O114">
        <f>TEXT(E114, "yymmdd") &amp; "_" &amp; G114 &amp; "_" &amp; H114 &amp; "_S" &amp; D114</f>
        <v/>
      </c>
      <c r="P114" t="n">
        <v>1</v>
      </c>
      <c r="Q114" t="n">
        <v>2</v>
      </c>
      <c r="R114" t="inlineStr">
        <is>
          <t>TEAM 2</t>
        </is>
      </c>
      <c r="S114" t="inlineStr">
        <is>
          <t>D.Va</t>
        </is>
      </c>
    </row>
    <row r="115">
      <c r="A115" t="n">
        <v>4</v>
      </c>
      <c r="B115" t="n">
        <v>1</v>
      </c>
      <c r="C115" t="n">
        <v>6</v>
      </c>
      <c r="D115" t="n">
        <v>2</v>
      </c>
      <c r="E115" t="inlineStr">
        <is>
          <t>2026-04-18</t>
        </is>
      </c>
      <c r="F115" t="inlineStr">
        <is>
          <t>Round Robin</t>
        </is>
      </c>
      <c r="G115" t="inlineStr">
        <is>
          <t>FLC</t>
        </is>
      </c>
      <c r="H115" t="inlineStr">
        <is>
          <t>CR</t>
        </is>
      </c>
      <c r="I115" t="inlineStr">
        <is>
          <t>Esperança</t>
        </is>
      </c>
      <c r="J115" t="inlineStr">
        <is>
          <t>Push</t>
        </is>
      </c>
      <c r="L115" t="inlineStr">
        <is>
          <t>CR</t>
        </is>
      </c>
      <c r="M115" t="inlineStr">
        <is>
          <t>Winston</t>
        </is>
      </c>
      <c r="N115" t="inlineStr">
        <is>
          <t>Kiriko</t>
        </is>
      </c>
      <c r="O115">
        <f>TEXT(E115, "yymmdd") &amp; "_" &amp; G115 &amp; "_" &amp; H115 &amp; "_S" &amp; D115</f>
        <v/>
      </c>
      <c r="P115" t="n">
        <v>92.56</v>
      </c>
      <c r="Q115" t="n">
        <v>95.28</v>
      </c>
      <c r="R115" t="inlineStr">
        <is>
          <t>TEAM 2</t>
        </is>
      </c>
      <c r="S115" t="inlineStr">
        <is>
          <t>Kiriko</t>
        </is>
      </c>
    </row>
    <row r="116">
      <c r="A116" t="n">
        <v>4</v>
      </c>
      <c r="B116" t="n">
        <v>1</v>
      </c>
      <c r="C116" t="n">
        <v>6</v>
      </c>
      <c r="D116" t="n">
        <v>3</v>
      </c>
      <c r="E116" t="inlineStr">
        <is>
          <t>2026-04-18</t>
        </is>
      </c>
      <c r="F116" t="inlineStr">
        <is>
          <t>Round Robin</t>
        </is>
      </c>
      <c r="G116" t="inlineStr">
        <is>
          <t>FLC</t>
        </is>
      </c>
      <c r="H116" t="inlineStr">
        <is>
          <t>CR</t>
        </is>
      </c>
      <c r="I116" t="inlineStr">
        <is>
          <t>Rialto</t>
        </is>
      </c>
      <c r="J116" t="inlineStr">
        <is>
          <t>Escort</t>
        </is>
      </c>
      <c r="L116" t="inlineStr">
        <is>
          <t>CR</t>
        </is>
      </c>
      <c r="M116" t="inlineStr">
        <is>
          <t>Zarya</t>
        </is>
      </c>
      <c r="N116" t="inlineStr">
        <is>
          <t>Symmetra</t>
        </is>
      </c>
      <c r="O116">
        <f>TEXT(E116, "yymmdd") &amp; "_" &amp; G116 &amp; "_" &amp; H116 &amp; "_S" &amp; D116</f>
        <v/>
      </c>
      <c r="P116" t="n">
        <v>0</v>
      </c>
      <c r="Q116" t="n">
        <v>1</v>
      </c>
      <c r="R116" t="inlineStr">
        <is>
          <t>TEAM 1</t>
        </is>
      </c>
      <c r="S116" t="inlineStr">
        <is>
          <t>Zarya</t>
        </is>
      </c>
    </row>
    <row r="117">
      <c r="A117" t="n">
        <v>4</v>
      </c>
      <c r="B117" t="n">
        <v>1</v>
      </c>
      <c r="C117" t="n">
        <v>7</v>
      </c>
      <c r="D117" t="n">
        <v>1</v>
      </c>
      <c r="E117" t="inlineStr">
        <is>
          <t>2026-04-19</t>
        </is>
      </c>
      <c r="F117" t="inlineStr">
        <is>
          <t>Round Robin</t>
        </is>
      </c>
      <c r="G117" t="inlineStr">
        <is>
          <t>ZAN</t>
        </is>
      </c>
      <c r="H117" t="inlineStr">
        <is>
          <t>PF</t>
        </is>
      </c>
      <c r="I117" t="inlineStr">
        <is>
          <t>Lijiang Tower</t>
        </is>
      </c>
      <c r="J117" t="inlineStr">
        <is>
          <t>Control</t>
        </is>
      </c>
      <c r="L117" t="inlineStr">
        <is>
          <t>ZAN</t>
        </is>
      </c>
      <c r="M117" t="inlineStr">
        <is>
          <t>Jetpack Cat</t>
        </is>
      </c>
      <c r="N117" t="inlineStr">
        <is>
          <t>Sojourn</t>
        </is>
      </c>
      <c r="O117">
        <f>TEXT(E117, "yymmdd") &amp; "_" &amp; G117 &amp; "_" &amp; H117 &amp; "_S" &amp; D117</f>
        <v/>
      </c>
      <c r="P117" t="n">
        <v>2</v>
      </c>
      <c r="Q117" t="n">
        <v>0</v>
      </c>
      <c r="R117" t="inlineStr">
        <is>
          <t>TEAM 1</t>
        </is>
      </c>
      <c r="S117" t="inlineStr">
        <is>
          <t>Jetpack Cat</t>
        </is>
      </c>
    </row>
    <row r="118">
      <c r="A118" t="n">
        <v>4</v>
      </c>
      <c r="B118" t="n">
        <v>1</v>
      </c>
      <c r="C118" t="n">
        <v>7</v>
      </c>
      <c r="D118" t="n">
        <v>2</v>
      </c>
      <c r="E118" t="inlineStr">
        <is>
          <t>2026-04-19</t>
        </is>
      </c>
      <c r="F118" t="inlineStr">
        <is>
          <t>Round Robin</t>
        </is>
      </c>
      <c r="G118" t="inlineStr">
        <is>
          <t>ZAN</t>
        </is>
      </c>
      <c r="H118" t="inlineStr">
        <is>
          <t>PF</t>
        </is>
      </c>
      <c r="I118" t="inlineStr">
        <is>
          <t>Rialto</t>
        </is>
      </c>
      <c r="J118" t="inlineStr">
        <is>
          <t>Escort</t>
        </is>
      </c>
      <c r="L118" t="inlineStr">
        <is>
          <t>ZAN</t>
        </is>
      </c>
      <c r="M118" t="inlineStr">
        <is>
          <t>Bastion</t>
        </is>
      </c>
      <c r="N118" t="inlineStr">
        <is>
          <t>Kiriko</t>
        </is>
      </c>
      <c r="O118">
        <f>TEXT(E118, "yymmdd") &amp; "_" &amp; G118 &amp; "_" &amp; H118 &amp; "_S" &amp; D118</f>
        <v/>
      </c>
      <c r="P118" t="n">
        <v>1</v>
      </c>
      <c r="Q118" t="n">
        <v>0</v>
      </c>
      <c r="R118" t="inlineStr">
        <is>
          <t>TEAM 2</t>
        </is>
      </c>
      <c r="S118" t="inlineStr">
        <is>
          <t>Kiriko</t>
        </is>
      </c>
    </row>
    <row r="119">
      <c r="A119" t="n">
        <v>4</v>
      </c>
      <c r="B119" t="n">
        <v>1</v>
      </c>
      <c r="C119" t="n">
        <v>7</v>
      </c>
      <c r="D119" t="n">
        <v>3</v>
      </c>
      <c r="E119" t="inlineStr">
        <is>
          <t>2026-04-19</t>
        </is>
      </c>
      <c r="F119" t="inlineStr">
        <is>
          <t>Round Robin</t>
        </is>
      </c>
      <c r="G119" t="inlineStr">
        <is>
          <t>ZAN</t>
        </is>
      </c>
      <c r="H119" t="inlineStr">
        <is>
          <t>PF</t>
        </is>
      </c>
      <c r="I119" t="inlineStr">
        <is>
          <t>Aatlis</t>
        </is>
      </c>
      <c r="J119" t="inlineStr">
        <is>
          <t>Flashpoint</t>
        </is>
      </c>
      <c r="L119" t="inlineStr">
        <is>
          <t>ZAN</t>
        </is>
      </c>
      <c r="M119" t="inlineStr">
        <is>
          <t>Juno</t>
        </is>
      </c>
      <c r="N119" t="inlineStr">
        <is>
          <t>Orisa</t>
        </is>
      </c>
      <c r="O119">
        <f>TEXT(E119, "yymmdd") &amp; "_" &amp; G119 &amp; "_" &amp; H119 &amp; "_S" &amp; D119</f>
        <v/>
      </c>
      <c r="P119" t="n">
        <v>3</v>
      </c>
      <c r="Q119" t="n">
        <v>0</v>
      </c>
      <c r="R119" t="inlineStr">
        <is>
          <t>TEAM 2</t>
        </is>
      </c>
      <c r="S119" t="inlineStr">
        <is>
          <t>Orisa</t>
        </is>
      </c>
    </row>
    <row r="120">
      <c r="A120" t="n">
        <v>4</v>
      </c>
      <c r="B120" t="n">
        <v>1</v>
      </c>
      <c r="C120" t="n">
        <v>8</v>
      </c>
      <c r="D120" t="n">
        <v>1</v>
      </c>
      <c r="E120" t="inlineStr">
        <is>
          <t>2026-04-19</t>
        </is>
      </c>
      <c r="F120" t="inlineStr">
        <is>
          <t>Round Robin</t>
        </is>
      </c>
      <c r="G120" t="inlineStr">
        <is>
          <t>OSG</t>
        </is>
      </c>
      <c r="H120" t="inlineStr">
        <is>
          <t>FLC</t>
        </is>
      </c>
      <c r="I120" t="inlineStr">
        <is>
          <t>Lijiang Tower</t>
        </is>
      </c>
      <c r="J120" t="inlineStr">
        <is>
          <t>Control</t>
        </is>
      </c>
      <c r="L120" t="inlineStr">
        <is>
          <t>FLC</t>
        </is>
      </c>
      <c r="M120" t="inlineStr">
        <is>
          <t>D.Va</t>
        </is>
      </c>
      <c r="N120" t="inlineStr">
        <is>
          <t>Pharah</t>
        </is>
      </c>
      <c r="O120">
        <f>TEXT(E120, "yymmdd") &amp; "_" &amp; G120 &amp; "_" &amp; H120 &amp; "_S" &amp; D120</f>
        <v/>
      </c>
      <c r="P120" t="n">
        <v>1</v>
      </c>
      <c r="Q120" t="n">
        <v>2</v>
      </c>
      <c r="R120" t="inlineStr">
        <is>
          <t>TEAM 2</t>
        </is>
      </c>
      <c r="S120" t="inlineStr">
        <is>
          <t>Pharah</t>
        </is>
      </c>
    </row>
    <row r="121">
      <c r="A121" t="n">
        <v>4</v>
      </c>
      <c r="B121" t="n">
        <v>1</v>
      </c>
      <c r="C121" t="n">
        <v>8</v>
      </c>
      <c r="D121" t="n">
        <v>2</v>
      </c>
      <c r="E121" t="inlineStr">
        <is>
          <t>2026-04-19</t>
        </is>
      </c>
      <c r="F121" t="inlineStr">
        <is>
          <t>Round Robin</t>
        </is>
      </c>
      <c r="G121" t="inlineStr">
        <is>
          <t>OSG</t>
        </is>
      </c>
      <c r="H121" t="inlineStr">
        <is>
          <t>FLC</t>
        </is>
      </c>
      <c r="I121" t="inlineStr">
        <is>
          <t>Runasapi</t>
        </is>
      </c>
      <c r="J121" t="inlineStr">
        <is>
          <t>Push</t>
        </is>
      </c>
      <c r="L121" t="inlineStr">
        <is>
          <t>FLC</t>
        </is>
      </c>
      <c r="M121" t="inlineStr">
        <is>
          <t>Kiriko</t>
        </is>
      </c>
      <c r="N121" t="inlineStr">
        <is>
          <t>Hazard</t>
        </is>
      </c>
      <c r="O121">
        <f>TEXT(E121, "yymmdd") &amp; "_" &amp; G121 &amp; "_" &amp; H121 &amp; "_S" &amp; D121</f>
        <v/>
      </c>
      <c r="P121" t="n">
        <v>28.28</v>
      </c>
      <c r="Q121" t="n">
        <v>144.86</v>
      </c>
      <c r="R121" t="inlineStr">
        <is>
          <t>TEAM 1</t>
        </is>
      </c>
      <c r="S121" t="inlineStr">
        <is>
          <t>Kiriko</t>
        </is>
      </c>
    </row>
    <row r="122">
      <c r="A122" t="n">
        <v>4</v>
      </c>
      <c r="B122" t="n">
        <v>1</v>
      </c>
      <c r="C122" t="n">
        <v>8</v>
      </c>
      <c r="D122" t="n">
        <v>3</v>
      </c>
      <c r="E122" t="inlineStr">
        <is>
          <t>2026-04-19</t>
        </is>
      </c>
      <c r="F122" t="inlineStr">
        <is>
          <t>Round Robin</t>
        </is>
      </c>
      <c r="G122" t="inlineStr">
        <is>
          <t>OSG</t>
        </is>
      </c>
      <c r="H122" t="inlineStr">
        <is>
          <t>FLC</t>
        </is>
      </c>
      <c r="I122" t="inlineStr">
        <is>
          <t>Watchpoint: Gibraltar</t>
        </is>
      </c>
      <c r="J122" t="inlineStr">
        <is>
          <t>Escort</t>
        </is>
      </c>
      <c r="L122" t="inlineStr">
        <is>
          <t>OSG</t>
        </is>
      </c>
      <c r="M122" t="inlineStr">
        <is>
          <t>Symmetra</t>
        </is>
      </c>
      <c r="N122" t="inlineStr">
        <is>
          <t>Sigma</t>
        </is>
      </c>
      <c r="O122">
        <f>TEXT(E122, "yymmdd") &amp; "_" &amp; G122 &amp; "_" &amp; H122 &amp; "_S" &amp; D122</f>
        <v/>
      </c>
      <c r="P122" t="n">
        <v>1</v>
      </c>
      <c r="Q122" t="n">
        <v>0</v>
      </c>
      <c r="R122" t="inlineStr">
        <is>
          <t>TEAM 1</t>
        </is>
      </c>
      <c r="S122" t="inlineStr">
        <is>
          <t>Symmetra</t>
        </is>
      </c>
    </row>
    <row r="123">
      <c r="A123" t="n">
        <v>4</v>
      </c>
      <c r="B123" t="n">
        <v>1</v>
      </c>
      <c r="C123" t="n">
        <v>8</v>
      </c>
      <c r="D123" t="n">
        <v>4</v>
      </c>
      <c r="E123" t="inlineStr">
        <is>
          <t>2026-04-19</t>
        </is>
      </c>
      <c r="F123" t="inlineStr">
        <is>
          <t>Round Robin</t>
        </is>
      </c>
      <c r="G123" t="inlineStr">
        <is>
          <t>OSG</t>
        </is>
      </c>
      <c r="H123" t="inlineStr">
        <is>
          <t>FLC</t>
        </is>
      </c>
      <c r="I123" t="inlineStr">
        <is>
          <t>Numbani</t>
        </is>
      </c>
      <c r="J123" t="inlineStr">
        <is>
          <t>Hybrid</t>
        </is>
      </c>
      <c r="L123" t="inlineStr">
        <is>
          <t>OSG</t>
        </is>
      </c>
      <c r="M123" t="inlineStr">
        <is>
          <t>Ramattra</t>
        </is>
      </c>
      <c r="N123" t="inlineStr">
        <is>
          <t>Ana</t>
        </is>
      </c>
      <c r="O123">
        <f>TEXT(E123, "yymmdd") &amp; "_" &amp; G123 &amp; "_" &amp; H123 &amp; "_S" &amp; D123</f>
        <v/>
      </c>
      <c r="P123" t="n">
        <v>1</v>
      </c>
      <c r="Q123" t="n">
        <v>0</v>
      </c>
      <c r="R123" t="inlineStr">
        <is>
          <t>TEAM 2</t>
        </is>
      </c>
      <c r="S123" t="inlineStr">
        <is>
          <t>Ana</t>
        </is>
      </c>
    </row>
    <row r="124">
      <c r="A124" t="n">
        <v>4</v>
      </c>
      <c r="B124" t="n">
        <v>1</v>
      </c>
      <c r="C124" t="n">
        <v>8</v>
      </c>
      <c r="D124" t="n">
        <v>5</v>
      </c>
      <c r="E124" t="inlineStr">
        <is>
          <t>2026-04-19</t>
        </is>
      </c>
      <c r="F124" t="inlineStr">
        <is>
          <t>Round Robin</t>
        </is>
      </c>
      <c r="G124" t="inlineStr">
        <is>
          <t>OSG</t>
        </is>
      </c>
      <c r="H124" t="inlineStr">
        <is>
          <t>FLC</t>
        </is>
      </c>
      <c r="I124" t="inlineStr">
        <is>
          <t>Esperança</t>
        </is>
      </c>
      <c r="J124" t="inlineStr">
        <is>
          <t>Push</t>
        </is>
      </c>
      <c r="L124" t="inlineStr">
        <is>
          <t>FLC</t>
        </is>
      </c>
      <c r="M124" t="inlineStr">
        <is>
          <t>Wuyang</t>
        </is>
      </c>
      <c r="N124" t="inlineStr">
        <is>
          <t>Bastion</t>
        </is>
      </c>
      <c r="O124">
        <f>TEXT(E124, "yymmdd") &amp; "_" &amp; G124 &amp; "_" &amp; H124 &amp; "_S" &amp; D124</f>
        <v/>
      </c>
      <c r="P124" t="n">
        <v>104.73</v>
      </c>
      <c r="Q124" t="n">
        <v>116.78</v>
      </c>
      <c r="R124" t="inlineStr">
        <is>
          <t>TEAM 2</t>
        </is>
      </c>
      <c r="S124" t="inlineStr">
        <is>
          <t>Bastion</t>
        </is>
      </c>
    </row>
    <row r="125">
      <c r="A125" t="n">
        <v>4</v>
      </c>
      <c r="B125" t="n">
        <v>1</v>
      </c>
      <c r="C125" t="n">
        <v>9</v>
      </c>
      <c r="D125" t="n">
        <v>1</v>
      </c>
      <c r="E125" t="inlineStr">
        <is>
          <t>2026-04-19</t>
        </is>
      </c>
      <c r="F125" t="inlineStr">
        <is>
          <t>Round Robin</t>
        </is>
      </c>
      <c r="G125" t="inlineStr">
        <is>
          <t>ERA</t>
        </is>
      </c>
      <c r="H125" t="inlineStr">
        <is>
          <t>CB</t>
        </is>
      </c>
      <c r="I125" t="inlineStr">
        <is>
          <t>Busan</t>
        </is>
      </c>
      <c r="J125" t="inlineStr">
        <is>
          <t>Control</t>
        </is>
      </c>
      <c r="L125" t="inlineStr">
        <is>
          <t>CB</t>
        </is>
      </c>
      <c r="M125" t="inlineStr">
        <is>
          <t>Ramattra</t>
        </is>
      </c>
      <c r="N125" t="inlineStr">
        <is>
          <t>Ana</t>
        </is>
      </c>
      <c r="O125">
        <f>TEXT(E125, "yymmdd") &amp; "_" &amp; G125 &amp; "_" &amp; H125 &amp; "_S" &amp; D125</f>
        <v/>
      </c>
      <c r="P125" t="n">
        <v>0</v>
      </c>
      <c r="Q125" t="n">
        <v>2</v>
      </c>
      <c r="R125" t="inlineStr">
        <is>
          <t>TEAM 2</t>
        </is>
      </c>
      <c r="S125" t="inlineStr">
        <is>
          <t>Ana</t>
        </is>
      </c>
    </row>
    <row r="126">
      <c r="A126" t="n">
        <v>4</v>
      </c>
      <c r="B126" t="n">
        <v>1</v>
      </c>
      <c r="C126" t="n">
        <v>9</v>
      </c>
      <c r="D126" t="n">
        <v>2</v>
      </c>
      <c r="E126" t="inlineStr">
        <is>
          <t>2026-04-19</t>
        </is>
      </c>
      <c r="F126" t="inlineStr">
        <is>
          <t>Round Robin</t>
        </is>
      </c>
      <c r="G126" t="inlineStr">
        <is>
          <t>ERA</t>
        </is>
      </c>
      <c r="H126" t="inlineStr">
        <is>
          <t>CB</t>
        </is>
      </c>
      <c r="I126" t="inlineStr">
        <is>
          <t>Watchpoint: Gibraltar</t>
        </is>
      </c>
      <c r="J126" t="inlineStr">
        <is>
          <t>Escort</t>
        </is>
      </c>
      <c r="L126" t="inlineStr">
        <is>
          <t>CB</t>
        </is>
      </c>
      <c r="M126" t="inlineStr">
        <is>
          <t>Wuyang</t>
        </is>
      </c>
      <c r="N126" t="inlineStr">
        <is>
          <t>Hazard</t>
        </is>
      </c>
      <c r="O126">
        <f>TEXT(E126, "yymmdd") &amp; "_" &amp; G126 &amp; "_" &amp; H126 &amp; "_S" &amp; D126</f>
        <v/>
      </c>
      <c r="P126" t="n">
        <v>1</v>
      </c>
      <c r="Q126" t="n">
        <v>3</v>
      </c>
      <c r="R126" t="inlineStr">
        <is>
          <t>TEAM 1</t>
        </is>
      </c>
      <c r="S126" t="inlineStr">
        <is>
          <t>Wuyang</t>
        </is>
      </c>
    </row>
    <row r="127">
      <c r="A127" t="n">
        <v>4</v>
      </c>
      <c r="B127" t="n">
        <v>1</v>
      </c>
      <c r="C127" t="n">
        <v>9</v>
      </c>
      <c r="D127" t="n">
        <v>3</v>
      </c>
      <c r="E127" t="inlineStr">
        <is>
          <t>2026-04-19</t>
        </is>
      </c>
      <c r="F127" t="inlineStr">
        <is>
          <t>Round Robin</t>
        </is>
      </c>
      <c r="G127" t="inlineStr">
        <is>
          <t>ERA</t>
        </is>
      </c>
      <c r="H127" t="inlineStr">
        <is>
          <t>CB</t>
        </is>
      </c>
      <c r="I127" t="inlineStr">
        <is>
          <t>Blizzard World</t>
        </is>
      </c>
      <c r="J127" t="inlineStr">
        <is>
          <t>Hybrid</t>
        </is>
      </c>
      <c r="L127" t="inlineStr">
        <is>
          <t>CB</t>
        </is>
      </c>
      <c r="M127" t="inlineStr">
        <is>
          <t>Kiriko</t>
        </is>
      </c>
      <c r="N127" t="inlineStr">
        <is>
          <t>Emre</t>
        </is>
      </c>
      <c r="O127">
        <f>TEXT(E127, "yymmdd") &amp; "_" &amp; G127 &amp; "_" &amp; H127 &amp; "_S" &amp; D127</f>
        <v/>
      </c>
      <c r="P127" t="n">
        <v>0</v>
      </c>
      <c r="Q127" t="n">
        <v>3</v>
      </c>
      <c r="R127" t="inlineStr">
        <is>
          <t>TEAM 1</t>
        </is>
      </c>
      <c r="S127" t="inlineStr">
        <is>
          <t>Kiriko</t>
        </is>
      </c>
    </row>
    <row r="128">
      <c r="A128" t="n">
        <v>5</v>
      </c>
      <c r="B128" t="n">
        <v>1</v>
      </c>
      <c r="C128" t="n">
        <v>1</v>
      </c>
      <c r="D128" t="n">
        <v>1</v>
      </c>
      <c r="E128" t="inlineStr">
        <is>
          <t>2026-04-24</t>
        </is>
      </c>
      <c r="F128" t="inlineStr">
        <is>
          <t>2nd RR</t>
        </is>
      </c>
      <c r="G128" t="inlineStr">
        <is>
          <t>ZETA</t>
        </is>
      </c>
      <c r="H128" t="inlineStr">
        <is>
          <t>OSG</t>
        </is>
      </c>
      <c r="I128" t="inlineStr">
        <is>
          <t>Lijiang Tower</t>
        </is>
      </c>
      <c r="J128" t="inlineStr">
        <is>
          <t>Control</t>
        </is>
      </c>
      <c r="L128" t="inlineStr">
        <is>
          <t>ZETA</t>
        </is>
      </c>
      <c r="M128" t="inlineStr">
        <is>
          <t>Lucio</t>
        </is>
      </c>
      <c r="N128" t="inlineStr">
        <is>
          <t>Tracer</t>
        </is>
      </c>
      <c r="O128">
        <f>TEXT(E128, "yymmdd") &amp; "_" &amp; G128 &amp; "_" &amp; H128 &amp; "_S" &amp; D128</f>
        <v/>
      </c>
      <c r="P128" t="n">
        <v>2</v>
      </c>
      <c r="Q128" t="n">
        <v>1</v>
      </c>
      <c r="R128" t="inlineStr">
        <is>
          <t>TEAM 1</t>
        </is>
      </c>
      <c r="S128" t="inlineStr">
        <is>
          <t>Lucio</t>
        </is>
      </c>
    </row>
    <row r="129">
      <c r="A129" t="n">
        <v>5</v>
      </c>
      <c r="B129" t="n">
        <v>1</v>
      </c>
      <c r="C129" t="n">
        <v>1</v>
      </c>
      <c r="D129" t="n">
        <v>2</v>
      </c>
      <c r="E129" t="inlineStr">
        <is>
          <t>2026-04-24</t>
        </is>
      </c>
      <c r="F129" t="inlineStr">
        <is>
          <t>2nd RR</t>
        </is>
      </c>
      <c r="G129" t="inlineStr">
        <is>
          <t>ZETA</t>
        </is>
      </c>
      <c r="H129" t="inlineStr">
        <is>
          <t>OSG</t>
        </is>
      </c>
      <c r="I129" t="inlineStr">
        <is>
          <t>Runasapi</t>
        </is>
      </c>
      <c r="J129" t="inlineStr">
        <is>
          <t>Push</t>
        </is>
      </c>
      <c r="L129" t="inlineStr">
        <is>
          <t>OSG</t>
        </is>
      </c>
      <c r="M129" t="inlineStr">
        <is>
          <t>Zarya</t>
        </is>
      </c>
      <c r="N129" t="inlineStr">
        <is>
          <t>Bastion</t>
        </is>
      </c>
      <c r="O129">
        <f>TEXT(E129, "yymmdd") &amp; "_" &amp; G129 &amp; "_" &amp; H129 &amp; "_S" &amp; D129</f>
        <v/>
      </c>
      <c r="P129" t="n">
        <v>123.27</v>
      </c>
      <c r="Q129" t="n">
        <v>126.21</v>
      </c>
      <c r="R129" t="inlineStr">
        <is>
          <t>TEAM 2</t>
        </is>
      </c>
      <c r="S129" t="inlineStr">
        <is>
          <t>Bastion</t>
        </is>
      </c>
    </row>
    <row r="130">
      <c r="A130" t="n">
        <v>5</v>
      </c>
      <c r="B130" t="n">
        <v>1</v>
      </c>
      <c r="C130" t="n">
        <v>1</v>
      </c>
      <c r="D130" t="n">
        <v>3</v>
      </c>
      <c r="E130" t="inlineStr">
        <is>
          <t>2026-04-24</t>
        </is>
      </c>
      <c r="F130" t="inlineStr">
        <is>
          <t>2nd RR</t>
        </is>
      </c>
      <c r="G130" t="inlineStr">
        <is>
          <t>ZETA</t>
        </is>
      </c>
      <c r="H130" t="inlineStr">
        <is>
          <t>OSG</t>
        </is>
      </c>
      <c r="I130" t="inlineStr">
        <is>
          <t>Blizzard World</t>
        </is>
      </c>
      <c r="J130" t="inlineStr">
        <is>
          <t>Hybrid</t>
        </is>
      </c>
      <c r="L130" t="inlineStr">
        <is>
          <t>ZETA</t>
        </is>
      </c>
      <c r="M130" t="inlineStr">
        <is>
          <t>D.Va</t>
        </is>
      </c>
      <c r="N130" t="inlineStr">
        <is>
          <t>Jetpack Cat</t>
        </is>
      </c>
      <c r="O130">
        <f>TEXT(E130, "yymmdd") &amp; "_" &amp; G130 &amp; "_" &amp; H130 &amp; "_S" &amp; D130</f>
        <v/>
      </c>
      <c r="P130" t="n">
        <v>4</v>
      </c>
      <c r="Q130" t="n">
        <v>3</v>
      </c>
      <c r="R130" t="inlineStr">
        <is>
          <t>TEAM 1</t>
        </is>
      </c>
      <c r="S130" t="inlineStr">
        <is>
          <t>D.Va</t>
        </is>
      </c>
    </row>
    <row r="131">
      <c r="A131" t="n">
        <v>5</v>
      </c>
      <c r="B131" t="n">
        <v>1</v>
      </c>
      <c r="C131" t="n">
        <v>1</v>
      </c>
      <c r="D131" t="n">
        <v>4</v>
      </c>
      <c r="E131" t="inlineStr">
        <is>
          <t>2026-04-24</t>
        </is>
      </c>
      <c r="F131" t="inlineStr">
        <is>
          <t>2nd RR</t>
        </is>
      </c>
      <c r="G131" t="inlineStr">
        <is>
          <t>ZETA</t>
        </is>
      </c>
      <c r="H131" t="inlineStr">
        <is>
          <t>OSG</t>
        </is>
      </c>
      <c r="I131" t="inlineStr">
        <is>
          <t>Havana</t>
        </is>
      </c>
      <c r="J131" t="inlineStr">
        <is>
          <t>Escort</t>
        </is>
      </c>
      <c r="L131" t="inlineStr">
        <is>
          <t>ZETA</t>
        </is>
      </c>
      <c r="M131" t="inlineStr">
        <is>
          <t>Symmetra</t>
        </is>
      </c>
      <c r="N131" t="inlineStr">
        <is>
          <t>Ana</t>
        </is>
      </c>
      <c r="O131">
        <f>TEXT(E131, "yymmdd") &amp; "_" &amp; G131 &amp; "_" &amp; H131 &amp; "_S" &amp; D131</f>
        <v/>
      </c>
      <c r="P131" t="n">
        <v>3</v>
      </c>
      <c r="Q131" t="n">
        <v>0</v>
      </c>
      <c r="R131" t="inlineStr">
        <is>
          <t>TEAM 2</t>
        </is>
      </c>
      <c r="S131" t="inlineStr">
        <is>
          <t>Ana</t>
        </is>
      </c>
    </row>
    <row r="132">
      <c r="A132" t="n">
        <v>5</v>
      </c>
      <c r="B132" t="n">
        <v>1</v>
      </c>
      <c r="C132" t="n">
        <v>2</v>
      </c>
      <c r="D132" t="n">
        <v>1</v>
      </c>
      <c r="E132" t="inlineStr">
        <is>
          <t>2026-04-24</t>
        </is>
      </c>
      <c r="F132" t="inlineStr">
        <is>
          <t>2nd RR</t>
        </is>
      </c>
      <c r="G132" t="inlineStr">
        <is>
          <t>CR</t>
        </is>
      </c>
      <c r="H132" t="inlineStr">
        <is>
          <t>FLC</t>
        </is>
      </c>
      <c r="I132" t="inlineStr">
        <is>
          <t>Lijiang Tower</t>
        </is>
      </c>
      <c r="J132" t="inlineStr">
        <is>
          <t>Control</t>
        </is>
      </c>
      <c r="L132" t="inlineStr">
        <is>
          <t>CR</t>
        </is>
      </c>
      <c r="M132" t="inlineStr">
        <is>
          <t>Ana</t>
        </is>
      </c>
      <c r="N132" t="inlineStr">
        <is>
          <t>Wrecking Ball</t>
        </is>
      </c>
      <c r="O132">
        <f>TEXT(E132, "yymmdd") &amp; "_" &amp; G132 &amp; "_" &amp; H132 &amp; "_S" &amp; D132</f>
        <v/>
      </c>
      <c r="P132" t="n">
        <v>2</v>
      </c>
      <c r="Q132" t="n">
        <v>0</v>
      </c>
      <c r="R132" t="inlineStr">
        <is>
          <t>TEAM 2</t>
        </is>
      </c>
      <c r="S132" t="inlineStr">
        <is>
          <t>Wrecking Ball</t>
        </is>
      </c>
    </row>
    <row r="133">
      <c r="A133" t="n">
        <v>5</v>
      </c>
      <c r="B133" t="n">
        <v>1</v>
      </c>
      <c r="C133" t="n">
        <v>2</v>
      </c>
      <c r="D133" t="n">
        <v>2</v>
      </c>
      <c r="E133" t="inlineStr">
        <is>
          <t>2026-04-24</t>
        </is>
      </c>
      <c r="F133" t="inlineStr">
        <is>
          <t>2nd RR</t>
        </is>
      </c>
      <c r="G133" t="inlineStr">
        <is>
          <t>CR</t>
        </is>
      </c>
      <c r="H133" t="inlineStr">
        <is>
          <t>FLC</t>
        </is>
      </c>
      <c r="I133" t="inlineStr">
        <is>
          <t>Runasapi</t>
        </is>
      </c>
      <c r="J133" t="inlineStr">
        <is>
          <t>Push</t>
        </is>
      </c>
      <c r="L133" t="inlineStr">
        <is>
          <t>CR</t>
        </is>
      </c>
      <c r="M133" t="inlineStr">
        <is>
          <t>D.Va</t>
        </is>
      </c>
      <c r="N133" t="inlineStr">
        <is>
          <t>Bastion</t>
        </is>
      </c>
      <c r="O133">
        <f>TEXT(E133, "yymmdd") &amp; "_" &amp; G133 &amp; "_" &amp; H133 &amp; "_S" &amp; D133</f>
        <v/>
      </c>
      <c r="P133" t="n">
        <v>130.76</v>
      </c>
      <c r="Q133" t="n">
        <v>58.99</v>
      </c>
      <c r="R133" t="inlineStr">
        <is>
          <t>TEAM 2</t>
        </is>
      </c>
      <c r="S133" t="inlineStr">
        <is>
          <t>Bastion</t>
        </is>
      </c>
    </row>
    <row r="134">
      <c r="A134" t="n">
        <v>5</v>
      </c>
      <c r="B134" t="n">
        <v>1</v>
      </c>
      <c r="C134" t="n">
        <v>2</v>
      </c>
      <c r="D134" t="n">
        <v>3</v>
      </c>
      <c r="E134" t="inlineStr">
        <is>
          <t>2026-04-24</t>
        </is>
      </c>
      <c r="F134" t="inlineStr">
        <is>
          <t>2nd RR</t>
        </is>
      </c>
      <c r="G134" t="inlineStr">
        <is>
          <t>CR</t>
        </is>
      </c>
      <c r="H134" t="inlineStr">
        <is>
          <t>FLC</t>
        </is>
      </c>
      <c r="I134" t="inlineStr">
        <is>
          <t>Blizzard World</t>
        </is>
      </c>
      <c r="J134" t="inlineStr">
        <is>
          <t>Hybrid</t>
        </is>
      </c>
      <c r="L134" t="inlineStr">
        <is>
          <t>CR</t>
        </is>
      </c>
      <c r="M134" t="inlineStr">
        <is>
          <t>Brigitte</t>
        </is>
      </c>
      <c r="N134" t="inlineStr">
        <is>
          <t>Ramattra</t>
        </is>
      </c>
      <c r="O134">
        <f>TEXT(E134, "yymmdd") &amp; "_" &amp; G134 &amp; "_" &amp; H134 &amp; "_S" &amp; D134</f>
        <v/>
      </c>
      <c r="P134" t="n">
        <v>3</v>
      </c>
      <c r="Q134" t="n">
        <v>1</v>
      </c>
      <c r="R134" t="inlineStr">
        <is>
          <t>TEAM 2</t>
        </is>
      </c>
      <c r="S134" t="inlineStr">
        <is>
          <t>Ramattra</t>
        </is>
      </c>
    </row>
    <row r="135">
      <c r="A135" t="n">
        <v>5</v>
      </c>
      <c r="B135" t="n">
        <v>1</v>
      </c>
      <c r="C135" t="n">
        <v>3</v>
      </c>
      <c r="D135" t="n">
        <v>1</v>
      </c>
      <c r="E135" t="inlineStr">
        <is>
          <t>2026-04-25</t>
        </is>
      </c>
      <c r="F135" t="inlineStr">
        <is>
          <t>2nd RR</t>
        </is>
      </c>
      <c r="G135" t="inlineStr">
        <is>
          <t>ZETA</t>
        </is>
      </c>
      <c r="H135" t="inlineStr">
        <is>
          <t>FLC</t>
        </is>
      </c>
      <c r="I135" t="inlineStr">
        <is>
          <t>Lijiang Tower</t>
        </is>
      </c>
      <c r="J135" t="inlineStr">
        <is>
          <t>Control</t>
        </is>
      </c>
      <c r="L135" t="inlineStr">
        <is>
          <t>ZETA</t>
        </is>
      </c>
      <c r="M135" t="inlineStr">
        <is>
          <t>Bastion</t>
        </is>
      </c>
      <c r="N135" t="inlineStr">
        <is>
          <t>Wrecking Ball</t>
        </is>
      </c>
      <c r="O135">
        <f>TEXT(E135, "yymmdd") &amp; "_" &amp; G135 &amp; "_" &amp; H135 &amp; "_S" &amp; D135</f>
        <v/>
      </c>
      <c r="P135" t="n">
        <v>2</v>
      </c>
      <c r="Q135" t="n">
        <v>0</v>
      </c>
      <c r="R135" t="inlineStr">
        <is>
          <t>TEAM 2</t>
        </is>
      </c>
      <c r="S135" t="inlineStr">
        <is>
          <t>Wrecking Ball</t>
        </is>
      </c>
    </row>
    <row r="136">
      <c r="A136" t="n">
        <v>5</v>
      </c>
      <c r="B136" t="n">
        <v>1</v>
      </c>
      <c r="C136" t="n">
        <v>3</v>
      </c>
      <c r="D136" t="n">
        <v>2</v>
      </c>
      <c r="E136" t="inlineStr">
        <is>
          <t>2026-04-25</t>
        </is>
      </c>
      <c r="F136" t="inlineStr">
        <is>
          <t>2nd RR</t>
        </is>
      </c>
      <c r="G136" t="inlineStr">
        <is>
          <t>ZETA</t>
        </is>
      </c>
      <c r="H136" t="inlineStr">
        <is>
          <t>FLC</t>
        </is>
      </c>
      <c r="I136" t="inlineStr">
        <is>
          <t>Runasapi</t>
        </is>
      </c>
      <c r="J136" t="inlineStr">
        <is>
          <t>Push</t>
        </is>
      </c>
      <c r="L136" t="inlineStr">
        <is>
          <t>ZETA</t>
        </is>
      </c>
      <c r="M136" t="inlineStr">
        <is>
          <t>Jetpack Cat</t>
        </is>
      </c>
      <c r="N136" t="inlineStr">
        <is>
          <t>Tracer</t>
        </is>
      </c>
      <c r="O136">
        <f>TEXT(E136, "yymmdd") &amp; "_" &amp; G136 &amp; "_" &amp; H136 &amp; "_S" &amp; D136</f>
        <v/>
      </c>
      <c r="P136" t="n">
        <v>144.86</v>
      </c>
      <c r="Q136" t="n">
        <v>54.85</v>
      </c>
      <c r="R136" t="inlineStr">
        <is>
          <t>TEAM 2</t>
        </is>
      </c>
      <c r="S136" t="inlineStr">
        <is>
          <t>Tracer</t>
        </is>
      </c>
    </row>
    <row r="137">
      <c r="A137" t="n">
        <v>5</v>
      </c>
      <c r="B137" t="n">
        <v>1</v>
      </c>
      <c r="C137" t="n">
        <v>3</v>
      </c>
      <c r="D137" t="n">
        <v>3</v>
      </c>
      <c r="E137" t="inlineStr">
        <is>
          <t>2026-04-25</t>
        </is>
      </c>
      <c r="F137" t="inlineStr">
        <is>
          <t>2nd RR</t>
        </is>
      </c>
      <c r="G137" t="inlineStr">
        <is>
          <t>ZETA</t>
        </is>
      </c>
      <c r="H137" t="inlineStr">
        <is>
          <t>FLC</t>
        </is>
      </c>
      <c r="I137" t="inlineStr">
        <is>
          <t>Numbani</t>
        </is>
      </c>
      <c r="J137" t="inlineStr">
        <is>
          <t>Hybrid</t>
        </is>
      </c>
      <c r="L137" t="inlineStr">
        <is>
          <t>FLC</t>
        </is>
      </c>
      <c r="M137" t="inlineStr">
        <is>
          <t>Symmetra</t>
        </is>
      </c>
      <c r="N137" t="inlineStr">
        <is>
          <t>Zarya</t>
        </is>
      </c>
      <c r="O137">
        <f>TEXT(E137, "yymmdd") &amp; "_" &amp; G137 &amp; "_" &amp; H137 &amp; "_S" &amp; D137</f>
        <v/>
      </c>
      <c r="P137" t="n">
        <v>2</v>
      </c>
      <c r="Q137" t="n">
        <v>3</v>
      </c>
      <c r="R137" t="inlineStr">
        <is>
          <t>TEAM 2</t>
        </is>
      </c>
      <c r="S137" t="inlineStr">
        <is>
          <t>Zarya</t>
        </is>
      </c>
    </row>
    <row r="138">
      <c r="A138" t="n">
        <v>5</v>
      </c>
      <c r="B138" t="n">
        <v>1</v>
      </c>
      <c r="C138" t="n">
        <v>3</v>
      </c>
      <c r="D138" t="n">
        <v>4</v>
      </c>
      <c r="E138" t="inlineStr">
        <is>
          <t>2026-04-25</t>
        </is>
      </c>
      <c r="F138" t="inlineStr">
        <is>
          <t>2nd RR</t>
        </is>
      </c>
      <c r="G138" t="inlineStr">
        <is>
          <t>ZETA</t>
        </is>
      </c>
      <c r="H138" t="inlineStr">
        <is>
          <t>FLC</t>
        </is>
      </c>
      <c r="I138" t="inlineStr">
        <is>
          <t>Watchpoint: Gibraltar</t>
        </is>
      </c>
      <c r="J138" t="inlineStr">
        <is>
          <t>Escort</t>
        </is>
      </c>
      <c r="L138" t="inlineStr">
        <is>
          <t>ZETA</t>
        </is>
      </c>
      <c r="M138" t="inlineStr">
        <is>
          <t>D.Va</t>
        </is>
      </c>
      <c r="N138" t="inlineStr">
        <is>
          <t>Ana</t>
        </is>
      </c>
      <c r="O138">
        <f>TEXT(E138, "yymmdd") &amp; "_" &amp; G138 &amp; "_" &amp; H138 &amp; "_S" &amp; D138</f>
        <v/>
      </c>
      <c r="P138" t="n">
        <v>4</v>
      </c>
      <c r="Q138" t="n">
        <v>3</v>
      </c>
      <c r="R138" t="inlineStr">
        <is>
          <t>TEAM 1</t>
        </is>
      </c>
      <c r="S138" t="inlineStr">
        <is>
          <t>D.Va</t>
        </is>
      </c>
    </row>
    <row r="139">
      <c r="A139" t="n">
        <v>5</v>
      </c>
      <c r="B139" t="n">
        <v>1</v>
      </c>
      <c r="C139" t="n">
        <v>4</v>
      </c>
      <c r="D139" t="n">
        <v>1</v>
      </c>
      <c r="E139" t="inlineStr">
        <is>
          <t>2026-04-25</t>
        </is>
      </c>
      <c r="F139" t="inlineStr">
        <is>
          <t>2nd RR</t>
        </is>
      </c>
      <c r="G139" t="inlineStr">
        <is>
          <t>CR</t>
        </is>
      </c>
      <c r="H139" t="inlineStr">
        <is>
          <t>OSG</t>
        </is>
      </c>
      <c r="I139" t="inlineStr">
        <is>
          <t>Lijiang Tower</t>
        </is>
      </c>
      <c r="J139" t="inlineStr">
        <is>
          <t>Control</t>
        </is>
      </c>
      <c r="L139" t="inlineStr">
        <is>
          <t>CR</t>
        </is>
      </c>
      <c r="M139" t="inlineStr">
        <is>
          <t>D.Va</t>
        </is>
      </c>
      <c r="N139" t="inlineStr">
        <is>
          <t>Reaper</t>
        </is>
      </c>
      <c r="O139">
        <f>TEXT(E139, "yymmdd") &amp; "_" &amp; G139 &amp; "_" &amp; H139 &amp; "_S" &amp; D139</f>
        <v/>
      </c>
      <c r="P139" t="n">
        <v>2</v>
      </c>
      <c r="Q139" t="n">
        <v>0</v>
      </c>
      <c r="R139" t="inlineStr">
        <is>
          <t>TEAM 1</t>
        </is>
      </c>
      <c r="S139" t="inlineStr">
        <is>
          <t>D.Va</t>
        </is>
      </c>
    </row>
    <row r="140">
      <c r="A140" t="n">
        <v>5</v>
      </c>
      <c r="B140" t="n">
        <v>1</v>
      </c>
      <c r="C140" t="n">
        <v>4</v>
      </c>
      <c r="D140" t="n">
        <v>2</v>
      </c>
      <c r="E140" t="inlineStr">
        <is>
          <t>2026-04-25</t>
        </is>
      </c>
      <c r="F140" t="inlineStr">
        <is>
          <t>2nd RR</t>
        </is>
      </c>
      <c r="G140" t="inlineStr">
        <is>
          <t>CR</t>
        </is>
      </c>
      <c r="H140" t="inlineStr">
        <is>
          <t>OSG</t>
        </is>
      </c>
      <c r="I140" t="inlineStr">
        <is>
          <t>Runasapi</t>
        </is>
      </c>
      <c r="J140" t="inlineStr">
        <is>
          <t>Push</t>
        </is>
      </c>
      <c r="L140" t="inlineStr">
        <is>
          <t>CR</t>
        </is>
      </c>
      <c r="M140" t="inlineStr">
        <is>
          <t>Ramattra</t>
        </is>
      </c>
      <c r="N140" t="inlineStr">
        <is>
          <t>Bastion</t>
        </is>
      </c>
      <c r="O140">
        <f>TEXT(E140, "yymmdd") &amp; "_" &amp; G140 &amp; "_" &amp; H140 &amp; "_S" &amp; D140</f>
        <v/>
      </c>
      <c r="P140" t="n">
        <v>138.21</v>
      </c>
      <c r="Q140" t="n">
        <v>105.66</v>
      </c>
      <c r="R140" t="inlineStr">
        <is>
          <t>TEAM 2</t>
        </is>
      </c>
      <c r="S140" t="inlineStr">
        <is>
          <t>Bastion</t>
        </is>
      </c>
    </row>
    <row r="141">
      <c r="A141" t="n">
        <v>5</v>
      </c>
      <c r="B141" t="n">
        <v>1</v>
      </c>
      <c r="C141" t="n">
        <v>4</v>
      </c>
      <c r="D141" t="n">
        <v>3</v>
      </c>
      <c r="E141" t="inlineStr">
        <is>
          <t>2026-04-25</t>
        </is>
      </c>
      <c r="F141" t="inlineStr">
        <is>
          <t>2nd RR</t>
        </is>
      </c>
      <c r="G141" t="inlineStr">
        <is>
          <t>CR</t>
        </is>
      </c>
      <c r="H141" t="inlineStr">
        <is>
          <t>OSG</t>
        </is>
      </c>
      <c r="I141" t="inlineStr">
        <is>
          <t>Blizzard World</t>
        </is>
      </c>
      <c r="J141" t="inlineStr">
        <is>
          <t>Hybrid</t>
        </is>
      </c>
      <c r="L141" t="inlineStr">
        <is>
          <t>CR</t>
        </is>
      </c>
      <c r="M141" t="inlineStr">
        <is>
          <t>Hazard</t>
        </is>
      </c>
      <c r="N141" t="inlineStr">
        <is>
          <t>Jetpack Cat</t>
        </is>
      </c>
      <c r="O141">
        <f>TEXT(E141, "yymmdd") &amp; "_" &amp; G141 &amp; "_" &amp; H141 &amp; "_S" &amp; D141</f>
        <v/>
      </c>
      <c r="P141" t="n">
        <v>3</v>
      </c>
      <c r="Q141" t="n">
        <v>1</v>
      </c>
      <c r="R141" t="inlineStr">
        <is>
          <t>TEAM 2</t>
        </is>
      </c>
      <c r="S141" t="inlineStr">
        <is>
          <t>Jetpack Cat</t>
        </is>
      </c>
    </row>
    <row r="142">
      <c r="A142" t="n">
        <v>5</v>
      </c>
      <c r="B142" t="n">
        <v>1</v>
      </c>
      <c r="C142" t="n">
        <v>5</v>
      </c>
      <c r="D142" t="n">
        <v>1</v>
      </c>
      <c r="E142" t="inlineStr">
        <is>
          <t>2026-04-26</t>
        </is>
      </c>
      <c r="F142" t="inlineStr">
        <is>
          <t>2nd RR</t>
        </is>
      </c>
      <c r="G142" t="inlineStr">
        <is>
          <t>ZETA</t>
        </is>
      </c>
      <c r="H142" t="inlineStr">
        <is>
          <t>CR</t>
        </is>
      </c>
      <c r="I142" t="inlineStr">
        <is>
          <t>Lijiang Tower</t>
        </is>
      </c>
      <c r="J142" t="inlineStr">
        <is>
          <t>Control</t>
        </is>
      </c>
      <c r="L142" t="inlineStr">
        <is>
          <t>ZETA</t>
        </is>
      </c>
      <c r="M142" t="inlineStr">
        <is>
          <t>Bastion</t>
        </is>
      </c>
      <c r="N142" t="inlineStr">
        <is>
          <t>Ana</t>
        </is>
      </c>
      <c r="O142">
        <f>TEXT(E142, "yymmdd") &amp; "_" &amp; G142 &amp; "_" &amp; H142 &amp; "_S" &amp; D142</f>
        <v/>
      </c>
      <c r="P142" t="n">
        <v>2</v>
      </c>
      <c r="Q142" t="n">
        <v>0</v>
      </c>
      <c r="R142" t="inlineStr">
        <is>
          <t>TEAM 2</t>
        </is>
      </c>
      <c r="S142" t="inlineStr">
        <is>
          <t>Ana</t>
        </is>
      </c>
    </row>
    <row r="143">
      <c r="A143" t="n">
        <v>5</v>
      </c>
      <c r="B143" t="n">
        <v>1</v>
      </c>
      <c r="C143" t="n">
        <v>5</v>
      </c>
      <c r="D143" t="n">
        <v>2</v>
      </c>
      <c r="E143" t="inlineStr">
        <is>
          <t>2026-04-26</t>
        </is>
      </c>
      <c r="F143" t="inlineStr">
        <is>
          <t>2nd RR</t>
        </is>
      </c>
      <c r="G143" t="inlineStr">
        <is>
          <t>ZETA</t>
        </is>
      </c>
      <c r="H143" t="inlineStr">
        <is>
          <t>CR</t>
        </is>
      </c>
      <c r="I143" t="inlineStr">
        <is>
          <t>Havana</t>
        </is>
      </c>
      <c r="J143" t="inlineStr">
        <is>
          <t>Escort</t>
        </is>
      </c>
      <c r="L143" t="inlineStr">
        <is>
          <t>ZETA</t>
        </is>
      </c>
      <c r="M143" t="inlineStr">
        <is>
          <t>Zarya</t>
        </is>
      </c>
      <c r="N143" t="inlineStr">
        <is>
          <t>Illari</t>
        </is>
      </c>
      <c r="O143">
        <f>TEXT(E143, "yymmdd") &amp; "_" &amp; G143 &amp; "_" &amp; H143 &amp; "_S" &amp; D143</f>
        <v/>
      </c>
      <c r="P143" t="n">
        <v>2</v>
      </c>
      <c r="Q143" t="n">
        <v>1</v>
      </c>
      <c r="R143" t="inlineStr">
        <is>
          <t>TEAM 2</t>
        </is>
      </c>
      <c r="S143" t="inlineStr">
        <is>
          <t>Illari</t>
        </is>
      </c>
    </row>
    <row r="144">
      <c r="A144" t="n">
        <v>5</v>
      </c>
      <c r="B144" t="n">
        <v>1</v>
      </c>
      <c r="C144" t="n">
        <v>5</v>
      </c>
      <c r="D144" t="n">
        <v>3</v>
      </c>
      <c r="E144" t="inlineStr">
        <is>
          <t>2026-04-26</t>
        </is>
      </c>
      <c r="F144" t="inlineStr">
        <is>
          <t>2nd RR</t>
        </is>
      </c>
      <c r="G144" t="inlineStr">
        <is>
          <t>ZETA</t>
        </is>
      </c>
      <c r="H144" t="inlineStr">
        <is>
          <t>CR</t>
        </is>
      </c>
      <c r="I144" t="inlineStr">
        <is>
          <t>Suravasa</t>
        </is>
      </c>
      <c r="J144" t="inlineStr">
        <is>
          <t>Flashpoint</t>
        </is>
      </c>
      <c r="L144" t="inlineStr">
        <is>
          <t>ZETA</t>
        </is>
      </c>
      <c r="M144" t="inlineStr">
        <is>
          <t>Kiriko</t>
        </is>
      </c>
      <c r="N144" t="inlineStr">
        <is>
          <t>Symmetra</t>
        </is>
      </c>
      <c r="O144">
        <f>TEXT(E144, "yymmdd") &amp; "_" &amp; G144 &amp; "_" &amp; H144 &amp; "_S" &amp; D144</f>
        <v/>
      </c>
      <c r="P144" t="n">
        <v>3</v>
      </c>
      <c r="Q144" t="n">
        <v>0</v>
      </c>
      <c r="R144" t="inlineStr">
        <is>
          <t>TEAM 1</t>
        </is>
      </c>
      <c r="S144" t="inlineStr">
        <is>
          <t>Kiriko</t>
        </is>
      </c>
    </row>
    <row r="145">
      <c r="A145" t="n">
        <v>5</v>
      </c>
      <c r="B145" t="n">
        <v>1</v>
      </c>
      <c r="C145" t="n">
        <v>6</v>
      </c>
      <c r="D145" t="n">
        <v>1</v>
      </c>
      <c r="E145" t="inlineStr">
        <is>
          <t>2026-04-26</t>
        </is>
      </c>
      <c r="F145" t="inlineStr">
        <is>
          <t>2nd RR</t>
        </is>
      </c>
      <c r="G145" t="inlineStr">
        <is>
          <t>FLC</t>
        </is>
      </c>
      <c r="H145" t="inlineStr">
        <is>
          <t>OSG</t>
        </is>
      </c>
      <c r="I145" t="inlineStr">
        <is>
          <t>Lijiang Tower</t>
        </is>
      </c>
      <c r="J145" t="inlineStr">
        <is>
          <t>Control</t>
        </is>
      </c>
      <c r="L145" t="inlineStr">
        <is>
          <t>FLC</t>
        </is>
      </c>
      <c r="M145" t="inlineStr">
        <is>
          <t>Zarya</t>
        </is>
      </c>
      <c r="N145" t="inlineStr">
        <is>
          <t>Bastion</t>
        </is>
      </c>
      <c r="O145">
        <f>TEXT(E145, "yymmdd") &amp; "_" &amp; G145 &amp; "_" &amp; H145 &amp; "_S" &amp; D145</f>
        <v/>
      </c>
      <c r="P145" t="n">
        <v>2</v>
      </c>
      <c r="Q145" t="n">
        <v>0</v>
      </c>
      <c r="R145" t="inlineStr">
        <is>
          <t>TEAM 2</t>
        </is>
      </c>
      <c r="S145" t="inlineStr">
        <is>
          <t>Bastion</t>
        </is>
      </c>
    </row>
    <row r="146">
      <c r="A146" t="n">
        <v>5</v>
      </c>
      <c r="B146" t="n">
        <v>1</v>
      </c>
      <c r="C146" t="n">
        <v>6</v>
      </c>
      <c r="D146" t="n">
        <v>2</v>
      </c>
      <c r="E146" t="inlineStr">
        <is>
          <t>2026-04-26</t>
        </is>
      </c>
      <c r="F146" t="inlineStr">
        <is>
          <t>2nd RR</t>
        </is>
      </c>
      <c r="G146" t="inlineStr">
        <is>
          <t>FLC</t>
        </is>
      </c>
      <c r="H146" t="inlineStr">
        <is>
          <t>OSG</t>
        </is>
      </c>
      <c r="I146" t="inlineStr">
        <is>
          <t>Runasapi</t>
        </is>
      </c>
      <c r="J146" t="inlineStr">
        <is>
          <t>Push</t>
        </is>
      </c>
      <c r="L146" t="inlineStr">
        <is>
          <t>FLC</t>
        </is>
      </c>
      <c r="M146" t="inlineStr">
        <is>
          <t>Ana</t>
        </is>
      </c>
      <c r="N146" t="inlineStr">
        <is>
          <t>Symmetra</t>
        </is>
      </c>
      <c r="O146">
        <f>TEXT(E146, "yymmdd") &amp; "_" &amp; G146 &amp; "_" &amp; H146 &amp; "_S" &amp; D146</f>
        <v/>
      </c>
      <c r="P146" t="n">
        <v>127.71</v>
      </c>
      <c r="Q146" t="n">
        <v>18.61</v>
      </c>
      <c r="R146" t="inlineStr">
        <is>
          <t>TEAM 2</t>
        </is>
      </c>
      <c r="S146" t="inlineStr">
        <is>
          <t>Symmetra</t>
        </is>
      </c>
    </row>
    <row r="147">
      <c r="A147" t="n">
        <v>5</v>
      </c>
      <c r="B147" t="n">
        <v>1</v>
      </c>
      <c r="C147" t="n">
        <v>6</v>
      </c>
      <c r="D147" t="n">
        <v>3</v>
      </c>
      <c r="E147" t="inlineStr">
        <is>
          <t>2026-04-26</t>
        </is>
      </c>
      <c r="F147" t="inlineStr">
        <is>
          <t>2nd RR</t>
        </is>
      </c>
      <c r="G147" t="inlineStr">
        <is>
          <t>FLC</t>
        </is>
      </c>
      <c r="H147" t="inlineStr">
        <is>
          <t>OSG</t>
        </is>
      </c>
      <c r="I147" t="inlineStr">
        <is>
          <t>Blizzard World</t>
        </is>
      </c>
      <c r="J147" t="inlineStr">
        <is>
          <t>Hybrid</t>
        </is>
      </c>
      <c r="L147" t="inlineStr">
        <is>
          <t>FLC</t>
        </is>
      </c>
      <c r="M147" t="inlineStr">
        <is>
          <t>Pharah</t>
        </is>
      </c>
      <c r="N147" t="inlineStr">
        <is>
          <t>Jetpack Cat</t>
        </is>
      </c>
      <c r="O147">
        <f>TEXT(E147, "yymmdd") &amp; "_" &amp; G147 &amp; "_" &amp; H147 &amp; "_S" &amp; D147</f>
        <v/>
      </c>
      <c r="P147" t="n">
        <v>3</v>
      </c>
      <c r="Q147" t="n">
        <v>2</v>
      </c>
      <c r="R147" t="inlineStr">
        <is>
          <t>TEAM 2</t>
        </is>
      </c>
      <c r="S147" t="inlineStr">
        <is>
          <t>Jetpack Cat</t>
        </is>
      </c>
    </row>
    <row r="148">
      <c r="A148" t="n">
        <v>5</v>
      </c>
      <c r="B148" t="n">
        <v>1</v>
      </c>
      <c r="C148" t="n">
        <v>1</v>
      </c>
      <c r="D148" t="n">
        <v>1</v>
      </c>
      <c r="E148" t="inlineStr">
        <is>
          <t>2026-04-24</t>
        </is>
      </c>
      <c r="F148" t="inlineStr">
        <is>
          <t>LCQ</t>
        </is>
      </c>
      <c r="G148" t="inlineStr">
        <is>
          <t>T1</t>
        </is>
      </c>
      <c r="H148" t="inlineStr">
        <is>
          <t>ZAN</t>
        </is>
      </c>
      <c r="I148" t="inlineStr">
        <is>
          <t>Lijiang Tower</t>
        </is>
      </c>
      <c r="J148" t="inlineStr">
        <is>
          <t>Control</t>
        </is>
      </c>
      <c r="L148" t="inlineStr">
        <is>
          <t>T1</t>
        </is>
      </c>
      <c r="M148" t="inlineStr">
        <is>
          <t>Hazard</t>
        </is>
      </c>
      <c r="N148" t="inlineStr">
        <is>
          <t>Bastion</t>
        </is>
      </c>
      <c r="O148">
        <f>TEXT(E148, "yymmdd") &amp; "_" &amp; G148 &amp; "_" &amp; H148 &amp; "_S" &amp; D148</f>
        <v/>
      </c>
      <c r="P148" t="n">
        <v>2</v>
      </c>
      <c r="Q148" t="n">
        <v>1</v>
      </c>
      <c r="R148" t="inlineStr">
        <is>
          <t>TEAM 1</t>
        </is>
      </c>
      <c r="S148" t="inlineStr">
        <is>
          <t>Hazard</t>
        </is>
      </c>
    </row>
    <row r="149">
      <c r="A149" t="n">
        <v>5</v>
      </c>
      <c r="B149" t="n">
        <v>1</v>
      </c>
      <c r="C149" t="n">
        <v>1</v>
      </c>
      <c r="D149" t="n">
        <v>2</v>
      </c>
      <c r="E149" t="inlineStr">
        <is>
          <t>2026-04-24</t>
        </is>
      </c>
      <c r="F149" t="inlineStr">
        <is>
          <t>LCQ</t>
        </is>
      </c>
      <c r="G149" t="inlineStr">
        <is>
          <t>T1</t>
        </is>
      </c>
      <c r="H149" t="inlineStr">
        <is>
          <t>ZAN</t>
        </is>
      </c>
      <c r="I149" t="inlineStr">
        <is>
          <t>Esperança</t>
        </is>
      </c>
      <c r="J149" t="inlineStr">
        <is>
          <t>Push</t>
        </is>
      </c>
      <c r="L149" t="inlineStr">
        <is>
          <t>T1</t>
        </is>
      </c>
      <c r="M149" t="inlineStr">
        <is>
          <t>Zarya</t>
        </is>
      </c>
      <c r="N149" t="inlineStr">
        <is>
          <t>Symmetra</t>
        </is>
      </c>
      <c r="O149">
        <f>TEXT(E149, "yymmdd") &amp; "_" &amp; G149 &amp; "_" &amp; H149 &amp; "_S" &amp; D149</f>
        <v/>
      </c>
      <c r="P149" t="n">
        <v>141.97</v>
      </c>
      <c r="Q149" t="n">
        <v>8.359999999999999</v>
      </c>
      <c r="R149" t="inlineStr">
        <is>
          <t>TEAM 2</t>
        </is>
      </c>
      <c r="S149" t="inlineStr">
        <is>
          <t>Symmetra</t>
        </is>
      </c>
    </row>
    <row r="150">
      <c r="A150" t="n">
        <v>5</v>
      </c>
      <c r="B150" t="n">
        <v>1</v>
      </c>
      <c r="C150" t="n">
        <v>1</v>
      </c>
      <c r="D150" t="n">
        <v>3</v>
      </c>
      <c r="E150" t="inlineStr">
        <is>
          <t>2026-04-24</t>
        </is>
      </c>
      <c r="F150" t="inlineStr">
        <is>
          <t>LCQ</t>
        </is>
      </c>
      <c r="G150" t="inlineStr">
        <is>
          <t>T1</t>
        </is>
      </c>
      <c r="H150" t="inlineStr">
        <is>
          <t>ZAN</t>
        </is>
      </c>
      <c r="I150" t="inlineStr">
        <is>
          <t>Havana</t>
        </is>
      </c>
      <c r="J150" t="inlineStr">
        <is>
          <t>Escort</t>
        </is>
      </c>
      <c r="L150" t="inlineStr">
        <is>
          <t>T1</t>
        </is>
      </c>
      <c r="M150" t="inlineStr">
        <is>
          <t>Illari</t>
        </is>
      </c>
      <c r="N150" t="inlineStr">
        <is>
          <t>Genji</t>
        </is>
      </c>
      <c r="O150">
        <f>TEXT(E150, "yymmdd") &amp; "_" &amp; G150 &amp; "_" &amp; H150 &amp; "_S" &amp; D150</f>
        <v/>
      </c>
      <c r="P150" t="n">
        <v>1</v>
      </c>
      <c r="Q150" t="n">
        <v>0</v>
      </c>
      <c r="R150" t="inlineStr">
        <is>
          <t>TEAM 2</t>
        </is>
      </c>
      <c r="S150" t="inlineStr">
        <is>
          <t>Genji</t>
        </is>
      </c>
    </row>
    <row r="151">
      <c r="A151" t="n">
        <v>5</v>
      </c>
      <c r="B151" t="n">
        <v>1</v>
      </c>
      <c r="C151" t="n">
        <v>2</v>
      </c>
      <c r="D151" t="n">
        <v>1</v>
      </c>
      <c r="E151" t="inlineStr">
        <is>
          <t>2026-04-25</t>
        </is>
      </c>
      <c r="F151" t="inlineStr">
        <is>
          <t>LCQ</t>
        </is>
      </c>
      <c r="G151" t="inlineStr">
        <is>
          <t>PF</t>
        </is>
      </c>
      <c r="H151" t="inlineStr">
        <is>
          <t>CB</t>
        </is>
      </c>
      <c r="I151" t="inlineStr">
        <is>
          <t>Busan</t>
        </is>
      </c>
      <c r="J151" t="inlineStr">
        <is>
          <t>Control</t>
        </is>
      </c>
      <c r="L151" t="inlineStr">
        <is>
          <t>CB</t>
        </is>
      </c>
      <c r="M151" t="inlineStr">
        <is>
          <t>Mauga</t>
        </is>
      </c>
      <c r="N151" t="inlineStr">
        <is>
          <t>Symmetra</t>
        </is>
      </c>
      <c r="O151">
        <f>TEXT(E151, "yymmdd") &amp; "_" &amp; G151 &amp; "_" &amp; H151 &amp; "_S" &amp; D151</f>
        <v/>
      </c>
      <c r="P151" t="n">
        <v>1</v>
      </c>
      <c r="Q151" t="n">
        <v>2</v>
      </c>
      <c r="R151" t="inlineStr">
        <is>
          <t>TEAM 1</t>
        </is>
      </c>
      <c r="S151" t="inlineStr">
        <is>
          <t>Mauga</t>
        </is>
      </c>
    </row>
    <row r="152">
      <c r="A152" t="n">
        <v>5</v>
      </c>
      <c r="B152" t="n">
        <v>1</v>
      </c>
      <c r="C152" t="n">
        <v>2</v>
      </c>
      <c r="D152" t="n">
        <v>2</v>
      </c>
      <c r="E152" t="inlineStr">
        <is>
          <t>2026-04-25</t>
        </is>
      </c>
      <c r="F152" t="inlineStr">
        <is>
          <t>LCQ</t>
        </is>
      </c>
      <c r="G152" t="inlineStr">
        <is>
          <t>PF</t>
        </is>
      </c>
      <c r="H152" t="inlineStr">
        <is>
          <t>CB</t>
        </is>
      </c>
      <c r="I152" t="inlineStr">
        <is>
          <t>Rialto</t>
        </is>
      </c>
      <c r="J152" t="inlineStr">
        <is>
          <t>Escort</t>
        </is>
      </c>
      <c r="L152" t="inlineStr">
        <is>
          <t>PF</t>
        </is>
      </c>
      <c r="M152" t="inlineStr">
        <is>
          <t>Pharah</t>
        </is>
      </c>
      <c r="N152" t="inlineStr">
        <is>
          <t>Mauga</t>
        </is>
      </c>
      <c r="O152">
        <f>TEXT(E152, "yymmdd") &amp; "_" &amp; G152 &amp; "_" &amp; H152 &amp; "_S" &amp; D152</f>
        <v/>
      </c>
      <c r="P152" t="n">
        <v>3</v>
      </c>
      <c r="Q152" t="n">
        <v>2</v>
      </c>
      <c r="R152" t="inlineStr">
        <is>
          <t>TEAM 1</t>
        </is>
      </c>
      <c r="S152" t="inlineStr">
        <is>
          <t>Pharah</t>
        </is>
      </c>
    </row>
    <row r="153">
      <c r="A153" t="n">
        <v>5</v>
      </c>
      <c r="B153" t="n">
        <v>1</v>
      </c>
      <c r="C153" t="n">
        <v>2</v>
      </c>
      <c r="D153" t="n">
        <v>3</v>
      </c>
      <c r="E153" t="inlineStr">
        <is>
          <t>2026-04-25</t>
        </is>
      </c>
      <c r="F153" t="inlineStr">
        <is>
          <t>LCQ</t>
        </is>
      </c>
      <c r="G153" t="inlineStr">
        <is>
          <t>PF</t>
        </is>
      </c>
      <c r="H153" t="inlineStr">
        <is>
          <t>CB</t>
        </is>
      </c>
      <c r="I153" t="inlineStr">
        <is>
          <t>Esperança</t>
        </is>
      </c>
      <c r="J153" t="inlineStr">
        <is>
          <t>Push</t>
        </is>
      </c>
      <c r="L153" t="inlineStr">
        <is>
          <t>PF</t>
        </is>
      </c>
      <c r="M153" t="inlineStr">
        <is>
          <t>Symmetra</t>
        </is>
      </c>
      <c r="N153" t="inlineStr">
        <is>
          <t>Jetpack Cat</t>
        </is>
      </c>
      <c r="O153">
        <f>TEXT(E153, "yymmdd") &amp; "_" &amp; G153 &amp; "_" &amp; H153 &amp; "_S" &amp; D153</f>
        <v/>
      </c>
      <c r="P153" t="n">
        <v>142.41</v>
      </c>
      <c r="Q153" t="n">
        <v>0</v>
      </c>
      <c r="R153" t="inlineStr">
        <is>
          <t>TEAM 2</t>
        </is>
      </c>
      <c r="S153" t="inlineStr">
        <is>
          <t>Jetpack Cat</t>
        </is>
      </c>
    </row>
    <row r="154">
      <c r="A154" t="n">
        <v>5</v>
      </c>
      <c r="B154" t="n">
        <v>1</v>
      </c>
      <c r="C154" t="n">
        <v>2</v>
      </c>
      <c r="D154" t="n">
        <v>4</v>
      </c>
      <c r="E154" t="inlineStr">
        <is>
          <t>2026-04-25</t>
        </is>
      </c>
      <c r="F154" t="inlineStr">
        <is>
          <t>LCQ</t>
        </is>
      </c>
      <c r="G154" t="inlineStr">
        <is>
          <t>PF</t>
        </is>
      </c>
      <c r="H154" t="inlineStr">
        <is>
          <t>CB</t>
        </is>
      </c>
      <c r="I154" t="inlineStr">
        <is>
          <t>Numbani</t>
        </is>
      </c>
      <c r="J154" t="inlineStr">
        <is>
          <t>Hybrid</t>
        </is>
      </c>
      <c r="L154" t="inlineStr">
        <is>
          <t>CB</t>
        </is>
      </c>
      <c r="M154" t="inlineStr">
        <is>
          <t>Tracer</t>
        </is>
      </c>
      <c r="N154" t="inlineStr">
        <is>
          <t>Kiriko</t>
        </is>
      </c>
      <c r="O154">
        <f>TEXT(E154, "yymmdd") &amp; "_" &amp; G154 &amp; "_" &amp; H154 &amp; "_S" &amp; D154</f>
        <v/>
      </c>
      <c r="P154" t="n">
        <v>4</v>
      </c>
      <c r="Q154" t="n">
        <v>6</v>
      </c>
      <c r="R154" t="inlineStr">
        <is>
          <t>TEAM 2</t>
        </is>
      </c>
      <c r="S154" t="inlineStr">
        <is>
          <t>Kiriko</t>
        </is>
      </c>
    </row>
    <row r="155">
      <c r="A155" t="n">
        <v>5</v>
      </c>
      <c r="B155" t="n">
        <v>1</v>
      </c>
      <c r="C155" t="n">
        <v>2</v>
      </c>
      <c r="D155" t="n">
        <v>5</v>
      </c>
      <c r="E155" t="inlineStr">
        <is>
          <t>2026-04-25</t>
        </is>
      </c>
      <c r="F155" t="inlineStr">
        <is>
          <t>LCQ</t>
        </is>
      </c>
      <c r="G155" t="inlineStr">
        <is>
          <t>PF</t>
        </is>
      </c>
      <c r="H155" t="inlineStr">
        <is>
          <t>CB</t>
        </is>
      </c>
      <c r="I155" t="inlineStr">
        <is>
          <t>Runasapi</t>
        </is>
      </c>
      <c r="J155" t="inlineStr">
        <is>
          <t>Push</t>
        </is>
      </c>
      <c r="L155" t="inlineStr">
        <is>
          <t>CB</t>
        </is>
      </c>
      <c r="M155" t="inlineStr">
        <is>
          <t>Zarya</t>
        </is>
      </c>
      <c r="N155" t="inlineStr">
        <is>
          <t>Reaper</t>
        </is>
      </c>
      <c r="O155">
        <f>TEXT(E155, "yymmdd") &amp; "_" &amp; G155 &amp; "_" &amp; H155 &amp; "_S" &amp; D155</f>
        <v/>
      </c>
      <c r="P155" t="n">
        <v>39.88</v>
      </c>
      <c r="Q155" t="n">
        <v>107.73</v>
      </c>
      <c r="R155" t="inlineStr">
        <is>
          <t>TEAM 1</t>
        </is>
      </c>
      <c r="S155" t="inlineStr">
        <is>
          <t>Zarya</t>
        </is>
      </c>
    </row>
    <row r="156">
      <c r="A156" t="n">
        <v>5</v>
      </c>
      <c r="B156" t="n">
        <v>1</v>
      </c>
      <c r="C156" t="n">
        <v>3</v>
      </c>
      <c r="D156" t="n">
        <v>1</v>
      </c>
      <c r="E156" t="inlineStr">
        <is>
          <t>2026-04-26</t>
        </is>
      </c>
      <c r="F156" t="inlineStr">
        <is>
          <t>LCQ</t>
        </is>
      </c>
      <c r="G156" t="inlineStr">
        <is>
          <t>ZAN</t>
        </is>
      </c>
      <c r="H156" t="inlineStr">
        <is>
          <t>CB</t>
        </is>
      </c>
      <c r="I156" t="inlineStr">
        <is>
          <t>Lijiang Tower</t>
        </is>
      </c>
      <c r="J156" t="inlineStr">
        <is>
          <t>Control</t>
        </is>
      </c>
      <c r="L156" t="inlineStr">
        <is>
          <t>ZAN</t>
        </is>
      </c>
      <c r="M156" t="inlineStr">
        <is>
          <t>Bastion</t>
        </is>
      </c>
      <c r="N156" t="inlineStr">
        <is>
          <t>Lucio</t>
        </is>
      </c>
      <c r="O156">
        <f>TEXT(E156, "yymmdd") &amp; "_" &amp; G156 &amp; "_" &amp; H156 &amp; "_S" &amp; D156</f>
        <v/>
      </c>
      <c r="P156" t="n">
        <v>2</v>
      </c>
      <c r="Q156" t="n">
        <v>0</v>
      </c>
      <c r="R156" t="inlineStr">
        <is>
          <t>TEAM 1</t>
        </is>
      </c>
      <c r="S156" t="inlineStr">
        <is>
          <t>Bastion</t>
        </is>
      </c>
    </row>
    <row r="157">
      <c r="A157" t="n">
        <v>5</v>
      </c>
      <c r="B157" t="n">
        <v>1</v>
      </c>
      <c r="C157" t="n">
        <v>3</v>
      </c>
      <c r="D157" t="n">
        <v>2</v>
      </c>
      <c r="E157" t="inlineStr">
        <is>
          <t>2026-04-26</t>
        </is>
      </c>
      <c r="F157" t="inlineStr">
        <is>
          <t>LCQ</t>
        </is>
      </c>
      <c r="G157" t="inlineStr">
        <is>
          <t>ZAN</t>
        </is>
      </c>
      <c r="H157" t="inlineStr">
        <is>
          <t>CB</t>
        </is>
      </c>
      <c r="I157" t="inlineStr">
        <is>
          <t>Rialto</t>
        </is>
      </c>
      <c r="J157" t="inlineStr">
        <is>
          <t>Escort</t>
        </is>
      </c>
      <c r="L157" t="inlineStr">
        <is>
          <t>ZAN</t>
        </is>
      </c>
      <c r="M157" t="inlineStr">
        <is>
          <t>Hazard</t>
        </is>
      </c>
      <c r="N157" t="inlineStr">
        <is>
          <t>Illari</t>
        </is>
      </c>
      <c r="O157">
        <f>TEXT(E157, "yymmdd") &amp; "_" &amp; G157 &amp; "_" &amp; H157 &amp; "_S" &amp; D157</f>
        <v/>
      </c>
      <c r="P157" t="n">
        <v>1</v>
      </c>
      <c r="Q157" t="n">
        <v>0</v>
      </c>
      <c r="R157" t="inlineStr">
        <is>
          <t>TEAM 2</t>
        </is>
      </c>
      <c r="S157" t="inlineStr">
        <is>
          <t>Illari</t>
        </is>
      </c>
    </row>
    <row r="158">
      <c r="A158" t="n">
        <v>5</v>
      </c>
      <c r="B158" t="n">
        <v>1</v>
      </c>
      <c r="C158" t="n">
        <v>3</v>
      </c>
      <c r="D158" t="n">
        <v>3</v>
      </c>
      <c r="E158" t="inlineStr">
        <is>
          <t>2026-04-26</t>
        </is>
      </c>
      <c r="F158" t="inlineStr">
        <is>
          <t>LCQ</t>
        </is>
      </c>
      <c r="G158" t="inlineStr">
        <is>
          <t>ZAN</t>
        </is>
      </c>
      <c r="H158" t="inlineStr">
        <is>
          <t>CB</t>
        </is>
      </c>
      <c r="I158" t="inlineStr">
        <is>
          <t>Esperança</t>
        </is>
      </c>
      <c r="J158" t="inlineStr">
        <is>
          <t>Push</t>
        </is>
      </c>
      <c r="L158" t="inlineStr">
        <is>
          <t>ZAN</t>
        </is>
      </c>
      <c r="M158" t="inlineStr">
        <is>
          <t>Zarya</t>
        </is>
      </c>
      <c r="N158" t="inlineStr">
        <is>
          <t>Kiriko</t>
        </is>
      </c>
      <c r="O158">
        <f>TEXT(E158, "yymmdd") &amp; "_" &amp; G158 &amp; "_" &amp; H158 &amp; "_S" &amp; D158</f>
        <v/>
      </c>
      <c r="P158" t="n">
        <v>62.88</v>
      </c>
      <c r="Q158" t="n">
        <v>62.87</v>
      </c>
      <c r="R158" t="inlineStr">
        <is>
          <t>TEAM 2</t>
        </is>
      </c>
      <c r="S158" t="inlineStr">
        <is>
          <t>Kiriko</t>
        </is>
      </c>
    </row>
    <row r="159">
      <c r="A159" t="n">
        <v>6</v>
      </c>
      <c r="B159" t="n">
        <v>1</v>
      </c>
      <c r="C159" t="n">
        <v>1</v>
      </c>
      <c r="D159" t="n">
        <v>1</v>
      </c>
      <c r="E159" t="inlineStr">
        <is>
          <t>2026-05-01</t>
        </is>
      </c>
      <c r="F159" t="inlineStr">
        <is>
          <t>Playoffs</t>
        </is>
      </c>
      <c r="G159" t="inlineStr">
        <is>
          <t>OSG</t>
        </is>
      </c>
      <c r="H159" t="inlineStr">
        <is>
          <t>T1</t>
        </is>
      </c>
      <c r="I159" t="inlineStr">
        <is>
          <t>Oasis</t>
        </is>
      </c>
      <c r="J159" t="inlineStr">
        <is>
          <t>Control</t>
        </is>
      </c>
      <c r="L159" t="inlineStr">
        <is>
          <t>T1</t>
        </is>
      </c>
      <c r="M159" t="inlineStr">
        <is>
          <t>Wrecking Ball</t>
        </is>
      </c>
      <c r="N159" t="inlineStr">
        <is>
          <t>Bastion</t>
        </is>
      </c>
      <c r="O159">
        <f>TEXT(E159, "yymmdd") &amp; "_" &amp; G159 &amp; "_" &amp; H159 &amp; "_S" &amp; D159</f>
        <v/>
      </c>
      <c r="P159" t="n">
        <v>1</v>
      </c>
      <c r="Q159" t="n">
        <v>2</v>
      </c>
      <c r="R159" t="inlineStr">
        <is>
          <t>TEAM 1</t>
        </is>
      </c>
      <c r="S159" t="inlineStr">
        <is>
          <t>Wrecking Ball</t>
        </is>
      </c>
    </row>
    <row r="160">
      <c r="A160" t="n">
        <v>6</v>
      </c>
      <c r="B160" t="n">
        <v>1</v>
      </c>
      <c r="C160" t="n">
        <v>1</v>
      </c>
      <c r="D160" t="n">
        <v>2</v>
      </c>
      <c r="E160" t="inlineStr">
        <is>
          <t>2026-05-01</t>
        </is>
      </c>
      <c r="F160" t="inlineStr">
        <is>
          <t>Playoffs</t>
        </is>
      </c>
      <c r="G160" t="inlineStr">
        <is>
          <t>OSG</t>
        </is>
      </c>
      <c r="H160" t="inlineStr">
        <is>
          <t>T1</t>
        </is>
      </c>
      <c r="I160" t="inlineStr">
        <is>
          <t>Havana</t>
        </is>
      </c>
      <c r="J160" t="inlineStr">
        <is>
          <t>Escort</t>
        </is>
      </c>
      <c r="L160" t="inlineStr">
        <is>
          <t>T1</t>
        </is>
      </c>
      <c r="M160" t="inlineStr">
        <is>
          <t>Mauga</t>
        </is>
      </c>
      <c r="N160" t="inlineStr">
        <is>
          <t>Jetpack Cat</t>
        </is>
      </c>
      <c r="O160">
        <f>TEXT(E160, "yymmdd") &amp; "_" &amp; G160 &amp; "_" &amp; H160 &amp; "_S" &amp; D160</f>
        <v/>
      </c>
      <c r="P160" t="n">
        <v>3</v>
      </c>
      <c r="Q160" t="n">
        <v>4</v>
      </c>
      <c r="R160" t="inlineStr">
        <is>
          <t>TEAM 1</t>
        </is>
      </c>
      <c r="S160" t="inlineStr">
        <is>
          <t>Mauga</t>
        </is>
      </c>
    </row>
    <row r="161">
      <c r="A161" t="n">
        <v>6</v>
      </c>
      <c r="B161" t="n">
        <v>1</v>
      </c>
      <c r="C161" t="n">
        <v>1</v>
      </c>
      <c r="D161" t="n">
        <v>3</v>
      </c>
      <c r="E161" t="inlineStr">
        <is>
          <t>2026-05-01</t>
        </is>
      </c>
      <c r="F161" t="inlineStr">
        <is>
          <t>Playoffs</t>
        </is>
      </c>
      <c r="G161" t="inlineStr">
        <is>
          <t>OSG</t>
        </is>
      </c>
      <c r="H161" t="inlineStr">
        <is>
          <t>T1</t>
        </is>
      </c>
      <c r="I161" t="inlineStr">
        <is>
          <t>Numbani</t>
        </is>
      </c>
      <c r="J161" t="inlineStr">
        <is>
          <t>Hybrid</t>
        </is>
      </c>
      <c r="L161" t="inlineStr">
        <is>
          <t>T1</t>
        </is>
      </c>
      <c r="M161" t="inlineStr">
        <is>
          <t>Mercy</t>
        </is>
      </c>
      <c r="N161" t="inlineStr">
        <is>
          <t>Zarya</t>
        </is>
      </c>
      <c r="O161">
        <f>TEXT(E161, "yymmdd") &amp; "_" &amp; G161 &amp; "_" &amp; H161 &amp; "_S" &amp; D161</f>
        <v/>
      </c>
      <c r="P161" t="n">
        <v>2</v>
      </c>
      <c r="Q161" t="n">
        <v>3</v>
      </c>
      <c r="R161" t="inlineStr">
        <is>
          <t>TEAM 1</t>
        </is>
      </c>
      <c r="S161" t="inlineStr">
        <is>
          <t>Mercy</t>
        </is>
      </c>
    </row>
    <row r="162">
      <c r="A162" t="n">
        <v>6</v>
      </c>
      <c r="B162" t="n">
        <v>1</v>
      </c>
      <c r="C162" t="n">
        <v>1</v>
      </c>
      <c r="D162" t="n">
        <v>4</v>
      </c>
      <c r="E162" t="inlineStr">
        <is>
          <t>2026-05-01</t>
        </is>
      </c>
      <c r="F162" t="inlineStr">
        <is>
          <t>Playoffs</t>
        </is>
      </c>
      <c r="G162" t="inlineStr">
        <is>
          <t>OSG</t>
        </is>
      </c>
      <c r="H162" t="inlineStr">
        <is>
          <t>T1</t>
        </is>
      </c>
      <c r="I162" t="inlineStr">
        <is>
          <t>Esperança</t>
        </is>
      </c>
      <c r="J162" t="inlineStr">
        <is>
          <t>Push</t>
        </is>
      </c>
      <c r="L162" t="inlineStr">
        <is>
          <t>T1</t>
        </is>
      </c>
      <c r="M162" t="inlineStr">
        <is>
          <t>Zarya</t>
        </is>
      </c>
      <c r="N162" t="inlineStr">
        <is>
          <t>Kiriko</t>
        </is>
      </c>
      <c r="O162">
        <f>TEXT(E162, "yymmdd") &amp; "_" &amp; G162 &amp; "_" &amp; H162 &amp; "_S" &amp; D162</f>
        <v/>
      </c>
      <c r="P162" t="n">
        <v>60.62</v>
      </c>
      <c r="Q162" t="n">
        <v>129.09</v>
      </c>
      <c r="R162" t="inlineStr">
        <is>
          <t>TEAM 1</t>
        </is>
      </c>
      <c r="S162" t="inlineStr">
        <is>
          <t>Zarya</t>
        </is>
      </c>
    </row>
    <row r="163">
      <c r="A163" t="n">
        <v>6</v>
      </c>
      <c r="B163" t="n">
        <v>1</v>
      </c>
      <c r="C163" t="n">
        <v>2</v>
      </c>
      <c r="D163" t="n">
        <v>1</v>
      </c>
      <c r="E163" t="inlineStr">
        <is>
          <t>2026-05-01</t>
        </is>
      </c>
      <c r="F163" t="inlineStr">
        <is>
          <t>Playoffs</t>
        </is>
      </c>
      <c r="G163" t="inlineStr">
        <is>
          <t>FLC</t>
        </is>
      </c>
      <c r="H163" t="inlineStr">
        <is>
          <t>ZAN</t>
        </is>
      </c>
      <c r="I163" t="inlineStr">
        <is>
          <t>Lijiang Tower</t>
        </is>
      </c>
      <c r="J163" t="inlineStr">
        <is>
          <t>Control</t>
        </is>
      </c>
      <c r="L163" t="inlineStr">
        <is>
          <t>FLC</t>
        </is>
      </c>
      <c r="M163" t="inlineStr">
        <is>
          <t>Zarya</t>
        </is>
      </c>
      <c r="N163" t="inlineStr">
        <is>
          <t>Bastion</t>
        </is>
      </c>
      <c r="O163">
        <f>TEXT(E163, "yymmdd") &amp; "_" &amp; G163 &amp; "_" &amp; H163 &amp; "_S" &amp; D163</f>
        <v/>
      </c>
      <c r="P163" t="n">
        <v>2</v>
      </c>
      <c r="Q163" t="n">
        <v>1</v>
      </c>
      <c r="R163" t="inlineStr">
        <is>
          <t>TEAM 2</t>
        </is>
      </c>
      <c r="S163" t="inlineStr">
        <is>
          <t>Bastion</t>
        </is>
      </c>
    </row>
    <row r="164">
      <c r="A164" t="n">
        <v>6</v>
      </c>
      <c r="B164" t="n">
        <v>1</v>
      </c>
      <c r="C164" t="n">
        <v>2</v>
      </c>
      <c r="D164" t="n">
        <v>2</v>
      </c>
      <c r="E164" t="inlineStr">
        <is>
          <t>2026-05-01</t>
        </is>
      </c>
      <c r="F164" t="inlineStr">
        <is>
          <t>Playoffs</t>
        </is>
      </c>
      <c r="G164" t="inlineStr">
        <is>
          <t>FLC</t>
        </is>
      </c>
      <c r="H164" t="inlineStr">
        <is>
          <t>ZAN</t>
        </is>
      </c>
      <c r="I164" t="inlineStr">
        <is>
          <t>Runasapi</t>
        </is>
      </c>
      <c r="J164" t="inlineStr">
        <is>
          <t>Push</t>
        </is>
      </c>
      <c r="L164" t="inlineStr">
        <is>
          <t>FLC</t>
        </is>
      </c>
      <c r="M164" t="inlineStr">
        <is>
          <t>Baptiste</t>
        </is>
      </c>
      <c r="N164" t="inlineStr">
        <is>
          <t>Mauga</t>
        </is>
      </c>
      <c r="O164">
        <f>TEXT(E164, "yymmdd") &amp; "_" &amp; G164 &amp; "_" &amp; H164 &amp; "_S" &amp; D164</f>
        <v/>
      </c>
      <c r="P164" t="n">
        <v>140.04</v>
      </c>
      <c r="Q164" t="n">
        <v>53.18</v>
      </c>
      <c r="R164" t="inlineStr">
        <is>
          <t>TEAM 1</t>
        </is>
      </c>
      <c r="S164" t="inlineStr">
        <is>
          <t>Baptiste</t>
        </is>
      </c>
    </row>
    <row r="165">
      <c r="A165" t="n">
        <v>6</v>
      </c>
      <c r="B165" t="n">
        <v>1</v>
      </c>
      <c r="C165" t="n">
        <v>2</v>
      </c>
      <c r="D165" t="n">
        <v>3</v>
      </c>
      <c r="E165" t="inlineStr">
        <is>
          <t>2026-05-01</t>
        </is>
      </c>
      <c r="F165" t="inlineStr">
        <is>
          <t>Playoffs</t>
        </is>
      </c>
      <c r="G165" t="inlineStr">
        <is>
          <t>FLC</t>
        </is>
      </c>
      <c r="H165" t="inlineStr">
        <is>
          <t>ZAN</t>
        </is>
      </c>
      <c r="I165" t="inlineStr">
        <is>
          <t>Havana</t>
        </is>
      </c>
      <c r="J165" t="inlineStr">
        <is>
          <t>Escort</t>
        </is>
      </c>
      <c r="L165" t="inlineStr">
        <is>
          <t>FLC</t>
        </is>
      </c>
      <c r="M165" t="inlineStr">
        <is>
          <t>Sigma</t>
        </is>
      </c>
      <c r="N165" t="inlineStr">
        <is>
          <t>Baptiste</t>
        </is>
      </c>
      <c r="O165">
        <f>TEXT(E165, "yymmdd") &amp; "_" &amp; G165 &amp; "_" &amp; H165 &amp; "_S" &amp; D165</f>
        <v/>
      </c>
      <c r="P165" t="n">
        <v>2</v>
      </c>
      <c r="Q165" t="n">
        <v>1</v>
      </c>
      <c r="R165" t="inlineStr">
        <is>
          <t>TEAM 1</t>
        </is>
      </c>
      <c r="S165" t="inlineStr">
        <is>
          <t>Sigma</t>
        </is>
      </c>
    </row>
    <row r="166">
      <c r="A166" t="n">
        <v>6</v>
      </c>
      <c r="B166" t="n">
        <v>1</v>
      </c>
      <c r="C166" t="n">
        <v>2</v>
      </c>
      <c r="D166" t="n">
        <v>4</v>
      </c>
      <c r="E166" t="inlineStr">
        <is>
          <t>2026-05-01</t>
        </is>
      </c>
      <c r="F166" t="inlineStr">
        <is>
          <t>Playoffs</t>
        </is>
      </c>
      <c r="G166" t="inlineStr">
        <is>
          <t>FLC</t>
        </is>
      </c>
      <c r="H166" t="inlineStr">
        <is>
          <t>ZAN</t>
        </is>
      </c>
      <c r="I166" t="inlineStr">
        <is>
          <t>Blizzard World</t>
        </is>
      </c>
      <c r="J166" t="inlineStr">
        <is>
          <t>Hybrid</t>
        </is>
      </c>
      <c r="L166" t="inlineStr">
        <is>
          <t>FLC</t>
        </is>
      </c>
      <c r="M166" t="inlineStr">
        <is>
          <t>Pharah</t>
        </is>
      </c>
      <c r="N166" t="inlineStr">
        <is>
          <t>Jetpack Cat</t>
        </is>
      </c>
      <c r="O166">
        <f>TEXT(E166, "yymmdd") &amp; "_" &amp; G166 &amp; "_" &amp; H166 &amp; "_S" &amp; D166</f>
        <v/>
      </c>
      <c r="P166" t="n">
        <v>1</v>
      </c>
      <c r="Q166" t="n">
        <v>0</v>
      </c>
      <c r="R166" t="inlineStr">
        <is>
          <t>TEAM 2</t>
        </is>
      </c>
      <c r="S166" t="inlineStr">
        <is>
          <t>Jetpack Cat</t>
        </is>
      </c>
    </row>
    <row r="167">
      <c r="A167" t="n">
        <v>6</v>
      </c>
      <c r="B167" t="n">
        <v>1</v>
      </c>
      <c r="C167" t="n">
        <v>3</v>
      </c>
      <c r="D167" t="n">
        <v>1</v>
      </c>
      <c r="E167" t="inlineStr">
        <is>
          <t>2026-05-02</t>
        </is>
      </c>
      <c r="F167" t="inlineStr">
        <is>
          <t>Playoffs</t>
        </is>
      </c>
      <c r="G167" t="inlineStr">
        <is>
          <t>ZETA</t>
        </is>
      </c>
      <c r="H167" t="inlineStr">
        <is>
          <t>T1</t>
        </is>
      </c>
      <c r="I167" t="inlineStr">
        <is>
          <t>Lijiang Tower</t>
        </is>
      </c>
      <c r="J167" t="inlineStr">
        <is>
          <t>Control</t>
        </is>
      </c>
      <c r="L167" t="inlineStr">
        <is>
          <t>ZETA</t>
        </is>
      </c>
      <c r="M167" t="inlineStr">
        <is>
          <t>Anran</t>
        </is>
      </c>
      <c r="N167" t="inlineStr">
        <is>
          <t>Ana</t>
        </is>
      </c>
      <c r="O167">
        <f>TEXT(E167, "yymmdd") &amp; "_" &amp; G167 &amp; "_" &amp; H167 &amp; "_S" &amp; D167</f>
        <v/>
      </c>
      <c r="P167" t="n">
        <v>2</v>
      </c>
      <c r="Q167" t="n">
        <v>0</v>
      </c>
      <c r="R167" t="inlineStr">
        <is>
          <t>TEAM 2</t>
        </is>
      </c>
      <c r="S167" t="inlineStr">
        <is>
          <t>Ana</t>
        </is>
      </c>
    </row>
    <row r="168">
      <c r="A168" t="n">
        <v>6</v>
      </c>
      <c r="B168" t="n">
        <v>1</v>
      </c>
      <c r="C168" t="n">
        <v>3</v>
      </c>
      <c r="D168" t="n">
        <v>2</v>
      </c>
      <c r="E168" t="inlineStr">
        <is>
          <t>2026-05-02</t>
        </is>
      </c>
      <c r="F168" t="inlineStr">
        <is>
          <t>Playoffs</t>
        </is>
      </c>
      <c r="G168" t="inlineStr">
        <is>
          <t>ZETA</t>
        </is>
      </c>
      <c r="H168" t="inlineStr">
        <is>
          <t>T1</t>
        </is>
      </c>
      <c r="I168" t="inlineStr">
        <is>
          <t>Runasapi</t>
        </is>
      </c>
      <c r="J168" t="inlineStr">
        <is>
          <t>Push</t>
        </is>
      </c>
      <c r="L168" t="inlineStr">
        <is>
          <t>T1</t>
        </is>
      </c>
      <c r="M168" t="inlineStr">
        <is>
          <t>Emre</t>
        </is>
      </c>
      <c r="N168" t="inlineStr">
        <is>
          <t>Jetpack Cat</t>
        </is>
      </c>
      <c r="O168">
        <f>TEXT(E168, "yymmdd") &amp; "_" &amp; G168 &amp; "_" &amp; H168 &amp; "_S" &amp; D168</f>
        <v/>
      </c>
      <c r="P168" t="n">
        <v>89.65000000000001</v>
      </c>
      <c r="Q168" t="n">
        <v>124.46</v>
      </c>
      <c r="R168" t="inlineStr">
        <is>
          <t>TEAM 2</t>
        </is>
      </c>
      <c r="S168" t="inlineStr">
        <is>
          <t>Jetpack Cat</t>
        </is>
      </c>
    </row>
    <row r="169">
      <c r="A169" t="n">
        <v>6</v>
      </c>
      <c r="B169" t="n">
        <v>1</v>
      </c>
      <c r="C169" t="n">
        <v>3</v>
      </c>
      <c r="D169" t="n">
        <v>3</v>
      </c>
      <c r="E169" t="inlineStr">
        <is>
          <t>2026-05-02</t>
        </is>
      </c>
      <c r="F169" t="inlineStr">
        <is>
          <t>Playoffs</t>
        </is>
      </c>
      <c r="G169" t="inlineStr">
        <is>
          <t>ZETA</t>
        </is>
      </c>
      <c r="H169" t="inlineStr">
        <is>
          <t>T1</t>
        </is>
      </c>
      <c r="I169" t="inlineStr">
        <is>
          <t>Watchpoint: Gibraltar</t>
        </is>
      </c>
      <c r="J169" t="inlineStr">
        <is>
          <t>Escort</t>
        </is>
      </c>
      <c r="L169" t="inlineStr">
        <is>
          <t>ZETA</t>
        </is>
      </c>
      <c r="M169" t="inlineStr">
        <is>
          <t>D.Va</t>
        </is>
      </c>
      <c r="N169" t="inlineStr">
        <is>
          <t>Bastion</t>
        </is>
      </c>
      <c r="O169">
        <f>TEXT(E169, "yymmdd") &amp; "_" &amp; G169 &amp; "_" &amp; H169 &amp; "_S" &amp; D169</f>
        <v/>
      </c>
      <c r="P169" t="n">
        <v>3</v>
      </c>
      <c r="Q169" t="n">
        <v>1</v>
      </c>
      <c r="R169" t="inlineStr">
        <is>
          <t>TEAM 1</t>
        </is>
      </c>
      <c r="S169" t="inlineStr">
        <is>
          <t>D.Va</t>
        </is>
      </c>
    </row>
    <row r="170">
      <c r="A170" t="n">
        <v>6</v>
      </c>
      <c r="B170" t="n">
        <v>1</v>
      </c>
      <c r="C170" t="n">
        <v>3</v>
      </c>
      <c r="D170" t="n">
        <v>4</v>
      </c>
      <c r="E170" t="inlineStr">
        <is>
          <t>2026-05-02</t>
        </is>
      </c>
      <c r="F170" t="inlineStr">
        <is>
          <t>Playoffs</t>
        </is>
      </c>
      <c r="G170" t="inlineStr">
        <is>
          <t>ZETA</t>
        </is>
      </c>
      <c r="H170" t="inlineStr">
        <is>
          <t>T1</t>
        </is>
      </c>
      <c r="I170" t="inlineStr">
        <is>
          <t>Numbani</t>
        </is>
      </c>
      <c r="J170" t="inlineStr">
        <is>
          <t>Hybrid</t>
        </is>
      </c>
      <c r="L170" t="inlineStr">
        <is>
          <t>ZETA</t>
        </is>
      </c>
      <c r="M170" t="inlineStr">
        <is>
          <t>Mei</t>
        </is>
      </c>
      <c r="N170" t="inlineStr">
        <is>
          <t>Zarya</t>
        </is>
      </c>
      <c r="O170">
        <f>TEXT(E170, "yymmdd") &amp; "_" &amp; G170 &amp; "_" &amp; H170 &amp; "_S" &amp; D170</f>
        <v/>
      </c>
      <c r="P170" t="n">
        <v>3</v>
      </c>
      <c r="Q170" t="n">
        <v>0</v>
      </c>
      <c r="R170" t="inlineStr">
        <is>
          <t>TEAM 2</t>
        </is>
      </c>
      <c r="S170" t="inlineStr">
        <is>
          <t>Zarya</t>
        </is>
      </c>
    </row>
    <row r="171">
      <c r="A171" t="n">
        <v>6</v>
      </c>
      <c r="B171" t="n">
        <v>1</v>
      </c>
      <c r="C171" t="n">
        <v>3</v>
      </c>
      <c r="D171" t="n">
        <v>5</v>
      </c>
      <c r="E171" t="inlineStr">
        <is>
          <t>2026-05-02</t>
        </is>
      </c>
      <c r="F171" t="inlineStr">
        <is>
          <t>Playoffs</t>
        </is>
      </c>
      <c r="G171" t="inlineStr">
        <is>
          <t>ZETA</t>
        </is>
      </c>
      <c r="H171" t="inlineStr">
        <is>
          <t>T1</t>
        </is>
      </c>
      <c r="I171" t="inlineStr">
        <is>
          <t>Aatlis</t>
        </is>
      </c>
      <c r="J171" t="inlineStr">
        <is>
          <t>Flashpoint</t>
        </is>
      </c>
      <c r="L171" t="inlineStr">
        <is>
          <t>T1</t>
        </is>
      </c>
      <c r="M171" t="inlineStr">
        <is>
          <t>Hazard</t>
        </is>
      </c>
      <c r="N171" t="inlineStr">
        <is>
          <t>Tracer</t>
        </is>
      </c>
      <c r="O171">
        <f>TEXT(E171, "yymmdd") &amp; "_" &amp; G171 &amp; "_" &amp; H171 &amp; "_S" &amp; D171</f>
        <v/>
      </c>
      <c r="P171" t="n">
        <v>2</v>
      </c>
      <c r="Q171" t="n">
        <v>3</v>
      </c>
      <c r="R171" t="inlineStr">
        <is>
          <t>TEAM 2</t>
        </is>
      </c>
      <c r="S171" t="inlineStr">
        <is>
          <t>Tracer</t>
        </is>
      </c>
    </row>
    <row r="172">
      <c r="A172" t="n">
        <v>6</v>
      </c>
      <c r="B172" t="n">
        <v>1</v>
      </c>
      <c r="C172" t="n">
        <v>3</v>
      </c>
      <c r="D172" t="n">
        <v>6</v>
      </c>
      <c r="E172" t="inlineStr">
        <is>
          <t>2026-05-02</t>
        </is>
      </c>
      <c r="F172" t="inlineStr">
        <is>
          <t>Playoffs</t>
        </is>
      </c>
      <c r="G172" t="inlineStr">
        <is>
          <t>ZETA</t>
        </is>
      </c>
      <c r="H172" t="inlineStr">
        <is>
          <t>T1</t>
        </is>
      </c>
      <c r="I172" t="inlineStr">
        <is>
          <t>Blizzard World</t>
        </is>
      </c>
      <c r="J172" t="inlineStr">
        <is>
          <t>Hybrid</t>
        </is>
      </c>
      <c r="L172" t="inlineStr">
        <is>
          <t>ZETA</t>
        </is>
      </c>
      <c r="M172" t="inlineStr">
        <is>
          <t>Mauga</t>
        </is>
      </c>
      <c r="N172" t="inlineStr">
        <is>
          <t>Illari</t>
        </is>
      </c>
      <c r="O172">
        <f>TEXT(E172, "yymmdd") &amp; "_" &amp; G172 &amp; "_" &amp; H172 &amp; "_S" &amp; D172</f>
        <v/>
      </c>
      <c r="P172" t="n">
        <v>3</v>
      </c>
      <c r="Q172" t="n">
        <v>0</v>
      </c>
      <c r="R172" t="inlineStr">
        <is>
          <t>TEAM 1</t>
        </is>
      </c>
      <c r="S172" t="inlineStr">
        <is>
          <t>Mauga</t>
        </is>
      </c>
    </row>
    <row r="173">
      <c r="A173" t="n">
        <v>6</v>
      </c>
      <c r="B173" t="n">
        <v>1</v>
      </c>
      <c r="C173" t="n">
        <v>4</v>
      </c>
      <c r="D173" t="n">
        <v>1</v>
      </c>
      <c r="E173" t="inlineStr">
        <is>
          <t>2026-05-02</t>
        </is>
      </c>
      <c r="F173" t="inlineStr">
        <is>
          <t>Playoffs</t>
        </is>
      </c>
      <c r="G173" t="inlineStr">
        <is>
          <t>CR</t>
        </is>
      </c>
      <c r="H173" t="inlineStr">
        <is>
          <t>FLC</t>
        </is>
      </c>
      <c r="I173" t="inlineStr">
        <is>
          <t>Lijiang Tower</t>
        </is>
      </c>
      <c r="J173" t="inlineStr">
        <is>
          <t>Control</t>
        </is>
      </c>
      <c r="L173" t="inlineStr">
        <is>
          <t>FLC</t>
        </is>
      </c>
      <c r="M173" t="inlineStr">
        <is>
          <t>Ana</t>
        </is>
      </c>
      <c r="N173" t="inlineStr">
        <is>
          <t>Wrecking Ball</t>
        </is>
      </c>
      <c r="O173">
        <f>TEXT(E173, "yymmdd") &amp; "_" &amp; G173 &amp; "_" &amp; H173 &amp; "_S" &amp; D173</f>
        <v/>
      </c>
      <c r="P173" t="n">
        <v>0</v>
      </c>
      <c r="Q173" t="n">
        <v>2</v>
      </c>
      <c r="R173" t="inlineStr">
        <is>
          <t>TEAM 2</t>
        </is>
      </c>
      <c r="S173" t="inlineStr">
        <is>
          <t>Wrecking Ball</t>
        </is>
      </c>
    </row>
    <row r="174">
      <c r="A174" t="n">
        <v>6</v>
      </c>
      <c r="B174" t="n">
        <v>1</v>
      </c>
      <c r="C174" t="n">
        <v>4</v>
      </c>
      <c r="D174" t="n">
        <v>2</v>
      </c>
      <c r="E174" t="inlineStr">
        <is>
          <t>2026-05-02</t>
        </is>
      </c>
      <c r="F174" t="inlineStr">
        <is>
          <t>Playoffs</t>
        </is>
      </c>
      <c r="G174" t="inlineStr">
        <is>
          <t>CR</t>
        </is>
      </c>
      <c r="H174" t="inlineStr">
        <is>
          <t>FLC</t>
        </is>
      </c>
      <c r="I174" t="inlineStr">
        <is>
          <t>Suravasa</t>
        </is>
      </c>
      <c r="J174" t="inlineStr">
        <is>
          <t>Flashpoint</t>
        </is>
      </c>
      <c r="L174" t="inlineStr">
        <is>
          <t>FLC</t>
        </is>
      </c>
      <c r="M174" t="inlineStr">
        <is>
          <t>D.Va</t>
        </is>
      </c>
      <c r="N174" t="inlineStr">
        <is>
          <t>Ana</t>
        </is>
      </c>
      <c r="O174">
        <f>TEXT(E174, "yymmdd") &amp; "_" &amp; G174 &amp; "_" &amp; H174 &amp; "_S" &amp; D174</f>
        <v/>
      </c>
      <c r="P174" t="n">
        <v>1</v>
      </c>
      <c r="Q174" t="n">
        <v>3</v>
      </c>
      <c r="R174" t="inlineStr">
        <is>
          <t>TEAM 1</t>
        </is>
      </c>
      <c r="S174" t="inlineStr">
        <is>
          <t>D.Va</t>
        </is>
      </c>
    </row>
    <row r="175">
      <c r="A175" t="n">
        <v>6</v>
      </c>
      <c r="B175" t="n">
        <v>1</v>
      </c>
      <c r="C175" t="n">
        <v>4</v>
      </c>
      <c r="D175" t="n">
        <v>3</v>
      </c>
      <c r="E175" t="inlineStr">
        <is>
          <t>2026-05-02</t>
        </is>
      </c>
      <c r="F175" t="inlineStr">
        <is>
          <t>Playoffs</t>
        </is>
      </c>
      <c r="G175" t="inlineStr">
        <is>
          <t>CR</t>
        </is>
      </c>
      <c r="H175" t="inlineStr">
        <is>
          <t>FLC</t>
        </is>
      </c>
      <c r="I175" t="inlineStr">
        <is>
          <t>Havana</t>
        </is>
      </c>
      <c r="J175" t="inlineStr">
        <is>
          <t>Escort</t>
        </is>
      </c>
      <c r="L175" t="inlineStr">
        <is>
          <t>FLC</t>
        </is>
      </c>
      <c r="M175" t="inlineStr">
        <is>
          <t>Mei</t>
        </is>
      </c>
      <c r="N175" t="inlineStr">
        <is>
          <t>Zarya</t>
        </is>
      </c>
      <c r="O175">
        <f>TEXT(E175, "yymmdd") &amp; "_" &amp; G175 &amp; "_" &amp; H175 &amp; "_S" &amp; D175</f>
        <v/>
      </c>
      <c r="P175" t="n">
        <v>1</v>
      </c>
      <c r="Q175" t="n">
        <v>3</v>
      </c>
      <c r="R175" t="inlineStr">
        <is>
          <t>TEAM 1</t>
        </is>
      </c>
      <c r="S175" t="inlineStr">
        <is>
          <t>Mei</t>
        </is>
      </c>
    </row>
    <row r="176">
      <c r="A176" t="n">
        <v>6</v>
      </c>
      <c r="B176" t="n">
        <v>1</v>
      </c>
      <c r="C176" t="n">
        <v>4</v>
      </c>
      <c r="D176" t="n">
        <v>4</v>
      </c>
      <c r="E176" t="inlineStr">
        <is>
          <t>2026-05-02</t>
        </is>
      </c>
      <c r="F176" t="inlineStr">
        <is>
          <t>Playoffs</t>
        </is>
      </c>
      <c r="G176" t="inlineStr">
        <is>
          <t>CR</t>
        </is>
      </c>
      <c r="H176" t="inlineStr">
        <is>
          <t>FLC</t>
        </is>
      </c>
      <c r="I176" t="inlineStr">
        <is>
          <t>Blizzard World</t>
        </is>
      </c>
      <c r="J176" t="inlineStr">
        <is>
          <t>Hybrid</t>
        </is>
      </c>
      <c r="L176" t="inlineStr">
        <is>
          <t>CR</t>
        </is>
      </c>
      <c r="M176" t="inlineStr">
        <is>
          <t>Symmetra</t>
        </is>
      </c>
      <c r="N176" t="inlineStr">
        <is>
          <t>Roadhog</t>
        </is>
      </c>
      <c r="O176">
        <f>TEXT(E176, "yymmdd") &amp; "_" &amp; G176 &amp; "_" &amp; H176 &amp; "_S" &amp; D176</f>
        <v/>
      </c>
      <c r="P176" t="n">
        <v>3</v>
      </c>
      <c r="Q176" t="n">
        <v>1</v>
      </c>
      <c r="R176" t="inlineStr">
        <is>
          <t>TEAM 1</t>
        </is>
      </c>
      <c r="S176" t="inlineStr">
        <is>
          <t>Symmetra</t>
        </is>
      </c>
    </row>
    <row r="177">
      <c r="A177" t="n">
        <v>6</v>
      </c>
      <c r="B177" t="n">
        <v>1</v>
      </c>
      <c r="C177" t="n">
        <v>4</v>
      </c>
      <c r="D177" t="n">
        <v>5</v>
      </c>
      <c r="E177" t="inlineStr">
        <is>
          <t>2026-05-02</t>
        </is>
      </c>
      <c r="F177" t="inlineStr">
        <is>
          <t>Playoffs</t>
        </is>
      </c>
      <c r="G177" t="inlineStr">
        <is>
          <t>CR</t>
        </is>
      </c>
      <c r="H177" t="inlineStr">
        <is>
          <t>FLC</t>
        </is>
      </c>
      <c r="I177" t="inlineStr">
        <is>
          <t>Watchpoint: Gibraltar</t>
        </is>
      </c>
      <c r="J177" t="inlineStr">
        <is>
          <t>Escort</t>
        </is>
      </c>
      <c r="L177" t="inlineStr">
        <is>
          <t>FLC</t>
        </is>
      </c>
      <c r="M177" t="inlineStr">
        <is>
          <t>Kiriko</t>
        </is>
      </c>
      <c r="N177" t="inlineStr">
        <is>
          <t>Tracer</t>
        </is>
      </c>
      <c r="O177">
        <f>TEXT(E177, "yymmdd") &amp; "_" &amp; G177 &amp; "_" &amp; H177 &amp; "_S" &amp; D177</f>
        <v/>
      </c>
      <c r="P177" t="n">
        <v>2</v>
      </c>
      <c r="Q177" t="n">
        <v>3</v>
      </c>
      <c r="R177" t="inlineStr">
        <is>
          <t>TEAM 2</t>
        </is>
      </c>
      <c r="S177" t="inlineStr">
        <is>
          <t>Tracer</t>
        </is>
      </c>
    </row>
    <row r="178">
      <c r="A178" t="n">
        <v>6</v>
      </c>
      <c r="B178" t="n">
        <v>1</v>
      </c>
      <c r="C178" t="n">
        <v>5</v>
      </c>
      <c r="D178" t="n">
        <v>1</v>
      </c>
      <c r="E178" t="inlineStr">
        <is>
          <t>2026-05-03</t>
        </is>
      </c>
      <c r="F178" t="inlineStr">
        <is>
          <t>Playoffs</t>
        </is>
      </c>
      <c r="G178" t="inlineStr">
        <is>
          <t>ZETA</t>
        </is>
      </c>
      <c r="H178" t="inlineStr">
        <is>
          <t>FLC</t>
        </is>
      </c>
      <c r="I178" t="inlineStr">
        <is>
          <t>Lijiang Tower</t>
        </is>
      </c>
      <c r="J178" t="inlineStr">
        <is>
          <t>Control</t>
        </is>
      </c>
      <c r="L178" t="inlineStr">
        <is>
          <t>ZETA</t>
        </is>
      </c>
      <c r="M178" t="inlineStr">
        <is>
          <t>Domina</t>
        </is>
      </c>
      <c r="N178" t="inlineStr">
        <is>
          <t>Jetpack Cat</t>
        </is>
      </c>
      <c r="O178">
        <f>TEXT(E178, "yymmdd") &amp; "_" &amp; G178 &amp; "_" &amp; H178 &amp; "_S" &amp; D178</f>
        <v/>
      </c>
      <c r="P178" t="n">
        <v>2</v>
      </c>
      <c r="Q178" t="n">
        <v>1</v>
      </c>
      <c r="R178" t="inlineStr">
        <is>
          <t>TEAM 1</t>
        </is>
      </c>
      <c r="S178" t="inlineStr">
        <is>
          <t>Domina</t>
        </is>
      </c>
    </row>
    <row r="179">
      <c r="A179" t="n">
        <v>6</v>
      </c>
      <c r="B179" t="n">
        <v>1</v>
      </c>
      <c r="C179" t="n">
        <v>5</v>
      </c>
      <c r="D179" t="n">
        <v>2</v>
      </c>
      <c r="E179" t="inlineStr">
        <is>
          <t>2026-05-03</t>
        </is>
      </c>
      <c r="F179" t="inlineStr">
        <is>
          <t>Playoffs</t>
        </is>
      </c>
      <c r="G179" t="inlineStr">
        <is>
          <t>ZETA</t>
        </is>
      </c>
      <c r="H179" t="inlineStr">
        <is>
          <t>FLC</t>
        </is>
      </c>
      <c r="I179" t="inlineStr">
        <is>
          <t>Watchpoint: Gibraltar</t>
        </is>
      </c>
      <c r="J179" t="inlineStr">
        <is>
          <t>Escort</t>
        </is>
      </c>
      <c r="L179" t="inlineStr">
        <is>
          <t>FLC</t>
        </is>
      </c>
      <c r="M179" t="inlineStr">
        <is>
          <t>Ana</t>
        </is>
      </c>
      <c r="N179" t="inlineStr">
        <is>
          <t>Winston</t>
        </is>
      </c>
      <c r="O179">
        <f>TEXT(E179, "yymmdd") &amp; "_" &amp; G179 &amp; "_" &amp; H179 &amp; "_S" &amp; D179</f>
        <v/>
      </c>
      <c r="P179" t="n">
        <v>1</v>
      </c>
      <c r="Q179" t="n">
        <v>2</v>
      </c>
      <c r="R179" t="inlineStr">
        <is>
          <t>TEAM 2</t>
        </is>
      </c>
      <c r="S179" t="inlineStr">
        <is>
          <t>Winston</t>
        </is>
      </c>
    </row>
    <row r="180">
      <c r="A180" t="n">
        <v>6</v>
      </c>
      <c r="B180" t="n">
        <v>1</v>
      </c>
      <c r="C180" t="n">
        <v>5</v>
      </c>
      <c r="D180" t="n">
        <v>3</v>
      </c>
      <c r="E180" t="inlineStr">
        <is>
          <t>2026-05-03</t>
        </is>
      </c>
      <c r="F180" t="inlineStr">
        <is>
          <t>Playoffs</t>
        </is>
      </c>
      <c r="G180" t="inlineStr">
        <is>
          <t>ZETA</t>
        </is>
      </c>
      <c r="H180" t="inlineStr">
        <is>
          <t>FLC</t>
        </is>
      </c>
      <c r="I180" t="inlineStr">
        <is>
          <t>Blizzard World</t>
        </is>
      </c>
      <c r="J180" t="inlineStr">
        <is>
          <t>Hybrid</t>
        </is>
      </c>
      <c r="L180" t="inlineStr">
        <is>
          <t>ZETA</t>
        </is>
      </c>
      <c r="M180" t="inlineStr">
        <is>
          <t>D.Va</t>
        </is>
      </c>
      <c r="N180" t="inlineStr">
        <is>
          <t>Ana</t>
        </is>
      </c>
      <c r="O180">
        <f>TEXT(E180, "yymmdd") &amp; "_" &amp; G180 &amp; "_" &amp; H180 &amp; "_S" &amp; D180</f>
        <v/>
      </c>
      <c r="P180" t="n">
        <v>4</v>
      </c>
      <c r="Q180" t="n">
        <v>3</v>
      </c>
      <c r="R180" t="inlineStr">
        <is>
          <t>TEAM 1</t>
        </is>
      </c>
      <c r="S180" t="inlineStr">
        <is>
          <t>D.Va</t>
        </is>
      </c>
    </row>
    <row r="181">
      <c r="A181" t="n">
        <v>6</v>
      </c>
      <c r="B181" t="n">
        <v>1</v>
      </c>
      <c r="C181" t="n">
        <v>5</v>
      </c>
      <c r="D181" t="n">
        <v>4</v>
      </c>
      <c r="E181" t="inlineStr">
        <is>
          <t>2026-05-03</t>
        </is>
      </c>
      <c r="F181" t="inlineStr">
        <is>
          <t>Playoffs</t>
        </is>
      </c>
      <c r="G181" t="inlineStr">
        <is>
          <t>ZETA</t>
        </is>
      </c>
      <c r="H181" t="inlineStr">
        <is>
          <t>FLC</t>
        </is>
      </c>
      <c r="I181" t="inlineStr">
        <is>
          <t>Esperança</t>
        </is>
      </c>
      <c r="J181" t="inlineStr">
        <is>
          <t>Push</t>
        </is>
      </c>
      <c r="L181" t="inlineStr">
        <is>
          <t>ZETA</t>
        </is>
      </c>
      <c r="M181" t="inlineStr">
        <is>
          <t>Zarya</t>
        </is>
      </c>
      <c r="N181" t="inlineStr">
        <is>
          <t>Pharah</t>
        </is>
      </c>
      <c r="O181">
        <f>TEXT(E181, "yymmdd") &amp; "_" &amp; G181 &amp; "_" &amp; H181 &amp; "_S" &amp; D181</f>
        <v/>
      </c>
      <c r="P181" t="n">
        <v>142.41</v>
      </c>
      <c r="Q181" t="n">
        <v>53.55</v>
      </c>
      <c r="R181" t="inlineStr">
        <is>
          <t>TEAM 2</t>
        </is>
      </c>
      <c r="S181" t="inlineStr">
        <is>
          <t>Pharah</t>
        </is>
      </c>
    </row>
    <row r="182">
      <c r="A182" t="n">
        <v>6</v>
      </c>
      <c r="B182" t="n">
        <v>1</v>
      </c>
      <c r="C182" t="n">
        <v>5</v>
      </c>
      <c r="D182" t="n">
        <v>5</v>
      </c>
      <c r="E182" t="inlineStr">
        <is>
          <t>2026-05-03</t>
        </is>
      </c>
      <c r="F182" t="inlineStr">
        <is>
          <t>Playoffs</t>
        </is>
      </c>
      <c r="G182" t="inlineStr">
        <is>
          <t>ZETA</t>
        </is>
      </c>
      <c r="H182" t="inlineStr">
        <is>
          <t>FLC</t>
        </is>
      </c>
      <c r="I182" t="inlineStr">
        <is>
          <t>Rialto</t>
        </is>
      </c>
      <c r="J182" t="inlineStr">
        <is>
          <t>Escort</t>
        </is>
      </c>
      <c r="L182" t="inlineStr">
        <is>
          <t>ZETA</t>
        </is>
      </c>
      <c r="M182" t="inlineStr">
        <is>
          <t>Reaper</t>
        </is>
      </c>
      <c r="N182" t="inlineStr">
        <is>
          <t>Illari</t>
        </is>
      </c>
      <c r="O182">
        <f>TEXT(E182, "yymmdd") &amp; "_" &amp; G182 &amp; "_" &amp; H182 &amp; "_S" &amp; D182</f>
        <v/>
      </c>
      <c r="P182" t="n">
        <v>4</v>
      </c>
      <c r="Q182" t="n">
        <v>3</v>
      </c>
      <c r="R182" t="inlineStr">
        <is>
          <t>TEAM 2</t>
        </is>
      </c>
      <c r="S182" t="inlineStr">
        <is>
          <t>Illari</t>
        </is>
      </c>
    </row>
    <row r="183">
      <c r="A183" t="n">
        <v>6</v>
      </c>
      <c r="B183" t="n">
        <v>1</v>
      </c>
      <c r="C183" t="n">
        <v>6</v>
      </c>
      <c r="D183" t="n">
        <v>1</v>
      </c>
      <c r="E183" t="inlineStr">
        <is>
          <t>2026-05-03</t>
        </is>
      </c>
      <c r="F183" t="inlineStr">
        <is>
          <t>Playoffs</t>
        </is>
      </c>
      <c r="G183" t="inlineStr">
        <is>
          <t>T1</t>
        </is>
      </c>
      <c r="H183" t="inlineStr">
        <is>
          <t>CR</t>
        </is>
      </c>
      <c r="I183" t="inlineStr">
        <is>
          <t>Busan</t>
        </is>
      </c>
      <c r="J183" t="inlineStr">
        <is>
          <t>Control</t>
        </is>
      </c>
      <c r="L183" t="inlineStr">
        <is>
          <t>CR</t>
        </is>
      </c>
      <c r="M183" t="inlineStr">
        <is>
          <t>Emre</t>
        </is>
      </c>
      <c r="N183" t="inlineStr">
        <is>
          <t>Wrecking Ball</t>
        </is>
      </c>
      <c r="O183">
        <f>TEXT(E183, "yymmdd") &amp; "_" &amp; G183 &amp; "_" &amp; H183 &amp; "_S" &amp; D183</f>
        <v/>
      </c>
      <c r="P183" t="n">
        <v>1</v>
      </c>
      <c r="Q183" t="n">
        <v>2</v>
      </c>
      <c r="R183" t="inlineStr">
        <is>
          <t>TEAM 1</t>
        </is>
      </c>
      <c r="S183" t="inlineStr">
        <is>
          <t>Emre</t>
        </is>
      </c>
    </row>
    <row r="184">
      <c r="A184" t="n">
        <v>6</v>
      </c>
      <c r="B184" t="n">
        <v>1</v>
      </c>
      <c r="C184" t="n">
        <v>6</v>
      </c>
      <c r="D184" t="n">
        <v>2</v>
      </c>
      <c r="E184" t="inlineStr">
        <is>
          <t>2026-05-03</t>
        </is>
      </c>
      <c r="F184" t="inlineStr">
        <is>
          <t>Playoffs</t>
        </is>
      </c>
      <c r="G184" t="inlineStr">
        <is>
          <t>T1</t>
        </is>
      </c>
      <c r="H184" t="inlineStr">
        <is>
          <t>CR</t>
        </is>
      </c>
      <c r="I184" t="inlineStr">
        <is>
          <t>Havana</t>
        </is>
      </c>
      <c r="J184" t="inlineStr">
        <is>
          <t>Escort</t>
        </is>
      </c>
      <c r="L184" t="inlineStr">
        <is>
          <t>CR</t>
        </is>
      </c>
      <c r="M184" t="inlineStr">
        <is>
          <t>Zarya</t>
        </is>
      </c>
      <c r="N184" t="inlineStr">
        <is>
          <t>Mei</t>
        </is>
      </c>
      <c r="O184">
        <f>TEXT(E184, "yymmdd") &amp; "_" &amp; G184 &amp; "_" &amp; H184 &amp; "_S" &amp; D184</f>
        <v/>
      </c>
      <c r="P184" t="n">
        <v>1</v>
      </c>
      <c r="Q184" t="n">
        <v>2</v>
      </c>
      <c r="R184" t="inlineStr">
        <is>
          <t>TEAM 1</t>
        </is>
      </c>
      <c r="S184" t="inlineStr">
        <is>
          <t>Zarya</t>
        </is>
      </c>
    </row>
    <row r="185">
      <c r="A185" t="n">
        <v>6</v>
      </c>
      <c r="B185" t="n">
        <v>1</v>
      </c>
      <c r="C185" t="n">
        <v>6</v>
      </c>
      <c r="D185" t="n">
        <v>3</v>
      </c>
      <c r="E185" t="inlineStr">
        <is>
          <t>2026-05-03</t>
        </is>
      </c>
      <c r="F185" t="inlineStr">
        <is>
          <t>Playoffs</t>
        </is>
      </c>
      <c r="G185" t="inlineStr">
        <is>
          <t>T1</t>
        </is>
      </c>
      <c r="H185" t="inlineStr">
        <is>
          <t>CR</t>
        </is>
      </c>
      <c r="I185" t="inlineStr">
        <is>
          <t>Numbani</t>
        </is>
      </c>
      <c r="J185" t="inlineStr">
        <is>
          <t>Hybrid</t>
        </is>
      </c>
      <c r="L185" t="inlineStr">
        <is>
          <t>CR</t>
        </is>
      </c>
      <c r="M185" t="inlineStr">
        <is>
          <t>Mei</t>
        </is>
      </c>
      <c r="N185" t="inlineStr">
        <is>
          <t>Roadhog</t>
        </is>
      </c>
      <c r="O185">
        <f>TEXT(E185, "yymmdd") &amp; "_" &amp; G185 &amp; "_" &amp; H185 &amp; "_S" &amp; D185</f>
        <v/>
      </c>
      <c r="P185" t="n">
        <v>3</v>
      </c>
      <c r="Q185" t="n">
        <v>4</v>
      </c>
      <c r="R185" t="inlineStr">
        <is>
          <t>TEAM 1</t>
        </is>
      </c>
      <c r="S185" t="inlineStr">
        <is>
          <t>Mei</t>
        </is>
      </c>
    </row>
    <row r="186">
      <c r="A186" t="n">
        <v>6</v>
      </c>
      <c r="B186" t="n">
        <v>1</v>
      </c>
      <c r="C186" t="n">
        <v>6</v>
      </c>
      <c r="D186" t="n">
        <v>4</v>
      </c>
      <c r="E186" t="inlineStr">
        <is>
          <t>2026-05-03</t>
        </is>
      </c>
      <c r="F186" t="inlineStr">
        <is>
          <t>Playoffs</t>
        </is>
      </c>
      <c r="G186" t="inlineStr">
        <is>
          <t>T1</t>
        </is>
      </c>
      <c r="H186" t="inlineStr">
        <is>
          <t>CR</t>
        </is>
      </c>
      <c r="I186" t="inlineStr">
        <is>
          <t>Aatlis</t>
        </is>
      </c>
      <c r="J186" t="inlineStr">
        <is>
          <t>Flashpoint</t>
        </is>
      </c>
      <c r="L186" t="inlineStr">
        <is>
          <t>T1</t>
        </is>
      </c>
      <c r="M186" t="inlineStr">
        <is>
          <t>Cassidy</t>
        </is>
      </c>
      <c r="N186" t="inlineStr">
        <is>
          <t>Jetpack Cat</t>
        </is>
      </c>
      <c r="O186">
        <f>TEXT(E186, "yymmdd") &amp; "_" &amp; G186 &amp; "_" &amp; H186 &amp; "_S" &amp; D186</f>
        <v/>
      </c>
      <c r="P186" t="n">
        <v>3</v>
      </c>
      <c r="Q186" t="n">
        <v>1</v>
      </c>
      <c r="R186" t="inlineStr">
        <is>
          <t>TEAM 1</t>
        </is>
      </c>
      <c r="S186" t="inlineStr">
        <is>
          <t>Cassidy</t>
        </is>
      </c>
    </row>
    <row r="187">
      <c r="A187" t="n">
        <v>6</v>
      </c>
      <c r="B187" t="n">
        <v>1</v>
      </c>
      <c r="C187" t="n">
        <v>6</v>
      </c>
      <c r="D187" t="n">
        <v>5</v>
      </c>
      <c r="E187" t="inlineStr">
        <is>
          <t>2026-05-03</t>
        </is>
      </c>
      <c r="F187" t="inlineStr">
        <is>
          <t>Playoffs</t>
        </is>
      </c>
      <c r="G187" t="inlineStr">
        <is>
          <t>T1</t>
        </is>
      </c>
      <c r="H187" t="inlineStr">
        <is>
          <t>CR</t>
        </is>
      </c>
      <c r="I187" t="inlineStr">
        <is>
          <t>Runasapi</t>
        </is>
      </c>
      <c r="J187" t="inlineStr">
        <is>
          <t>Push</t>
        </is>
      </c>
      <c r="L187" t="inlineStr">
        <is>
          <t>CR</t>
        </is>
      </c>
      <c r="M187" t="inlineStr">
        <is>
          <t>Jetpack Cat</t>
        </is>
      </c>
      <c r="N187" t="inlineStr">
        <is>
          <t>Hazard</t>
        </is>
      </c>
      <c r="O187">
        <f>TEXT(E187, "yymmdd") &amp; "_" &amp; G187 &amp; "_" &amp; H187 &amp; "_S" &amp; D187</f>
        <v/>
      </c>
      <c r="P187" t="n">
        <v>36.26</v>
      </c>
      <c r="Q187" t="n">
        <v>144.86</v>
      </c>
      <c r="R187" t="inlineStr">
        <is>
          <t>TEAM 1</t>
        </is>
      </c>
      <c r="S187" t="inlineStr">
        <is>
          <t>Jetpack Cat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10" defaultColWidth="8.7109375" defaultRowHeight="18"/>
  <cols>
    <col width="8.7109375" customWidth="1" style="16" min="1" max="1"/>
    <col width="10.85546875" customWidth="1" style="18" min="2" max="2"/>
    <col width="8.7109375" customWidth="1" style="16" min="3" max="3"/>
    <col width="15.28515625" customWidth="1" style="16" min="4" max="4"/>
    <col width="8.7109375" customWidth="1" style="16" min="5" max="12"/>
    <col width="16.7109375" customWidth="1" style="16" min="13" max="13"/>
    <col width="17.42578125" customWidth="1" style="16" min="14" max="14"/>
    <col width="8.7109375" customWidth="1" style="16" min="15" max="15"/>
    <col width="8.7109375" customWidth="1" style="16" min="16" max="16384"/>
  </cols>
  <sheetData>
    <row r="1">
      <c r="A1" s="3" t="inlineStr">
        <is>
          <t>Team</t>
        </is>
      </c>
      <c r="B1" s="3" t="inlineStr">
        <is>
          <t>Player</t>
        </is>
      </c>
      <c r="C1" s="3" t="inlineStr">
        <is>
          <t>Position</t>
        </is>
      </c>
      <c r="D1" s="3" t="inlineStr">
        <is>
          <t>Map</t>
        </is>
      </c>
      <c r="E1" s="3" t="inlineStr">
        <is>
          <t>Map Type</t>
        </is>
      </c>
      <c r="F1" s="3" t="inlineStr">
        <is>
          <t>Elim</t>
        </is>
      </c>
      <c r="G1" s="3" t="inlineStr">
        <is>
          <t>Death</t>
        </is>
      </c>
      <c r="H1" s="3" t="inlineStr">
        <is>
          <t>Assists</t>
        </is>
      </c>
      <c r="I1" s="3" t="inlineStr">
        <is>
          <t>Damage</t>
        </is>
      </c>
      <c r="J1" s="3" t="inlineStr">
        <is>
          <t>Heal</t>
        </is>
      </c>
      <c r="K1" s="3" t="inlineStr">
        <is>
          <t>Mitigated</t>
        </is>
      </c>
      <c r="L1" s="3" t="inlineStr">
        <is>
          <t>Playtime</t>
        </is>
      </c>
      <c r="M1" s="3" t="inlineStr">
        <is>
          <t>Playtime(Seconds)</t>
        </is>
      </c>
      <c r="N1" s="14" t="inlineStr">
        <is>
          <t>MATCH_ID</t>
        </is>
      </c>
    </row>
    <row r="2">
      <c r="B2" s="16" t="n"/>
      <c r="M2" s="16">
        <f>L2*86400</f>
        <v/>
      </c>
      <c r="N2" s="17">
        <f t="array" ref="N2">INDEX('MATCH INFO'!O:O, INT((ROW()-2)/10)+2)</f>
        <v/>
      </c>
    </row>
    <row r="3">
      <c r="B3" s="16" t="n"/>
      <c r="M3" s="16">
        <f>L3*86400</f>
        <v/>
      </c>
      <c r="N3" s="17">
        <f t="array" ref="N3">INDEX('MATCH INFO'!O:O, INT((ROW()-2)/10)+2)</f>
        <v/>
      </c>
    </row>
    <row r="4">
      <c r="B4" s="16" t="n"/>
      <c r="M4" s="16">
        <f>L4*86400</f>
        <v/>
      </c>
      <c r="N4" s="17">
        <f t="array" ref="N4">INDEX('MATCH INFO'!O:O, INT((ROW()-2)/10)+2)</f>
        <v/>
      </c>
    </row>
    <row r="5">
      <c r="B5" s="16" t="n"/>
      <c r="M5" s="16">
        <f>L5*86400</f>
        <v/>
      </c>
      <c r="N5" s="17">
        <f t="array" ref="N5">INDEX('MATCH INFO'!O:O, INT((ROW()-2)/10)+2)</f>
        <v/>
      </c>
    </row>
    <row r="6">
      <c r="B6" s="16" t="n"/>
      <c r="M6" s="16">
        <f>L6*86400</f>
        <v/>
      </c>
      <c r="N6" s="17">
        <f t="array" ref="N6">INDEX('MATCH INFO'!O:O, INT((ROW()-2)/10)+2)</f>
        <v/>
      </c>
    </row>
    <row r="7">
      <c r="B7" s="16" t="n"/>
      <c r="M7" s="16">
        <f>L7*86400</f>
        <v/>
      </c>
      <c r="N7" s="17">
        <f t="array" ref="N7">INDEX('MATCH INFO'!O:O, INT((ROW()-2)/10)+2)</f>
        <v/>
      </c>
    </row>
    <row r="8">
      <c r="B8" s="16" t="n"/>
      <c r="M8" s="16">
        <f>L8*86400</f>
        <v/>
      </c>
      <c r="N8" s="17">
        <f t="array" ref="N8">INDEX('MATCH INFO'!O:O, INT((ROW()-2)/10)+2)</f>
        <v/>
      </c>
    </row>
    <row r="9">
      <c r="B9" s="16" t="n"/>
      <c r="M9" s="16">
        <f>L9*86400</f>
        <v/>
      </c>
      <c r="N9" s="17">
        <f t="array" ref="N9">INDEX('MATCH INFO'!O:O, INT((ROW()-2)/10)+2)</f>
        <v/>
      </c>
    </row>
    <row r="10">
      <c r="B10" s="16" t="n"/>
      <c r="M10" s="16">
        <f>L10*86400</f>
        <v/>
      </c>
      <c r="N10" s="17">
        <f t="array" ref="N10">INDEX('MATCH INFO'!O:O, INT((ROW()-2)/10)+2)</f>
        <v/>
      </c>
    </row>
    <row r="11">
      <c r="B11" s="16" t="n"/>
      <c r="M11" s="16">
        <f>L11*86400</f>
        <v/>
      </c>
      <c r="N11" s="17">
        <f t="array" ref="N11">INDEX('MATCH INFO'!O:O, INT((ROW()-2)/10)+2)</f>
        <v/>
      </c>
    </row>
    <row r="12">
      <c r="B12" s="16" t="n"/>
      <c r="M12" s="16">
        <f>L12*86400</f>
        <v/>
      </c>
      <c r="N12" s="17">
        <f t="array" ref="N12">INDEX('MATCH INFO'!O:O, INT((ROW()-2)/10)+2)</f>
        <v/>
      </c>
    </row>
    <row r="13">
      <c r="B13" s="16" t="n"/>
      <c r="M13" s="16">
        <f>L13*86400</f>
        <v/>
      </c>
      <c r="N13" s="17">
        <f t="array" ref="N13">INDEX('MATCH INFO'!O:O, INT((ROW()-2)/10)+2)</f>
        <v/>
      </c>
    </row>
    <row r="14">
      <c r="B14" s="16" t="n"/>
      <c r="M14" s="16">
        <f>L14*86400</f>
        <v/>
      </c>
      <c r="N14" s="17">
        <f t="array" ref="N14">INDEX('MATCH INFO'!O:O, INT((ROW()-2)/10)+2)</f>
        <v/>
      </c>
    </row>
    <row r="15">
      <c r="B15" s="16" t="n"/>
      <c r="M15" s="16">
        <f>L15*86400</f>
        <v/>
      </c>
      <c r="N15" s="17">
        <f t="array" ref="N15">INDEX('MATCH INFO'!O:O, INT((ROW()-2)/10)+2)</f>
        <v/>
      </c>
    </row>
    <row r="16">
      <c r="B16" s="16" t="n"/>
      <c r="M16" s="16">
        <f>L16*86400</f>
        <v/>
      </c>
      <c r="N16" s="17">
        <f t="array" ref="N16">INDEX('MATCH INFO'!O:O, INT((ROW()-2)/10)+2)</f>
        <v/>
      </c>
    </row>
    <row r="17">
      <c r="B17" s="16" t="n"/>
      <c r="M17" s="16">
        <f>L17*86400</f>
        <v/>
      </c>
      <c r="N17" s="17">
        <f t="array" ref="N17">INDEX('MATCH INFO'!O:O, INT((ROW()-2)/10)+2)</f>
        <v/>
      </c>
    </row>
    <row r="18">
      <c r="B18" s="16" t="n"/>
      <c r="M18" s="16">
        <f>L18*86400</f>
        <v/>
      </c>
      <c r="N18" s="17">
        <f t="array" ref="N18">INDEX('MATCH INFO'!O:O, INT((ROW()-2)/10)+2)</f>
        <v/>
      </c>
    </row>
    <row r="19">
      <c r="B19" s="16" t="n"/>
      <c r="M19" s="16">
        <f>L19*86400</f>
        <v/>
      </c>
      <c r="N19" s="17">
        <f t="array" ref="N19">INDEX('MATCH INFO'!O:O, INT((ROW()-2)/10)+2)</f>
        <v/>
      </c>
    </row>
    <row r="20">
      <c r="B20" s="16" t="n"/>
      <c r="M20" s="16">
        <f>L20*86400</f>
        <v/>
      </c>
      <c r="N20" s="17">
        <f t="array" ref="N20">INDEX('MATCH INFO'!O:O, INT((ROW()-2)/10)+2)</f>
        <v/>
      </c>
    </row>
    <row r="21">
      <c r="B21" s="16" t="n"/>
      <c r="M21" s="16">
        <f>L21*86400</f>
        <v/>
      </c>
      <c r="N21" s="17">
        <f t="array" ref="N21">INDEX('MATCH INFO'!O:O, INT((ROW()-2)/10)+2)</f>
        <v/>
      </c>
    </row>
    <row r="22">
      <c r="B22" s="16" t="n"/>
      <c r="M22" s="16">
        <f>L22*86400</f>
        <v/>
      </c>
      <c r="N22" s="17">
        <f t="array" ref="N22">INDEX('MATCH INFO'!O:O, INT((ROW()-2)/10)+2)</f>
        <v/>
      </c>
    </row>
    <row r="23">
      <c r="B23" s="16" t="n"/>
      <c r="M23" s="16">
        <f>L23*86400</f>
        <v/>
      </c>
      <c r="N23" s="17">
        <f t="array" ref="N23">INDEX('MATCH INFO'!O:O, INT((ROW()-2)/10)+2)</f>
        <v/>
      </c>
    </row>
    <row r="24">
      <c r="B24" s="16" t="n"/>
      <c r="M24" s="16">
        <f>L24*86400</f>
        <v/>
      </c>
      <c r="N24" s="17">
        <f t="array" ref="N24">INDEX('MATCH INFO'!O:O, INT((ROW()-2)/10)+2)</f>
        <v/>
      </c>
    </row>
    <row r="25">
      <c r="B25" s="16" t="n"/>
      <c r="M25" s="16">
        <f>L25*86400</f>
        <v/>
      </c>
      <c r="N25" s="17">
        <f t="array" ref="N25">INDEX('MATCH INFO'!O:O, INT((ROW()-2)/10)+2)</f>
        <v/>
      </c>
    </row>
    <row r="26">
      <c r="B26" s="16" t="n"/>
      <c r="M26" s="16">
        <f>L26*86400</f>
        <v/>
      </c>
      <c r="N26" s="17">
        <f t="array" ref="N26">INDEX('MATCH INFO'!O:O, INT((ROW()-2)/10)+2)</f>
        <v/>
      </c>
    </row>
    <row r="27">
      <c r="B27" s="16" t="n"/>
      <c r="M27" s="16">
        <f>L27*86400</f>
        <v/>
      </c>
      <c r="N27" s="17">
        <f t="array" ref="N27">INDEX('MATCH INFO'!O:O, INT((ROW()-2)/10)+2)</f>
        <v/>
      </c>
    </row>
    <row r="28">
      <c r="B28" s="16" t="n"/>
      <c r="M28" s="16">
        <f>L28*86400</f>
        <v/>
      </c>
      <c r="N28" s="17">
        <f t="array" ref="N28">INDEX('MATCH INFO'!O:O, INT((ROW()-2)/10)+2)</f>
        <v/>
      </c>
    </row>
    <row r="29">
      <c r="B29" s="16" t="n"/>
      <c r="M29" s="16">
        <f>L29*86400</f>
        <v/>
      </c>
      <c r="N29" s="17">
        <f t="array" ref="N29">INDEX('MATCH INFO'!O:O, INT((ROW()-2)/10)+2)</f>
        <v/>
      </c>
    </row>
    <row r="30">
      <c r="B30" s="16" t="n"/>
      <c r="M30" s="16">
        <f>L30*86400</f>
        <v/>
      </c>
      <c r="N30" s="17">
        <f t="array" ref="N30">INDEX('MATCH INFO'!O:O, INT((ROW()-2)/10)+2)</f>
        <v/>
      </c>
    </row>
    <row r="31">
      <c r="B31" s="16" t="n"/>
      <c r="M31" s="16">
        <f>L31*86400</f>
        <v/>
      </c>
      <c r="N31" s="17">
        <f t="array" ref="N31">INDEX('MATCH INFO'!O:O, INT((ROW()-2)/10)+2)</f>
        <v/>
      </c>
    </row>
    <row r="32">
      <c r="B32" s="16" t="n"/>
      <c r="M32" s="16">
        <f>L32*86400</f>
        <v/>
      </c>
      <c r="N32" s="17">
        <f t="array" ref="N32">INDEX('MATCH INFO'!O:O, INT((ROW()-2)/10)+2)</f>
        <v/>
      </c>
    </row>
    <row r="33">
      <c r="B33" s="16" t="n"/>
      <c r="M33" s="16">
        <f>L33*86400</f>
        <v/>
      </c>
      <c r="N33" s="17">
        <f t="array" ref="N33">INDEX('MATCH INFO'!O:O, INT((ROW()-2)/10)+2)</f>
        <v/>
      </c>
    </row>
    <row r="34">
      <c r="B34" s="16" t="n"/>
      <c r="M34" s="16">
        <f>L34*86400</f>
        <v/>
      </c>
      <c r="N34" s="17">
        <f t="array" ref="N34">INDEX('MATCH INFO'!O:O, INT((ROW()-2)/10)+2)</f>
        <v/>
      </c>
    </row>
    <row r="35">
      <c r="B35" s="16" t="n"/>
      <c r="M35" s="16">
        <f>L35*86400</f>
        <v/>
      </c>
      <c r="N35" s="17">
        <f t="array" ref="N35">INDEX('MATCH INFO'!O:O, INT((ROW()-2)/10)+2)</f>
        <v/>
      </c>
    </row>
    <row r="36">
      <c r="B36" s="16" t="n"/>
      <c r="M36" s="16">
        <f>L36*86400</f>
        <v/>
      </c>
      <c r="N36" s="17">
        <f t="array" ref="N36">INDEX('MATCH INFO'!O:O, INT((ROW()-2)/10)+2)</f>
        <v/>
      </c>
    </row>
    <row r="37">
      <c r="B37" s="16" t="n"/>
      <c r="M37" s="16">
        <f>L37*86400</f>
        <v/>
      </c>
      <c r="N37" s="17">
        <f t="array" ref="N37">INDEX('MATCH INFO'!O:O, INT((ROW()-2)/10)+2)</f>
        <v/>
      </c>
    </row>
    <row r="38">
      <c r="B38" s="16" t="n"/>
      <c r="M38" s="16">
        <f>L38*86400</f>
        <v/>
      </c>
      <c r="N38" s="17">
        <f t="array" ref="N38">INDEX('MATCH INFO'!O:O, INT((ROW()-2)/10)+2)</f>
        <v/>
      </c>
    </row>
    <row r="39">
      <c r="B39" s="16" t="n"/>
      <c r="M39" s="16">
        <f>L39*86400</f>
        <v/>
      </c>
      <c r="N39" s="17">
        <f t="array" ref="N39">INDEX('MATCH INFO'!O:O, INT((ROW()-2)/10)+2)</f>
        <v/>
      </c>
    </row>
    <row r="40">
      <c r="B40" s="16" t="n"/>
      <c r="M40" s="16">
        <f>L40*86400</f>
        <v/>
      </c>
      <c r="N40" s="17">
        <f t="array" ref="N40">INDEX('MATCH INFO'!O:O, INT((ROW()-2)/10)+2)</f>
        <v/>
      </c>
    </row>
    <row r="41">
      <c r="B41" s="16" t="n"/>
      <c r="M41" s="16">
        <f>L41*86400</f>
        <v/>
      </c>
      <c r="N41" s="17">
        <f t="array" ref="N41">INDEX('MATCH INFO'!O:O, INT((ROW()-2)/10)+2)</f>
        <v/>
      </c>
    </row>
    <row r="42">
      <c r="B42" s="16" t="n"/>
      <c r="M42" s="16">
        <f>L42*86400</f>
        <v/>
      </c>
      <c r="N42" s="17">
        <f t="array" ref="N42">INDEX('MATCH INFO'!O:O, INT((ROW()-2)/10)+2)</f>
        <v/>
      </c>
    </row>
    <row r="43">
      <c r="B43" s="16" t="n"/>
      <c r="M43" s="16">
        <f>L43*86400</f>
        <v/>
      </c>
      <c r="N43" s="17">
        <f t="array" ref="N43">INDEX('MATCH INFO'!O:O, INT((ROW()-2)/10)+2)</f>
        <v/>
      </c>
    </row>
    <row r="44">
      <c r="B44" s="16" t="n"/>
      <c r="M44" s="16">
        <f>L44*86400</f>
        <v/>
      </c>
      <c r="N44" s="17">
        <f t="array" ref="N44">INDEX('MATCH INFO'!O:O, INT((ROW()-2)/10)+2)</f>
        <v/>
      </c>
    </row>
    <row r="45">
      <c r="B45" s="16" t="n"/>
      <c r="M45" s="16">
        <f>L45*86400</f>
        <v/>
      </c>
      <c r="N45" s="17">
        <f t="array" ref="N45">INDEX('MATCH INFO'!O:O, INT((ROW()-2)/10)+2)</f>
        <v/>
      </c>
    </row>
    <row r="46">
      <c r="B46" s="16" t="n"/>
      <c r="M46" s="16">
        <f>L46*86400</f>
        <v/>
      </c>
      <c r="N46" s="17">
        <f t="array" ref="N46">INDEX('MATCH INFO'!O:O, INT((ROW()-2)/10)+2)</f>
        <v/>
      </c>
    </row>
    <row r="47">
      <c r="B47" s="16" t="n"/>
      <c r="M47" s="16">
        <f>L47*86400</f>
        <v/>
      </c>
      <c r="N47" s="17">
        <f t="array" ref="N47">INDEX('MATCH INFO'!O:O, INT((ROW()-2)/10)+2)</f>
        <v/>
      </c>
    </row>
    <row r="48">
      <c r="B48" s="16" t="n"/>
      <c r="M48" s="16">
        <f>L48*86400</f>
        <v/>
      </c>
      <c r="N48" s="17">
        <f t="array" ref="N48">INDEX('MATCH INFO'!O:O, INT((ROW()-2)/10)+2)</f>
        <v/>
      </c>
    </row>
    <row r="49">
      <c r="B49" s="16" t="n"/>
      <c r="M49" s="16">
        <f>L49*86400</f>
        <v/>
      </c>
      <c r="N49" s="17">
        <f t="array" ref="N49">INDEX('MATCH INFO'!O:O, INT((ROW()-2)/10)+2)</f>
        <v/>
      </c>
    </row>
    <row r="50">
      <c r="B50" s="16" t="n"/>
      <c r="M50" s="16">
        <f>L50*86400</f>
        <v/>
      </c>
      <c r="N50" s="17">
        <f t="array" ref="N50">INDEX('MATCH INFO'!O:O, INT((ROW()-2)/10)+2)</f>
        <v/>
      </c>
    </row>
    <row r="51">
      <c r="B51" s="16" t="n"/>
      <c r="M51" s="16">
        <f>L51*86400</f>
        <v/>
      </c>
      <c r="N51" s="17">
        <f t="array" ref="N51">INDEX('MATCH INFO'!O:O, INT((ROW()-2)/10)+2)</f>
        <v/>
      </c>
    </row>
    <row r="52">
      <c r="B52" s="16" t="n"/>
      <c r="M52" s="16">
        <f>L52*86400</f>
        <v/>
      </c>
      <c r="N52" s="17">
        <f t="array" ref="N52">INDEX('MATCH INFO'!O:O, INT((ROW()-2)/10)+2)</f>
        <v/>
      </c>
    </row>
    <row r="53">
      <c r="B53" s="16" t="n"/>
      <c r="M53" s="16">
        <f>L53*86400</f>
        <v/>
      </c>
      <c r="N53" s="17">
        <f t="array" ref="N53">INDEX('MATCH INFO'!O:O, INT((ROW()-2)/10)+2)</f>
        <v/>
      </c>
    </row>
    <row r="54">
      <c r="B54" s="16" t="n"/>
      <c r="M54" s="16">
        <f>L54*86400</f>
        <v/>
      </c>
      <c r="N54" s="17">
        <f t="array" ref="N54">INDEX('MATCH INFO'!O:O, INT((ROW()-2)/10)+2)</f>
        <v/>
      </c>
    </row>
    <row r="55">
      <c r="B55" s="16" t="n"/>
      <c r="M55" s="16">
        <f>L55*86400</f>
        <v/>
      </c>
      <c r="N55" s="17">
        <f t="array" ref="N55">INDEX('MATCH INFO'!O:O, INT((ROW()-2)/10)+2)</f>
        <v/>
      </c>
    </row>
    <row r="56">
      <c r="B56" s="16" t="n"/>
      <c r="M56" s="16">
        <f>L56*86400</f>
        <v/>
      </c>
      <c r="N56" s="17">
        <f t="array" ref="N56">INDEX('MATCH INFO'!O:O, INT((ROW()-2)/10)+2)</f>
        <v/>
      </c>
    </row>
    <row r="57">
      <c r="B57" s="16" t="n"/>
      <c r="M57" s="16">
        <f>L57*86400</f>
        <v/>
      </c>
      <c r="N57" s="17">
        <f t="array" ref="N57">INDEX('MATCH INFO'!O:O, INT((ROW()-2)/10)+2)</f>
        <v/>
      </c>
    </row>
    <row r="58">
      <c r="B58" s="16" t="n"/>
      <c r="M58" s="16">
        <f>L58*86400</f>
        <v/>
      </c>
      <c r="N58" s="17">
        <f t="array" ref="N58">INDEX('MATCH INFO'!O:O, INT((ROW()-2)/10)+2)</f>
        <v/>
      </c>
    </row>
    <row r="59">
      <c r="B59" s="16" t="n"/>
      <c r="M59" s="16">
        <f>L59*86400</f>
        <v/>
      </c>
      <c r="N59" s="17">
        <f t="array" ref="N59">INDEX('MATCH INFO'!O:O, INT((ROW()-2)/10)+2)</f>
        <v/>
      </c>
    </row>
    <row r="60">
      <c r="B60" s="16" t="n"/>
      <c r="M60" s="16">
        <f>L60*86400</f>
        <v/>
      </c>
      <c r="N60" s="17">
        <f t="array" ref="N60">INDEX('MATCH INFO'!O:O, INT((ROW()-2)/10)+2)</f>
        <v/>
      </c>
    </row>
    <row r="61">
      <c r="B61" s="16" t="n"/>
      <c r="M61" s="16">
        <f>L61*86400</f>
        <v/>
      </c>
      <c r="N61" s="17">
        <f t="array" ref="N61">INDEX('MATCH INFO'!O:O, INT((ROW()-2)/10)+2)</f>
        <v/>
      </c>
    </row>
    <row r="62">
      <c r="B62" s="16" t="n"/>
      <c r="M62" s="16">
        <f>L62*86400</f>
        <v/>
      </c>
      <c r="N62" s="17">
        <f t="array" ref="N62">INDEX('MATCH INFO'!O:O, INT((ROW()-2)/10)+2)</f>
        <v/>
      </c>
    </row>
    <row r="63">
      <c r="B63" s="16" t="n"/>
      <c r="M63" s="16">
        <f>L63*86400</f>
        <v/>
      </c>
      <c r="N63" s="17">
        <f t="array" ref="N63">INDEX('MATCH INFO'!O:O, INT((ROW()-2)/10)+2)</f>
        <v/>
      </c>
    </row>
    <row r="64">
      <c r="B64" s="16" t="n"/>
      <c r="M64" s="16">
        <f>L64*86400</f>
        <v/>
      </c>
      <c r="N64" s="17">
        <f t="array" ref="N64">INDEX('MATCH INFO'!O:O, INT((ROW()-2)/10)+2)</f>
        <v/>
      </c>
    </row>
    <row r="65">
      <c r="B65" s="16" t="n"/>
      <c r="M65" s="16">
        <f>L65*86400</f>
        <v/>
      </c>
      <c r="N65" s="17">
        <f t="array" ref="N65">INDEX('MATCH INFO'!O:O, INT((ROW()-2)/10)+2)</f>
        <v/>
      </c>
    </row>
    <row r="66">
      <c r="B66" s="16" t="n"/>
      <c r="M66" s="16">
        <f>L66*86400</f>
        <v/>
      </c>
      <c r="N66" s="17">
        <f t="array" ref="N66">INDEX('MATCH INFO'!O:O, INT((ROW()-2)/10)+2)</f>
        <v/>
      </c>
    </row>
    <row r="67">
      <c r="B67" s="16" t="n"/>
      <c r="M67" s="16">
        <f>L67*86400</f>
        <v/>
      </c>
      <c r="N67" s="17">
        <f t="array" ref="N67">INDEX('MATCH INFO'!O:O, INT((ROW()-2)/10)+2)</f>
        <v/>
      </c>
    </row>
    <row r="68">
      <c r="B68" s="16" t="n"/>
      <c r="M68" s="16">
        <f>L68*86400</f>
        <v/>
      </c>
      <c r="N68" s="17">
        <f t="array" ref="N68">INDEX('MATCH INFO'!O:O, INT((ROW()-2)/10)+2)</f>
        <v/>
      </c>
    </row>
    <row r="69">
      <c r="B69" s="16" t="n"/>
      <c r="M69" s="16">
        <f>L69*86400</f>
        <v/>
      </c>
      <c r="N69" s="17">
        <f t="array" ref="N69">INDEX('MATCH INFO'!O:O, INT((ROW()-2)/10)+2)</f>
        <v/>
      </c>
    </row>
    <row r="70">
      <c r="B70" s="16" t="n"/>
      <c r="M70" s="16">
        <f>L70*86400</f>
        <v/>
      </c>
      <c r="N70" s="17">
        <f t="array" ref="N70">INDEX('MATCH INFO'!O:O, INT((ROW()-2)/10)+2)</f>
        <v/>
      </c>
    </row>
    <row r="71">
      <c r="B71" s="16" t="n"/>
      <c r="M71" s="16">
        <f>L71*86400</f>
        <v/>
      </c>
      <c r="N71" s="17">
        <f t="array" ref="N71">INDEX('MATCH INFO'!O:O, INT((ROW()-2)/10)+2)</f>
        <v/>
      </c>
    </row>
    <row r="72">
      <c r="B72" s="16" t="n"/>
      <c r="M72" s="16">
        <f>L72*86400</f>
        <v/>
      </c>
      <c r="N72" s="17">
        <f t="array" ref="N72">INDEX('MATCH INFO'!O:O, INT((ROW()-2)/10)+2)</f>
        <v/>
      </c>
    </row>
    <row r="73">
      <c r="B73" s="16" t="n"/>
      <c r="M73" s="16">
        <f>L73*86400</f>
        <v/>
      </c>
      <c r="N73" s="17">
        <f t="array" ref="N73">INDEX('MATCH INFO'!O:O, INT((ROW()-2)/10)+2)</f>
        <v/>
      </c>
    </row>
    <row r="74">
      <c r="B74" s="16" t="n"/>
      <c r="M74" s="16">
        <f>L74*86400</f>
        <v/>
      </c>
      <c r="N74" s="17">
        <f t="array" ref="N74">INDEX('MATCH INFO'!O:O, INT((ROW()-2)/10)+2)</f>
        <v/>
      </c>
    </row>
    <row r="75">
      <c r="B75" s="16" t="n"/>
      <c r="M75" s="16">
        <f>L75*86400</f>
        <v/>
      </c>
      <c r="N75" s="17">
        <f t="array" ref="N75">INDEX('MATCH INFO'!O:O, INT((ROW()-2)/10)+2)</f>
        <v/>
      </c>
    </row>
    <row r="76">
      <c r="B76" s="16" t="n"/>
      <c r="M76" s="16">
        <f>L76*86400</f>
        <v/>
      </c>
      <c r="N76" s="17">
        <f t="array" ref="N76">INDEX('MATCH INFO'!O:O, INT((ROW()-2)/10)+2)</f>
        <v/>
      </c>
    </row>
    <row r="77">
      <c r="B77" s="16" t="n"/>
      <c r="M77" s="16">
        <f>L77*86400</f>
        <v/>
      </c>
      <c r="N77" s="17">
        <f t="array" ref="N77">INDEX('MATCH INFO'!O:O, INT((ROW()-2)/10)+2)</f>
        <v/>
      </c>
    </row>
    <row r="78">
      <c r="B78" s="16" t="n"/>
      <c r="M78" s="16">
        <f>L78*86400</f>
        <v/>
      </c>
      <c r="N78" s="17">
        <f t="array" ref="N78">INDEX('MATCH INFO'!O:O, INT((ROW()-2)/10)+2)</f>
        <v/>
      </c>
    </row>
    <row r="79">
      <c r="B79" s="16" t="n"/>
      <c r="M79" s="16">
        <f>L79*86400</f>
        <v/>
      </c>
      <c r="N79" s="17">
        <f t="array" ref="N79">INDEX('MATCH INFO'!O:O, INT((ROW()-2)/10)+2)</f>
        <v/>
      </c>
    </row>
    <row r="80">
      <c r="B80" s="16" t="n"/>
      <c r="M80" s="16">
        <f>L80*86400</f>
        <v/>
      </c>
      <c r="N80" s="17">
        <f t="array" ref="N80">INDEX('MATCH INFO'!O:O, INT((ROW()-2)/10)+2)</f>
        <v/>
      </c>
    </row>
    <row r="81">
      <c r="B81" s="16" t="n"/>
      <c r="M81" s="16">
        <f>L81*86400</f>
        <v/>
      </c>
      <c r="N81" s="17">
        <f t="array" ref="N81">INDEX('MATCH INFO'!O:O, INT((ROW()-2)/10)+2)</f>
        <v/>
      </c>
    </row>
    <row r="82">
      <c r="B82" s="16" t="n"/>
      <c r="M82" s="16">
        <f>L82*86400</f>
        <v/>
      </c>
      <c r="N82" s="17">
        <f t="array" ref="N82">INDEX('MATCH INFO'!O:O, INT((ROW()-2)/10)+2)</f>
        <v/>
      </c>
    </row>
    <row r="83">
      <c r="B83" s="16" t="n"/>
      <c r="M83" s="16">
        <f>L83*86400</f>
        <v/>
      </c>
      <c r="N83" s="17">
        <f t="array" ref="N83">INDEX('MATCH INFO'!O:O, INT((ROW()-2)/10)+2)</f>
        <v/>
      </c>
    </row>
    <row r="84">
      <c r="B84" s="16" t="n"/>
      <c r="M84" s="16">
        <f>L84*86400</f>
        <v/>
      </c>
      <c r="N84" s="17">
        <f t="array" ref="N84">INDEX('MATCH INFO'!O:O, INT((ROW()-2)/10)+2)</f>
        <v/>
      </c>
    </row>
    <row r="85">
      <c r="B85" s="16" t="n"/>
      <c r="M85" s="16">
        <f>L85*86400</f>
        <v/>
      </c>
      <c r="N85" s="17">
        <f t="array" ref="N85">INDEX('MATCH INFO'!O:O, INT((ROW()-2)/10)+2)</f>
        <v/>
      </c>
    </row>
    <row r="86">
      <c r="B86" s="16" t="n"/>
      <c r="M86" s="16">
        <f>L86*86400</f>
        <v/>
      </c>
      <c r="N86" s="17">
        <f t="array" ref="N86">INDEX('MATCH INFO'!O:O, INT((ROW()-2)/10)+2)</f>
        <v/>
      </c>
    </row>
    <row r="87">
      <c r="B87" s="16" t="n"/>
      <c r="M87" s="16">
        <f>L87*86400</f>
        <v/>
      </c>
      <c r="N87" s="17">
        <f t="array" ref="N87">INDEX('MATCH INFO'!O:O, INT((ROW()-2)/10)+2)</f>
        <v/>
      </c>
    </row>
    <row r="88">
      <c r="B88" s="16" t="n"/>
      <c r="M88" s="16">
        <f>L88*86400</f>
        <v/>
      </c>
      <c r="N88" s="17">
        <f t="array" ref="N88">INDEX('MATCH INFO'!O:O, INT((ROW()-2)/10)+2)</f>
        <v/>
      </c>
    </row>
    <row r="89">
      <c r="B89" s="16" t="n"/>
      <c r="M89" s="16">
        <f>L89*86400</f>
        <v/>
      </c>
      <c r="N89" s="17">
        <f t="array" ref="N89">INDEX('MATCH INFO'!O:O, INT((ROW()-2)/10)+2)</f>
        <v/>
      </c>
    </row>
    <row r="90">
      <c r="B90" s="16" t="n"/>
      <c r="M90" s="16">
        <f>L90*86400</f>
        <v/>
      </c>
      <c r="N90" s="17">
        <f t="array" ref="N90">INDEX('MATCH INFO'!O:O, INT((ROW()-2)/10)+2)</f>
        <v/>
      </c>
    </row>
    <row r="91">
      <c r="B91" s="16" t="n"/>
      <c r="M91" s="16">
        <f>L91*86400</f>
        <v/>
      </c>
      <c r="N91" s="17">
        <f t="array" ref="N91">INDEX('MATCH INFO'!O:O, INT((ROW()-2)/10)+2)</f>
        <v/>
      </c>
    </row>
    <row r="92">
      <c r="B92" s="16" t="n"/>
      <c r="M92" s="16">
        <f>L92*86400</f>
        <v/>
      </c>
      <c r="N92" s="17">
        <f t="array" ref="N92">INDEX('MATCH INFO'!O:O, INT((ROW()-2)/10)+2)</f>
        <v/>
      </c>
    </row>
    <row r="93">
      <c r="B93" s="16" t="n"/>
      <c r="M93" s="16">
        <f>L93*86400</f>
        <v/>
      </c>
      <c r="N93" s="17">
        <f t="array" ref="N93">INDEX('MATCH INFO'!O:O, INT((ROW()-2)/10)+2)</f>
        <v/>
      </c>
    </row>
    <row r="94">
      <c r="B94" s="16" t="n"/>
      <c r="M94" s="16">
        <f>L94*86400</f>
        <v/>
      </c>
      <c r="N94" s="17">
        <f t="array" ref="N94">INDEX('MATCH INFO'!O:O, INT((ROW()-2)/10)+2)</f>
        <v/>
      </c>
    </row>
    <row r="95">
      <c r="B95" s="16" t="n"/>
      <c r="M95" s="16">
        <f>L95*86400</f>
        <v/>
      </c>
      <c r="N95" s="17">
        <f t="array" ref="N95">INDEX('MATCH INFO'!O:O, INT((ROW()-2)/10)+2)</f>
        <v/>
      </c>
    </row>
    <row r="96">
      <c r="B96" s="16" t="n"/>
      <c r="M96" s="16">
        <f>L96*86400</f>
        <v/>
      </c>
      <c r="N96" s="17">
        <f t="array" ref="N96">INDEX('MATCH INFO'!O:O, INT((ROW()-2)/10)+2)</f>
        <v/>
      </c>
    </row>
    <row r="97">
      <c r="B97" s="16" t="n"/>
      <c r="M97" s="16">
        <f>L97*86400</f>
        <v/>
      </c>
      <c r="N97" s="17">
        <f t="array" ref="N97">INDEX('MATCH INFO'!O:O, INT((ROW()-2)/10)+2)</f>
        <v/>
      </c>
    </row>
    <row r="98">
      <c r="B98" s="16" t="n"/>
      <c r="M98" s="16">
        <f>L98*86400</f>
        <v/>
      </c>
      <c r="N98" s="17">
        <f t="array" ref="N98">INDEX('MATCH INFO'!O:O, INT((ROW()-2)/10)+2)</f>
        <v/>
      </c>
    </row>
    <row r="99">
      <c r="B99" s="16" t="n"/>
      <c r="M99" s="16">
        <f>L99*86400</f>
        <v/>
      </c>
      <c r="N99" s="17">
        <f t="array" ref="N99">INDEX('MATCH INFO'!O:O, INT((ROW()-2)/10)+2)</f>
        <v/>
      </c>
    </row>
    <row r="100">
      <c r="B100" s="16" t="n"/>
      <c r="M100" s="16">
        <f>L100*86400</f>
        <v/>
      </c>
      <c r="N100" s="17">
        <f t="array" ref="N100">INDEX('MATCH INFO'!O:O, INT((ROW()-2)/10)+2)</f>
        <v/>
      </c>
    </row>
    <row r="101">
      <c r="B101" s="16" t="n"/>
      <c r="M101" s="16">
        <f>L101*86400</f>
        <v/>
      </c>
      <c r="N101" s="17">
        <f t="array" ref="N101">INDEX('MATCH INFO'!O:O, INT((ROW()-2)/10)+2)</f>
        <v/>
      </c>
    </row>
    <row r="102">
      <c r="B102" s="16" t="n"/>
      <c r="M102" s="16">
        <f>L102*86400</f>
        <v/>
      </c>
      <c r="N102" s="17">
        <f t="array" ref="N102">INDEX('MATCH INFO'!O:O, INT((ROW()-2)/10)+2)</f>
        <v/>
      </c>
    </row>
    <row r="103">
      <c r="B103" s="16" t="n"/>
      <c r="M103" s="16">
        <f>L103*86400</f>
        <v/>
      </c>
      <c r="N103" s="17">
        <f t="array" ref="N103">INDEX('MATCH INFO'!O:O, INT((ROW()-2)/10)+2)</f>
        <v/>
      </c>
    </row>
    <row r="104">
      <c r="B104" s="16" t="n"/>
      <c r="M104" s="16">
        <f>L104*86400</f>
        <v/>
      </c>
      <c r="N104" s="17">
        <f t="array" ref="N104">INDEX('MATCH INFO'!O:O, INT((ROW()-2)/10)+2)</f>
        <v/>
      </c>
    </row>
    <row r="105">
      <c r="B105" s="16" t="n"/>
      <c r="M105" s="16">
        <f>L105*86400</f>
        <v/>
      </c>
      <c r="N105" s="17">
        <f t="array" ref="N105">INDEX('MATCH INFO'!O:O, INT((ROW()-2)/10)+2)</f>
        <v/>
      </c>
    </row>
    <row r="106">
      <c r="B106" s="16" t="n"/>
      <c r="M106" s="16">
        <f>L106*86400</f>
        <v/>
      </c>
      <c r="N106" s="17">
        <f t="array" ref="N106">INDEX('MATCH INFO'!O:O, INT((ROW()-2)/10)+2)</f>
        <v/>
      </c>
    </row>
    <row r="107">
      <c r="B107" s="16" t="n"/>
      <c r="M107" s="16">
        <f>L107*86400</f>
        <v/>
      </c>
      <c r="N107" s="17">
        <f t="array" ref="N107">INDEX('MATCH INFO'!O:O, INT((ROW()-2)/10)+2)</f>
        <v/>
      </c>
    </row>
    <row r="108">
      <c r="B108" s="16" t="n"/>
      <c r="M108" s="16">
        <f>L108*86400</f>
        <v/>
      </c>
      <c r="N108" s="17">
        <f t="array" ref="N108">INDEX('MATCH INFO'!O:O, INT((ROW()-2)/10)+2)</f>
        <v/>
      </c>
    </row>
    <row r="109">
      <c r="B109" s="16" t="n"/>
      <c r="M109" s="16">
        <f>L109*86400</f>
        <v/>
      </c>
      <c r="N109" s="17">
        <f t="array" ref="N109">INDEX('MATCH INFO'!O:O, INT((ROW()-2)/10)+2)</f>
        <v/>
      </c>
    </row>
    <row r="110">
      <c r="B110" s="16" t="n"/>
      <c r="M110" s="16">
        <f>L110*86400</f>
        <v/>
      </c>
      <c r="N110" s="17">
        <f t="array" ref="N110">INDEX('MATCH INFO'!O:O, INT((ROW()-2)/10)+2)</f>
        <v/>
      </c>
    </row>
    <row r="111">
      <c r="B111" s="16" t="n"/>
      <c r="M111" s="16">
        <f>L111*86400</f>
        <v/>
      </c>
      <c r="N111" s="17">
        <f t="array" ref="N111">INDEX('MATCH INFO'!O:O, INT((ROW()-2)/10)+2)</f>
        <v/>
      </c>
    </row>
    <row r="112">
      <c r="B112" s="16" t="n"/>
      <c r="M112" s="16">
        <f>L112*86400</f>
        <v/>
      </c>
      <c r="N112" s="17">
        <f t="array" ref="N112">INDEX('MATCH INFO'!O:O, INT((ROW()-2)/10)+2)</f>
        <v/>
      </c>
    </row>
    <row r="113">
      <c r="B113" s="16" t="n"/>
      <c r="M113" s="16">
        <f>L113*86400</f>
        <v/>
      </c>
      <c r="N113" s="17">
        <f t="array" ref="N113">INDEX('MATCH INFO'!O:O, INT((ROW()-2)/10)+2)</f>
        <v/>
      </c>
    </row>
    <row r="114">
      <c r="B114" s="16" t="n"/>
      <c r="M114" s="16">
        <f>L114*86400</f>
        <v/>
      </c>
      <c r="N114" s="17">
        <f t="array" ref="N114">INDEX('MATCH INFO'!O:O, INT((ROW()-2)/10)+2)</f>
        <v/>
      </c>
    </row>
    <row r="115">
      <c r="B115" s="16" t="n"/>
      <c r="M115" s="16">
        <f>L115*86400</f>
        <v/>
      </c>
      <c r="N115" s="17">
        <f t="array" ref="N115">INDEX('MATCH INFO'!O:O, INT((ROW()-2)/10)+2)</f>
        <v/>
      </c>
    </row>
    <row r="116">
      <c r="B116" s="16" t="n"/>
      <c r="M116" s="16">
        <f>L116*86400</f>
        <v/>
      </c>
      <c r="N116" s="17">
        <f t="array" ref="N116">INDEX('MATCH INFO'!O:O, INT((ROW()-2)/10)+2)</f>
        <v/>
      </c>
    </row>
    <row r="117">
      <c r="B117" s="16" t="n"/>
      <c r="M117" s="16">
        <f>L117*86400</f>
        <v/>
      </c>
      <c r="N117" s="17">
        <f t="array" ref="N117">INDEX('MATCH INFO'!O:O, INT((ROW()-2)/10)+2)</f>
        <v/>
      </c>
    </row>
    <row r="118">
      <c r="B118" s="16" t="n"/>
      <c r="M118" s="16">
        <f>L118*86400</f>
        <v/>
      </c>
      <c r="N118" s="17">
        <f t="array" ref="N118">INDEX('MATCH INFO'!O:O, INT((ROW()-2)/10)+2)</f>
        <v/>
      </c>
    </row>
    <row r="119">
      <c r="B119" s="16" t="n"/>
      <c r="M119" s="16">
        <f>L119*86400</f>
        <v/>
      </c>
      <c r="N119" s="17">
        <f t="array" ref="N119">INDEX('MATCH INFO'!O:O, INT((ROW()-2)/10)+2)</f>
        <v/>
      </c>
    </row>
    <row r="120">
      <c r="B120" s="16" t="n"/>
      <c r="M120" s="16">
        <f>L120*86400</f>
        <v/>
      </c>
      <c r="N120" s="17">
        <f t="array" ref="N120">INDEX('MATCH INFO'!O:O, INT((ROW()-2)/10)+2)</f>
        <v/>
      </c>
    </row>
    <row r="121">
      <c r="B121" s="16" t="n"/>
      <c r="M121" s="16">
        <f>L121*86400</f>
        <v/>
      </c>
      <c r="N121" s="17">
        <f t="array" ref="N121">INDEX('MATCH INFO'!O:O, INT((ROW()-2)/10)+2)</f>
        <v/>
      </c>
    </row>
    <row r="122">
      <c r="B122" s="16" t="n"/>
      <c r="M122" s="16">
        <f>L122*86400</f>
        <v/>
      </c>
      <c r="N122" s="17">
        <f t="array" ref="N122">INDEX('MATCH INFO'!O:O, INT((ROW()-2)/10)+2)</f>
        <v/>
      </c>
    </row>
    <row r="123">
      <c r="B123" s="16" t="n"/>
      <c r="M123" s="16">
        <f>L123*86400</f>
        <v/>
      </c>
      <c r="N123" s="17">
        <f t="array" ref="N123">INDEX('MATCH INFO'!O:O, INT((ROW()-2)/10)+2)</f>
        <v/>
      </c>
    </row>
    <row r="124">
      <c r="B124" s="16" t="n"/>
      <c r="M124" s="16">
        <f>L124*86400</f>
        <v/>
      </c>
      <c r="N124" s="17">
        <f t="array" ref="N124">INDEX('MATCH INFO'!O:O, INT((ROW()-2)/10)+2)</f>
        <v/>
      </c>
    </row>
    <row r="125">
      <c r="B125" s="16" t="n"/>
      <c r="M125" s="16">
        <f>L125*86400</f>
        <v/>
      </c>
      <c r="N125" s="17">
        <f t="array" ref="N125">INDEX('MATCH INFO'!O:O, INT((ROW()-2)/10)+2)</f>
        <v/>
      </c>
    </row>
    <row r="126">
      <c r="B126" s="16" t="n"/>
      <c r="M126" s="16">
        <f>L126*86400</f>
        <v/>
      </c>
      <c r="N126" s="17">
        <f t="array" ref="N126">INDEX('MATCH INFO'!O:O, INT((ROW()-2)/10)+2)</f>
        <v/>
      </c>
    </row>
    <row r="127">
      <c r="B127" s="16" t="n"/>
      <c r="M127" s="16">
        <f>L127*86400</f>
        <v/>
      </c>
      <c r="N127" s="17">
        <f t="array" ref="N127">INDEX('MATCH INFO'!O:O, INT((ROW()-2)/10)+2)</f>
        <v/>
      </c>
    </row>
    <row r="128">
      <c r="B128" s="16" t="n"/>
      <c r="M128" s="16">
        <f>L128*86400</f>
        <v/>
      </c>
      <c r="N128" s="17">
        <f t="array" ref="N128">INDEX('MATCH INFO'!O:O, INT((ROW()-2)/10)+2)</f>
        <v/>
      </c>
    </row>
    <row r="129">
      <c r="B129" s="16" t="n"/>
      <c r="M129" s="16">
        <f>L129*86400</f>
        <v/>
      </c>
      <c r="N129" s="17">
        <f t="array" ref="N129">INDEX('MATCH INFO'!O:O, INT((ROW()-2)/10)+2)</f>
        <v/>
      </c>
    </row>
    <row r="130">
      <c r="B130" s="16" t="n"/>
      <c r="M130" s="16">
        <f>L130*86400</f>
        <v/>
      </c>
      <c r="N130" s="17">
        <f t="array" ref="N130">INDEX('MATCH INFO'!O:O, INT((ROW()-2)/10)+2)</f>
        <v/>
      </c>
    </row>
    <row r="131">
      <c r="B131" s="16" t="n"/>
      <c r="M131" s="16">
        <f>L131*86400</f>
        <v/>
      </c>
      <c r="N131" s="17">
        <f t="array" ref="N131">INDEX('MATCH INFO'!O:O, INT((ROW()-2)/10)+2)</f>
        <v/>
      </c>
    </row>
    <row r="132">
      <c r="B132" s="16" t="n"/>
      <c r="M132" s="16">
        <f>L132*86400</f>
        <v/>
      </c>
      <c r="N132" s="17">
        <f t="array" ref="N132">INDEX('MATCH INFO'!O:O, INT((ROW()-2)/10)+2)</f>
        <v/>
      </c>
    </row>
    <row r="133">
      <c r="B133" s="16" t="n"/>
      <c r="M133" s="16">
        <f>L133*86400</f>
        <v/>
      </c>
      <c r="N133" s="17">
        <f t="array" ref="N133">INDEX('MATCH INFO'!O:O, INT((ROW()-2)/10)+2)</f>
        <v/>
      </c>
    </row>
    <row r="134">
      <c r="B134" s="16" t="n"/>
      <c r="M134" s="16">
        <f>L134*86400</f>
        <v/>
      </c>
      <c r="N134" s="17">
        <f t="array" ref="N134">INDEX('MATCH INFO'!O:O, INT((ROW()-2)/10)+2)</f>
        <v/>
      </c>
    </row>
    <row r="135">
      <c r="B135" s="16" t="n"/>
      <c r="M135" s="16">
        <f>L135*86400</f>
        <v/>
      </c>
      <c r="N135" s="17">
        <f t="array" ref="N135">INDEX('MATCH INFO'!O:O, INT((ROW()-2)/10)+2)</f>
        <v/>
      </c>
    </row>
    <row r="136">
      <c r="B136" s="16" t="n"/>
      <c r="M136" s="16">
        <f>L136*86400</f>
        <v/>
      </c>
      <c r="N136" s="17">
        <f t="array" ref="N136">INDEX('MATCH INFO'!O:O, INT((ROW()-2)/10)+2)</f>
        <v/>
      </c>
    </row>
    <row r="137">
      <c r="B137" s="16" t="n"/>
      <c r="M137" s="16">
        <f>L137*86400</f>
        <v/>
      </c>
      <c r="N137" s="17">
        <f t="array" ref="N137">INDEX('MATCH INFO'!O:O, INT((ROW()-2)/10)+2)</f>
        <v/>
      </c>
    </row>
    <row r="138">
      <c r="B138" s="16" t="n"/>
      <c r="M138" s="16">
        <f>L138*86400</f>
        <v/>
      </c>
      <c r="N138" s="17">
        <f t="array" ref="N138">INDEX('MATCH INFO'!O:O, INT((ROW()-2)/10)+2)</f>
        <v/>
      </c>
    </row>
    <row r="139">
      <c r="B139" s="16" t="n"/>
      <c r="M139" s="16">
        <f>L139*86400</f>
        <v/>
      </c>
      <c r="N139" s="17">
        <f t="array" ref="N139">INDEX('MATCH INFO'!O:O, INT((ROW()-2)/10)+2)</f>
        <v/>
      </c>
    </row>
    <row r="140">
      <c r="B140" s="16" t="n"/>
      <c r="M140" s="16">
        <f>L140*86400</f>
        <v/>
      </c>
      <c r="N140" s="17">
        <f t="array" ref="N140">INDEX('MATCH INFO'!O:O, INT((ROW()-2)/10)+2)</f>
        <v/>
      </c>
    </row>
    <row r="141">
      <c r="B141" s="16" t="n"/>
      <c r="M141" s="16">
        <f>L141*86400</f>
        <v/>
      </c>
      <c r="N141" s="17">
        <f t="array" ref="N141">INDEX('MATCH INFO'!O:O, INT((ROW()-2)/10)+2)</f>
        <v/>
      </c>
    </row>
    <row r="142">
      <c r="B142" s="16" t="n"/>
      <c r="M142" s="16">
        <f>L142*86400</f>
        <v/>
      </c>
      <c r="N142" s="17">
        <f t="array" ref="N142">INDEX('MATCH INFO'!O:O, INT((ROW()-2)/10)+2)</f>
        <v/>
      </c>
    </row>
    <row r="143">
      <c r="B143" s="16" t="n"/>
      <c r="M143" s="16">
        <f>L143*86400</f>
        <v/>
      </c>
      <c r="N143" s="17">
        <f t="array" ref="N143">INDEX('MATCH INFO'!O:O, INT((ROW()-2)/10)+2)</f>
        <v/>
      </c>
    </row>
    <row r="144">
      <c r="B144" s="16" t="n"/>
      <c r="M144" s="16">
        <f>L144*86400</f>
        <v/>
      </c>
      <c r="N144" s="17">
        <f t="array" ref="N144">INDEX('MATCH INFO'!O:O, INT((ROW()-2)/10)+2)</f>
        <v/>
      </c>
    </row>
    <row r="145">
      <c r="B145" s="16" t="n"/>
      <c r="M145" s="16">
        <f>L145*86400</f>
        <v/>
      </c>
      <c r="N145" s="17">
        <f t="array" ref="N145">INDEX('MATCH INFO'!O:O, INT((ROW()-2)/10)+2)</f>
        <v/>
      </c>
    </row>
    <row r="146">
      <c r="B146" s="16" t="n"/>
      <c r="M146" s="16">
        <f>L146*86400</f>
        <v/>
      </c>
      <c r="N146" s="17">
        <f t="array" ref="N146">INDEX('MATCH INFO'!O:O, INT((ROW()-2)/10)+2)</f>
        <v/>
      </c>
    </row>
    <row r="147">
      <c r="B147" s="16" t="n"/>
      <c r="M147" s="16">
        <f>L147*86400</f>
        <v/>
      </c>
      <c r="N147" s="17">
        <f t="array" ref="N147">INDEX('MATCH INFO'!O:O, INT((ROW()-2)/10)+2)</f>
        <v/>
      </c>
    </row>
    <row r="148">
      <c r="B148" s="16" t="n"/>
      <c r="M148" s="16">
        <f>L148*86400</f>
        <v/>
      </c>
      <c r="N148" s="17">
        <f t="array" ref="N148">INDEX('MATCH INFO'!O:O, INT((ROW()-2)/10)+2)</f>
        <v/>
      </c>
    </row>
    <row r="149">
      <c r="B149" s="16" t="n"/>
      <c r="M149" s="16">
        <f>L149*86400</f>
        <v/>
      </c>
      <c r="N149" s="17">
        <f t="array" ref="N149">INDEX('MATCH INFO'!O:O, INT((ROW()-2)/10)+2)</f>
        <v/>
      </c>
    </row>
    <row r="150">
      <c r="B150" s="16" t="n"/>
      <c r="M150" s="16">
        <f>L150*86400</f>
        <v/>
      </c>
      <c r="N150" s="17">
        <f t="array" ref="N150">INDEX('MATCH INFO'!O:O, INT((ROW()-2)/10)+2)</f>
        <v/>
      </c>
    </row>
    <row r="151">
      <c r="B151" s="16" t="n"/>
      <c r="M151" s="16">
        <f>L151*86400</f>
        <v/>
      </c>
      <c r="N151" s="17">
        <f t="array" ref="N151">INDEX('MATCH INFO'!O:O, INT((ROW()-2)/10)+2)</f>
        <v/>
      </c>
    </row>
    <row r="152">
      <c r="B152" s="16" t="n"/>
      <c r="M152" s="16">
        <f>L152*86400</f>
        <v/>
      </c>
      <c r="N152" s="17">
        <f t="array" ref="N152">INDEX('MATCH INFO'!O:O, INT((ROW()-2)/10)+2)</f>
        <v/>
      </c>
    </row>
    <row r="153">
      <c r="B153" s="16" t="n"/>
      <c r="M153" s="16">
        <f>L153*86400</f>
        <v/>
      </c>
      <c r="N153" s="17">
        <f t="array" ref="N153">INDEX('MATCH INFO'!O:O, INT((ROW()-2)/10)+2)</f>
        <v/>
      </c>
    </row>
    <row r="154">
      <c r="B154" s="16" t="n"/>
      <c r="M154" s="16">
        <f>L154*86400</f>
        <v/>
      </c>
      <c r="N154" s="17">
        <f t="array" ref="N154">INDEX('MATCH INFO'!O:O, INT((ROW()-2)/10)+2)</f>
        <v/>
      </c>
    </row>
    <row r="155">
      <c r="B155" s="16" t="n"/>
      <c r="M155" s="16">
        <f>L155*86400</f>
        <v/>
      </c>
      <c r="N155" s="17">
        <f t="array" ref="N155">INDEX('MATCH INFO'!O:O, INT((ROW()-2)/10)+2)</f>
        <v/>
      </c>
    </row>
    <row r="156">
      <c r="B156" s="16" t="n"/>
      <c r="M156" s="16">
        <f>L156*86400</f>
        <v/>
      </c>
      <c r="N156" s="17">
        <f t="array" ref="N156">INDEX('MATCH INFO'!O:O, INT((ROW()-2)/10)+2)</f>
        <v/>
      </c>
    </row>
    <row r="157">
      <c r="B157" s="16" t="n"/>
      <c r="M157" s="16">
        <f>L157*86400</f>
        <v/>
      </c>
      <c r="N157" s="17">
        <f t="array" ref="N157">INDEX('MATCH INFO'!O:O, INT((ROW()-2)/10)+2)</f>
        <v/>
      </c>
    </row>
    <row r="158">
      <c r="B158" s="16" t="n"/>
      <c r="M158" s="16">
        <f>L158*86400</f>
        <v/>
      </c>
      <c r="N158" s="17">
        <f t="array" ref="N158">INDEX('MATCH INFO'!O:O, INT((ROW()-2)/10)+2)</f>
        <v/>
      </c>
    </row>
    <row r="159">
      <c r="B159" s="16" t="n"/>
      <c r="M159" s="16">
        <f>L159*86400</f>
        <v/>
      </c>
      <c r="N159" s="17">
        <f t="array" ref="N159">INDEX('MATCH INFO'!O:O, INT((ROW()-2)/10)+2)</f>
        <v/>
      </c>
    </row>
    <row r="160">
      <c r="B160" s="16" t="n"/>
      <c r="M160" s="16">
        <f>L160*86400</f>
        <v/>
      </c>
      <c r="N160" s="17">
        <f t="array" ref="N160">INDEX('MATCH INFO'!O:O, INT((ROW()-2)/10)+2)</f>
        <v/>
      </c>
    </row>
    <row r="161">
      <c r="B161" s="16" t="n"/>
      <c r="M161" s="16">
        <f>L161*86400</f>
        <v/>
      </c>
      <c r="N161" s="17">
        <f t="array" ref="N161">INDEX('MATCH INFO'!O:O, INT((ROW()-2)/10)+2)</f>
        <v/>
      </c>
    </row>
    <row r="162">
      <c r="B162" s="16" t="n"/>
      <c r="M162" s="16">
        <f>L162*86400</f>
        <v/>
      </c>
      <c r="N162" s="17">
        <f t="array" ref="N162">INDEX('MATCH INFO'!O:O, INT((ROW()-2)/10)+2)</f>
        <v/>
      </c>
    </row>
    <row r="163">
      <c r="B163" s="16" t="n"/>
      <c r="M163" s="16">
        <f>L163*86400</f>
        <v/>
      </c>
      <c r="N163" s="17">
        <f t="array" ref="N163">INDEX('MATCH INFO'!O:O, INT((ROW()-2)/10)+2)</f>
        <v/>
      </c>
    </row>
    <row r="164">
      <c r="B164" s="16" t="n"/>
      <c r="M164" s="16">
        <f>L164*86400</f>
        <v/>
      </c>
      <c r="N164" s="17">
        <f t="array" ref="N164">INDEX('MATCH INFO'!O:O, INT((ROW()-2)/10)+2)</f>
        <v/>
      </c>
    </row>
    <row r="165">
      <c r="B165" s="16" t="n"/>
      <c r="M165" s="16">
        <f>L165*86400</f>
        <v/>
      </c>
      <c r="N165" s="17">
        <f t="array" ref="N165">INDEX('MATCH INFO'!O:O, INT((ROW()-2)/10)+2)</f>
        <v/>
      </c>
    </row>
    <row r="166">
      <c r="B166" s="16" t="n"/>
      <c r="M166" s="16">
        <f>L166*86400</f>
        <v/>
      </c>
      <c r="N166" s="17">
        <f t="array" ref="N166">INDEX('MATCH INFO'!O:O, INT((ROW()-2)/10)+2)</f>
        <v/>
      </c>
    </row>
    <row r="167">
      <c r="B167" s="16" t="n"/>
      <c r="M167" s="16">
        <f>L167*86400</f>
        <v/>
      </c>
      <c r="N167" s="17">
        <f t="array" ref="N167">INDEX('MATCH INFO'!O:O, INT((ROW()-2)/10)+2)</f>
        <v/>
      </c>
    </row>
    <row r="168">
      <c r="B168" s="16" t="n"/>
      <c r="M168" s="16">
        <f>L168*86400</f>
        <v/>
      </c>
      <c r="N168" s="17">
        <f t="array" ref="N168">INDEX('MATCH INFO'!O:O, INT((ROW()-2)/10)+2)</f>
        <v/>
      </c>
    </row>
    <row r="169">
      <c r="B169" s="16" t="n"/>
      <c r="M169" s="16">
        <f>L169*86400</f>
        <v/>
      </c>
      <c r="N169" s="17">
        <f t="array" ref="N169">INDEX('MATCH INFO'!O:O, INT((ROW()-2)/10)+2)</f>
        <v/>
      </c>
    </row>
    <row r="170">
      <c r="B170" s="16" t="n"/>
      <c r="M170" s="16">
        <f>L170*86400</f>
        <v/>
      </c>
      <c r="N170" s="17">
        <f t="array" ref="N170">INDEX('MATCH INFO'!O:O, INT((ROW()-2)/10)+2)</f>
        <v/>
      </c>
    </row>
    <row r="171">
      <c r="B171" s="16" t="n"/>
      <c r="M171" s="16">
        <f>L171*86400</f>
        <v/>
      </c>
      <c r="N171" s="17">
        <f t="array" ref="N171">INDEX('MATCH INFO'!O:O, INT((ROW()-2)/10)+2)</f>
        <v/>
      </c>
    </row>
    <row r="172">
      <c r="B172" s="16" t="n"/>
      <c r="M172" s="16">
        <f>L172*86400</f>
        <v/>
      </c>
      <c r="N172" s="17">
        <f t="array" ref="N172">INDEX('MATCH INFO'!O:O, INT((ROW()-2)/10)+2)</f>
        <v/>
      </c>
    </row>
    <row r="173">
      <c r="B173" s="16" t="n"/>
      <c r="M173" s="16">
        <f>L173*86400</f>
        <v/>
      </c>
      <c r="N173" s="17">
        <f t="array" ref="N173">INDEX('MATCH INFO'!O:O, INT((ROW()-2)/10)+2)</f>
        <v/>
      </c>
    </row>
    <row r="174">
      <c r="B174" s="16" t="n"/>
      <c r="M174" s="16">
        <f>L174*86400</f>
        <v/>
      </c>
      <c r="N174" s="17">
        <f t="array" ref="N174">INDEX('MATCH INFO'!O:O, INT((ROW()-2)/10)+2)</f>
        <v/>
      </c>
    </row>
    <row r="175">
      <c r="B175" s="16" t="n"/>
      <c r="M175" s="16">
        <f>L175*86400</f>
        <v/>
      </c>
      <c r="N175" s="17">
        <f t="array" ref="N175">INDEX('MATCH INFO'!O:O, INT((ROW()-2)/10)+2)</f>
        <v/>
      </c>
    </row>
    <row r="176">
      <c r="B176" s="16" t="n"/>
      <c r="M176" s="16">
        <f>L176*86400</f>
        <v/>
      </c>
      <c r="N176" s="17">
        <f t="array" ref="N176">INDEX('MATCH INFO'!O:O, INT((ROW()-2)/10)+2)</f>
        <v/>
      </c>
    </row>
    <row r="177">
      <c r="B177" s="16" t="n"/>
      <c r="M177" s="16">
        <f>L177*86400</f>
        <v/>
      </c>
      <c r="N177" s="17">
        <f t="array" ref="N177">INDEX('MATCH INFO'!O:O, INT((ROW()-2)/10)+2)</f>
        <v/>
      </c>
    </row>
    <row r="178">
      <c r="B178" s="16" t="n"/>
      <c r="M178" s="16">
        <f>L178*86400</f>
        <v/>
      </c>
      <c r="N178" s="17">
        <f t="array" ref="N178">INDEX('MATCH INFO'!O:O, INT((ROW()-2)/10)+2)</f>
        <v/>
      </c>
    </row>
    <row r="179">
      <c r="B179" s="16" t="n"/>
      <c r="M179" s="16">
        <f>L179*86400</f>
        <v/>
      </c>
      <c r="N179" s="17">
        <f t="array" ref="N179">INDEX('MATCH INFO'!O:O, INT((ROW()-2)/10)+2)</f>
        <v/>
      </c>
    </row>
    <row r="180">
      <c r="B180" s="16" t="n"/>
      <c r="M180" s="16">
        <f>L180*86400</f>
        <v/>
      </c>
      <c r="N180" s="17">
        <f t="array" ref="N180">INDEX('MATCH INFO'!O:O, INT((ROW()-2)/10)+2)</f>
        <v/>
      </c>
    </row>
    <row r="181">
      <c r="B181" s="16" t="n"/>
      <c r="M181" s="16">
        <f>L181*86400</f>
        <v/>
      </c>
      <c r="N181" s="17">
        <f t="array" ref="N181">INDEX('MATCH INFO'!O:O, INT((ROW()-2)/10)+2)</f>
        <v/>
      </c>
    </row>
    <row r="182">
      <c r="B182" s="16" t="n"/>
      <c r="M182" s="16">
        <f>L182*86400</f>
        <v/>
      </c>
      <c r="N182" s="17">
        <f t="array" ref="N182">INDEX('MATCH INFO'!O:O, INT((ROW()-2)/10)+2)</f>
        <v/>
      </c>
    </row>
    <row r="183">
      <c r="B183" s="16" t="n"/>
      <c r="M183" s="16">
        <f>L183*86400</f>
        <v/>
      </c>
      <c r="N183" s="17">
        <f t="array" ref="N183">INDEX('MATCH INFO'!O:O, INT((ROW()-2)/10)+2)</f>
        <v/>
      </c>
    </row>
    <row r="184">
      <c r="B184" s="16" t="n"/>
      <c r="M184" s="16">
        <f>L184*86400</f>
        <v/>
      </c>
      <c r="N184" s="17">
        <f t="array" ref="N184">INDEX('MATCH INFO'!O:O, INT((ROW()-2)/10)+2)</f>
        <v/>
      </c>
    </row>
    <row r="185">
      <c r="B185" s="16" t="n"/>
      <c r="M185" s="16">
        <f>L185*86400</f>
        <v/>
      </c>
      <c r="N185" s="17">
        <f t="array" ref="N185">INDEX('MATCH INFO'!O:O, INT((ROW()-2)/10)+2)</f>
        <v/>
      </c>
    </row>
    <row r="186">
      <c r="B186" s="16" t="n"/>
      <c r="M186" s="16">
        <f>L186*86400</f>
        <v/>
      </c>
      <c r="N186" s="17">
        <f t="array" ref="N186">INDEX('MATCH INFO'!O:O, INT((ROW()-2)/10)+2)</f>
        <v/>
      </c>
    </row>
    <row r="187">
      <c r="B187" s="16" t="n"/>
      <c r="M187" s="16">
        <f>L187*86400</f>
        <v/>
      </c>
      <c r="N187" s="17">
        <f t="array" ref="N187">INDEX('MATCH INFO'!O:O, INT((ROW()-2)/10)+2)</f>
        <v/>
      </c>
    </row>
    <row r="188">
      <c r="B188" s="16" t="n"/>
      <c r="M188" s="16">
        <f>L188*86400</f>
        <v/>
      </c>
      <c r="N188" s="17">
        <f t="array" ref="N188">INDEX('MATCH INFO'!O:O, INT((ROW()-2)/10)+2)</f>
        <v/>
      </c>
    </row>
    <row r="189">
      <c r="B189" s="16" t="n"/>
      <c r="M189" s="16">
        <f>L189*86400</f>
        <v/>
      </c>
      <c r="N189" s="17">
        <f t="array" ref="N189">INDEX('MATCH INFO'!O:O, INT((ROW()-2)/10)+2)</f>
        <v/>
      </c>
    </row>
    <row r="190">
      <c r="B190" s="16" t="n"/>
      <c r="M190" s="16">
        <f>L190*86400</f>
        <v/>
      </c>
      <c r="N190" s="17">
        <f t="array" ref="N190">INDEX('MATCH INFO'!O:O, INT((ROW()-2)/10)+2)</f>
        <v/>
      </c>
    </row>
    <row r="191">
      <c r="B191" s="16" t="n"/>
      <c r="M191" s="16">
        <f>L191*86400</f>
        <v/>
      </c>
      <c r="N191" s="17">
        <f t="array" ref="N191">INDEX('MATCH INFO'!O:O, INT((ROW()-2)/10)+2)</f>
        <v/>
      </c>
    </row>
    <row r="192">
      <c r="B192" s="16" t="n"/>
      <c r="M192" s="16">
        <f>L192*86400</f>
        <v/>
      </c>
      <c r="N192" s="17">
        <f t="array" ref="N192">INDEX('MATCH INFO'!O:O, INT((ROW()-2)/10)+2)</f>
        <v/>
      </c>
    </row>
    <row r="193">
      <c r="B193" s="16" t="n"/>
      <c r="M193" s="16">
        <f>L193*86400</f>
        <v/>
      </c>
      <c r="N193" s="17">
        <f t="array" ref="N193">INDEX('MATCH INFO'!O:O, INT((ROW()-2)/10)+2)</f>
        <v/>
      </c>
    </row>
    <row r="194">
      <c r="B194" s="16" t="n"/>
      <c r="M194" s="16">
        <f>L194*86400</f>
        <v/>
      </c>
      <c r="N194" s="17">
        <f t="array" ref="N194">INDEX('MATCH INFO'!O:O, INT((ROW()-2)/10)+2)</f>
        <v/>
      </c>
    </row>
    <row r="195">
      <c r="B195" s="16" t="n"/>
      <c r="M195" s="16">
        <f>L195*86400</f>
        <v/>
      </c>
      <c r="N195" s="17">
        <f t="array" ref="N195">INDEX('MATCH INFO'!O:O, INT((ROW()-2)/10)+2)</f>
        <v/>
      </c>
    </row>
    <row r="196">
      <c r="B196" s="16" t="n"/>
      <c r="M196" s="16">
        <f>L196*86400</f>
        <v/>
      </c>
      <c r="N196" s="17">
        <f t="array" ref="N196">INDEX('MATCH INFO'!O:O, INT((ROW()-2)/10)+2)</f>
        <v/>
      </c>
    </row>
    <row r="197">
      <c r="B197" s="16" t="n"/>
      <c r="M197" s="16">
        <f>L197*86400</f>
        <v/>
      </c>
      <c r="N197" s="17">
        <f t="array" ref="N197">INDEX('MATCH INFO'!O:O, INT((ROW()-2)/10)+2)</f>
        <v/>
      </c>
    </row>
    <row r="198">
      <c r="B198" s="16" t="n"/>
      <c r="M198" s="16">
        <f>L198*86400</f>
        <v/>
      </c>
      <c r="N198" s="17">
        <f t="array" ref="N198">INDEX('MATCH INFO'!O:O, INT((ROW()-2)/10)+2)</f>
        <v/>
      </c>
    </row>
    <row r="199">
      <c r="B199" s="16" t="n"/>
      <c r="M199" s="16">
        <f>L199*86400</f>
        <v/>
      </c>
      <c r="N199" s="17">
        <f t="array" ref="N199">INDEX('MATCH INFO'!O:O, INT((ROW()-2)/10)+2)</f>
        <v/>
      </c>
    </row>
    <row r="200">
      <c r="B200" s="16" t="n"/>
      <c r="M200" s="16">
        <f>L200*86400</f>
        <v/>
      </c>
      <c r="N200" s="17">
        <f t="array" ref="N200">INDEX('MATCH INFO'!O:O, INT((ROW()-2)/10)+2)</f>
        <v/>
      </c>
    </row>
    <row r="201">
      <c r="B201" s="16" t="n"/>
      <c r="M201" s="16">
        <f>L201*86400</f>
        <v/>
      </c>
      <c r="N201" s="17">
        <f t="array" ref="N201">INDEX('MATCH INFO'!O:O, INT((ROW()-2)/10)+2)</f>
        <v/>
      </c>
    </row>
    <row r="202">
      <c r="B202" s="16" t="n"/>
      <c r="M202" s="16">
        <f>L202*86400</f>
        <v/>
      </c>
      <c r="N202" s="17">
        <f t="array" ref="N202">INDEX('MATCH INFO'!O:O, INT((ROW()-2)/10)+2)</f>
        <v/>
      </c>
    </row>
    <row r="203">
      <c r="B203" s="16" t="n"/>
      <c r="M203" s="16">
        <f>L203*86400</f>
        <v/>
      </c>
      <c r="N203" s="17">
        <f t="array" ref="N203">INDEX('MATCH INFO'!O:O, INT((ROW()-2)/10)+2)</f>
        <v/>
      </c>
    </row>
    <row r="204">
      <c r="B204" s="16" t="n"/>
      <c r="M204" s="16">
        <f>L204*86400</f>
        <v/>
      </c>
      <c r="N204" s="17">
        <f t="array" ref="N204">INDEX('MATCH INFO'!O:O, INT((ROW()-2)/10)+2)</f>
        <v/>
      </c>
    </row>
    <row r="205">
      <c r="B205" s="16" t="n"/>
      <c r="M205" s="16">
        <f>L205*86400</f>
        <v/>
      </c>
      <c r="N205" s="17">
        <f t="array" ref="N205">INDEX('MATCH INFO'!O:O, INT((ROW()-2)/10)+2)</f>
        <v/>
      </c>
    </row>
    <row r="206">
      <c r="B206" s="16" t="n"/>
      <c r="M206" s="16">
        <f>L206*86400</f>
        <v/>
      </c>
      <c r="N206" s="17">
        <f t="array" ref="N206">INDEX('MATCH INFO'!O:O, INT((ROW()-2)/10)+2)</f>
        <v/>
      </c>
    </row>
    <row r="207">
      <c r="B207" s="16" t="n"/>
      <c r="M207" s="16">
        <f>L207*86400</f>
        <v/>
      </c>
      <c r="N207" s="17">
        <f t="array" ref="N207">INDEX('MATCH INFO'!O:O, INT((ROW()-2)/10)+2)</f>
        <v/>
      </c>
    </row>
    <row r="208">
      <c r="B208" s="16" t="n"/>
      <c r="M208" s="16">
        <f>L208*86400</f>
        <v/>
      </c>
      <c r="N208" s="17">
        <f t="array" ref="N208">INDEX('MATCH INFO'!O:O, INT((ROW()-2)/10)+2)</f>
        <v/>
      </c>
    </row>
    <row r="209">
      <c r="B209" s="16" t="n"/>
      <c r="M209" s="16">
        <f>L209*86400</f>
        <v/>
      </c>
      <c r="N209" s="17">
        <f t="array" ref="N209">INDEX('MATCH INFO'!O:O, INT((ROW()-2)/10)+2)</f>
        <v/>
      </c>
    </row>
    <row r="210">
      <c r="B210" s="16" t="n"/>
      <c r="M210" s="16">
        <f>L210*86400</f>
        <v/>
      </c>
      <c r="N210" s="17">
        <f t="array" ref="N210">INDEX('MATCH INFO'!O:O, INT((ROW()-2)/10)+2)</f>
        <v/>
      </c>
    </row>
    <row r="211">
      <c r="B211" s="16" t="n"/>
      <c r="M211" s="16">
        <f>L211*86400</f>
        <v/>
      </c>
      <c r="N211" s="17">
        <f t="array" ref="N211">INDEX('MATCH INFO'!O:O, INT((ROW()-2)/10)+2)</f>
        <v/>
      </c>
    </row>
    <row r="212">
      <c r="B212" s="16" t="n"/>
      <c r="M212" s="16">
        <f>L212*86400</f>
        <v/>
      </c>
      <c r="N212" s="17">
        <f t="array" ref="N212">INDEX('MATCH INFO'!O:O, INT((ROW()-2)/10)+2)</f>
        <v/>
      </c>
    </row>
    <row r="213">
      <c r="B213" s="16" t="n"/>
      <c r="M213" s="16">
        <f>L213*86400</f>
        <v/>
      </c>
      <c r="N213" s="17">
        <f t="array" ref="N213">INDEX('MATCH INFO'!O:O, INT((ROW()-2)/10)+2)</f>
        <v/>
      </c>
    </row>
    <row r="214">
      <c r="B214" s="16" t="n"/>
      <c r="M214" s="16">
        <f>L214*86400</f>
        <v/>
      </c>
      <c r="N214" s="17">
        <f t="array" ref="N214">INDEX('MATCH INFO'!O:O, INT((ROW()-2)/10)+2)</f>
        <v/>
      </c>
    </row>
    <row r="215">
      <c r="B215" s="16" t="n"/>
      <c r="M215" s="16">
        <f>L215*86400</f>
        <v/>
      </c>
      <c r="N215" s="17">
        <f t="array" ref="N215">INDEX('MATCH INFO'!O:O, INT((ROW()-2)/10)+2)</f>
        <v/>
      </c>
    </row>
    <row r="216">
      <c r="B216" s="16" t="n"/>
      <c r="M216" s="16">
        <f>L216*86400</f>
        <v/>
      </c>
      <c r="N216" s="17">
        <f t="array" ref="N216">INDEX('MATCH INFO'!O:O, INT((ROW()-2)/10)+2)</f>
        <v/>
      </c>
    </row>
    <row r="217">
      <c r="B217" s="16" t="n"/>
      <c r="M217" s="16">
        <f>L217*86400</f>
        <v/>
      </c>
      <c r="N217" s="17">
        <f t="array" ref="N217">INDEX('MATCH INFO'!O:O, INT((ROW()-2)/10)+2)</f>
        <v/>
      </c>
    </row>
    <row r="218">
      <c r="B218" s="16" t="n"/>
      <c r="M218" s="16">
        <f>L218*86400</f>
        <v/>
      </c>
      <c r="N218" s="17">
        <f t="array" ref="N218">INDEX('MATCH INFO'!O:O, INT((ROW()-2)/10)+2)</f>
        <v/>
      </c>
    </row>
    <row r="219">
      <c r="B219" s="16" t="n"/>
      <c r="M219" s="16">
        <f>L219*86400</f>
        <v/>
      </c>
      <c r="N219" s="17">
        <f t="array" ref="N219">INDEX('MATCH INFO'!O:O, INT((ROW()-2)/10)+2)</f>
        <v/>
      </c>
    </row>
    <row r="220">
      <c r="B220" s="16" t="n"/>
      <c r="M220" s="16">
        <f>L220*86400</f>
        <v/>
      </c>
      <c r="N220" s="17">
        <f t="array" ref="N220">INDEX('MATCH INFO'!O:O, INT((ROW()-2)/10)+2)</f>
        <v/>
      </c>
    </row>
    <row r="221">
      <c r="B221" s="16" t="n"/>
      <c r="M221" s="16">
        <f>L221*86400</f>
        <v/>
      </c>
      <c r="N221" s="17">
        <f t="array" ref="N221">INDEX('MATCH INFO'!O:O, INT((ROW()-2)/10)+2)</f>
        <v/>
      </c>
    </row>
    <row r="222">
      <c r="B222" s="16" t="n"/>
      <c r="M222" s="16">
        <f>L222*86400</f>
        <v/>
      </c>
      <c r="N222" s="17">
        <f t="array" ref="N222">INDEX('MATCH INFO'!O:O, INT((ROW()-2)/10)+2)</f>
        <v/>
      </c>
    </row>
    <row r="223">
      <c r="B223" s="16" t="n"/>
      <c r="M223" s="16">
        <f>L223*86400</f>
        <v/>
      </c>
      <c r="N223" s="17">
        <f t="array" ref="N223">INDEX('MATCH INFO'!O:O, INT((ROW()-2)/10)+2)</f>
        <v/>
      </c>
    </row>
    <row r="224">
      <c r="B224" s="16" t="n"/>
      <c r="M224" s="16">
        <f>L224*86400</f>
        <v/>
      </c>
      <c r="N224" s="17">
        <f t="array" ref="N224">INDEX('MATCH INFO'!O:O, INT((ROW()-2)/10)+2)</f>
        <v/>
      </c>
    </row>
    <row r="225">
      <c r="B225" s="16" t="n"/>
      <c r="M225" s="16">
        <f>L225*86400</f>
        <v/>
      </c>
      <c r="N225" s="17">
        <f t="array" ref="N225">INDEX('MATCH INFO'!O:O, INT((ROW()-2)/10)+2)</f>
        <v/>
      </c>
    </row>
    <row r="226">
      <c r="B226" s="16" t="n"/>
      <c r="M226" s="16">
        <f>L226*86400</f>
        <v/>
      </c>
      <c r="N226" s="17">
        <f t="array" ref="N226">INDEX('MATCH INFO'!O:O, INT((ROW()-2)/10)+2)</f>
        <v/>
      </c>
    </row>
    <row r="227">
      <c r="B227" s="16" t="n"/>
      <c r="M227" s="16">
        <f>L227*86400</f>
        <v/>
      </c>
      <c r="N227" s="17">
        <f t="array" ref="N227">INDEX('MATCH INFO'!O:O, INT((ROW()-2)/10)+2)</f>
        <v/>
      </c>
    </row>
    <row r="228">
      <c r="B228" s="16" t="n"/>
      <c r="M228" s="16">
        <f>L228*86400</f>
        <v/>
      </c>
      <c r="N228" s="17">
        <f t="array" ref="N228">INDEX('MATCH INFO'!O:O, INT((ROW()-2)/10)+2)</f>
        <v/>
      </c>
    </row>
    <row r="229">
      <c r="B229" s="16" t="n"/>
      <c r="M229" s="16">
        <f>L229*86400</f>
        <v/>
      </c>
      <c r="N229" s="17">
        <f t="array" ref="N229">INDEX('MATCH INFO'!O:O, INT((ROW()-2)/10)+2)</f>
        <v/>
      </c>
    </row>
    <row r="230">
      <c r="B230" s="16" t="n"/>
      <c r="M230" s="16">
        <f>L230*86400</f>
        <v/>
      </c>
      <c r="N230" s="17">
        <f t="array" ref="N230">INDEX('MATCH INFO'!O:O, INT((ROW()-2)/10)+2)</f>
        <v/>
      </c>
    </row>
    <row r="231">
      <c r="B231" s="16" t="n"/>
      <c r="M231" s="16">
        <f>L231*86400</f>
        <v/>
      </c>
      <c r="N231" s="17">
        <f t="array" ref="N231">INDEX('MATCH INFO'!O:O, INT((ROW()-2)/10)+2)</f>
        <v/>
      </c>
    </row>
    <row r="232">
      <c r="B232" s="16" t="n"/>
      <c r="M232" s="16">
        <f>L232*86400</f>
        <v/>
      </c>
      <c r="N232" s="17">
        <f t="array" ref="N232">INDEX('MATCH INFO'!O:O, INT((ROW()-2)/10)+2)</f>
        <v/>
      </c>
    </row>
    <row r="233">
      <c r="B233" s="16" t="n"/>
      <c r="M233" s="16">
        <f>L233*86400</f>
        <v/>
      </c>
      <c r="N233" s="17">
        <f t="array" ref="N233">INDEX('MATCH INFO'!O:O, INT((ROW()-2)/10)+2)</f>
        <v/>
      </c>
    </row>
    <row r="234">
      <c r="B234" s="16" t="n"/>
      <c r="M234" s="16">
        <f>L234*86400</f>
        <v/>
      </c>
      <c r="N234" s="17">
        <f t="array" ref="N234">INDEX('MATCH INFO'!O:O, INT((ROW()-2)/10)+2)</f>
        <v/>
      </c>
    </row>
    <row r="235">
      <c r="B235" s="16" t="n"/>
      <c r="M235" s="16">
        <f>L235*86400</f>
        <v/>
      </c>
      <c r="N235" s="17">
        <f t="array" ref="N235">INDEX('MATCH INFO'!O:O, INT((ROW()-2)/10)+2)</f>
        <v/>
      </c>
    </row>
    <row r="236">
      <c r="B236" s="16" t="n"/>
      <c r="M236" s="16">
        <f>L236*86400</f>
        <v/>
      </c>
      <c r="N236" s="17">
        <f t="array" ref="N236">INDEX('MATCH INFO'!O:O, INT((ROW()-2)/10)+2)</f>
        <v/>
      </c>
    </row>
    <row r="237">
      <c r="B237" s="16" t="n"/>
      <c r="M237" s="16">
        <f>L237*86400</f>
        <v/>
      </c>
      <c r="N237" s="17">
        <f t="array" ref="N237">INDEX('MATCH INFO'!O:O, INT((ROW()-2)/10)+2)</f>
        <v/>
      </c>
    </row>
    <row r="238">
      <c r="B238" s="16" t="n"/>
      <c r="M238" s="16">
        <f>L238*86400</f>
        <v/>
      </c>
      <c r="N238" s="17">
        <f t="array" ref="N238">INDEX('MATCH INFO'!O:O, INT((ROW()-2)/10)+2)</f>
        <v/>
      </c>
    </row>
    <row r="239">
      <c r="B239" s="16" t="n"/>
      <c r="M239" s="16">
        <f>L239*86400</f>
        <v/>
      </c>
      <c r="N239" s="17">
        <f t="array" ref="N239">INDEX('MATCH INFO'!O:O, INT((ROW()-2)/10)+2)</f>
        <v/>
      </c>
    </row>
    <row r="240">
      <c r="B240" s="16" t="n"/>
      <c r="M240" s="16">
        <f>L240*86400</f>
        <v/>
      </c>
      <c r="N240" s="17">
        <f t="array" ref="N240">INDEX('MATCH INFO'!O:O, INT((ROW()-2)/10)+2)</f>
        <v/>
      </c>
    </row>
    <row r="241">
      <c r="B241" s="16" t="n"/>
      <c r="M241" s="16">
        <f>L241*86400</f>
        <v/>
      </c>
      <c r="N241" s="17">
        <f t="array" ref="N241">INDEX('MATCH INFO'!O:O, INT((ROW()-2)/10)+2)</f>
        <v/>
      </c>
    </row>
    <row r="242">
      <c r="B242" s="16" t="n"/>
      <c r="M242" s="16">
        <f>L242*86400</f>
        <v/>
      </c>
      <c r="N242" s="17">
        <f t="array" ref="N242">INDEX('MATCH INFO'!O:O, INT((ROW()-2)/10)+2)</f>
        <v/>
      </c>
    </row>
    <row r="243">
      <c r="B243" s="16" t="n"/>
      <c r="M243" s="16">
        <f>L243*86400</f>
        <v/>
      </c>
      <c r="N243" s="17">
        <f t="array" ref="N243">INDEX('MATCH INFO'!O:O, INT((ROW()-2)/10)+2)</f>
        <v/>
      </c>
    </row>
    <row r="244">
      <c r="B244" s="16" t="n"/>
      <c r="M244" s="16">
        <f>L244*86400</f>
        <v/>
      </c>
      <c r="N244" s="17">
        <f t="array" ref="N244">INDEX('MATCH INFO'!O:O, INT((ROW()-2)/10)+2)</f>
        <v/>
      </c>
    </row>
    <row r="245">
      <c r="B245" s="16" t="n"/>
      <c r="M245" s="16">
        <f>L245*86400</f>
        <v/>
      </c>
      <c r="N245" s="17">
        <f t="array" ref="N245">INDEX('MATCH INFO'!O:O, INT((ROW()-2)/10)+2)</f>
        <v/>
      </c>
    </row>
    <row r="246">
      <c r="B246" s="16" t="n"/>
      <c r="M246" s="16">
        <f>L246*86400</f>
        <v/>
      </c>
      <c r="N246" s="17">
        <f t="array" ref="N246">INDEX('MATCH INFO'!O:O, INT((ROW()-2)/10)+2)</f>
        <v/>
      </c>
    </row>
    <row r="247">
      <c r="B247" s="16" t="n"/>
      <c r="M247" s="16">
        <f>L247*86400</f>
        <v/>
      </c>
      <c r="N247" s="17">
        <f t="array" ref="N247">INDEX('MATCH INFO'!O:O, INT((ROW()-2)/10)+2)</f>
        <v/>
      </c>
    </row>
    <row r="248">
      <c r="B248" s="16" t="n"/>
      <c r="M248" s="16">
        <f>L248*86400</f>
        <v/>
      </c>
      <c r="N248" s="17">
        <f t="array" ref="N248">INDEX('MATCH INFO'!O:O, INT((ROW()-2)/10)+2)</f>
        <v/>
      </c>
    </row>
    <row r="249">
      <c r="B249" s="16" t="n"/>
      <c r="M249" s="16">
        <f>L249*86400</f>
        <v/>
      </c>
      <c r="N249" s="17">
        <f t="array" ref="N249">INDEX('MATCH INFO'!O:O, INT((ROW()-2)/10)+2)</f>
        <v/>
      </c>
    </row>
    <row r="250">
      <c r="B250" s="16" t="n"/>
      <c r="M250" s="16">
        <f>L250*86400</f>
        <v/>
      </c>
      <c r="N250" s="17">
        <f t="array" ref="N250">INDEX('MATCH INFO'!O:O, INT((ROW()-2)/10)+2)</f>
        <v/>
      </c>
    </row>
    <row r="251">
      <c r="B251" s="16" t="n"/>
      <c r="M251" s="16">
        <f>L251*86400</f>
        <v/>
      </c>
      <c r="N251" s="17">
        <f t="array" ref="N251">INDEX('MATCH INFO'!O:O, INT((ROW()-2)/10)+2)</f>
        <v/>
      </c>
    </row>
    <row r="252">
      <c r="B252" s="16" t="n"/>
      <c r="M252" s="16">
        <f>L252*86400</f>
        <v/>
      </c>
      <c r="N252" s="17">
        <f t="array" ref="N252">INDEX('MATCH INFO'!O:O, INT((ROW()-2)/10)+2)</f>
        <v/>
      </c>
    </row>
    <row r="253">
      <c r="B253" s="16" t="n"/>
      <c r="M253" s="16">
        <f>L253*86400</f>
        <v/>
      </c>
      <c r="N253" s="17">
        <f t="array" ref="N253">INDEX('MATCH INFO'!O:O, INT((ROW()-2)/10)+2)</f>
        <v/>
      </c>
    </row>
    <row r="254">
      <c r="B254" s="16" t="n"/>
      <c r="M254" s="16">
        <f>L254*86400</f>
        <v/>
      </c>
      <c r="N254" s="17">
        <f t="array" ref="N254">INDEX('MATCH INFO'!O:O, INT((ROW()-2)/10)+2)</f>
        <v/>
      </c>
    </row>
    <row r="255">
      <c r="B255" s="16" t="n"/>
      <c r="M255" s="16">
        <f>L255*86400</f>
        <v/>
      </c>
      <c r="N255" s="17">
        <f t="array" ref="N255">INDEX('MATCH INFO'!O:O, INT((ROW()-2)/10)+2)</f>
        <v/>
      </c>
    </row>
    <row r="256">
      <c r="B256" s="16" t="n"/>
      <c r="M256" s="16">
        <f>L256*86400</f>
        <v/>
      </c>
      <c r="N256" s="17">
        <f t="array" ref="N256">INDEX('MATCH INFO'!O:O, INT((ROW()-2)/10)+2)</f>
        <v/>
      </c>
    </row>
    <row r="257">
      <c r="B257" s="16" t="n"/>
      <c r="M257" s="16">
        <f>L257*86400</f>
        <v/>
      </c>
      <c r="N257" s="17">
        <f t="array" ref="N257">INDEX('MATCH INFO'!O:O, INT((ROW()-2)/10)+2)</f>
        <v/>
      </c>
    </row>
    <row r="258">
      <c r="B258" s="16" t="n"/>
      <c r="M258" s="16">
        <f>L258*86400</f>
        <v/>
      </c>
      <c r="N258" s="17">
        <f t="array" ref="N258">INDEX('MATCH INFO'!O:O, INT((ROW()-2)/10)+2)</f>
        <v/>
      </c>
    </row>
    <row r="259">
      <c r="B259" s="16" t="n"/>
      <c r="M259" s="16">
        <f>L259*86400</f>
        <v/>
      </c>
      <c r="N259" s="17">
        <f t="array" ref="N259">INDEX('MATCH INFO'!O:O, INT((ROW()-2)/10)+2)</f>
        <v/>
      </c>
    </row>
    <row r="260">
      <c r="B260" s="16" t="n"/>
      <c r="M260" s="16">
        <f>L260*86400</f>
        <v/>
      </c>
      <c r="N260" s="17">
        <f t="array" ref="N260">INDEX('MATCH INFO'!O:O, INT((ROW()-2)/10)+2)</f>
        <v/>
      </c>
    </row>
    <row r="261">
      <c r="B261" s="16" t="n"/>
      <c r="M261" s="16">
        <f>L261*86400</f>
        <v/>
      </c>
      <c r="N261" s="17">
        <f t="array" ref="N261">INDEX('MATCH INFO'!O:O, INT((ROW()-2)/10)+2)</f>
        <v/>
      </c>
    </row>
    <row r="262">
      <c r="B262" s="16" t="n"/>
      <c r="M262" s="16">
        <f>L262*86400</f>
        <v/>
      </c>
      <c r="N262" s="17">
        <f t="array" ref="N262">INDEX('MATCH INFO'!O:O, INT((ROW()-2)/10)+2)</f>
        <v/>
      </c>
    </row>
    <row r="263">
      <c r="B263" s="16" t="n"/>
      <c r="M263" s="16">
        <f>L263*86400</f>
        <v/>
      </c>
      <c r="N263" s="17">
        <f t="array" ref="N263">INDEX('MATCH INFO'!O:O, INT((ROW()-2)/10)+2)</f>
        <v/>
      </c>
    </row>
    <row r="264">
      <c r="B264" s="16" t="n"/>
      <c r="M264" s="16">
        <f>L264*86400</f>
        <v/>
      </c>
      <c r="N264" s="17">
        <f t="array" ref="N264">INDEX('MATCH INFO'!O:O, INT((ROW()-2)/10)+2)</f>
        <v/>
      </c>
    </row>
    <row r="265">
      <c r="B265" s="16" t="n"/>
      <c r="M265" s="16">
        <f>L265*86400</f>
        <v/>
      </c>
      <c r="N265" s="17">
        <f t="array" ref="N265">INDEX('MATCH INFO'!O:O, INT((ROW()-2)/10)+2)</f>
        <v/>
      </c>
    </row>
    <row r="266">
      <c r="B266" s="16" t="n"/>
      <c r="M266" s="16">
        <f>L266*86400</f>
        <v/>
      </c>
      <c r="N266" s="17">
        <f t="array" ref="N266">INDEX('MATCH INFO'!O:O, INT((ROW()-2)/10)+2)</f>
        <v/>
      </c>
    </row>
    <row r="267">
      <c r="B267" s="16" t="n"/>
      <c r="M267" s="16">
        <f>L267*86400</f>
        <v/>
      </c>
      <c r="N267" s="17">
        <f t="array" ref="N267">INDEX('MATCH INFO'!O:O, INT((ROW()-2)/10)+2)</f>
        <v/>
      </c>
    </row>
    <row r="268">
      <c r="B268" s="16" t="n"/>
      <c r="M268" s="16">
        <f>L268*86400</f>
        <v/>
      </c>
      <c r="N268" s="17">
        <f t="array" ref="N268">INDEX('MATCH INFO'!O:O, INT((ROW()-2)/10)+2)</f>
        <v/>
      </c>
    </row>
    <row r="269">
      <c r="B269" s="16" t="n"/>
      <c r="M269" s="16">
        <f>L269*86400</f>
        <v/>
      </c>
      <c r="N269" s="17">
        <f t="array" ref="N269">INDEX('MATCH INFO'!O:O, INT((ROW()-2)/10)+2)</f>
        <v/>
      </c>
    </row>
    <row r="270">
      <c r="B270" s="16" t="n"/>
      <c r="M270" s="16">
        <f>L270*86400</f>
        <v/>
      </c>
      <c r="N270" s="17">
        <f t="array" ref="N270">INDEX('MATCH INFO'!O:O, INT((ROW()-2)/10)+2)</f>
        <v/>
      </c>
    </row>
    <row r="271">
      <c r="B271" s="16" t="n"/>
      <c r="M271" s="16">
        <f>L271*86400</f>
        <v/>
      </c>
      <c r="N271" s="17">
        <f t="array" ref="N271">INDEX('MATCH INFO'!O:O, INT((ROW()-2)/10)+2)</f>
        <v/>
      </c>
    </row>
    <row r="272">
      <c r="B272" s="16" t="n"/>
      <c r="M272" s="16">
        <f>L272*86400</f>
        <v/>
      </c>
      <c r="N272" s="17">
        <f t="array" ref="N272">INDEX('MATCH INFO'!O:O, INT((ROW()-2)/10)+2)</f>
        <v/>
      </c>
    </row>
    <row r="273">
      <c r="B273" s="16" t="n"/>
      <c r="M273" s="16">
        <f>L273*86400</f>
        <v/>
      </c>
      <c r="N273" s="17">
        <f t="array" ref="N273">INDEX('MATCH INFO'!O:O, INT((ROW()-2)/10)+2)</f>
        <v/>
      </c>
    </row>
    <row r="274">
      <c r="B274" s="16" t="n"/>
      <c r="M274" s="16">
        <f>L274*86400</f>
        <v/>
      </c>
      <c r="N274" s="17">
        <f t="array" ref="N274">INDEX('MATCH INFO'!O:O, INT((ROW()-2)/10)+2)</f>
        <v/>
      </c>
    </row>
    <row r="275">
      <c r="B275" s="16" t="n"/>
      <c r="M275" s="16">
        <f>L275*86400</f>
        <v/>
      </c>
      <c r="N275" s="17">
        <f t="array" ref="N275">INDEX('MATCH INFO'!O:O, INT((ROW()-2)/10)+2)</f>
        <v/>
      </c>
    </row>
    <row r="276">
      <c r="B276" s="16" t="n"/>
      <c r="M276" s="16">
        <f>L276*86400</f>
        <v/>
      </c>
      <c r="N276" s="17">
        <f t="array" ref="N276">INDEX('MATCH INFO'!O:O, INT((ROW()-2)/10)+2)</f>
        <v/>
      </c>
    </row>
    <row r="277">
      <c r="B277" s="16" t="n"/>
      <c r="M277" s="16">
        <f>L277*86400</f>
        <v/>
      </c>
      <c r="N277" s="17">
        <f t="array" ref="N277">INDEX('MATCH INFO'!O:O, INT((ROW()-2)/10)+2)</f>
        <v/>
      </c>
    </row>
    <row r="278">
      <c r="B278" s="16" t="n"/>
      <c r="M278" s="16">
        <f>L278*86400</f>
        <v/>
      </c>
      <c r="N278" s="17">
        <f t="array" ref="N278">INDEX('MATCH INFO'!O:O, INT((ROW()-2)/10)+2)</f>
        <v/>
      </c>
    </row>
    <row r="279">
      <c r="B279" s="16" t="n"/>
      <c r="M279" s="16">
        <f>L279*86400</f>
        <v/>
      </c>
      <c r="N279" s="17">
        <f t="array" ref="N279">INDEX('MATCH INFO'!O:O, INT((ROW()-2)/10)+2)</f>
        <v/>
      </c>
    </row>
    <row r="280">
      <c r="B280" s="16" t="n"/>
      <c r="M280" s="16">
        <f>L280*86400</f>
        <v/>
      </c>
      <c r="N280" s="17">
        <f t="array" ref="N280">INDEX('MATCH INFO'!O:O, INT((ROW()-2)/10)+2)</f>
        <v/>
      </c>
    </row>
    <row r="281">
      <c r="B281" s="16" t="n"/>
      <c r="M281" s="16">
        <f>L281*86400</f>
        <v/>
      </c>
      <c r="N281" s="17">
        <f t="array" ref="N281">INDEX('MATCH INFO'!O:O, INT((ROW()-2)/10)+2)</f>
        <v/>
      </c>
    </row>
    <row r="282">
      <c r="B282" s="16" t="n"/>
      <c r="M282" s="16">
        <f>L282*86400</f>
        <v/>
      </c>
      <c r="N282" s="17">
        <f t="array" ref="N282">INDEX('MATCH INFO'!O:O, INT((ROW()-2)/10)+2)</f>
        <v/>
      </c>
    </row>
    <row r="283">
      <c r="B283" s="16" t="n"/>
      <c r="M283" s="16">
        <f>L283*86400</f>
        <v/>
      </c>
      <c r="N283" s="17">
        <f t="array" ref="N283">INDEX('MATCH INFO'!O:O, INT((ROW()-2)/10)+2)</f>
        <v/>
      </c>
    </row>
    <row r="284">
      <c r="B284" s="16" t="n"/>
      <c r="M284" s="16">
        <f>L284*86400</f>
        <v/>
      </c>
      <c r="N284" s="17">
        <f t="array" ref="N284">INDEX('MATCH INFO'!O:O, INT((ROW()-2)/10)+2)</f>
        <v/>
      </c>
    </row>
    <row r="285">
      <c r="B285" s="16" t="n"/>
      <c r="M285" s="16">
        <f>L285*86400</f>
        <v/>
      </c>
      <c r="N285" s="17">
        <f t="array" ref="N285">INDEX('MATCH INFO'!O:O, INT((ROW()-2)/10)+2)</f>
        <v/>
      </c>
    </row>
    <row r="286">
      <c r="B286" s="16" t="n"/>
      <c r="M286" s="16">
        <f>L286*86400</f>
        <v/>
      </c>
      <c r="N286" s="17">
        <f t="array" ref="N286">INDEX('MATCH INFO'!O:O, INT((ROW()-2)/10)+2)</f>
        <v/>
      </c>
    </row>
    <row r="287">
      <c r="B287" s="16" t="n"/>
      <c r="M287" s="16">
        <f>L287*86400</f>
        <v/>
      </c>
      <c r="N287" s="17">
        <f t="array" ref="N287">INDEX('MATCH INFO'!O:O, INT((ROW()-2)/10)+2)</f>
        <v/>
      </c>
    </row>
    <row r="288">
      <c r="B288" s="16" t="n"/>
      <c r="M288" s="16">
        <f>L288*86400</f>
        <v/>
      </c>
      <c r="N288" s="17">
        <f t="array" ref="N288">INDEX('MATCH INFO'!O:O, INT((ROW()-2)/10)+2)</f>
        <v/>
      </c>
    </row>
    <row r="289">
      <c r="B289" s="16" t="n"/>
      <c r="M289" s="16">
        <f>L289*86400</f>
        <v/>
      </c>
      <c r="N289" s="17">
        <f t="array" ref="N289">INDEX('MATCH INFO'!O:O, INT((ROW()-2)/10)+2)</f>
        <v/>
      </c>
    </row>
    <row r="290">
      <c r="B290" s="16" t="n"/>
      <c r="M290" s="16">
        <f>L290*86400</f>
        <v/>
      </c>
      <c r="N290" s="17">
        <f t="array" ref="N290">INDEX('MATCH INFO'!O:O, INT((ROW()-2)/10)+2)</f>
        <v/>
      </c>
    </row>
    <row r="291">
      <c r="B291" s="16" t="n"/>
      <c r="M291" s="16">
        <f>L291*86400</f>
        <v/>
      </c>
      <c r="N291" s="17">
        <f t="array" ref="N291">INDEX('MATCH INFO'!O:O, INT((ROW()-2)/10)+2)</f>
        <v/>
      </c>
    </row>
  </sheetData>
  <conditionalFormatting sqref="A2:N29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10" defaultRowHeight="18"/>
  <cols>
    <col width="10.85546875" customWidth="1" style="2" min="2" max="2"/>
    <col width="8.7109375" customWidth="1" style="2" min="3" max="3"/>
    <col width="15.28515625" customWidth="1" style="2" min="4" max="4"/>
    <col width="8.7109375" customWidth="1" style="2" min="5" max="12"/>
    <col width="16.7109375" customWidth="1" style="2" min="13" max="13"/>
    <col width="17.42578125" customWidth="1" style="2" min="14" max="14"/>
  </cols>
  <sheetData>
    <row r="1">
      <c r="A1" s="3" t="inlineStr">
        <is>
          <t>Team</t>
        </is>
      </c>
      <c r="B1" s="3" t="inlineStr">
        <is>
          <t>Player</t>
        </is>
      </c>
      <c r="C1" s="3" t="inlineStr">
        <is>
          <t>Position</t>
        </is>
      </c>
      <c r="D1" s="3" t="inlineStr">
        <is>
          <t>Map</t>
        </is>
      </c>
      <c r="E1" s="3" t="inlineStr">
        <is>
          <t>Map Type</t>
        </is>
      </c>
      <c r="F1" s="3" t="inlineStr">
        <is>
          <t>Elim</t>
        </is>
      </c>
      <c r="G1" s="3" t="inlineStr">
        <is>
          <t>Death</t>
        </is>
      </c>
      <c r="H1" s="3" t="inlineStr">
        <is>
          <t>Assists</t>
        </is>
      </c>
      <c r="I1" s="3" t="inlineStr">
        <is>
          <t>Damage</t>
        </is>
      </c>
      <c r="J1" s="3" t="inlineStr">
        <is>
          <t>Heal</t>
        </is>
      </c>
      <c r="K1" s="3" t="inlineStr">
        <is>
          <t>Mitigated</t>
        </is>
      </c>
      <c r="L1" s="3" t="inlineStr">
        <is>
          <t>Playtime</t>
        </is>
      </c>
      <c r="M1" s="3" t="inlineStr">
        <is>
          <t>Playtime(Seconds)</t>
        </is>
      </c>
      <c r="N1" s="46" t="inlineStr">
        <is>
          <t>MATCH_ID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>
        <f>L2*86400</f>
        <v/>
      </c>
      <c r="N2" s="17">
        <f t="array" ref="N2">INDEX('MATCH INFO'!O:O, INT((ROW()-2)/10)+2 + 29)</f>
        <v/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>
        <f>L3*86400</f>
        <v/>
      </c>
      <c r="N3" s="17">
        <f t="array" ref="N3">INDEX('MATCH INFO'!O:O, INT((ROW()-2)/10)+2 + 29)</f>
        <v/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>
        <f>L4*86400</f>
        <v/>
      </c>
      <c r="N4" s="17">
        <f t="array" ref="N4">INDEX('MATCH INFO'!O:O, INT((ROW()-2)/10)+2 + 29)</f>
        <v/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>
        <f>L5*86400</f>
        <v/>
      </c>
      <c r="N5" s="17">
        <f t="array" ref="N5">INDEX('MATCH INFO'!O:O, INT((ROW()-2)/10)+2 + 29)</f>
        <v/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>
        <f>L6*86400</f>
        <v/>
      </c>
      <c r="N6" s="17">
        <f t="array" ref="N6">INDEX('MATCH INFO'!O:O, INT((ROW()-2)/10)+2 + 29)</f>
        <v/>
      </c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>
        <f>L7*86400</f>
        <v/>
      </c>
      <c r="N7" s="17">
        <f t="array" ref="N7">INDEX('MATCH INFO'!O:O, INT((ROW()-2)/10)+2 + 29)</f>
        <v/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>
        <f>L8*86400</f>
        <v/>
      </c>
      <c r="N8" s="17">
        <f t="array" ref="N8">INDEX('MATCH INFO'!O:O, INT((ROW()-2)/10)+2 + 29)</f>
        <v/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>
        <f>L9*86400</f>
        <v/>
      </c>
      <c r="N9" s="17">
        <f t="array" ref="N9">INDEX('MATCH INFO'!O:O, INT((ROW()-2)/10)+2 + 29)</f>
        <v/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>
        <f>L10*86400</f>
        <v/>
      </c>
      <c r="N10" s="17">
        <f t="array" ref="N10">INDEX('MATCH INFO'!O:O, INT((ROW()-2)/10)+2 + 29)</f>
        <v/>
      </c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>
        <f>L11*86400</f>
        <v/>
      </c>
      <c r="N11" s="17">
        <f t="array" ref="N11">INDEX('MATCH INFO'!O:O, INT((ROW()-2)/10)+2 + 29)</f>
        <v/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>
        <f>L12*86400</f>
        <v/>
      </c>
      <c r="N12" s="17">
        <f t="array" ref="N12">INDEX('MATCH INFO'!O:O, INT((ROW()-2)/10)+2 + 29)</f>
        <v/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>
        <f>L13*86400</f>
        <v/>
      </c>
      <c r="N13" s="17">
        <f t="array" ref="N13">INDEX('MATCH INFO'!O:O, INT((ROW()-2)/10)+2 + 29)</f>
        <v/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>
        <f>L14*86400</f>
        <v/>
      </c>
      <c r="N14" s="17">
        <f t="array" ref="N14">INDEX('MATCH INFO'!O:O, INT((ROW()-2)/10)+2 + 29)</f>
        <v/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>
        <f>L15*86400</f>
        <v/>
      </c>
      <c r="N15" s="17">
        <f t="array" ref="N15">INDEX('MATCH INFO'!O:O, INT((ROW()-2)/10)+2 + 29)</f>
        <v/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>
        <f>L16*86400</f>
        <v/>
      </c>
      <c r="N16" s="17">
        <f t="array" ref="N16">INDEX('MATCH INFO'!O:O, INT((ROW()-2)/10)+2 + 29)</f>
        <v/>
      </c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>
        <f>L17*86400</f>
        <v/>
      </c>
      <c r="N17" s="17">
        <f t="array" ref="N17">INDEX('MATCH INFO'!O:O, INT((ROW()-2)/10)+2 + 29)</f>
        <v/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>
        <f>L18*86400</f>
        <v/>
      </c>
      <c r="N18" s="17">
        <f t="array" ref="N18">INDEX('MATCH INFO'!O:O, INT((ROW()-2)/10)+2 + 29)</f>
        <v/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>
        <f>L19*86400</f>
        <v/>
      </c>
      <c r="N19" s="17">
        <f t="array" ref="N19">INDEX('MATCH INFO'!O:O, INT((ROW()-2)/10)+2 + 29)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>
        <f>L20*86400</f>
        <v/>
      </c>
      <c r="N20" s="17">
        <f t="array" ref="N20">INDEX('MATCH INFO'!O:O, INT((ROW()-2)/10)+2 + 29)</f>
        <v/>
      </c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>
        <f>L21*86400</f>
        <v/>
      </c>
      <c r="N21" s="17">
        <f t="array" ref="N21">INDEX('MATCH INFO'!O:O, INT((ROW()-2)/10)+2 + 29)</f>
        <v/>
      </c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>
        <f>L22*86400</f>
        <v/>
      </c>
      <c r="N22" s="17">
        <f t="array" ref="N22">INDEX('MATCH INFO'!O:O, INT((ROW()-2)/10)+2 + 29)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>
        <f>L23*86400</f>
        <v/>
      </c>
      <c r="N23" s="17">
        <f t="array" ref="N23">INDEX('MATCH INFO'!O:O, INT((ROW()-2)/10)+2 + 29)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>
        <f>L24*86400</f>
        <v/>
      </c>
      <c r="N24" s="17">
        <f t="array" ref="N24">INDEX('MATCH INFO'!O:O, INT((ROW()-2)/10)+2 + 29)</f>
        <v/>
      </c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>
        <f>L25*86400</f>
        <v/>
      </c>
      <c r="N25" s="17">
        <f t="array" ref="N25">INDEX('MATCH INFO'!O:O, INT((ROW()-2)/10)+2 + 29)</f>
        <v/>
      </c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>
        <f>L26*86400</f>
        <v/>
      </c>
      <c r="N26" s="17">
        <f t="array" ref="N26">INDEX('MATCH INFO'!O:O, INT((ROW()-2)/10)+2 + 29)</f>
        <v/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>
        <f>L27*86400</f>
        <v/>
      </c>
      <c r="N27" s="17">
        <f t="array" ref="N27">INDEX('MATCH INFO'!O:O, INT((ROW()-2)/10)+2 + 29)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>
        <f>L28*86400</f>
        <v/>
      </c>
      <c r="N28" s="17">
        <f t="array" ref="N28">INDEX('MATCH INFO'!O:O, INT((ROW()-2)/10)+2 + 29)</f>
        <v/>
      </c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>
        <f>L29*86400</f>
        <v/>
      </c>
      <c r="N29" s="17">
        <f t="array" ref="N29">INDEX('MATCH INFO'!O:O, INT((ROW()-2)/10)+2 + 29)</f>
        <v/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>
        <f>L30*86400</f>
        <v/>
      </c>
      <c r="N30" s="17">
        <f t="array" ref="N30">INDEX('MATCH INFO'!O:O, INT((ROW()-2)/10)+2 + 29)</f>
        <v/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>
        <f>L31*86400</f>
        <v/>
      </c>
      <c r="N31" s="17">
        <f t="array" ref="N31">INDEX('MATCH INFO'!O:O, INT((ROW()-2)/10)+2 + 29)</f>
        <v/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>
        <f>L32*86400</f>
        <v/>
      </c>
      <c r="N32" s="17">
        <f t="array" ref="N32">INDEX('MATCH INFO'!O:O, INT((ROW()-2)/10)+2 + 29)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>
        <f>L33*86400</f>
        <v/>
      </c>
      <c r="N33" s="17">
        <f t="array" ref="N33">INDEX('MATCH INFO'!O:O, INT((ROW()-2)/10)+2 + 29)</f>
        <v/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>
        <f>L34*86400</f>
        <v/>
      </c>
      <c r="N34" s="17">
        <f t="array" ref="N34">INDEX('MATCH INFO'!O:O, INT((ROW()-2)/10)+2 + 29)</f>
        <v/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>
        <f>L35*86400</f>
        <v/>
      </c>
      <c r="N35" s="17">
        <f t="array" ref="N35">INDEX('MATCH INFO'!O:O, INT((ROW()-2)/10)+2 + 29)</f>
        <v/>
      </c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>
        <f>L36*86400</f>
        <v/>
      </c>
      <c r="N36" s="17">
        <f t="array" ref="N36">INDEX('MATCH INFO'!O:O, INT((ROW()-2)/10)+2 + 29)</f>
        <v/>
      </c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>
        <f>L37*86400</f>
        <v/>
      </c>
      <c r="N37" s="17">
        <f t="array" ref="N37">INDEX('MATCH INFO'!O:O, INT((ROW()-2)/10)+2 + 29)</f>
        <v/>
      </c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>
        <f>L38*86400</f>
        <v/>
      </c>
      <c r="N38" s="17">
        <f t="array" ref="N38">INDEX('MATCH INFO'!O:O, INT((ROW()-2)/10)+2 + 29)</f>
        <v/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>
        <f>L39*86400</f>
        <v/>
      </c>
      <c r="N39" s="17">
        <f t="array" ref="N39">INDEX('MATCH INFO'!O:O, INT((ROW()-2)/10)+2 + 29)</f>
        <v/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>
        <f>L40*86400</f>
        <v/>
      </c>
      <c r="N40" s="17">
        <f t="array" ref="N40">INDEX('MATCH INFO'!O:O, INT((ROW()-2)/10)+2 + 29)</f>
        <v/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>
        <f>L41*86400</f>
        <v/>
      </c>
      <c r="N41" s="17">
        <f t="array" ref="N41">INDEX('MATCH INFO'!O:O, INT((ROW()-2)/10)+2 + 29)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>
        <f>L42*86400</f>
        <v/>
      </c>
      <c r="N42" s="17">
        <f t="array" ref="N42">INDEX('MATCH INFO'!O:O, INT((ROW()-2)/10)+2 + 29)</f>
        <v/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>
        <f>L43*86400</f>
        <v/>
      </c>
      <c r="N43" s="17">
        <f t="array" ref="N43">INDEX('MATCH INFO'!O:O, INT((ROW()-2)/10)+2 + 29)</f>
        <v/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>
        <f>L44*86400</f>
        <v/>
      </c>
      <c r="N44" s="17">
        <f t="array" ref="N44">INDEX('MATCH INFO'!O:O, INT((ROW()-2)/10)+2 + 29)</f>
        <v/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>
        <f>L45*86400</f>
        <v/>
      </c>
      <c r="N45" s="17">
        <f t="array" ref="N45">INDEX('MATCH INFO'!O:O, INT((ROW()-2)/10)+2 + 29)</f>
        <v/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>
        <f>L46*86400</f>
        <v/>
      </c>
      <c r="N46" s="17">
        <f t="array" ref="N46">INDEX('MATCH INFO'!O:O, INT((ROW()-2)/10)+2 + 29)</f>
        <v/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>
        <f>L47*86400</f>
        <v/>
      </c>
      <c r="N47" s="17">
        <f t="array" ref="N47">INDEX('MATCH INFO'!O:O, INT((ROW()-2)/10)+2 + 29)</f>
        <v/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>
        <f>L48*86400</f>
        <v/>
      </c>
      <c r="N48" s="17">
        <f t="array" ref="N48">INDEX('MATCH INFO'!O:O, INT((ROW()-2)/10)+2 + 29)</f>
        <v/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>
        <f>L49*86400</f>
        <v/>
      </c>
      <c r="N49" s="17">
        <f t="array" ref="N49">INDEX('MATCH INFO'!O:O, INT((ROW()-2)/10)+2 + 29)</f>
        <v/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>
        <f>L50*86400</f>
        <v/>
      </c>
      <c r="N50" s="17">
        <f t="array" ref="N50">INDEX('MATCH INFO'!O:O, INT((ROW()-2)/10)+2 + 29)</f>
        <v/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>
        <f>L51*86400</f>
        <v/>
      </c>
      <c r="N51" s="17">
        <f t="array" ref="N51">INDEX('MATCH INFO'!O:O, INT((ROW()-2)/10)+2 + 29)</f>
        <v/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>
        <f>L52*86400</f>
        <v/>
      </c>
      <c r="N52" s="17">
        <f t="array" ref="N52">INDEX('MATCH INFO'!O:O, INT((ROW()-2)/10)+2 + 29)</f>
        <v/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>
        <f>L53*86400</f>
        <v/>
      </c>
      <c r="N53" s="17">
        <f t="array" ref="N53">INDEX('MATCH INFO'!O:O, INT((ROW()-2)/10)+2 + 29)</f>
        <v/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>
        <f>L54*86400</f>
        <v/>
      </c>
      <c r="N54" s="17">
        <f t="array" ref="N54">INDEX('MATCH INFO'!O:O, INT((ROW()-2)/10)+2 + 29)</f>
        <v/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>
        <f>L55*86400</f>
        <v/>
      </c>
      <c r="N55" s="17">
        <f t="array" ref="N55">INDEX('MATCH INFO'!O:O, INT((ROW()-2)/10)+2 + 29)</f>
        <v/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>
        <f>L56*86400</f>
        <v/>
      </c>
      <c r="N56" s="17">
        <f t="array" ref="N56">INDEX('MATCH INFO'!O:O, INT((ROW()-2)/10)+2 + 29)</f>
        <v/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>
        <f>L57*86400</f>
        <v/>
      </c>
      <c r="N57" s="17">
        <f t="array" ref="N57">INDEX('MATCH INFO'!O:O, INT((ROW()-2)/10)+2 + 29)</f>
        <v/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>
        <f>L58*86400</f>
        <v/>
      </c>
      <c r="N58" s="17">
        <f t="array" ref="N58">INDEX('MATCH INFO'!O:O, INT((ROW()-2)/10)+2 + 29)</f>
        <v/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>
        <f>L59*86400</f>
        <v/>
      </c>
      <c r="N59" s="17">
        <f t="array" ref="N59">INDEX('MATCH INFO'!O:O, INT((ROW()-2)/10)+2 + 29)</f>
        <v/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>
        <f>L60*86400</f>
        <v/>
      </c>
      <c r="N60" s="17">
        <f t="array" ref="N60">INDEX('MATCH INFO'!O:O, INT((ROW()-2)/10)+2 + 29)</f>
        <v/>
      </c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>
        <f>L61*86400</f>
        <v/>
      </c>
      <c r="N61" s="17">
        <f t="array" ref="N61">INDEX('MATCH INFO'!O:O, INT((ROW()-2)/10)+2 + 29)</f>
        <v/>
      </c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>
        <f>L62*86400</f>
        <v/>
      </c>
      <c r="N62" s="17">
        <f t="array" ref="N62">INDEX('MATCH INFO'!O:O, INT((ROW()-2)/10)+2 + 29)</f>
        <v/>
      </c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>
        <f>L63*86400</f>
        <v/>
      </c>
      <c r="N63" s="17">
        <f t="array" ref="N63">INDEX('MATCH INFO'!O:O, INT((ROW()-2)/10)+2 + 29)</f>
        <v/>
      </c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>
        <f>L64*86400</f>
        <v/>
      </c>
      <c r="N64" s="17">
        <f t="array" ref="N64">INDEX('MATCH INFO'!O:O, INT((ROW()-2)/10)+2 + 29)</f>
        <v/>
      </c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>
        <f>L65*86400</f>
        <v/>
      </c>
      <c r="N65" s="17">
        <f t="array" ref="N65">INDEX('MATCH INFO'!O:O, INT((ROW()-2)/10)+2 + 29)</f>
        <v/>
      </c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>
        <f>L66*86400</f>
        <v/>
      </c>
      <c r="N66" s="17">
        <f t="array" ref="N66">INDEX('MATCH INFO'!O:O, INT((ROW()-2)/10)+2 + 29)</f>
        <v/>
      </c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>
        <f>L67*86400</f>
        <v/>
      </c>
      <c r="N67" s="17">
        <f t="array" ref="N67">INDEX('MATCH INFO'!O:O, INT((ROW()-2)/10)+2 + 29)</f>
        <v/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>
        <f>L68*86400</f>
        <v/>
      </c>
      <c r="N68" s="17">
        <f t="array" ref="N68">INDEX('MATCH INFO'!O:O, INT((ROW()-2)/10)+2 + 29)</f>
        <v/>
      </c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>
        <f>L69*86400</f>
        <v/>
      </c>
      <c r="N69" s="17">
        <f t="array" ref="N69">INDEX('MATCH INFO'!O:O, INT((ROW()-2)/10)+2 + 29)</f>
        <v/>
      </c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>
        <f>L70*86400</f>
        <v/>
      </c>
      <c r="N70" s="17">
        <f t="array" ref="N70">INDEX('MATCH INFO'!O:O, INT((ROW()-2)/10)+2 + 29)</f>
        <v/>
      </c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>
        <f>L71*86400</f>
        <v/>
      </c>
      <c r="N71" s="17">
        <f t="array" ref="N71">INDEX('MATCH INFO'!O:O, INT((ROW()-2)/10)+2 + 29)</f>
        <v/>
      </c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>
        <f>L72*86400</f>
        <v/>
      </c>
      <c r="N72" s="17">
        <f t="array" ref="N72">INDEX('MATCH INFO'!O:O, INT((ROW()-2)/10)+2 + 29)</f>
        <v/>
      </c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>
        <f>L73*86400</f>
        <v/>
      </c>
      <c r="N73" s="17">
        <f t="array" ref="N73">INDEX('MATCH INFO'!O:O, INT((ROW()-2)/10)+2 + 29)</f>
        <v/>
      </c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>
        <f>L74*86400</f>
        <v/>
      </c>
      <c r="N74" s="17">
        <f t="array" ref="N74">INDEX('MATCH INFO'!O:O, INT((ROW()-2)/10)+2 + 29)</f>
        <v/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>
        <f>L75*86400</f>
        <v/>
      </c>
      <c r="N75" s="17">
        <f t="array" ref="N75">INDEX('MATCH INFO'!O:O, INT((ROW()-2)/10)+2 + 29)</f>
        <v/>
      </c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>
        <f>L76*86400</f>
        <v/>
      </c>
      <c r="N76" s="17">
        <f t="array" ref="N76">INDEX('MATCH INFO'!O:O, INT((ROW()-2)/10)+2 + 29)</f>
        <v/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>
        <f>L77*86400</f>
        <v/>
      </c>
      <c r="N77" s="17">
        <f t="array" ref="N77">INDEX('MATCH INFO'!O:O, INT((ROW()-2)/10)+2 + 29)</f>
        <v/>
      </c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>
        <f>L78*86400</f>
        <v/>
      </c>
      <c r="N78" s="17">
        <f t="array" ref="N78">INDEX('MATCH INFO'!O:O, INT((ROW()-2)/10)+2 + 29)</f>
        <v/>
      </c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>
        <f>L79*86400</f>
        <v/>
      </c>
      <c r="N79" s="17">
        <f t="array" ref="N79">INDEX('MATCH INFO'!O:O, INT((ROW()-2)/10)+2 + 29)</f>
        <v/>
      </c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>
        <f>L80*86400</f>
        <v/>
      </c>
      <c r="N80" s="17">
        <f t="array" ref="N80">INDEX('MATCH INFO'!O:O, INT((ROW()-2)/10)+2 + 29)</f>
        <v/>
      </c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>
        <f>L81*86400</f>
        <v/>
      </c>
      <c r="N81" s="17">
        <f t="array" ref="N81">INDEX('MATCH INFO'!O:O, INT((ROW()-2)/10)+2 + 29)</f>
        <v/>
      </c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>
        <f>L82*86400</f>
        <v/>
      </c>
      <c r="N82" s="17">
        <f t="array" ref="N82">INDEX('MATCH INFO'!O:O, INT((ROW()-2)/10)+2 + 29)</f>
        <v/>
      </c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>
        <f>L83*86400</f>
        <v/>
      </c>
      <c r="N83" s="17">
        <f t="array" ref="N83">INDEX('MATCH INFO'!O:O, INT((ROW()-2)/10)+2 + 29)</f>
        <v/>
      </c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>
        <f>L84*86400</f>
        <v/>
      </c>
      <c r="N84" s="17">
        <f t="array" ref="N84">INDEX('MATCH INFO'!O:O, INT((ROW()-2)/10)+2 + 29)</f>
        <v/>
      </c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>
        <f>L85*86400</f>
        <v/>
      </c>
      <c r="N85" s="17">
        <f t="array" ref="N85">INDEX('MATCH INFO'!O:O, INT((ROW()-2)/10)+2 + 29)</f>
        <v/>
      </c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>
        <f>L86*86400</f>
        <v/>
      </c>
      <c r="N86" s="17">
        <f t="array" ref="N86">INDEX('MATCH INFO'!O:O, INT((ROW()-2)/10)+2 + 29)</f>
        <v/>
      </c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>
        <f>L87*86400</f>
        <v/>
      </c>
      <c r="N87" s="17">
        <f t="array" ref="N87">INDEX('MATCH INFO'!O:O, INT((ROW()-2)/10)+2 + 29)</f>
        <v/>
      </c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>
        <f>L88*86400</f>
        <v/>
      </c>
      <c r="N88" s="17">
        <f t="array" ref="N88">INDEX('MATCH INFO'!O:O, INT((ROW()-2)/10)+2 + 29)</f>
        <v/>
      </c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>
        <f>L89*86400</f>
        <v/>
      </c>
      <c r="N89" s="17">
        <f t="array" ref="N89">INDEX('MATCH INFO'!O:O, INT((ROW()-2)/10)+2 + 29)</f>
        <v/>
      </c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>
        <f>L90*86400</f>
        <v/>
      </c>
      <c r="N90" s="17">
        <f t="array" ref="N90">INDEX('MATCH INFO'!O:O, INT((ROW()-2)/10)+2 + 29)</f>
        <v/>
      </c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>
        <f>L91*86400</f>
        <v/>
      </c>
      <c r="N91" s="17">
        <f t="array" ref="N91">INDEX('MATCH INFO'!O:O, INT((ROW()-2)/10)+2 + 29)</f>
        <v/>
      </c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>
        <f>L92*86400</f>
        <v/>
      </c>
      <c r="N92" s="17">
        <f t="array" ref="N92">INDEX('MATCH INFO'!O:O, INT((ROW()-2)/10)+2 + 29)</f>
        <v/>
      </c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>
        <f>L93*86400</f>
        <v/>
      </c>
      <c r="N93" s="17">
        <f t="array" ref="N93">INDEX('MATCH INFO'!O:O, INT((ROW()-2)/10)+2 + 29)</f>
        <v/>
      </c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>
        <f>L94*86400</f>
        <v/>
      </c>
      <c r="N94" s="17">
        <f t="array" ref="N94">INDEX('MATCH INFO'!O:O, INT((ROW()-2)/10)+2 + 29)</f>
        <v/>
      </c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>
        <f>L95*86400</f>
        <v/>
      </c>
      <c r="N95" s="17">
        <f t="array" ref="N95">INDEX('MATCH INFO'!O:O, INT((ROW()-2)/10)+2 + 29)</f>
        <v/>
      </c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>
        <f>L96*86400</f>
        <v/>
      </c>
      <c r="N96" s="17">
        <f t="array" ref="N96">INDEX('MATCH INFO'!O:O, INT((ROW()-2)/10)+2 + 29)</f>
        <v/>
      </c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>
        <f>L97*86400</f>
        <v/>
      </c>
      <c r="N97" s="17">
        <f t="array" ref="N97">INDEX('MATCH INFO'!O:O, INT((ROW()-2)/10)+2 + 29)</f>
        <v/>
      </c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>
        <f>L98*86400</f>
        <v/>
      </c>
      <c r="N98" s="17">
        <f t="array" ref="N98">INDEX('MATCH INFO'!O:O, INT((ROW()-2)/10)+2 + 29)</f>
        <v/>
      </c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>
        <f>L99*86400</f>
        <v/>
      </c>
      <c r="N99" s="17">
        <f t="array" ref="N99">INDEX('MATCH INFO'!O:O, INT((ROW()-2)/10)+2 + 29)</f>
        <v/>
      </c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>
        <f>L100*86400</f>
        <v/>
      </c>
      <c r="N100" s="17">
        <f t="array" ref="N100">INDEX('MATCH INFO'!O:O, INT((ROW()-2)/10)+2 + 29)</f>
        <v/>
      </c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>
        <f>L101*86400</f>
        <v/>
      </c>
      <c r="N101" s="17">
        <f t="array" ref="N101">INDEX('MATCH INFO'!O:O, INT((ROW()-2)/10)+2 + 29)</f>
        <v/>
      </c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>
        <f>L102*86400</f>
        <v/>
      </c>
      <c r="N102" s="17">
        <f t="array" ref="N102">INDEX('MATCH INFO'!O:O, INT((ROW()-2)/10)+2 + 29)</f>
        <v/>
      </c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>
        <f>L103*86400</f>
        <v/>
      </c>
      <c r="N103" s="17">
        <f t="array" ref="N103">INDEX('MATCH INFO'!O:O, INT((ROW()-2)/10)+2 + 29)</f>
        <v/>
      </c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>
        <f>L104*86400</f>
        <v/>
      </c>
      <c r="N104" s="17">
        <f t="array" ref="N104">INDEX('MATCH INFO'!O:O, INT((ROW()-2)/10)+2 + 29)</f>
        <v/>
      </c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>
        <f>L105*86400</f>
        <v/>
      </c>
      <c r="N105" s="17">
        <f t="array" ref="N105">INDEX('MATCH INFO'!O:O, INT((ROW()-2)/10)+2 + 29)</f>
        <v/>
      </c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>
        <f>L106*86400</f>
        <v/>
      </c>
      <c r="N106" s="17">
        <f t="array" ref="N106">INDEX('MATCH INFO'!O:O, INT((ROW()-2)/10)+2 + 29)</f>
        <v/>
      </c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>
        <f>L107*86400</f>
        <v/>
      </c>
      <c r="N107" s="17">
        <f t="array" ref="N107">INDEX('MATCH INFO'!O:O, INT((ROW()-2)/10)+2 + 29)</f>
        <v/>
      </c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>
        <f>L108*86400</f>
        <v/>
      </c>
      <c r="N108" s="17">
        <f t="array" ref="N108">INDEX('MATCH INFO'!O:O, INT((ROW()-2)/10)+2 + 29)</f>
        <v/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>
        <f>L109*86400</f>
        <v/>
      </c>
      <c r="N109" s="17">
        <f t="array" ref="N109">INDEX('MATCH INFO'!O:O, INT((ROW()-2)/10)+2 + 29)</f>
        <v/>
      </c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>
        <f>L110*86400</f>
        <v/>
      </c>
      <c r="N110" s="17">
        <f t="array" ref="N110">INDEX('MATCH INFO'!O:O, INT((ROW()-2)/10)+2 + 29)</f>
        <v/>
      </c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>
        <f>L111*86400</f>
        <v/>
      </c>
      <c r="N111" s="17">
        <f t="array" ref="N111">INDEX('MATCH INFO'!O:O, INT((ROW()-2)/10)+2 + 29)</f>
        <v/>
      </c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>
        <f>L112*86400</f>
        <v/>
      </c>
      <c r="N112" s="17">
        <f t="array" ref="N112">INDEX('MATCH INFO'!O:O, INT((ROW()-2)/10)+2 + 29)</f>
        <v/>
      </c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>
        <f>L113*86400</f>
        <v/>
      </c>
      <c r="N113" s="17">
        <f t="array" ref="N113">INDEX('MATCH INFO'!O:O, INT((ROW()-2)/10)+2 + 29)</f>
        <v/>
      </c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>
        <f>L114*86400</f>
        <v/>
      </c>
      <c r="N114" s="17">
        <f t="array" ref="N114">INDEX('MATCH INFO'!O:O, INT((ROW()-2)/10)+2 + 29)</f>
        <v/>
      </c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>
        <f>L115*86400</f>
        <v/>
      </c>
      <c r="N115" s="17">
        <f t="array" ref="N115">INDEX('MATCH INFO'!O:O, INT((ROW()-2)/10)+2 + 29)</f>
        <v/>
      </c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>
        <f>L116*86400</f>
        <v/>
      </c>
      <c r="N116" s="17">
        <f t="array" ref="N116">INDEX('MATCH INFO'!O:O, INT((ROW()-2)/10)+2 + 29)</f>
        <v/>
      </c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>
        <f>L117*86400</f>
        <v/>
      </c>
      <c r="N117" s="17">
        <f t="array" ref="N117">INDEX('MATCH INFO'!O:O, INT((ROW()-2)/10)+2 + 29)</f>
        <v/>
      </c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>
        <f>L118*86400</f>
        <v/>
      </c>
      <c r="N118" s="17">
        <f t="array" ref="N118">INDEX('MATCH INFO'!O:O, INT((ROW()-2)/10)+2 + 29)</f>
        <v/>
      </c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>
        <f>L119*86400</f>
        <v/>
      </c>
      <c r="N119" s="17">
        <f t="array" ref="N119">INDEX('MATCH INFO'!O:O, INT((ROW()-2)/10)+2 + 29)</f>
        <v/>
      </c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>
        <f>L120*86400</f>
        <v/>
      </c>
      <c r="N120" s="17">
        <f t="array" ref="N120">INDEX('MATCH INFO'!O:O, INT((ROW()-2)/10)+2 + 29)</f>
        <v/>
      </c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>
        <f>L121*86400</f>
        <v/>
      </c>
      <c r="N121" s="17">
        <f t="array" ref="N121">INDEX('MATCH INFO'!O:O, INT((ROW()-2)/10)+2 + 29)</f>
        <v/>
      </c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>
        <f>L122*86400</f>
        <v/>
      </c>
      <c r="N122" s="17">
        <f t="array" ref="N122">INDEX('MATCH INFO'!O:O, INT((ROW()-2)/10)+2 + 29)</f>
        <v/>
      </c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>
        <f>L123*86400</f>
        <v/>
      </c>
      <c r="N123" s="17">
        <f t="array" ref="N123">INDEX('MATCH INFO'!O:O, INT((ROW()-2)/10)+2 + 29)</f>
        <v/>
      </c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>
        <f>L124*86400</f>
        <v/>
      </c>
      <c r="N124" s="17">
        <f t="array" ref="N124">INDEX('MATCH INFO'!O:O, INT((ROW()-2)/10)+2 + 29)</f>
        <v/>
      </c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>
        <f>L125*86400</f>
        <v/>
      </c>
      <c r="N125" s="17">
        <f t="array" ref="N125">INDEX('MATCH INFO'!O:O, INT((ROW()-2)/10)+2 + 29)</f>
        <v/>
      </c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>
        <f>L126*86400</f>
        <v/>
      </c>
      <c r="N126" s="17">
        <f t="array" ref="N126">INDEX('MATCH INFO'!O:O, INT((ROW()-2)/10)+2 + 29)</f>
        <v/>
      </c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>
        <f>L127*86400</f>
        <v/>
      </c>
      <c r="N127" s="17">
        <f t="array" ref="N127">INDEX('MATCH INFO'!O:O, INT((ROW()-2)/10)+2 + 29)</f>
        <v/>
      </c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>
        <f>L128*86400</f>
        <v/>
      </c>
      <c r="N128" s="17">
        <f t="array" ref="N128">INDEX('MATCH INFO'!O:O, INT((ROW()-2)/10)+2 + 29)</f>
        <v/>
      </c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>
        <f>L129*86400</f>
        <v/>
      </c>
      <c r="N129" s="17">
        <f t="array" ref="N129">INDEX('MATCH INFO'!O:O, INT((ROW()-2)/10)+2 + 29)</f>
        <v/>
      </c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>
        <f>L130*86400</f>
        <v/>
      </c>
      <c r="N130" s="17">
        <f t="array" ref="N130">INDEX('MATCH INFO'!O:O, INT((ROW()-2)/10)+2 + 29)</f>
        <v/>
      </c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>
        <f>L131*86400</f>
        <v/>
      </c>
      <c r="N131" s="17">
        <f t="array" ref="N131">INDEX('MATCH INFO'!O:O, INT((ROW()-2)/10)+2 + 29)</f>
        <v/>
      </c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>
        <f>L132*86400</f>
        <v/>
      </c>
      <c r="N132" s="17">
        <f t="array" ref="N132">INDEX('MATCH INFO'!O:O, INT((ROW()-2)/10)+2 + 29)</f>
        <v/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>
        <f>L133*86400</f>
        <v/>
      </c>
      <c r="N133" s="17">
        <f t="array" ref="N133">INDEX('MATCH INFO'!O:O, INT((ROW()-2)/10)+2 + 29)</f>
        <v/>
      </c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>
        <f>L134*86400</f>
        <v/>
      </c>
      <c r="N134" s="17">
        <f t="array" ref="N134">INDEX('MATCH INFO'!O:O, INT((ROW()-2)/10)+2 + 29)</f>
        <v/>
      </c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>
        <f>L135*86400</f>
        <v/>
      </c>
      <c r="N135" s="17">
        <f t="array" ref="N135">INDEX('MATCH INFO'!O:O, INT((ROW()-2)/10)+2 + 29)</f>
        <v/>
      </c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>
        <f>L136*86400</f>
        <v/>
      </c>
      <c r="N136" s="17">
        <f t="array" ref="N136">INDEX('MATCH INFO'!O:O, INT((ROW()-2)/10)+2 + 29)</f>
        <v/>
      </c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>
        <f>L137*86400</f>
        <v/>
      </c>
      <c r="N137" s="17">
        <f t="array" ref="N137">INDEX('MATCH INFO'!O:O, INT((ROW()-2)/10)+2 + 29)</f>
        <v/>
      </c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>
        <f>L138*86400</f>
        <v/>
      </c>
      <c r="N138" s="17">
        <f t="array" ref="N138">INDEX('MATCH INFO'!O:O, INT((ROW()-2)/10)+2 + 29)</f>
        <v/>
      </c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>
        <f>L139*86400</f>
        <v/>
      </c>
      <c r="N139" s="17">
        <f t="array" ref="N139">INDEX('MATCH INFO'!O:O, INT((ROW()-2)/10)+2 + 29)</f>
        <v/>
      </c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>
        <f>L140*86400</f>
        <v/>
      </c>
      <c r="N140" s="17">
        <f t="array" ref="N140">INDEX('MATCH INFO'!O:O, INT((ROW()-2)/10)+2 + 29)</f>
        <v/>
      </c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>
        <f>L141*86400</f>
        <v/>
      </c>
      <c r="N141" s="17">
        <f t="array" ref="N141">INDEX('MATCH INFO'!O:O, INT((ROW()-2)/10)+2 + 29)</f>
        <v/>
      </c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>
        <f>L142*86400</f>
        <v/>
      </c>
      <c r="N142" s="17">
        <f t="array" ref="N142">INDEX('MATCH INFO'!O:O, INT((ROW()-2)/10)+2 + 29)</f>
        <v/>
      </c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>
        <f>L143*86400</f>
        <v/>
      </c>
      <c r="N143" s="17">
        <f t="array" ref="N143">INDEX('MATCH INFO'!O:O, INT((ROW()-2)/10)+2 + 29)</f>
        <v/>
      </c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>
        <f>L144*86400</f>
        <v/>
      </c>
      <c r="N144" s="17">
        <f t="array" ref="N144">INDEX('MATCH INFO'!O:O, INT((ROW()-2)/10)+2 + 29)</f>
        <v/>
      </c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>
        <f>L145*86400</f>
        <v/>
      </c>
      <c r="N145" s="17">
        <f t="array" ref="N145">INDEX('MATCH INFO'!O:O, INT((ROW()-2)/10)+2 + 29)</f>
        <v/>
      </c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>
        <f>L146*86400</f>
        <v/>
      </c>
      <c r="N146" s="17">
        <f t="array" ref="N146">INDEX('MATCH INFO'!O:O, INT((ROW()-2)/10)+2 + 29)</f>
        <v/>
      </c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>
        <f>L147*86400</f>
        <v/>
      </c>
      <c r="N147" s="17">
        <f t="array" ref="N147">INDEX('MATCH INFO'!O:O, INT((ROW()-2)/10)+2 + 29)</f>
        <v/>
      </c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>
        <f>L148*86400</f>
        <v/>
      </c>
      <c r="N148" s="17">
        <f t="array" ref="N148">INDEX('MATCH INFO'!O:O, INT((ROW()-2)/10)+2 + 29)</f>
        <v/>
      </c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>
        <f>L149*86400</f>
        <v/>
      </c>
      <c r="N149" s="17">
        <f t="array" ref="N149">INDEX('MATCH INFO'!O:O, INT((ROW()-2)/10)+2 + 29)</f>
        <v/>
      </c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>
        <f>L150*86400</f>
        <v/>
      </c>
      <c r="N150" s="17">
        <f t="array" ref="N150">INDEX('MATCH INFO'!O:O, INT((ROW()-2)/10)+2 + 29)</f>
        <v/>
      </c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>
        <f>L151*86400</f>
        <v/>
      </c>
      <c r="N151" s="17">
        <f t="array" ref="N151">INDEX('MATCH INFO'!O:O, INT((ROW()-2)/10)+2 + 29)</f>
        <v/>
      </c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>
        <f>L152*86400</f>
        <v/>
      </c>
      <c r="N152" s="17">
        <f t="array" ref="N152">INDEX('MATCH INFO'!O:O, INT((ROW()-2)/10)+2 + 29)</f>
        <v/>
      </c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>
        <f>L153*86400</f>
        <v/>
      </c>
      <c r="N153" s="17">
        <f t="array" ref="N153">INDEX('MATCH INFO'!O:O, INT((ROW()-2)/10)+2 + 29)</f>
        <v/>
      </c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>
        <f>L154*86400</f>
        <v/>
      </c>
      <c r="N154" s="17">
        <f t="array" ref="N154">INDEX('MATCH INFO'!O:O, INT((ROW()-2)/10)+2 + 29)</f>
        <v/>
      </c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>
        <f>L155*86400</f>
        <v/>
      </c>
      <c r="N155" s="17">
        <f t="array" ref="N155">INDEX('MATCH INFO'!O:O, INT((ROW()-2)/10)+2 + 29)</f>
        <v/>
      </c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>
        <f>L156*86400</f>
        <v/>
      </c>
      <c r="N156" s="17">
        <f t="array" ref="N156">INDEX('MATCH INFO'!O:O, INT((ROW()-2)/10)+2 + 29)</f>
        <v/>
      </c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>
        <f>L157*86400</f>
        <v/>
      </c>
      <c r="N157" s="17">
        <f t="array" ref="N157">INDEX('MATCH INFO'!O:O, INT((ROW()-2)/10)+2 + 29)</f>
        <v/>
      </c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>
        <f>L158*86400</f>
        <v/>
      </c>
      <c r="N158" s="17">
        <f t="array" ref="N158">INDEX('MATCH INFO'!O:O, INT((ROW()-2)/10)+2 + 29)</f>
        <v/>
      </c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>
        <f>L159*86400</f>
        <v/>
      </c>
      <c r="N159" s="17">
        <f t="array" ref="N159">INDEX('MATCH INFO'!O:O, INT((ROW()-2)/10)+2 + 29)</f>
        <v/>
      </c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>
        <f>L160*86400</f>
        <v/>
      </c>
      <c r="N160" s="17">
        <f t="array" ref="N160">INDEX('MATCH INFO'!O:O, INT((ROW()-2)/10)+2 + 29)</f>
        <v/>
      </c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>
        <f>L161*86400</f>
        <v/>
      </c>
      <c r="N161" s="17">
        <f t="array" ref="N161">INDEX('MATCH INFO'!O:O, INT((ROW()-2)/10)+2 + 29)</f>
        <v/>
      </c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>
        <f>L162*86400</f>
        <v/>
      </c>
      <c r="N162" s="17">
        <f t="array" ref="N162">INDEX('MATCH INFO'!O:O, INT((ROW()-2)/10)+2 + 29)</f>
        <v/>
      </c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>
        <f>L163*86400</f>
        <v/>
      </c>
      <c r="N163" s="17">
        <f t="array" ref="N163">INDEX('MATCH INFO'!O:O, INT((ROW()-2)/10)+2 + 29)</f>
        <v/>
      </c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>
        <f>L164*86400</f>
        <v/>
      </c>
      <c r="N164" s="17">
        <f t="array" ref="N164">INDEX('MATCH INFO'!O:O, INT((ROW()-2)/10)+2 + 29)</f>
        <v/>
      </c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>
        <f>L165*86400</f>
        <v/>
      </c>
      <c r="N165" s="17">
        <f t="array" ref="N165">INDEX('MATCH INFO'!O:O, INT((ROW()-2)/10)+2 + 29)</f>
        <v/>
      </c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>
        <f>L166*86400</f>
        <v/>
      </c>
      <c r="N166" s="17">
        <f t="array" ref="N166">INDEX('MATCH INFO'!O:O, INT((ROW()-2)/10)+2 + 29)</f>
        <v/>
      </c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>
        <f>L167*86400</f>
        <v/>
      </c>
      <c r="N167" s="17">
        <f t="array" ref="N167">INDEX('MATCH INFO'!O:O, INT((ROW()-2)/10)+2 + 29)</f>
        <v/>
      </c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>
        <f>L168*86400</f>
        <v/>
      </c>
      <c r="N168" s="17">
        <f t="array" ref="N168">INDEX('MATCH INFO'!O:O, INT((ROW()-2)/10)+2 + 29)</f>
        <v/>
      </c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>
        <f>L169*86400</f>
        <v/>
      </c>
      <c r="N169" s="17">
        <f t="array" ref="N169">INDEX('MATCH INFO'!O:O, INT((ROW()-2)/10)+2 + 29)</f>
        <v/>
      </c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>
        <f>L170*86400</f>
        <v/>
      </c>
      <c r="N170" s="17">
        <f t="array" ref="N170">INDEX('MATCH INFO'!O:O, INT((ROW()-2)/10)+2 + 29)</f>
        <v/>
      </c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>
        <f>L171*86400</f>
        <v/>
      </c>
      <c r="N171" s="17">
        <f t="array" ref="N171">INDEX('MATCH INFO'!O:O, INT((ROW()-2)/10)+2 + 29)</f>
        <v/>
      </c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>
        <f>L172*86400</f>
        <v/>
      </c>
      <c r="N172" s="17">
        <f t="array" ref="N172">INDEX('MATCH INFO'!O:O, INT((ROW()-2)/10)+2 + 29)</f>
        <v/>
      </c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>
        <f>L173*86400</f>
        <v/>
      </c>
      <c r="N173" s="17">
        <f t="array" ref="N173">INDEX('MATCH INFO'!O:O, INT((ROW()-2)/10)+2 + 29)</f>
        <v/>
      </c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>
        <f>L174*86400</f>
        <v/>
      </c>
      <c r="N174" s="17">
        <f t="array" ref="N174">INDEX('MATCH INFO'!O:O, INT((ROW()-2)/10)+2 + 29)</f>
        <v/>
      </c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>
        <f>L175*86400</f>
        <v/>
      </c>
      <c r="N175" s="17">
        <f t="array" ref="N175">INDEX('MATCH INFO'!O:O, INT((ROW()-2)/10)+2 + 29)</f>
        <v/>
      </c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>
        <f>L176*86400</f>
        <v/>
      </c>
      <c r="N176" s="17">
        <f t="array" ref="N176">INDEX('MATCH INFO'!O:O, INT((ROW()-2)/10)+2 + 29)</f>
        <v/>
      </c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>
        <f>L177*86400</f>
        <v/>
      </c>
      <c r="N177" s="17">
        <f t="array" ref="N177">INDEX('MATCH INFO'!O:O, INT((ROW()-2)/10)+2 + 29)</f>
        <v/>
      </c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>
        <f>L178*86400</f>
        <v/>
      </c>
      <c r="N178" s="17">
        <f t="array" ref="N178">INDEX('MATCH INFO'!O:O, INT((ROW()-2)/10)+2 + 29)</f>
        <v/>
      </c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>
        <f>L179*86400</f>
        <v/>
      </c>
      <c r="N179" s="17">
        <f t="array" ref="N179">INDEX('MATCH INFO'!O:O, INT((ROW()-2)/10)+2 + 29)</f>
        <v/>
      </c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>
        <f>L180*86400</f>
        <v/>
      </c>
      <c r="N180" s="17">
        <f t="array" ref="N180">INDEX('MATCH INFO'!O:O, INT((ROW()-2)/10)+2 + 29)</f>
        <v/>
      </c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>
        <f>L181*86400</f>
        <v/>
      </c>
      <c r="N181" s="17">
        <f t="array" ref="N181">INDEX('MATCH INFO'!O:O, INT((ROW()-2)/10)+2 + 29)</f>
        <v/>
      </c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>
        <f>L182*86400</f>
        <v/>
      </c>
      <c r="N182" s="17">
        <f t="array" ref="N182">INDEX('MATCH INFO'!O:O, INT((ROW()-2)/10)+2 + 29)</f>
        <v/>
      </c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>
        <f>L183*86400</f>
        <v/>
      </c>
      <c r="N183" s="17">
        <f t="array" ref="N183">INDEX('MATCH INFO'!O:O, INT((ROW()-2)/10)+2 + 29)</f>
        <v/>
      </c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>
        <f>L184*86400</f>
        <v/>
      </c>
      <c r="N184" s="17">
        <f t="array" ref="N184">INDEX('MATCH INFO'!O:O, INT((ROW()-2)/10)+2 + 29)</f>
        <v/>
      </c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>
        <f>L185*86400</f>
        <v/>
      </c>
      <c r="N185" s="17">
        <f t="array" ref="N185">INDEX('MATCH INFO'!O:O, INT((ROW()-2)/10)+2 + 29)</f>
        <v/>
      </c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>
        <f>L186*86400</f>
        <v/>
      </c>
      <c r="N186" s="17">
        <f t="array" ref="N186">INDEX('MATCH INFO'!O:O, INT((ROW()-2)/10)+2 + 29)</f>
        <v/>
      </c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>
        <f>L187*86400</f>
        <v/>
      </c>
      <c r="N187" s="17">
        <f t="array" ref="N187">INDEX('MATCH INFO'!O:O, INT((ROW()-2)/10)+2 + 29)</f>
        <v/>
      </c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>
        <f>L188*86400</f>
        <v/>
      </c>
      <c r="N188" s="17">
        <f t="array" ref="N188">INDEX('MATCH INFO'!O:O, INT((ROW()-2)/10)+2 + 29)</f>
        <v/>
      </c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>
        <f>L189*86400</f>
        <v/>
      </c>
      <c r="N189" s="17">
        <f t="array" ref="N189">INDEX('MATCH INFO'!O:O, INT((ROW()-2)/10)+2 + 29)</f>
        <v/>
      </c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>
        <f>L190*86400</f>
        <v/>
      </c>
      <c r="N190" s="17">
        <f t="array" ref="N190">INDEX('MATCH INFO'!O:O, INT((ROW()-2)/10)+2 + 29)</f>
        <v/>
      </c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>
        <f>L191*86400</f>
        <v/>
      </c>
      <c r="N191" s="17">
        <f t="array" ref="N191">INDEX('MATCH INFO'!O:O, INT((ROW()-2)/10)+2 + 29)</f>
        <v/>
      </c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>
        <f>L192*86400</f>
        <v/>
      </c>
      <c r="N192" s="17">
        <f t="array" ref="N192">INDEX('MATCH INFO'!O:O, INT((ROW()-2)/10)+2 + 29)</f>
        <v/>
      </c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>
        <f>L193*86400</f>
        <v/>
      </c>
      <c r="N193" s="17">
        <f t="array" ref="N193">INDEX('MATCH INFO'!O:O, INT((ROW()-2)/10)+2 + 29)</f>
        <v/>
      </c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>
        <f>L194*86400</f>
        <v/>
      </c>
      <c r="N194" s="17">
        <f t="array" ref="N194">INDEX('MATCH INFO'!O:O, INT((ROW()-2)/10)+2 + 29)</f>
        <v/>
      </c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>
        <f>L195*86400</f>
        <v/>
      </c>
      <c r="N195" s="17">
        <f t="array" ref="N195">INDEX('MATCH INFO'!O:O, INT((ROW()-2)/10)+2 + 29)</f>
        <v/>
      </c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>
        <f>L196*86400</f>
        <v/>
      </c>
      <c r="N196" s="17">
        <f t="array" ref="N196">INDEX('MATCH INFO'!O:O, INT((ROW()-2)/10)+2 + 29)</f>
        <v/>
      </c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>
        <f>L197*86400</f>
        <v/>
      </c>
      <c r="N197" s="17">
        <f t="array" ref="N197">INDEX('MATCH INFO'!O:O, INT((ROW()-2)/10)+2 + 29)</f>
        <v/>
      </c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>
        <f>L198*86400</f>
        <v/>
      </c>
      <c r="N198" s="17">
        <f t="array" ref="N198">INDEX('MATCH INFO'!O:O, INT((ROW()-2)/10)+2 + 29)</f>
        <v/>
      </c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>
        <f>L199*86400</f>
        <v/>
      </c>
      <c r="N199" s="17">
        <f t="array" ref="N199">INDEX('MATCH INFO'!O:O, INT((ROW()-2)/10)+2 + 29)</f>
        <v/>
      </c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>
        <f>L200*86400</f>
        <v/>
      </c>
      <c r="N200" s="17">
        <f t="array" ref="N200">INDEX('MATCH INFO'!O:O, INT((ROW()-2)/10)+2 + 29)</f>
        <v/>
      </c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>
        <f>L201*86400</f>
        <v/>
      </c>
      <c r="N201" s="17">
        <f t="array" ref="N201">INDEX('MATCH INFO'!O:O, INT((ROW()-2)/10)+2 + 29)</f>
        <v/>
      </c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>
        <f>L202*86400</f>
        <v/>
      </c>
      <c r="N202" s="17">
        <f t="array" ref="N202">INDEX('MATCH INFO'!O:O, INT((ROW()-2)/10)+2 + 29)</f>
        <v/>
      </c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>
        <f>L203*86400</f>
        <v/>
      </c>
      <c r="N203" s="17">
        <f t="array" ref="N203">INDEX('MATCH INFO'!O:O, INT((ROW()-2)/10)+2 + 29)</f>
        <v/>
      </c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>
        <f>L204*86400</f>
        <v/>
      </c>
      <c r="N204" s="17">
        <f t="array" ref="N204">INDEX('MATCH INFO'!O:O, INT((ROW()-2)/10)+2 + 29)</f>
        <v/>
      </c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>
        <f>L205*86400</f>
        <v/>
      </c>
      <c r="N205" s="17">
        <f t="array" ref="N205">INDEX('MATCH INFO'!O:O, INT((ROW()-2)/10)+2 + 29)</f>
        <v/>
      </c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>
        <f>L206*86400</f>
        <v/>
      </c>
      <c r="N206" s="17">
        <f t="array" ref="N206">INDEX('MATCH INFO'!O:O, INT((ROW()-2)/10)+2 + 29)</f>
        <v/>
      </c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>
        <f>L207*86400</f>
        <v/>
      </c>
      <c r="N207" s="17">
        <f t="array" ref="N207">INDEX('MATCH INFO'!O:O, INT((ROW()-2)/10)+2 + 29)</f>
        <v/>
      </c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>
        <f>L208*86400</f>
        <v/>
      </c>
      <c r="N208" s="17">
        <f t="array" ref="N208">INDEX('MATCH INFO'!O:O, INT((ROW()-2)/10)+2 + 29)</f>
        <v/>
      </c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>
        <f>L209*86400</f>
        <v/>
      </c>
      <c r="N209" s="17">
        <f t="array" ref="N209">INDEX('MATCH INFO'!O:O, INT((ROW()-2)/10)+2 + 29)</f>
        <v/>
      </c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>
        <f>L210*86400</f>
        <v/>
      </c>
      <c r="N210" s="17">
        <f t="array" ref="N210">INDEX('MATCH INFO'!O:O, INT((ROW()-2)/10)+2 + 29)</f>
        <v/>
      </c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>
        <f>L211*86400</f>
        <v/>
      </c>
      <c r="N211" s="17">
        <f t="array" ref="N211">INDEX('MATCH INFO'!O:O, INT((ROW()-2)/10)+2 + 29)</f>
        <v/>
      </c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>
        <f>L212*86400</f>
        <v/>
      </c>
      <c r="N212" s="17">
        <f t="array" ref="N212">INDEX('MATCH INFO'!O:O, INT((ROW()-2)/10)+2 + 29)</f>
        <v/>
      </c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>
        <f>L213*86400</f>
        <v/>
      </c>
      <c r="N213" s="17">
        <f t="array" ref="N213">INDEX('MATCH INFO'!O:O, INT((ROW()-2)/10)+2 + 29)</f>
        <v/>
      </c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>
        <f>L214*86400</f>
        <v/>
      </c>
      <c r="N214" s="17">
        <f t="array" ref="N214">INDEX('MATCH INFO'!O:O, INT((ROW()-2)/10)+2 + 29)</f>
        <v/>
      </c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>
        <f>L215*86400</f>
        <v/>
      </c>
      <c r="N215" s="17">
        <f t="array" ref="N215">INDEX('MATCH INFO'!O:O, INT((ROW()-2)/10)+2 + 29)</f>
        <v/>
      </c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>
        <f>L216*86400</f>
        <v/>
      </c>
      <c r="N216" s="17">
        <f t="array" ref="N216">INDEX('MATCH INFO'!O:O, INT((ROW()-2)/10)+2 + 29)</f>
        <v/>
      </c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>
        <f>L217*86400</f>
        <v/>
      </c>
      <c r="N217" s="17">
        <f t="array" ref="N217">INDEX('MATCH INFO'!O:O, INT((ROW()-2)/10)+2 + 29)</f>
        <v/>
      </c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>
        <f>L218*86400</f>
        <v/>
      </c>
      <c r="N218" s="17">
        <f t="array" ref="N218">INDEX('MATCH INFO'!O:O, INT((ROW()-2)/10)+2 + 29)</f>
        <v/>
      </c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>
        <f>L219*86400</f>
        <v/>
      </c>
      <c r="N219" s="17">
        <f t="array" ref="N219">INDEX('MATCH INFO'!O:O, INT((ROW()-2)/10)+2 + 29)</f>
        <v/>
      </c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>
        <f>L220*86400</f>
        <v/>
      </c>
      <c r="N220" s="17">
        <f t="array" ref="N220">INDEX('MATCH INFO'!O:O, INT((ROW()-2)/10)+2 + 29)</f>
        <v/>
      </c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>
        <f>L221*86400</f>
        <v/>
      </c>
      <c r="N221" s="17">
        <f t="array" ref="N221">INDEX('MATCH INFO'!O:O, INT((ROW()-2)/10)+2 + 29)</f>
        <v/>
      </c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>
        <f>L222*86400</f>
        <v/>
      </c>
      <c r="N222" s="17">
        <f t="array" ref="N222">INDEX('MATCH INFO'!O:O, INT((ROW()-2)/10)+2 + 29)</f>
        <v/>
      </c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>
        <f>L223*86400</f>
        <v/>
      </c>
      <c r="N223" s="17">
        <f t="array" ref="N223">INDEX('MATCH INFO'!O:O, INT((ROW()-2)/10)+2 + 29)</f>
        <v/>
      </c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>
        <f>L224*86400</f>
        <v/>
      </c>
      <c r="N224" s="17">
        <f t="array" ref="N224">INDEX('MATCH INFO'!O:O, INT((ROW()-2)/10)+2 + 29)</f>
        <v/>
      </c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>
        <f>L225*86400</f>
        <v/>
      </c>
      <c r="N225" s="17">
        <f t="array" ref="N225">INDEX('MATCH INFO'!O:O, INT((ROW()-2)/10)+2 + 29)</f>
        <v/>
      </c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>
        <f>L226*86400</f>
        <v/>
      </c>
      <c r="N226" s="17">
        <f t="array" ref="N226">INDEX('MATCH INFO'!O:O, INT((ROW()-2)/10)+2 + 29)</f>
        <v/>
      </c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>
        <f>L227*86400</f>
        <v/>
      </c>
      <c r="N227" s="17">
        <f t="array" ref="N227">INDEX('MATCH INFO'!O:O, INT((ROW()-2)/10)+2 + 29)</f>
        <v/>
      </c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>
        <f>L228*86400</f>
        <v/>
      </c>
      <c r="N228" s="17">
        <f t="array" ref="N228">INDEX('MATCH INFO'!O:O, INT((ROW()-2)/10)+2 + 29)</f>
        <v/>
      </c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>
        <f>L229*86400</f>
        <v/>
      </c>
      <c r="N229" s="17">
        <f t="array" ref="N229">INDEX('MATCH INFO'!O:O, INT((ROW()-2)/10)+2 + 29)</f>
        <v/>
      </c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>
        <f>L230*86400</f>
        <v/>
      </c>
      <c r="N230" s="17">
        <f t="array" ref="N230">INDEX('MATCH INFO'!O:O, INT((ROW()-2)/10)+2 + 29)</f>
        <v/>
      </c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>
        <f>L231*86400</f>
        <v/>
      </c>
      <c r="N231" s="17">
        <f t="array" ref="N231">INDEX('MATCH INFO'!O:O, INT((ROW()-2)/10)+2 + 29)</f>
        <v/>
      </c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>
        <f>L232*86400</f>
        <v/>
      </c>
      <c r="N232" s="17">
        <f t="array" ref="N232">INDEX('MATCH INFO'!O:O, INT((ROW()-2)/10)+2 + 29)</f>
        <v/>
      </c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>
        <f>L233*86400</f>
        <v/>
      </c>
      <c r="N233" s="17">
        <f t="array" ref="N233">INDEX('MATCH INFO'!O:O, INT((ROW()-2)/10)+2 + 29)</f>
        <v/>
      </c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>
        <f>L234*86400</f>
        <v/>
      </c>
      <c r="N234" s="17">
        <f t="array" ref="N234">INDEX('MATCH INFO'!O:O, INT((ROW()-2)/10)+2 + 29)</f>
        <v/>
      </c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>
        <f>L235*86400</f>
        <v/>
      </c>
      <c r="N235" s="17">
        <f t="array" ref="N235">INDEX('MATCH INFO'!O:O, INT((ROW()-2)/10)+2 + 29)</f>
        <v/>
      </c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>
        <f>L236*86400</f>
        <v/>
      </c>
      <c r="N236" s="17">
        <f t="array" ref="N236">INDEX('MATCH INFO'!O:O, INT((ROW()-2)/10)+2 + 29)</f>
        <v/>
      </c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>
        <f>L237*86400</f>
        <v/>
      </c>
      <c r="N237" s="17">
        <f t="array" ref="N237">INDEX('MATCH INFO'!O:O, INT((ROW()-2)/10)+2 + 29)</f>
        <v/>
      </c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>
        <f>L238*86400</f>
        <v/>
      </c>
      <c r="N238" s="17">
        <f t="array" ref="N238">INDEX('MATCH INFO'!O:O, INT((ROW()-2)/10)+2 + 29)</f>
        <v/>
      </c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>
        <f>L239*86400</f>
        <v/>
      </c>
      <c r="N239" s="17">
        <f t="array" ref="N239">INDEX('MATCH INFO'!O:O, INT((ROW()-2)/10)+2 + 29)</f>
        <v/>
      </c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>
        <f>L240*86400</f>
        <v/>
      </c>
      <c r="N240" s="17">
        <f t="array" ref="N240">INDEX('MATCH INFO'!O:O, INT((ROW()-2)/10)+2 + 29)</f>
        <v/>
      </c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>
        <f>L241*86400</f>
        <v/>
      </c>
      <c r="N241" s="17">
        <f t="array" ref="N241">INDEX('MATCH INFO'!O:O, INT((ROW()-2)/10)+2 + 29)</f>
        <v/>
      </c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>
        <f>L242*86400</f>
        <v/>
      </c>
      <c r="N242" s="17">
        <f t="array" ref="N242">INDEX('MATCH INFO'!O:O, INT((ROW()-2)/10)+2 + 29)</f>
        <v/>
      </c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>
        <f>L243*86400</f>
        <v/>
      </c>
      <c r="N243" s="17">
        <f t="array" ref="N243">INDEX('MATCH INFO'!O:O, INT((ROW()-2)/10)+2 + 29)</f>
        <v/>
      </c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>
        <f>L244*86400</f>
        <v/>
      </c>
      <c r="N244" s="17">
        <f t="array" ref="N244">INDEX('MATCH INFO'!O:O, INT((ROW()-2)/10)+2 + 29)</f>
        <v/>
      </c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>
        <f>L245*86400</f>
        <v/>
      </c>
      <c r="N245" s="17">
        <f t="array" ref="N245">INDEX('MATCH INFO'!O:O, INT((ROW()-2)/10)+2 + 29)</f>
        <v/>
      </c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>
        <f>L246*86400</f>
        <v/>
      </c>
      <c r="N246" s="17">
        <f t="array" ref="N246">INDEX('MATCH INFO'!O:O, INT((ROW()-2)/10)+2 + 29)</f>
        <v/>
      </c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>
        <f>L247*86400</f>
        <v/>
      </c>
      <c r="N247" s="17">
        <f t="array" ref="N247">INDEX('MATCH INFO'!O:O, INT((ROW()-2)/10)+2 + 29)</f>
        <v/>
      </c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>
        <f>L248*86400</f>
        <v/>
      </c>
      <c r="N248" s="17">
        <f t="array" ref="N248">INDEX('MATCH INFO'!O:O, INT((ROW()-2)/10)+2 + 29)</f>
        <v/>
      </c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>
        <f>L249*86400</f>
        <v/>
      </c>
      <c r="N249" s="17">
        <f t="array" ref="N249">INDEX('MATCH INFO'!O:O, INT((ROW()-2)/10)+2 + 29)</f>
        <v/>
      </c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>
        <f>L250*86400</f>
        <v/>
      </c>
      <c r="N250" s="17">
        <f t="array" ref="N250">INDEX('MATCH INFO'!O:O, INT((ROW()-2)/10)+2 + 29)</f>
        <v/>
      </c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>
        <f>L251*86400</f>
        <v/>
      </c>
      <c r="N251" s="17">
        <f t="array" ref="N251">INDEX('MATCH INFO'!O:O, INT((ROW()-2)/10)+2 + 29)</f>
        <v/>
      </c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>
        <f>L252*86400</f>
        <v/>
      </c>
      <c r="N252" s="17">
        <f t="array" ref="N252">INDEX('MATCH INFO'!O:O, INT((ROW()-2)/10)+2 + 29)</f>
        <v/>
      </c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>
        <f>L253*86400</f>
        <v/>
      </c>
      <c r="N253" s="17">
        <f t="array" ref="N253">INDEX('MATCH INFO'!O:O, INT((ROW()-2)/10)+2 + 29)</f>
        <v/>
      </c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>
        <f>L254*86400</f>
        <v/>
      </c>
      <c r="N254" s="17">
        <f t="array" ref="N254">INDEX('MATCH INFO'!O:O, INT((ROW()-2)/10)+2 + 29)</f>
        <v/>
      </c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>
        <f>L255*86400</f>
        <v/>
      </c>
      <c r="N255" s="17">
        <f t="array" ref="N255">INDEX('MATCH INFO'!O:O, INT((ROW()-2)/10)+2 + 29)</f>
        <v/>
      </c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>
        <f>L256*86400</f>
        <v/>
      </c>
      <c r="N256" s="17">
        <f t="array" ref="N256">INDEX('MATCH INFO'!O:O, INT((ROW()-2)/10)+2 + 29)</f>
        <v/>
      </c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>
        <f>L257*86400</f>
        <v/>
      </c>
      <c r="N257" s="17">
        <f t="array" ref="N257">INDEX('MATCH INFO'!O:O, INT((ROW()-2)/10)+2 + 29)</f>
        <v/>
      </c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>
        <f>L258*86400</f>
        <v/>
      </c>
      <c r="N258" s="17">
        <f t="array" ref="N258">INDEX('MATCH INFO'!O:O, INT((ROW()-2)/10)+2 + 29)</f>
        <v/>
      </c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>
        <f>L259*86400</f>
        <v/>
      </c>
      <c r="N259" s="17">
        <f t="array" ref="N259">INDEX('MATCH INFO'!O:O, INT((ROW()-2)/10)+2 + 29)</f>
        <v/>
      </c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>
        <f>L260*86400</f>
        <v/>
      </c>
      <c r="N260" s="17">
        <f t="array" ref="N260">INDEX('MATCH INFO'!O:O, INT((ROW()-2)/10)+2 + 29)</f>
        <v/>
      </c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>
        <f>L261*86400</f>
        <v/>
      </c>
      <c r="N261" s="17">
        <f t="array" ref="N261">INDEX('MATCH INFO'!O:O, INT((ROW()-2)/10)+2 + 29)</f>
        <v/>
      </c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>
        <f>L262*86400</f>
        <v/>
      </c>
      <c r="N262" s="17">
        <f t="array" ref="N262">INDEX('MATCH INFO'!O:O, INT((ROW()-2)/10)+2 + 29)</f>
        <v/>
      </c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>
        <f>L263*86400</f>
        <v/>
      </c>
      <c r="N263" s="17">
        <f t="array" ref="N263">INDEX('MATCH INFO'!O:O, INT((ROW()-2)/10)+2 + 29)</f>
        <v/>
      </c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>
        <f>L264*86400</f>
        <v/>
      </c>
      <c r="N264" s="17">
        <f t="array" ref="N264">INDEX('MATCH INFO'!O:O, INT((ROW()-2)/10)+2 + 29)</f>
        <v/>
      </c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>
        <f>L265*86400</f>
        <v/>
      </c>
      <c r="N265" s="17">
        <f t="array" ref="N265">INDEX('MATCH INFO'!O:O, INT((ROW()-2)/10)+2 + 29)</f>
        <v/>
      </c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>
        <f>L266*86400</f>
        <v/>
      </c>
      <c r="N266" s="17">
        <f t="array" ref="N266">INDEX('MATCH INFO'!O:O, INT((ROW()-2)/10)+2 + 29)</f>
        <v/>
      </c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>
        <f>L267*86400</f>
        <v/>
      </c>
      <c r="N267" s="17">
        <f t="array" ref="N267">INDEX('MATCH INFO'!O:O, INT((ROW()-2)/10)+2 + 29)</f>
        <v/>
      </c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>
        <f>L268*86400</f>
        <v/>
      </c>
      <c r="N268" s="17">
        <f t="array" ref="N268">INDEX('MATCH INFO'!O:O, INT((ROW()-2)/10)+2 + 29)</f>
        <v/>
      </c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>
        <f>L269*86400</f>
        <v/>
      </c>
      <c r="N269" s="17">
        <f t="array" ref="N269">INDEX('MATCH INFO'!O:O, INT((ROW()-2)/10)+2 + 29)</f>
        <v/>
      </c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>
        <f>L270*86400</f>
        <v/>
      </c>
      <c r="N270" s="17">
        <f t="array" ref="N270">INDEX('MATCH INFO'!O:O, INT((ROW()-2)/10)+2 + 29)</f>
        <v/>
      </c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>
        <f>L271*86400</f>
        <v/>
      </c>
      <c r="N271" s="17">
        <f t="array" ref="N271">INDEX('MATCH INFO'!O:O, INT((ROW()-2)/10)+2 + 29)</f>
        <v/>
      </c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>
        <f>L272*86400</f>
        <v/>
      </c>
      <c r="N272" s="17">
        <f t="array" ref="N272">INDEX('MATCH INFO'!O:O, INT((ROW()-2)/10)+2 + 29)</f>
        <v/>
      </c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>
        <f>L273*86400</f>
        <v/>
      </c>
      <c r="N273" s="17">
        <f t="array" ref="N273">INDEX('MATCH INFO'!O:O, INT((ROW()-2)/10)+2 + 29)</f>
        <v/>
      </c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>
        <f>L274*86400</f>
        <v/>
      </c>
      <c r="N274" s="17">
        <f t="array" ref="N274">INDEX('MATCH INFO'!O:O, INT((ROW()-2)/10)+2 + 29)</f>
        <v/>
      </c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>
        <f>L275*86400</f>
        <v/>
      </c>
      <c r="N275" s="17">
        <f t="array" ref="N275">INDEX('MATCH INFO'!O:O, INT((ROW()-2)/10)+2 + 29)</f>
        <v/>
      </c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>
        <f>L276*86400</f>
        <v/>
      </c>
      <c r="N276" s="17">
        <f t="array" ref="N276">INDEX('MATCH INFO'!O:O, INT((ROW()-2)/10)+2 + 29)</f>
        <v/>
      </c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>
        <f>L277*86400</f>
        <v/>
      </c>
      <c r="N277" s="17">
        <f t="array" ref="N277">INDEX('MATCH INFO'!O:O, INT((ROW()-2)/10)+2 + 29)</f>
        <v/>
      </c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>
        <f>L278*86400</f>
        <v/>
      </c>
      <c r="N278" s="17">
        <f t="array" ref="N278">INDEX('MATCH INFO'!O:O, INT((ROW()-2)/10)+2 + 29)</f>
        <v/>
      </c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>
        <f>L279*86400</f>
        <v/>
      </c>
      <c r="N279" s="17">
        <f t="array" ref="N279">INDEX('MATCH INFO'!O:O, INT((ROW()-2)/10)+2 + 29)</f>
        <v/>
      </c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>
        <f>L280*86400</f>
        <v/>
      </c>
      <c r="N280" s="17">
        <f t="array" ref="N280">INDEX('MATCH INFO'!O:O, INT((ROW()-2)/10)+2 + 29)</f>
        <v/>
      </c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>
        <f>L281*86400</f>
        <v/>
      </c>
      <c r="N281" s="17">
        <f t="array" ref="N281">INDEX('MATCH INFO'!O:O, INT((ROW()-2)/10)+2 + 29)</f>
        <v/>
      </c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>
        <f>L282*86400</f>
        <v/>
      </c>
      <c r="N282" s="17">
        <f t="array" ref="N282">INDEX('MATCH INFO'!O:O, INT((ROW()-2)/10)+2 + 29)</f>
        <v/>
      </c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>
        <f>L283*86400</f>
        <v/>
      </c>
      <c r="N283" s="17">
        <f t="array" ref="N283">INDEX('MATCH INFO'!O:O, INT((ROW()-2)/10)+2 + 29)</f>
        <v/>
      </c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>
        <f>L284*86400</f>
        <v/>
      </c>
      <c r="N284" s="17">
        <f t="array" ref="N284">INDEX('MATCH INFO'!O:O, INT((ROW()-2)/10)+2 + 29)</f>
        <v/>
      </c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>
        <f>L285*86400</f>
        <v/>
      </c>
      <c r="N285" s="17">
        <f t="array" ref="N285">INDEX('MATCH INFO'!O:O, INT((ROW()-2)/10)+2 + 29)</f>
        <v/>
      </c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>
        <f>L286*86400</f>
        <v/>
      </c>
      <c r="N286" s="17">
        <f t="array" ref="N286">INDEX('MATCH INFO'!O:O, INT((ROW()-2)/10)+2 + 29)</f>
        <v/>
      </c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>
        <f>L287*86400</f>
        <v/>
      </c>
      <c r="N287" s="17">
        <f t="array" ref="N287">INDEX('MATCH INFO'!O:O, INT((ROW()-2)/10)+2 + 29)</f>
        <v/>
      </c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>
        <f>L288*86400</f>
        <v/>
      </c>
      <c r="N288" s="17">
        <f t="array" ref="N288">INDEX('MATCH INFO'!O:O, INT((ROW()-2)/10)+2 + 29)</f>
        <v/>
      </c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>
        <f>L289*86400</f>
        <v/>
      </c>
      <c r="N289" s="17">
        <f t="array" ref="N289">INDEX('MATCH INFO'!O:O, INT((ROW()-2)/10)+2 + 29)</f>
        <v/>
      </c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>
        <f>L290*86400</f>
        <v/>
      </c>
      <c r="N290" s="17">
        <f t="array" ref="N290">INDEX('MATCH INFO'!O:O, INT((ROW()-2)/10)+2 + 29)</f>
        <v/>
      </c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>
        <f>L291*86400</f>
        <v/>
      </c>
      <c r="N291" s="17">
        <f t="array" ref="N291">INDEX('MATCH INFO'!O:O, INT((ROW()-2)/10)+2 + 29)</f>
        <v/>
      </c>
    </row>
  </sheetData>
  <conditionalFormatting sqref="A2:N29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10" defaultRowHeight="18"/>
  <cols>
    <col width="10.85546875" customWidth="1" style="2" min="2" max="2"/>
    <col width="8.7109375" customWidth="1" style="2" min="3" max="3"/>
    <col width="15.28515625" customWidth="1" style="2" min="4" max="4"/>
    <col width="8.7109375" customWidth="1" style="2" min="5" max="12"/>
    <col width="16.7109375" customWidth="1" style="2" min="13" max="13"/>
    <col width="22.28515625" customWidth="1" style="2" min="14" max="14"/>
  </cols>
  <sheetData>
    <row r="1">
      <c r="A1" s="15" t="inlineStr">
        <is>
          <t>Team</t>
        </is>
      </c>
      <c r="B1" s="15" t="inlineStr">
        <is>
          <t>Player</t>
        </is>
      </c>
      <c r="C1" s="15" t="inlineStr">
        <is>
          <t>Position</t>
        </is>
      </c>
      <c r="D1" s="15" t="inlineStr">
        <is>
          <t>Map</t>
        </is>
      </c>
      <c r="E1" s="15" t="inlineStr">
        <is>
          <t>Map Type</t>
        </is>
      </c>
      <c r="F1" s="15" t="inlineStr">
        <is>
          <t>Elim</t>
        </is>
      </c>
      <c r="G1" s="15" t="inlineStr">
        <is>
          <t>Death</t>
        </is>
      </c>
      <c r="H1" s="15" t="inlineStr">
        <is>
          <t>Assists</t>
        </is>
      </c>
      <c r="I1" s="15" t="inlineStr">
        <is>
          <t>Damage</t>
        </is>
      </c>
      <c r="J1" s="15" t="inlineStr">
        <is>
          <t>Heal</t>
        </is>
      </c>
      <c r="K1" s="15" t="inlineStr">
        <is>
          <t>Mitigated</t>
        </is>
      </c>
      <c r="L1" s="15" t="inlineStr">
        <is>
          <t>Playtime</t>
        </is>
      </c>
      <c r="M1" s="3" t="inlineStr">
        <is>
          <t>Playtime(Seconds)</t>
        </is>
      </c>
      <c r="N1" s="46" t="inlineStr">
        <is>
          <t>MATCH_ID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>
        <f>L2*86400</f>
        <v/>
      </c>
      <c r="N2" s="17">
        <f t="array" ref="N2">INDEX('MATCH INFO'!O:O, INT((ROW()-2)/10)+2 + 29+29)</f>
        <v/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>
        <f>L3*86400</f>
        <v/>
      </c>
      <c r="N3" s="17">
        <f t="array" ref="N3">INDEX('MATCH INFO'!O:O, INT((ROW()-2)/10)+2 + 29+29)</f>
        <v/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>
        <f>L4*86400</f>
        <v/>
      </c>
      <c r="N4" s="17">
        <f t="array" ref="N4">INDEX('MATCH INFO'!O:O, INT((ROW()-2)/10)+2 + 29+29)</f>
        <v/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>
        <f>L5*86400</f>
        <v/>
      </c>
      <c r="N5" s="17">
        <f t="array" ref="N5">INDEX('MATCH INFO'!O:O, INT((ROW()-2)/10)+2 + 29+29)</f>
        <v/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>
        <f>L6*86400</f>
        <v/>
      </c>
      <c r="N6" s="17">
        <f t="array" ref="N6">INDEX('MATCH INFO'!O:O, INT((ROW()-2)/10)+2 + 29+29)</f>
        <v/>
      </c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>
        <f>L7*86400</f>
        <v/>
      </c>
      <c r="N7" s="17">
        <f t="array" ref="N7">INDEX('MATCH INFO'!O:O, INT((ROW()-2)/10)+2 + 29+29)</f>
        <v/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>
        <f>L8*86400</f>
        <v/>
      </c>
      <c r="N8" s="17">
        <f t="array" ref="N8">INDEX('MATCH INFO'!O:O, INT((ROW()-2)/10)+2 + 29+29)</f>
        <v/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>
        <f>L9*86400</f>
        <v/>
      </c>
      <c r="N9" s="17">
        <f t="array" ref="N9">INDEX('MATCH INFO'!O:O, INT((ROW()-2)/10)+2 + 29+29)</f>
        <v/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>
        <f>L10*86400</f>
        <v/>
      </c>
      <c r="N10" s="17">
        <f t="array" ref="N10">INDEX('MATCH INFO'!O:O, INT((ROW()-2)/10)+2 + 29+29)</f>
        <v/>
      </c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>
        <f>L11*86400</f>
        <v/>
      </c>
      <c r="N11" s="17">
        <f t="array" ref="N11">INDEX('MATCH INFO'!O:O, INT((ROW()-2)/10)+2 + 29+29)</f>
        <v/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>
        <f>L12*86400</f>
        <v/>
      </c>
      <c r="N12" s="17">
        <f t="array" ref="N12">INDEX('MATCH INFO'!O:O, INT((ROW()-2)/10)+2 + 29+29)</f>
        <v/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>
        <f>L13*86400</f>
        <v/>
      </c>
      <c r="N13" s="17">
        <f t="array" ref="N13">INDEX('MATCH INFO'!O:O, INT((ROW()-2)/10)+2 + 29+29)</f>
        <v/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>
        <f>L14*86400</f>
        <v/>
      </c>
      <c r="N14" s="17">
        <f t="array" ref="N14">INDEX('MATCH INFO'!O:O, INT((ROW()-2)/10)+2 + 29+29)</f>
        <v/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>
        <f>L15*86400</f>
        <v/>
      </c>
      <c r="N15" s="17">
        <f t="array" ref="N15">INDEX('MATCH INFO'!O:O, INT((ROW()-2)/10)+2 + 29+29)</f>
        <v/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>
        <f>L16*86400</f>
        <v/>
      </c>
      <c r="N16" s="17">
        <f t="array" ref="N16">INDEX('MATCH INFO'!O:O, INT((ROW()-2)/10)+2 + 29+29)</f>
        <v/>
      </c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>
        <f>L17*86400</f>
        <v/>
      </c>
      <c r="N17" s="17">
        <f t="array" ref="N17">INDEX('MATCH INFO'!O:O, INT((ROW()-2)/10)+2 + 29+29)</f>
        <v/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>
        <f>L18*86400</f>
        <v/>
      </c>
      <c r="N18" s="17">
        <f t="array" ref="N18">INDEX('MATCH INFO'!O:O, INT((ROW()-2)/10)+2 + 29+29)</f>
        <v/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>
        <f>L19*86400</f>
        <v/>
      </c>
      <c r="N19" s="17">
        <f t="array" ref="N19">INDEX('MATCH INFO'!O:O, INT((ROW()-2)/10)+2 + 29+29)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>
        <f>L20*86400</f>
        <v/>
      </c>
      <c r="N20" s="17">
        <f t="array" ref="N20">INDEX('MATCH INFO'!O:O, INT((ROW()-2)/10)+2 + 29+29)</f>
        <v/>
      </c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>
        <f>L21*86400</f>
        <v/>
      </c>
      <c r="N21" s="17">
        <f t="array" ref="N21">INDEX('MATCH INFO'!O:O, INT((ROW()-2)/10)+2 + 29+29)</f>
        <v/>
      </c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>
        <f>L22*86400</f>
        <v/>
      </c>
      <c r="N22" s="17">
        <f t="array" ref="N22">INDEX('MATCH INFO'!O:O, INT((ROW()-2)/10)+2 + 29+29)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>
        <f>L23*86400</f>
        <v/>
      </c>
      <c r="N23" s="17">
        <f t="array" ref="N23">INDEX('MATCH INFO'!O:O, INT((ROW()-2)/10)+2 + 29+29)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>
        <f>L24*86400</f>
        <v/>
      </c>
      <c r="N24" s="17">
        <f t="array" ref="N24">INDEX('MATCH INFO'!O:O, INT((ROW()-2)/10)+2 + 29+29)</f>
        <v/>
      </c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>
        <f>L25*86400</f>
        <v/>
      </c>
      <c r="N25" s="17">
        <f t="array" ref="N25">INDEX('MATCH INFO'!O:O, INT((ROW()-2)/10)+2 + 29+29)</f>
        <v/>
      </c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>
        <f>L26*86400</f>
        <v/>
      </c>
      <c r="N26" s="17">
        <f t="array" ref="N26">INDEX('MATCH INFO'!O:O, INT((ROW()-2)/10)+2 + 29+29)</f>
        <v/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>
        <f>L27*86400</f>
        <v/>
      </c>
      <c r="N27" s="17">
        <f t="array" ref="N27">INDEX('MATCH INFO'!O:O, INT((ROW()-2)/10)+2 + 29+29)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>
        <f>L28*86400</f>
        <v/>
      </c>
      <c r="N28" s="17">
        <f t="array" ref="N28">INDEX('MATCH INFO'!O:O, INT((ROW()-2)/10)+2 + 29+29)</f>
        <v/>
      </c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>
        <f>L29*86400</f>
        <v/>
      </c>
      <c r="N29" s="17">
        <f t="array" ref="N29">INDEX('MATCH INFO'!O:O, INT((ROW()-2)/10)+2 + 29+29)</f>
        <v/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>
        <f>L30*86400</f>
        <v/>
      </c>
      <c r="N30" s="17">
        <f t="array" ref="N30">INDEX('MATCH INFO'!O:O, INT((ROW()-2)/10)+2 + 29+29)</f>
        <v/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>
        <f>L31*86400</f>
        <v/>
      </c>
      <c r="N31" s="17">
        <f t="array" ref="N31">INDEX('MATCH INFO'!O:O, INT((ROW()-2)/10)+2 + 29+29)</f>
        <v/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>
        <f>L32*86400</f>
        <v/>
      </c>
      <c r="N32" s="17">
        <f t="array" ref="N32">INDEX('MATCH INFO'!O:O, INT((ROW()-2)/10)+2 + 29+29)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>
        <f>L33*86400</f>
        <v/>
      </c>
      <c r="N33" s="17">
        <f t="array" ref="N33">INDEX('MATCH INFO'!O:O, INT((ROW()-2)/10)+2 + 29+29)</f>
        <v/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>
        <f>L34*86400</f>
        <v/>
      </c>
      <c r="N34" s="17">
        <f t="array" ref="N34">INDEX('MATCH INFO'!O:O, INT((ROW()-2)/10)+2 + 29+29)</f>
        <v/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>
        <f>L35*86400</f>
        <v/>
      </c>
      <c r="N35" s="17">
        <f t="array" ref="N35">INDEX('MATCH INFO'!O:O, INT((ROW()-2)/10)+2 + 29+29)</f>
        <v/>
      </c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>
        <f>L36*86400</f>
        <v/>
      </c>
      <c r="N36" s="17">
        <f t="array" ref="N36">INDEX('MATCH INFO'!O:O, INT((ROW()-2)/10)+2 + 29+29)</f>
        <v/>
      </c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>
        <f>L37*86400</f>
        <v/>
      </c>
      <c r="N37" s="17">
        <f t="array" ref="N37">INDEX('MATCH INFO'!O:O, INT((ROW()-2)/10)+2 + 29+29)</f>
        <v/>
      </c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>
        <f>L38*86400</f>
        <v/>
      </c>
      <c r="N38" s="17">
        <f t="array" ref="N38">INDEX('MATCH INFO'!O:O, INT((ROW()-2)/10)+2 + 29+29)</f>
        <v/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>
        <f>L39*86400</f>
        <v/>
      </c>
      <c r="N39" s="17">
        <f t="array" ref="N39">INDEX('MATCH INFO'!O:O, INT((ROW()-2)/10)+2 + 29+29)</f>
        <v/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>
        <f>L40*86400</f>
        <v/>
      </c>
      <c r="N40" s="17">
        <f t="array" ref="N40">INDEX('MATCH INFO'!O:O, INT((ROW()-2)/10)+2 + 29+29)</f>
        <v/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>
        <f>L41*86400</f>
        <v/>
      </c>
      <c r="N41" s="17">
        <f t="array" ref="N41">INDEX('MATCH INFO'!O:O, INT((ROW()-2)/10)+2 + 29+29)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>
        <f>L42*86400</f>
        <v/>
      </c>
      <c r="N42" s="17">
        <f t="array" ref="N42">INDEX('MATCH INFO'!O:O, INT((ROW()-2)/10)+2 + 29+29)</f>
        <v/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>
        <f>L43*86400</f>
        <v/>
      </c>
      <c r="N43" s="17">
        <f t="array" ref="N43">INDEX('MATCH INFO'!O:O, INT((ROW()-2)/10)+2 + 29+29)</f>
        <v/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>
        <f>L44*86400</f>
        <v/>
      </c>
      <c r="N44" s="17">
        <f t="array" ref="N44">INDEX('MATCH INFO'!O:O, INT((ROW()-2)/10)+2 + 29+29)</f>
        <v/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>
        <f>L45*86400</f>
        <v/>
      </c>
      <c r="N45" s="17">
        <f t="array" ref="N45">INDEX('MATCH INFO'!O:O, INT((ROW()-2)/10)+2 + 29+29)</f>
        <v/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>
        <f>L46*86400</f>
        <v/>
      </c>
      <c r="N46" s="17">
        <f t="array" ref="N46">INDEX('MATCH INFO'!O:O, INT((ROW()-2)/10)+2 + 29+29)</f>
        <v/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>
        <f>L47*86400</f>
        <v/>
      </c>
      <c r="N47" s="17">
        <f t="array" ref="N47">INDEX('MATCH INFO'!O:O, INT((ROW()-2)/10)+2 + 29+29)</f>
        <v/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>
        <f>L48*86400</f>
        <v/>
      </c>
      <c r="N48" s="17">
        <f t="array" ref="N48">INDEX('MATCH INFO'!O:O, INT((ROW()-2)/10)+2 + 29+29)</f>
        <v/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>
        <f>L49*86400</f>
        <v/>
      </c>
      <c r="N49" s="17">
        <f t="array" ref="N49">INDEX('MATCH INFO'!O:O, INT((ROW()-2)/10)+2 + 29+29)</f>
        <v/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>
        <f>L50*86400</f>
        <v/>
      </c>
      <c r="N50" s="17">
        <f t="array" ref="N50">INDEX('MATCH INFO'!O:O, INT((ROW()-2)/10)+2 + 29+29)</f>
        <v/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>
        <f>L51*86400</f>
        <v/>
      </c>
      <c r="N51" s="17">
        <f t="array" ref="N51">INDEX('MATCH INFO'!O:O, INT((ROW()-2)/10)+2 + 29+29)</f>
        <v/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>
        <f>L52*86400</f>
        <v/>
      </c>
      <c r="N52" s="17">
        <f t="array" ref="N52">INDEX('MATCH INFO'!O:O, INT((ROW()-2)/10)+2 + 29+29)</f>
        <v/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>
        <f>L53*86400</f>
        <v/>
      </c>
      <c r="N53" s="17">
        <f t="array" ref="N53">INDEX('MATCH INFO'!O:O, INT((ROW()-2)/10)+2 + 29+29)</f>
        <v/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>
        <f>L54*86400</f>
        <v/>
      </c>
      <c r="N54" s="17">
        <f t="array" ref="N54">INDEX('MATCH INFO'!O:O, INT((ROW()-2)/10)+2 + 29+29)</f>
        <v/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>
        <f>L55*86400</f>
        <v/>
      </c>
      <c r="N55" s="17">
        <f t="array" ref="N55">INDEX('MATCH INFO'!O:O, INT((ROW()-2)/10)+2 + 29+29)</f>
        <v/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>
        <f>L56*86400</f>
        <v/>
      </c>
      <c r="N56" s="17">
        <f t="array" ref="N56">INDEX('MATCH INFO'!O:O, INT((ROW()-2)/10)+2 + 29+29)</f>
        <v/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>
        <f>L57*86400</f>
        <v/>
      </c>
      <c r="N57" s="17">
        <f t="array" ref="N57">INDEX('MATCH INFO'!O:O, INT((ROW()-2)/10)+2 + 29+29)</f>
        <v/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>
        <f>L58*86400</f>
        <v/>
      </c>
      <c r="N58" s="17">
        <f t="array" ref="N58">INDEX('MATCH INFO'!O:O, INT((ROW()-2)/10)+2 + 29+29)</f>
        <v/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>
        <f>L59*86400</f>
        <v/>
      </c>
      <c r="N59" s="17">
        <f t="array" ref="N59">INDEX('MATCH INFO'!O:O, INT((ROW()-2)/10)+2 + 29+29)</f>
        <v/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>
        <f>L60*86400</f>
        <v/>
      </c>
      <c r="N60" s="17">
        <f t="array" ref="N60">INDEX('MATCH INFO'!O:O, INT((ROW()-2)/10)+2 + 29+29)</f>
        <v/>
      </c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>
        <f>L61*86400</f>
        <v/>
      </c>
      <c r="N61" s="17">
        <f t="array" ref="N61">INDEX('MATCH INFO'!O:O, INT((ROW()-2)/10)+2 + 29+29)</f>
        <v/>
      </c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>
        <f>L62*86400</f>
        <v/>
      </c>
      <c r="N62" s="17">
        <f t="array" ref="N62">INDEX('MATCH INFO'!O:O, INT((ROW()-2)/10)+2 + 29+29)</f>
        <v/>
      </c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>
        <f>L63*86400</f>
        <v/>
      </c>
      <c r="N63" s="17">
        <f t="array" ref="N63">INDEX('MATCH INFO'!O:O, INT((ROW()-2)/10)+2 + 29+29)</f>
        <v/>
      </c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>
        <f>L64*86400</f>
        <v/>
      </c>
      <c r="N64" s="17">
        <f t="array" ref="N64">INDEX('MATCH INFO'!O:O, INT((ROW()-2)/10)+2 + 29+29)</f>
        <v/>
      </c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>
        <f>L65*86400</f>
        <v/>
      </c>
      <c r="N65" s="17">
        <f t="array" ref="N65">INDEX('MATCH INFO'!O:O, INT((ROW()-2)/10)+2 + 29+29)</f>
        <v/>
      </c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>
        <f>L66*86400</f>
        <v/>
      </c>
      <c r="N66" s="17">
        <f t="array" ref="N66">INDEX('MATCH INFO'!O:O, INT((ROW()-2)/10)+2 + 29+29)</f>
        <v/>
      </c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>
        <f>L67*86400</f>
        <v/>
      </c>
      <c r="N67" s="17">
        <f t="array" ref="N67">INDEX('MATCH INFO'!O:O, INT((ROW()-2)/10)+2 + 29+29)</f>
        <v/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>
        <f>L68*86400</f>
        <v/>
      </c>
      <c r="N68" s="17">
        <f t="array" ref="N68">INDEX('MATCH INFO'!O:O, INT((ROW()-2)/10)+2 + 29+29)</f>
        <v/>
      </c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>
        <f>L69*86400</f>
        <v/>
      </c>
      <c r="N69" s="17">
        <f t="array" ref="N69">INDEX('MATCH INFO'!O:O, INT((ROW()-2)/10)+2 + 29+29)</f>
        <v/>
      </c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>
        <f>L70*86400</f>
        <v/>
      </c>
      <c r="N70" s="17">
        <f t="array" ref="N70">INDEX('MATCH INFO'!O:O, INT((ROW()-2)/10)+2 + 29+29)</f>
        <v/>
      </c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>
        <f>L71*86400</f>
        <v/>
      </c>
      <c r="N71" s="17">
        <f t="array" ref="N71">INDEX('MATCH INFO'!O:O, INT((ROW()-2)/10)+2 + 29+29)</f>
        <v/>
      </c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>
        <f>L72*86400</f>
        <v/>
      </c>
      <c r="N72" s="17">
        <f t="array" ref="N72">INDEX('MATCH INFO'!O:O, INT((ROW()-2)/10)+2 + 29+29)</f>
        <v/>
      </c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>
        <f>L73*86400</f>
        <v/>
      </c>
      <c r="N73" s="17">
        <f t="array" ref="N73">INDEX('MATCH INFO'!O:O, INT((ROW()-2)/10)+2 + 29+29)</f>
        <v/>
      </c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>
        <f>L74*86400</f>
        <v/>
      </c>
      <c r="N74" s="17">
        <f t="array" ref="N74">INDEX('MATCH INFO'!O:O, INT((ROW()-2)/10)+2 + 29+29)</f>
        <v/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>
        <f>L75*86400</f>
        <v/>
      </c>
      <c r="N75" s="17">
        <f t="array" ref="N75">INDEX('MATCH INFO'!O:O, INT((ROW()-2)/10)+2 + 29+29)</f>
        <v/>
      </c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>
        <f>L76*86400</f>
        <v/>
      </c>
      <c r="N76" s="17">
        <f t="array" ref="N76">INDEX('MATCH INFO'!O:O, INT((ROW()-2)/10)+2 + 29+29)</f>
        <v/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>
        <f>L77*86400</f>
        <v/>
      </c>
      <c r="N77" s="17">
        <f t="array" ref="N77">INDEX('MATCH INFO'!O:O, INT((ROW()-2)/10)+2 + 29+29)</f>
        <v/>
      </c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>
        <f>L78*86400</f>
        <v/>
      </c>
      <c r="N78" s="17">
        <f t="array" ref="N78">INDEX('MATCH INFO'!O:O, INT((ROW()-2)/10)+2 + 29+29)</f>
        <v/>
      </c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>
        <f>L79*86400</f>
        <v/>
      </c>
      <c r="N79" s="17">
        <f t="array" ref="N79">INDEX('MATCH INFO'!O:O, INT((ROW()-2)/10)+2 + 29+29)</f>
        <v/>
      </c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>
        <f>L80*86400</f>
        <v/>
      </c>
      <c r="N80" s="17">
        <f t="array" ref="N80">INDEX('MATCH INFO'!O:O, INT((ROW()-2)/10)+2 + 29+29)</f>
        <v/>
      </c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>
        <f>L81*86400</f>
        <v/>
      </c>
      <c r="N81" s="17">
        <f t="array" ref="N81">INDEX('MATCH INFO'!O:O, INT((ROW()-2)/10)+2 + 29+29)</f>
        <v/>
      </c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>
        <f>L82*86400</f>
        <v/>
      </c>
      <c r="N82" s="17">
        <f t="array" ref="N82">INDEX('MATCH INFO'!O:O, INT((ROW()-2)/10)+2 + 29+29)</f>
        <v/>
      </c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>
        <f>L83*86400</f>
        <v/>
      </c>
      <c r="N83" s="17">
        <f t="array" ref="N83">INDEX('MATCH INFO'!O:O, INT((ROW()-2)/10)+2 + 29+29)</f>
        <v/>
      </c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>
        <f>L84*86400</f>
        <v/>
      </c>
      <c r="N84" s="17">
        <f t="array" ref="N84">INDEX('MATCH INFO'!O:O, INT((ROW()-2)/10)+2 + 29+29)</f>
        <v/>
      </c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>
        <f>L85*86400</f>
        <v/>
      </c>
      <c r="N85" s="17">
        <f t="array" ref="N85">INDEX('MATCH INFO'!O:O, INT((ROW()-2)/10)+2 + 29+29)</f>
        <v/>
      </c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>
        <f>L86*86400</f>
        <v/>
      </c>
      <c r="N86" s="17">
        <f t="array" ref="N86">INDEX('MATCH INFO'!O:O, INT((ROW()-2)/10)+2 + 29+29)</f>
        <v/>
      </c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>
        <f>L87*86400</f>
        <v/>
      </c>
      <c r="N87" s="17">
        <f t="array" ref="N87">INDEX('MATCH INFO'!O:O, INT((ROW()-2)/10)+2 + 29+29)</f>
        <v/>
      </c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>
        <f>L88*86400</f>
        <v/>
      </c>
      <c r="N88" s="17">
        <f t="array" ref="N88">INDEX('MATCH INFO'!O:O, INT((ROW()-2)/10)+2 + 29+29)</f>
        <v/>
      </c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>
        <f>L89*86400</f>
        <v/>
      </c>
      <c r="N89" s="17">
        <f t="array" ref="N89">INDEX('MATCH INFO'!O:O, INT((ROW()-2)/10)+2 + 29+29)</f>
        <v/>
      </c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>
        <f>L90*86400</f>
        <v/>
      </c>
      <c r="N90" s="17">
        <f t="array" ref="N90">INDEX('MATCH INFO'!O:O, INT((ROW()-2)/10)+2 + 29+29)</f>
        <v/>
      </c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>
        <f>L91*86400</f>
        <v/>
      </c>
      <c r="N91" s="17">
        <f t="array" ref="N91">INDEX('MATCH INFO'!O:O, INT((ROW()-2)/10)+2 + 29+29)</f>
        <v/>
      </c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>
        <f>L92*86400</f>
        <v/>
      </c>
      <c r="N92" s="17">
        <f t="array" ref="N92">INDEX('MATCH INFO'!O:O, INT((ROW()-2)/10)+2 + 29+29)</f>
        <v/>
      </c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>
        <f>L93*86400</f>
        <v/>
      </c>
      <c r="N93" s="17">
        <f t="array" ref="N93">INDEX('MATCH INFO'!O:O, INT((ROW()-2)/10)+2 + 29+29)</f>
        <v/>
      </c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>
        <f>L94*86400</f>
        <v/>
      </c>
      <c r="N94" s="17">
        <f t="array" ref="N94">INDEX('MATCH INFO'!O:O, INT((ROW()-2)/10)+2 + 29+29)</f>
        <v/>
      </c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>
        <f>L95*86400</f>
        <v/>
      </c>
      <c r="N95" s="17">
        <f t="array" ref="N95">INDEX('MATCH INFO'!O:O, INT((ROW()-2)/10)+2 + 29+29)</f>
        <v/>
      </c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>
        <f>L96*86400</f>
        <v/>
      </c>
      <c r="N96" s="17">
        <f t="array" ref="N96">INDEX('MATCH INFO'!O:O, INT((ROW()-2)/10)+2 + 29+29)</f>
        <v/>
      </c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>
        <f>L97*86400</f>
        <v/>
      </c>
      <c r="N97" s="17">
        <f t="array" ref="N97">INDEX('MATCH INFO'!O:O, INT((ROW()-2)/10)+2 + 29+29)</f>
        <v/>
      </c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>
        <f>L98*86400</f>
        <v/>
      </c>
      <c r="N98" s="17">
        <f t="array" ref="N98">INDEX('MATCH INFO'!O:O, INT((ROW()-2)/10)+2 + 29+29)</f>
        <v/>
      </c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>
        <f>L99*86400</f>
        <v/>
      </c>
      <c r="N99" s="17">
        <f t="array" ref="N99">INDEX('MATCH INFO'!O:O, INT((ROW()-2)/10)+2 + 29+29)</f>
        <v/>
      </c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>
        <f>L100*86400</f>
        <v/>
      </c>
      <c r="N100" s="17">
        <f t="array" ref="N100">INDEX('MATCH INFO'!O:O, INT((ROW()-2)/10)+2 + 29+29)</f>
        <v/>
      </c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>
        <f>L101*86400</f>
        <v/>
      </c>
      <c r="N101" s="17">
        <f t="array" ref="N101">INDEX('MATCH INFO'!O:O, INT((ROW()-2)/10)+2 + 29+29)</f>
        <v/>
      </c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>
        <f>L102*86400</f>
        <v/>
      </c>
      <c r="N102" s="17">
        <f t="array" ref="N102">INDEX('MATCH INFO'!O:O, INT((ROW()-2)/10)+2 + 29+29)</f>
        <v/>
      </c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>
        <f>L103*86400</f>
        <v/>
      </c>
      <c r="N103" s="17">
        <f t="array" ref="N103">INDEX('MATCH INFO'!O:O, INT((ROW()-2)/10)+2 + 29+29)</f>
        <v/>
      </c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>
        <f>L104*86400</f>
        <v/>
      </c>
      <c r="N104" s="17">
        <f t="array" ref="N104">INDEX('MATCH INFO'!O:O, INT((ROW()-2)/10)+2 + 29+29)</f>
        <v/>
      </c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>
        <f>L105*86400</f>
        <v/>
      </c>
      <c r="N105" s="17">
        <f t="array" ref="N105">INDEX('MATCH INFO'!O:O, INT((ROW()-2)/10)+2 + 29+29)</f>
        <v/>
      </c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>
        <f>L106*86400</f>
        <v/>
      </c>
      <c r="N106" s="17">
        <f t="array" ref="N106">INDEX('MATCH INFO'!O:O, INT((ROW()-2)/10)+2 + 29+29)</f>
        <v/>
      </c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>
        <f>L107*86400</f>
        <v/>
      </c>
      <c r="N107" s="17">
        <f t="array" ref="N107">INDEX('MATCH INFO'!O:O, INT((ROW()-2)/10)+2 + 29+29)</f>
        <v/>
      </c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>
        <f>L108*86400</f>
        <v/>
      </c>
      <c r="N108" s="17">
        <f t="array" ref="N108">INDEX('MATCH INFO'!O:O, INT((ROW()-2)/10)+2 + 29+29)</f>
        <v/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>
        <f>L109*86400</f>
        <v/>
      </c>
      <c r="N109" s="17">
        <f t="array" ref="N109">INDEX('MATCH INFO'!O:O, INT((ROW()-2)/10)+2 + 29+29)</f>
        <v/>
      </c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>
        <f>L110*86400</f>
        <v/>
      </c>
      <c r="N110" s="17">
        <f t="array" ref="N110">INDEX('MATCH INFO'!O:O, INT((ROW()-2)/10)+2 + 29+29)</f>
        <v/>
      </c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>
        <f>L111*86400</f>
        <v/>
      </c>
      <c r="N111" s="17">
        <f t="array" ref="N111">INDEX('MATCH INFO'!O:O, INT((ROW()-2)/10)+2 + 29+29)</f>
        <v/>
      </c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>
        <f>L112*86400</f>
        <v/>
      </c>
      <c r="N112" s="17">
        <f t="array" ref="N112">INDEX('MATCH INFO'!O:O, INT((ROW()-2)/10)+2 + 29+29)</f>
        <v/>
      </c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>
        <f>L113*86400</f>
        <v/>
      </c>
      <c r="N113" s="17">
        <f t="array" ref="N113">INDEX('MATCH INFO'!O:O, INT((ROW()-2)/10)+2 + 29+29)</f>
        <v/>
      </c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>
        <f>L114*86400</f>
        <v/>
      </c>
      <c r="N114" s="17">
        <f t="array" ref="N114">INDEX('MATCH INFO'!O:O, INT((ROW()-2)/10)+2 + 29+29)</f>
        <v/>
      </c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>
        <f>L115*86400</f>
        <v/>
      </c>
      <c r="N115" s="17">
        <f t="array" ref="N115">INDEX('MATCH INFO'!O:O, INT((ROW()-2)/10)+2 + 29+29)</f>
        <v/>
      </c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>
        <f>L116*86400</f>
        <v/>
      </c>
      <c r="N116" s="17">
        <f t="array" ref="N116">INDEX('MATCH INFO'!O:O, INT((ROW()-2)/10)+2 + 29+29)</f>
        <v/>
      </c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>
        <f>L117*86400</f>
        <v/>
      </c>
      <c r="N117" s="17">
        <f t="array" ref="N117">INDEX('MATCH INFO'!O:O, INT((ROW()-2)/10)+2 + 29+29)</f>
        <v/>
      </c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>
        <f>L118*86400</f>
        <v/>
      </c>
      <c r="N118" s="17">
        <f t="array" ref="N118">INDEX('MATCH INFO'!O:O, INT((ROW()-2)/10)+2 + 29+29)</f>
        <v/>
      </c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>
        <f>L119*86400</f>
        <v/>
      </c>
      <c r="N119" s="17">
        <f t="array" ref="N119">INDEX('MATCH INFO'!O:O, INT((ROW()-2)/10)+2 + 29+29)</f>
        <v/>
      </c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>
        <f>L120*86400</f>
        <v/>
      </c>
      <c r="N120" s="17">
        <f t="array" ref="N120">INDEX('MATCH INFO'!O:O, INT((ROW()-2)/10)+2 + 29+29)</f>
        <v/>
      </c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>
        <f>L121*86400</f>
        <v/>
      </c>
      <c r="N121" s="17">
        <f t="array" ref="N121">INDEX('MATCH INFO'!O:O, INT((ROW()-2)/10)+2 + 29+29)</f>
        <v/>
      </c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>
        <f>L122*86400</f>
        <v/>
      </c>
      <c r="N122" s="17">
        <f t="array" ref="N122">INDEX('MATCH INFO'!O:O, INT((ROW()-2)/10)+2 + 29+29)</f>
        <v/>
      </c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>
        <f>L123*86400</f>
        <v/>
      </c>
      <c r="N123" s="17">
        <f t="array" ref="N123">INDEX('MATCH INFO'!O:O, INT((ROW()-2)/10)+2 + 29+29)</f>
        <v/>
      </c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>
        <f>L124*86400</f>
        <v/>
      </c>
      <c r="N124" s="17">
        <f t="array" ref="N124">INDEX('MATCH INFO'!O:O, INT((ROW()-2)/10)+2 + 29+29)</f>
        <v/>
      </c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>
        <f>L125*86400</f>
        <v/>
      </c>
      <c r="N125" s="17">
        <f t="array" ref="N125">INDEX('MATCH INFO'!O:O, INT((ROW()-2)/10)+2 + 29+29)</f>
        <v/>
      </c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>
        <f>L126*86400</f>
        <v/>
      </c>
      <c r="N126" s="17">
        <f t="array" ref="N126">INDEX('MATCH INFO'!O:O, INT((ROW()-2)/10)+2 + 29+29)</f>
        <v/>
      </c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>
        <f>L127*86400</f>
        <v/>
      </c>
      <c r="N127" s="17">
        <f t="array" ref="N127">INDEX('MATCH INFO'!O:O, INT((ROW()-2)/10)+2 + 29+29)</f>
        <v/>
      </c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>
        <f>L128*86400</f>
        <v/>
      </c>
      <c r="N128" s="17">
        <f t="array" ref="N128">INDEX('MATCH INFO'!O:O, INT((ROW()-2)/10)+2 + 29+29)</f>
        <v/>
      </c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>
        <f>L129*86400</f>
        <v/>
      </c>
      <c r="N129" s="17">
        <f t="array" ref="N129">INDEX('MATCH INFO'!O:O, INT((ROW()-2)/10)+2 + 29+29)</f>
        <v/>
      </c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>
        <f>L130*86400</f>
        <v/>
      </c>
      <c r="N130" s="17">
        <f t="array" ref="N130">INDEX('MATCH INFO'!O:O, INT((ROW()-2)/10)+2 + 29+29)</f>
        <v/>
      </c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>
        <f>L131*86400</f>
        <v/>
      </c>
      <c r="N131" s="17">
        <f t="array" ref="N131">INDEX('MATCH INFO'!O:O, INT((ROW()-2)/10)+2 + 29+29)</f>
        <v/>
      </c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>
        <f>L132*86400</f>
        <v/>
      </c>
      <c r="N132" s="17">
        <f t="array" ref="N132">INDEX('MATCH INFO'!O:O, INT((ROW()-2)/10)+2 + 29+29)</f>
        <v/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>
        <f>L133*86400</f>
        <v/>
      </c>
      <c r="N133" s="17">
        <f t="array" ref="N133">INDEX('MATCH INFO'!O:O, INT((ROW()-2)/10)+2 + 29+29)</f>
        <v/>
      </c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>
        <f>L134*86400</f>
        <v/>
      </c>
      <c r="N134" s="17">
        <f t="array" ref="N134">INDEX('MATCH INFO'!O:O, INT((ROW()-2)/10)+2 + 29+29)</f>
        <v/>
      </c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>
        <f>L135*86400</f>
        <v/>
      </c>
      <c r="N135" s="17">
        <f t="array" ref="N135">INDEX('MATCH INFO'!O:O, INT((ROW()-2)/10)+2 + 29+29)</f>
        <v/>
      </c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>
        <f>L136*86400</f>
        <v/>
      </c>
      <c r="N136" s="17">
        <f t="array" ref="N136">INDEX('MATCH INFO'!O:O, INT((ROW()-2)/10)+2 + 29+29)</f>
        <v/>
      </c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>
        <f>L137*86400</f>
        <v/>
      </c>
      <c r="N137" s="17">
        <f t="array" ref="N137">INDEX('MATCH INFO'!O:O, INT((ROW()-2)/10)+2 + 29+29)</f>
        <v/>
      </c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>
        <f>L138*86400</f>
        <v/>
      </c>
      <c r="N138" s="17">
        <f t="array" ref="N138">INDEX('MATCH INFO'!O:O, INT((ROW()-2)/10)+2 + 29+29)</f>
        <v/>
      </c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>
        <f>L139*86400</f>
        <v/>
      </c>
      <c r="N139" s="17">
        <f t="array" ref="N139">INDEX('MATCH INFO'!O:O, INT((ROW()-2)/10)+2 + 29+29)</f>
        <v/>
      </c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>
        <f>L140*86400</f>
        <v/>
      </c>
      <c r="N140" s="17">
        <f t="array" ref="N140">INDEX('MATCH INFO'!O:O, INT((ROW()-2)/10)+2 + 29+29)</f>
        <v/>
      </c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>
        <f>L141*86400</f>
        <v/>
      </c>
      <c r="N141" s="17">
        <f t="array" ref="N141">INDEX('MATCH INFO'!O:O, INT((ROW()-2)/10)+2 + 29+29)</f>
        <v/>
      </c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>
        <f>L142*86400</f>
        <v/>
      </c>
      <c r="N142" s="17">
        <f t="array" ref="N142">INDEX('MATCH INFO'!O:O, INT((ROW()-2)/10)+2 + 29+29)</f>
        <v/>
      </c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>
        <f>L143*86400</f>
        <v/>
      </c>
      <c r="N143" s="17">
        <f t="array" ref="N143">INDEX('MATCH INFO'!O:O, INT((ROW()-2)/10)+2 + 29+29)</f>
        <v/>
      </c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>
        <f>L144*86400</f>
        <v/>
      </c>
      <c r="N144" s="17">
        <f t="array" ref="N144">INDEX('MATCH INFO'!O:O, INT((ROW()-2)/10)+2 + 29+29)</f>
        <v/>
      </c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>
        <f>L145*86400</f>
        <v/>
      </c>
      <c r="N145" s="17">
        <f t="array" ref="N145">INDEX('MATCH INFO'!O:O, INT((ROW()-2)/10)+2 + 29+29)</f>
        <v/>
      </c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>
        <f>L146*86400</f>
        <v/>
      </c>
      <c r="N146" s="17">
        <f t="array" ref="N146">INDEX('MATCH INFO'!O:O, INT((ROW()-2)/10)+2 + 29+29)</f>
        <v/>
      </c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>
        <f>L147*86400</f>
        <v/>
      </c>
      <c r="N147" s="17">
        <f t="array" ref="N147">INDEX('MATCH INFO'!O:O, INT((ROW()-2)/10)+2 + 29+29)</f>
        <v/>
      </c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>
        <f>L148*86400</f>
        <v/>
      </c>
      <c r="N148" s="17">
        <f t="array" ref="N148">INDEX('MATCH INFO'!O:O, INT((ROW()-2)/10)+2 + 29+29)</f>
        <v/>
      </c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>
        <f>L149*86400</f>
        <v/>
      </c>
      <c r="N149" s="17">
        <f t="array" ref="N149">INDEX('MATCH INFO'!O:O, INT((ROW()-2)/10)+2 + 29+29)</f>
        <v/>
      </c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>
        <f>L150*86400</f>
        <v/>
      </c>
      <c r="N150" s="17">
        <f t="array" ref="N150">INDEX('MATCH INFO'!O:O, INT((ROW()-2)/10)+2 + 29+29)</f>
        <v/>
      </c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>
        <f>L151*86400</f>
        <v/>
      </c>
      <c r="N151" s="17">
        <f t="array" ref="N151">INDEX('MATCH INFO'!O:O, INT((ROW()-2)/10)+2 + 29+29)</f>
        <v/>
      </c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>
        <f>L152*86400</f>
        <v/>
      </c>
      <c r="N152" s="17">
        <f t="array" ref="N152">INDEX('MATCH INFO'!O:O, INT((ROW()-2)/10)+2 + 29+29)</f>
        <v/>
      </c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>
        <f>L153*86400</f>
        <v/>
      </c>
      <c r="N153" s="17">
        <f t="array" ref="N153">INDEX('MATCH INFO'!O:O, INT((ROW()-2)/10)+2 + 29+29)</f>
        <v/>
      </c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>
        <f>L154*86400</f>
        <v/>
      </c>
      <c r="N154" s="17">
        <f t="array" ref="N154">INDEX('MATCH INFO'!O:O, INT((ROW()-2)/10)+2 + 29+29)</f>
        <v/>
      </c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>
        <f>L155*86400</f>
        <v/>
      </c>
      <c r="N155" s="17">
        <f t="array" ref="N155">INDEX('MATCH INFO'!O:O, INT((ROW()-2)/10)+2 + 29+29)</f>
        <v/>
      </c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>
        <f>L156*86400</f>
        <v/>
      </c>
      <c r="N156" s="17">
        <f t="array" ref="N156">INDEX('MATCH INFO'!O:O, INT((ROW()-2)/10)+2 + 29+29)</f>
        <v/>
      </c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>
        <f>L157*86400</f>
        <v/>
      </c>
      <c r="N157" s="17">
        <f t="array" ref="N157">INDEX('MATCH INFO'!O:O, INT((ROW()-2)/10)+2 + 29+29)</f>
        <v/>
      </c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>
        <f>L158*86400</f>
        <v/>
      </c>
      <c r="N158" s="17">
        <f t="array" ref="N158">INDEX('MATCH INFO'!O:O, INT((ROW()-2)/10)+2 + 29+29)</f>
        <v/>
      </c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>
        <f>L159*86400</f>
        <v/>
      </c>
      <c r="N159" s="17">
        <f t="array" ref="N159">INDEX('MATCH INFO'!O:O, INT((ROW()-2)/10)+2 + 29+29)</f>
        <v/>
      </c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>
        <f>L160*86400</f>
        <v/>
      </c>
      <c r="N160" s="17">
        <f t="array" ref="N160">INDEX('MATCH INFO'!O:O, INT((ROW()-2)/10)+2 + 29+29)</f>
        <v/>
      </c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>
        <f>L161*86400</f>
        <v/>
      </c>
      <c r="N161" s="17">
        <f t="array" ref="N161">INDEX('MATCH INFO'!O:O, INT((ROW()-2)/10)+2 + 29+29)</f>
        <v/>
      </c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>
        <f>L162*86400</f>
        <v/>
      </c>
      <c r="N162" s="17">
        <f t="array" ref="N162">INDEX('MATCH INFO'!O:O, INT((ROW()-2)/10)+2 + 29+29)</f>
        <v/>
      </c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>
        <f>L163*86400</f>
        <v/>
      </c>
      <c r="N163" s="17">
        <f t="array" ref="N163">INDEX('MATCH INFO'!O:O, INT((ROW()-2)/10)+2 + 29+29)</f>
        <v/>
      </c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>
        <f>L164*86400</f>
        <v/>
      </c>
      <c r="N164" s="17">
        <f t="array" ref="N164">INDEX('MATCH INFO'!O:O, INT((ROW()-2)/10)+2 + 29+29)</f>
        <v/>
      </c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>
        <f>L165*86400</f>
        <v/>
      </c>
      <c r="N165" s="17">
        <f t="array" ref="N165">INDEX('MATCH INFO'!O:O, INT((ROW()-2)/10)+2 + 29+29)</f>
        <v/>
      </c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>
        <f>L166*86400</f>
        <v/>
      </c>
      <c r="N166" s="17">
        <f t="array" ref="N166">INDEX('MATCH INFO'!O:O, INT((ROW()-2)/10)+2 + 29+29)</f>
        <v/>
      </c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>
        <f>L167*86400</f>
        <v/>
      </c>
      <c r="N167" s="17">
        <f t="array" ref="N167">INDEX('MATCH INFO'!O:O, INT((ROW()-2)/10)+2 + 29+29)</f>
        <v/>
      </c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>
        <f>L168*86400</f>
        <v/>
      </c>
      <c r="N168" s="17">
        <f t="array" ref="N168">INDEX('MATCH INFO'!O:O, INT((ROW()-2)/10)+2 + 29+29)</f>
        <v/>
      </c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>
        <f>L169*86400</f>
        <v/>
      </c>
      <c r="N169" s="17">
        <f t="array" ref="N169">INDEX('MATCH INFO'!O:O, INT((ROW()-2)/10)+2 + 29+29)</f>
        <v/>
      </c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>
        <f>L170*86400</f>
        <v/>
      </c>
      <c r="N170" s="17">
        <f t="array" ref="N170">INDEX('MATCH INFO'!O:O, INT((ROW()-2)/10)+2 + 29+29)</f>
        <v/>
      </c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>
        <f>L171*86400</f>
        <v/>
      </c>
      <c r="N171" s="17">
        <f t="array" ref="N171">INDEX('MATCH INFO'!O:O, INT((ROW()-2)/10)+2 + 29+29)</f>
        <v/>
      </c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>
        <f>L172*86400</f>
        <v/>
      </c>
      <c r="N172" s="17">
        <f t="array" ref="N172">INDEX('MATCH INFO'!O:O, INT((ROW()-2)/10)+2 + 29+29)</f>
        <v/>
      </c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>
        <f>L173*86400</f>
        <v/>
      </c>
      <c r="N173" s="17">
        <f t="array" ref="N173">INDEX('MATCH INFO'!O:O, INT((ROW()-2)/10)+2 + 29+29)</f>
        <v/>
      </c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>
        <f>L174*86400</f>
        <v/>
      </c>
      <c r="N174" s="17">
        <f t="array" ref="N174">INDEX('MATCH INFO'!O:O, INT((ROW()-2)/10)+2 + 29+29)</f>
        <v/>
      </c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>
        <f>L175*86400</f>
        <v/>
      </c>
      <c r="N175" s="17">
        <f t="array" ref="N175">INDEX('MATCH INFO'!O:O, INT((ROW()-2)/10)+2 + 29+29)</f>
        <v/>
      </c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>
        <f>L176*86400</f>
        <v/>
      </c>
      <c r="N176" s="17">
        <f t="array" ref="N176">INDEX('MATCH INFO'!O:O, INT((ROW()-2)/10)+2 + 29+29)</f>
        <v/>
      </c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>
        <f>L177*86400</f>
        <v/>
      </c>
      <c r="N177" s="17">
        <f t="array" ref="N177">INDEX('MATCH INFO'!O:O, INT((ROW()-2)/10)+2 + 29+29)</f>
        <v/>
      </c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>
        <f>L178*86400</f>
        <v/>
      </c>
      <c r="N178" s="17">
        <f t="array" ref="N178">INDEX('MATCH INFO'!O:O, INT((ROW()-2)/10)+2 + 29+29)</f>
        <v/>
      </c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>
        <f>L179*86400</f>
        <v/>
      </c>
      <c r="N179" s="17">
        <f t="array" ref="N179">INDEX('MATCH INFO'!O:O, INT((ROW()-2)/10)+2 + 29+29)</f>
        <v/>
      </c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>
        <f>L180*86400</f>
        <v/>
      </c>
      <c r="N180" s="17">
        <f t="array" ref="N180">INDEX('MATCH INFO'!O:O, INT((ROW()-2)/10)+2 + 29+29)</f>
        <v/>
      </c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>
        <f>L181*86400</f>
        <v/>
      </c>
      <c r="N181" s="17">
        <f t="array" ref="N181">INDEX('MATCH INFO'!O:O, INT((ROW()-2)/10)+2 + 29+29)</f>
        <v/>
      </c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>
        <f>L182*86400</f>
        <v/>
      </c>
      <c r="N182" s="17">
        <f t="array" ref="N182">INDEX('MATCH INFO'!O:O, INT((ROW()-2)/10)+2 + 29+29)</f>
        <v/>
      </c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>
        <f>L183*86400</f>
        <v/>
      </c>
      <c r="N183" s="17">
        <f t="array" ref="N183">INDEX('MATCH INFO'!O:O, INT((ROW()-2)/10)+2 + 29+29)</f>
        <v/>
      </c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>
        <f>L184*86400</f>
        <v/>
      </c>
      <c r="N184" s="17">
        <f t="array" ref="N184">INDEX('MATCH INFO'!O:O, INT((ROW()-2)/10)+2 + 29+29)</f>
        <v/>
      </c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>
        <f>L185*86400</f>
        <v/>
      </c>
      <c r="N185" s="17">
        <f t="array" ref="N185">INDEX('MATCH INFO'!O:O, INT((ROW()-2)/10)+2 + 29+29)</f>
        <v/>
      </c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>
        <f>L186*86400</f>
        <v/>
      </c>
      <c r="N186" s="17">
        <f t="array" ref="N186">INDEX('MATCH INFO'!O:O, INT((ROW()-2)/10)+2 + 29+29)</f>
        <v/>
      </c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>
        <f>L187*86400</f>
        <v/>
      </c>
      <c r="N187" s="17">
        <f t="array" ref="N187">INDEX('MATCH INFO'!O:O, INT((ROW()-2)/10)+2 + 29+29)</f>
        <v/>
      </c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>
        <f>L188*86400</f>
        <v/>
      </c>
      <c r="N188" s="17">
        <f t="array" ref="N188">INDEX('MATCH INFO'!O:O, INT((ROW()-2)/10)+2 + 29+29)</f>
        <v/>
      </c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>
        <f>L189*86400</f>
        <v/>
      </c>
      <c r="N189" s="17">
        <f t="array" ref="N189">INDEX('MATCH INFO'!O:O, INT((ROW()-2)/10)+2 + 29+29)</f>
        <v/>
      </c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>
        <f>L190*86400</f>
        <v/>
      </c>
      <c r="N190" s="17">
        <f t="array" ref="N190">INDEX('MATCH INFO'!O:O, INT((ROW()-2)/10)+2 + 29+29)</f>
        <v/>
      </c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>
        <f>L191*86400</f>
        <v/>
      </c>
      <c r="N191" s="17">
        <f t="array" ref="N191">INDEX('MATCH INFO'!O:O, INT((ROW()-2)/10)+2 + 29+29)</f>
        <v/>
      </c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>
        <f>L192*86400</f>
        <v/>
      </c>
      <c r="N192" s="17">
        <f t="array" ref="N192">INDEX('MATCH INFO'!O:O, INT((ROW()-2)/10)+2 + 29+29)</f>
        <v/>
      </c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>
        <f>L193*86400</f>
        <v/>
      </c>
      <c r="N193" s="17">
        <f t="array" ref="N193">INDEX('MATCH INFO'!O:O, INT((ROW()-2)/10)+2 + 29+29)</f>
        <v/>
      </c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>
        <f>L194*86400</f>
        <v/>
      </c>
      <c r="N194" s="17">
        <f t="array" ref="N194">INDEX('MATCH INFO'!O:O, INT((ROW()-2)/10)+2 + 29+29)</f>
        <v/>
      </c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>
        <f>L195*86400</f>
        <v/>
      </c>
      <c r="N195" s="17">
        <f t="array" ref="N195">INDEX('MATCH INFO'!O:O, INT((ROW()-2)/10)+2 + 29+29)</f>
        <v/>
      </c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>
        <f>L196*86400</f>
        <v/>
      </c>
      <c r="N196" s="17">
        <f t="array" ref="N196">INDEX('MATCH INFO'!O:O, INT((ROW()-2)/10)+2 + 29+29)</f>
        <v/>
      </c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>
        <f>L197*86400</f>
        <v/>
      </c>
      <c r="N197" s="17">
        <f t="array" ref="N197">INDEX('MATCH INFO'!O:O, INT((ROW()-2)/10)+2 + 29+29)</f>
        <v/>
      </c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>
        <f>L198*86400</f>
        <v/>
      </c>
      <c r="N198" s="17">
        <f t="array" ref="N198">INDEX('MATCH INFO'!O:O, INT((ROW()-2)/10)+2 + 29+29)</f>
        <v/>
      </c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>
        <f>L199*86400</f>
        <v/>
      </c>
      <c r="N199" s="17">
        <f t="array" ref="N199">INDEX('MATCH INFO'!O:O, INT((ROW()-2)/10)+2 + 29+29)</f>
        <v/>
      </c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>
        <f>L200*86400</f>
        <v/>
      </c>
      <c r="N200" s="17">
        <f t="array" ref="N200">INDEX('MATCH INFO'!O:O, INT((ROW()-2)/10)+2 + 29+29)</f>
        <v/>
      </c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>
        <f>L201*86400</f>
        <v/>
      </c>
      <c r="N201" s="17">
        <f t="array" ref="N201">INDEX('MATCH INFO'!O:O, INT((ROW()-2)/10)+2 + 29+29)</f>
        <v/>
      </c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>
        <f>L202*86400</f>
        <v/>
      </c>
      <c r="N202" s="17">
        <f t="array" ref="N202">INDEX('MATCH INFO'!O:O, INT((ROW()-2)/10)+2 + 29+29)</f>
        <v/>
      </c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>
        <f>L203*86400</f>
        <v/>
      </c>
      <c r="N203" s="17">
        <f t="array" ref="N203">INDEX('MATCH INFO'!O:O, INT((ROW()-2)/10)+2 + 29+29)</f>
        <v/>
      </c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>
        <f>L204*86400</f>
        <v/>
      </c>
      <c r="N204" s="17">
        <f t="array" ref="N204">INDEX('MATCH INFO'!O:O, INT((ROW()-2)/10)+2 + 29+29)</f>
        <v/>
      </c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>
        <f>L205*86400</f>
        <v/>
      </c>
      <c r="N205" s="17">
        <f t="array" ref="N205">INDEX('MATCH INFO'!O:O, INT((ROW()-2)/10)+2 + 29+29)</f>
        <v/>
      </c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>
        <f>L206*86400</f>
        <v/>
      </c>
      <c r="N206" s="17">
        <f t="array" ref="N206">INDEX('MATCH INFO'!O:O, INT((ROW()-2)/10)+2 + 29+29)</f>
        <v/>
      </c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>
        <f>L207*86400</f>
        <v/>
      </c>
      <c r="N207" s="17">
        <f t="array" ref="N207">INDEX('MATCH INFO'!O:O, INT((ROW()-2)/10)+2 + 29+29)</f>
        <v/>
      </c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>
        <f>L208*86400</f>
        <v/>
      </c>
      <c r="N208" s="17">
        <f t="array" ref="N208">INDEX('MATCH INFO'!O:O, INT((ROW()-2)/10)+2 + 29+29)</f>
        <v/>
      </c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>
        <f>L209*86400</f>
        <v/>
      </c>
      <c r="N209" s="17">
        <f t="array" ref="N209">INDEX('MATCH INFO'!O:O, INT((ROW()-2)/10)+2 + 29+29)</f>
        <v/>
      </c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>
        <f>L210*86400</f>
        <v/>
      </c>
      <c r="N210" s="17">
        <f t="array" ref="N210">INDEX('MATCH INFO'!O:O, INT((ROW()-2)/10)+2 + 29+29)</f>
        <v/>
      </c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>
        <f>L211*86400</f>
        <v/>
      </c>
      <c r="N211" s="17">
        <f t="array" ref="N211">INDEX('MATCH INFO'!O:O, INT((ROW()-2)/10)+2 + 29+29)</f>
        <v/>
      </c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>
        <f>L212*86400</f>
        <v/>
      </c>
      <c r="N212" s="17">
        <f t="array" ref="N212">INDEX('MATCH INFO'!O:O, INT((ROW()-2)/10)+2 + 29+29)</f>
        <v/>
      </c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>
        <f>L213*86400</f>
        <v/>
      </c>
      <c r="N213" s="17">
        <f t="array" ref="N213">INDEX('MATCH INFO'!O:O, INT((ROW()-2)/10)+2 + 29+29)</f>
        <v/>
      </c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>
        <f>L214*86400</f>
        <v/>
      </c>
      <c r="N214" s="17">
        <f t="array" ref="N214">INDEX('MATCH INFO'!O:O, INT((ROW()-2)/10)+2 + 29+29)</f>
        <v/>
      </c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>
        <f>L215*86400</f>
        <v/>
      </c>
      <c r="N215" s="17">
        <f t="array" ref="N215">INDEX('MATCH INFO'!O:O, INT((ROW()-2)/10)+2 + 29+29)</f>
        <v/>
      </c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>
        <f>L216*86400</f>
        <v/>
      </c>
      <c r="N216" s="17">
        <f t="array" ref="N216">INDEX('MATCH INFO'!O:O, INT((ROW()-2)/10)+2 + 29+29)</f>
        <v/>
      </c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>
        <f>L217*86400</f>
        <v/>
      </c>
      <c r="N217" s="17">
        <f t="array" ref="N217">INDEX('MATCH INFO'!O:O, INT((ROW()-2)/10)+2 + 29+29)</f>
        <v/>
      </c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>
        <f>L218*86400</f>
        <v/>
      </c>
      <c r="N218" s="17">
        <f t="array" ref="N218">INDEX('MATCH INFO'!O:O, INT((ROW()-2)/10)+2 + 29+29)</f>
        <v/>
      </c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>
        <f>L219*86400</f>
        <v/>
      </c>
      <c r="N219" s="17">
        <f t="array" ref="N219">INDEX('MATCH INFO'!O:O, INT((ROW()-2)/10)+2 + 29+29)</f>
        <v/>
      </c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>
        <f>L220*86400</f>
        <v/>
      </c>
      <c r="N220" s="17">
        <f t="array" ref="N220">INDEX('MATCH INFO'!O:O, INT((ROW()-2)/10)+2 + 29+29)</f>
        <v/>
      </c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>
        <f>L221*86400</f>
        <v/>
      </c>
      <c r="N221" s="17">
        <f t="array" ref="N221">INDEX('MATCH INFO'!O:O, INT((ROW()-2)/10)+2 + 29+29)</f>
        <v/>
      </c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>
        <f>L222*86400</f>
        <v/>
      </c>
      <c r="N222" s="17">
        <f t="array" ref="N222">INDEX('MATCH INFO'!O:O, INT((ROW()-2)/10)+2 + 29+29)</f>
        <v/>
      </c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>
        <f>L223*86400</f>
        <v/>
      </c>
      <c r="N223" s="17">
        <f t="array" ref="N223">INDEX('MATCH INFO'!O:O, INT((ROW()-2)/10)+2 + 29+29)</f>
        <v/>
      </c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>
        <f>L224*86400</f>
        <v/>
      </c>
      <c r="N224" s="17">
        <f t="array" ref="N224">INDEX('MATCH INFO'!O:O, INT((ROW()-2)/10)+2 + 29+29)</f>
        <v/>
      </c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>
        <f>L225*86400</f>
        <v/>
      </c>
      <c r="N225" s="17">
        <f t="array" ref="N225">INDEX('MATCH INFO'!O:O, INT((ROW()-2)/10)+2 + 29+29)</f>
        <v/>
      </c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>
        <f>L226*86400</f>
        <v/>
      </c>
      <c r="N226" s="17">
        <f t="array" ref="N226">INDEX('MATCH INFO'!O:O, INT((ROW()-2)/10)+2 + 29+29)</f>
        <v/>
      </c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>
        <f>L227*86400</f>
        <v/>
      </c>
      <c r="N227" s="17">
        <f t="array" ref="N227">INDEX('MATCH INFO'!O:O, INT((ROW()-2)/10)+2 + 29+29)</f>
        <v/>
      </c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>
        <f>L228*86400</f>
        <v/>
      </c>
      <c r="N228" s="17">
        <f t="array" ref="N228">INDEX('MATCH INFO'!O:O, INT((ROW()-2)/10)+2 + 29+29)</f>
        <v/>
      </c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>
        <f>L229*86400</f>
        <v/>
      </c>
      <c r="N229" s="17">
        <f t="array" ref="N229">INDEX('MATCH INFO'!O:O, INT((ROW()-2)/10)+2 + 29+29)</f>
        <v/>
      </c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>
        <f>L230*86400</f>
        <v/>
      </c>
      <c r="N230" s="17">
        <f t="array" ref="N230">INDEX('MATCH INFO'!O:O, INT((ROW()-2)/10)+2 + 29+29)</f>
        <v/>
      </c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>
        <f>L231*86400</f>
        <v/>
      </c>
      <c r="N231" s="17">
        <f t="array" ref="N231">INDEX('MATCH INFO'!O:O, INT((ROW()-2)/10)+2 + 29+29)</f>
        <v/>
      </c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>
        <f>L232*86400</f>
        <v/>
      </c>
      <c r="N232" s="17">
        <f t="array" ref="N232">INDEX('MATCH INFO'!O:O, INT((ROW()-2)/10)+2 + 29+29)</f>
        <v/>
      </c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>
        <f>L233*86400</f>
        <v/>
      </c>
      <c r="N233" s="17">
        <f t="array" ref="N233">INDEX('MATCH INFO'!O:O, INT((ROW()-2)/10)+2 + 29+29)</f>
        <v/>
      </c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>
        <f>L234*86400</f>
        <v/>
      </c>
      <c r="N234" s="17">
        <f t="array" ref="N234">INDEX('MATCH INFO'!O:O, INT((ROW()-2)/10)+2 + 29+29)</f>
        <v/>
      </c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>
        <f>L235*86400</f>
        <v/>
      </c>
      <c r="N235" s="17">
        <f t="array" ref="N235">INDEX('MATCH INFO'!O:O, INT((ROW()-2)/10)+2 + 29+29)</f>
        <v/>
      </c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>
        <f>L236*86400</f>
        <v/>
      </c>
      <c r="N236" s="17">
        <f t="array" ref="N236">INDEX('MATCH INFO'!O:O, INT((ROW()-2)/10)+2 + 29+29)</f>
        <v/>
      </c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>
        <f>L237*86400</f>
        <v/>
      </c>
      <c r="N237" s="17">
        <f t="array" ref="N237">INDEX('MATCH INFO'!O:O, INT((ROW()-2)/10)+2 + 29+29)</f>
        <v/>
      </c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>
        <f>L238*86400</f>
        <v/>
      </c>
      <c r="N238" s="17">
        <f t="array" ref="N238">INDEX('MATCH INFO'!O:O, INT((ROW()-2)/10)+2 + 29+29)</f>
        <v/>
      </c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>
        <f>L239*86400</f>
        <v/>
      </c>
      <c r="N239" s="17">
        <f t="array" ref="N239">INDEX('MATCH INFO'!O:O, INT((ROW()-2)/10)+2 + 29+29)</f>
        <v/>
      </c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>
        <f>L240*86400</f>
        <v/>
      </c>
      <c r="N240" s="17">
        <f t="array" ref="N240">INDEX('MATCH INFO'!O:O, INT((ROW()-2)/10)+2 + 29+29)</f>
        <v/>
      </c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>
        <f>L241*86400</f>
        <v/>
      </c>
      <c r="N241" s="17">
        <f t="array" ref="N241">INDEX('MATCH INFO'!O:O, INT((ROW()-2)/10)+2 + 29+29)</f>
        <v/>
      </c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>
        <f>L242*86400</f>
        <v/>
      </c>
      <c r="N242" s="17">
        <f t="array" ref="N242">INDEX('MATCH INFO'!O:O, INT((ROW()-2)/10)+2 + 29+29)</f>
        <v/>
      </c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>
        <f>L243*86400</f>
        <v/>
      </c>
      <c r="N243" s="17">
        <f t="array" ref="N243">INDEX('MATCH INFO'!O:O, INT((ROW()-2)/10)+2 + 29+29)</f>
        <v/>
      </c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>
        <f>L244*86400</f>
        <v/>
      </c>
      <c r="N244" s="17">
        <f t="array" ref="N244">INDEX('MATCH INFO'!O:O, INT((ROW()-2)/10)+2 + 29+29)</f>
        <v/>
      </c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>
        <f>L245*86400</f>
        <v/>
      </c>
      <c r="N245" s="17">
        <f t="array" ref="N245">INDEX('MATCH INFO'!O:O, INT((ROW()-2)/10)+2 + 29+29)</f>
        <v/>
      </c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>
        <f>L246*86400</f>
        <v/>
      </c>
      <c r="N246" s="17">
        <f t="array" ref="N246">INDEX('MATCH INFO'!O:O, INT((ROW()-2)/10)+2 + 29+29)</f>
        <v/>
      </c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>
        <f>L247*86400</f>
        <v/>
      </c>
      <c r="N247" s="17">
        <f t="array" ref="N247">INDEX('MATCH INFO'!O:O, INT((ROW()-2)/10)+2 + 29+29)</f>
        <v/>
      </c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>
        <f>L248*86400</f>
        <v/>
      </c>
      <c r="N248" s="17">
        <f t="array" ref="N248">INDEX('MATCH INFO'!O:O, INT((ROW()-2)/10)+2 + 29+29)</f>
        <v/>
      </c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>
        <f>L249*86400</f>
        <v/>
      </c>
      <c r="N249" s="17">
        <f t="array" ref="N249">INDEX('MATCH INFO'!O:O, INT((ROW()-2)/10)+2 + 29+29)</f>
        <v/>
      </c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>
        <f>L250*86400</f>
        <v/>
      </c>
      <c r="N250" s="17">
        <f t="array" ref="N250">INDEX('MATCH INFO'!O:O, INT((ROW()-2)/10)+2 + 29+29)</f>
        <v/>
      </c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>
        <f>L251*86400</f>
        <v/>
      </c>
      <c r="N251" s="17">
        <f t="array" ref="N251">INDEX('MATCH INFO'!O:O, INT((ROW()-2)/10)+2 + 29+29)</f>
        <v/>
      </c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>
        <f>L252*86400</f>
        <v/>
      </c>
      <c r="N252" s="17">
        <f t="array" ref="N252">INDEX('MATCH INFO'!O:O, INT((ROW()-2)/10)+2 + 29+29)</f>
        <v/>
      </c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>
        <f>L253*86400</f>
        <v/>
      </c>
      <c r="N253" s="17">
        <f t="array" ref="N253">INDEX('MATCH INFO'!O:O, INT((ROW()-2)/10)+2 + 29+29)</f>
        <v/>
      </c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>
        <f>L254*86400</f>
        <v/>
      </c>
      <c r="N254" s="17">
        <f t="array" ref="N254">INDEX('MATCH INFO'!O:O, INT((ROW()-2)/10)+2 + 29+29)</f>
        <v/>
      </c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>
        <f>L255*86400</f>
        <v/>
      </c>
      <c r="N255" s="17">
        <f t="array" ref="N255">INDEX('MATCH INFO'!O:O, INT((ROW()-2)/10)+2 + 29+29)</f>
        <v/>
      </c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>
        <f>L256*86400</f>
        <v/>
      </c>
      <c r="N256" s="17">
        <f t="array" ref="N256">INDEX('MATCH INFO'!O:O, INT((ROW()-2)/10)+2 + 29+29)</f>
        <v/>
      </c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>
        <f>L257*86400</f>
        <v/>
      </c>
      <c r="N257" s="17">
        <f t="array" ref="N257">INDEX('MATCH INFO'!O:O, INT((ROW()-2)/10)+2 + 29+29)</f>
        <v/>
      </c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>
        <f>L258*86400</f>
        <v/>
      </c>
      <c r="N258" s="17">
        <f t="array" ref="N258">INDEX('MATCH INFO'!O:O, INT((ROW()-2)/10)+2 + 29+29)</f>
        <v/>
      </c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>
        <f>L259*86400</f>
        <v/>
      </c>
      <c r="N259" s="17">
        <f t="array" ref="N259">INDEX('MATCH INFO'!O:O, INT((ROW()-2)/10)+2 + 29+29)</f>
        <v/>
      </c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>
        <f>L260*86400</f>
        <v/>
      </c>
      <c r="N260" s="17">
        <f t="array" ref="N260">INDEX('MATCH INFO'!O:O, INT((ROW()-2)/10)+2 + 29+29)</f>
        <v/>
      </c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>
        <f>L261*86400</f>
        <v/>
      </c>
      <c r="N261" s="17">
        <f t="array" ref="N261">INDEX('MATCH INFO'!O:O, INT((ROW()-2)/10)+2 + 29+29)</f>
        <v/>
      </c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>
        <f>L262*86400</f>
        <v/>
      </c>
      <c r="N262" s="17">
        <f t="array" ref="N262">INDEX('MATCH INFO'!O:O, INT((ROW()-2)/10)+2 + 29+29)</f>
        <v/>
      </c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>
        <f>L263*86400</f>
        <v/>
      </c>
      <c r="N263" s="17">
        <f t="array" ref="N263">INDEX('MATCH INFO'!O:O, INT((ROW()-2)/10)+2 + 29+29)</f>
        <v/>
      </c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>
        <f>L264*86400</f>
        <v/>
      </c>
      <c r="N264" s="17">
        <f t="array" ref="N264">INDEX('MATCH INFO'!O:O, INT((ROW()-2)/10)+2 + 29+29)</f>
        <v/>
      </c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>
        <f>L265*86400</f>
        <v/>
      </c>
      <c r="N265" s="17">
        <f t="array" ref="N265">INDEX('MATCH INFO'!O:O, INT((ROW()-2)/10)+2 + 29+29)</f>
        <v/>
      </c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>
        <f>L266*86400</f>
        <v/>
      </c>
      <c r="N266" s="17">
        <f t="array" ref="N266">INDEX('MATCH INFO'!O:O, INT((ROW()-2)/10)+2 + 29+29)</f>
        <v/>
      </c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>
        <f>L267*86400</f>
        <v/>
      </c>
      <c r="N267" s="17">
        <f t="array" ref="N267">INDEX('MATCH INFO'!O:O, INT((ROW()-2)/10)+2 + 29+29)</f>
        <v/>
      </c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>
        <f>L268*86400</f>
        <v/>
      </c>
      <c r="N268" s="17">
        <f t="array" ref="N268">INDEX('MATCH INFO'!O:O, INT((ROW()-2)/10)+2 + 29+29)</f>
        <v/>
      </c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>
        <f>L269*86400</f>
        <v/>
      </c>
      <c r="N269" s="17">
        <f t="array" ref="N269">INDEX('MATCH INFO'!O:O, INT((ROW()-2)/10)+2 + 29+29)</f>
        <v/>
      </c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>
        <f>L270*86400</f>
        <v/>
      </c>
      <c r="N270" s="17">
        <f t="array" ref="N270">INDEX('MATCH INFO'!O:O, INT((ROW()-2)/10)+2 + 29+29)</f>
        <v/>
      </c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>
        <f>L271*86400</f>
        <v/>
      </c>
      <c r="N271" s="17">
        <f t="array" ref="N271">INDEX('MATCH INFO'!O:O, INT((ROW()-2)/10)+2 + 29+29)</f>
        <v/>
      </c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>
        <f>L272*86400</f>
        <v/>
      </c>
      <c r="N272" s="17">
        <f t="array" ref="N272">INDEX('MATCH INFO'!O:O, INT((ROW()-2)/10)+2 + 29+29)</f>
        <v/>
      </c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>
        <f>L273*86400</f>
        <v/>
      </c>
      <c r="N273" s="17">
        <f t="array" ref="N273">INDEX('MATCH INFO'!O:O, INT((ROW()-2)/10)+2 + 29+29)</f>
        <v/>
      </c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>
        <f>L274*86400</f>
        <v/>
      </c>
      <c r="N274" s="17">
        <f t="array" ref="N274">INDEX('MATCH INFO'!O:O, INT((ROW()-2)/10)+2 + 29+29)</f>
        <v/>
      </c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>
        <f>L275*86400</f>
        <v/>
      </c>
      <c r="N275" s="17">
        <f t="array" ref="N275">INDEX('MATCH INFO'!O:O, INT((ROW()-2)/10)+2 + 29+29)</f>
        <v/>
      </c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>
        <f>L276*86400</f>
        <v/>
      </c>
      <c r="N276" s="17">
        <f t="array" ref="N276">INDEX('MATCH INFO'!O:O, INT((ROW()-2)/10)+2 + 29+29)</f>
        <v/>
      </c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>
        <f>L277*86400</f>
        <v/>
      </c>
      <c r="N277" s="17">
        <f t="array" ref="N277">INDEX('MATCH INFO'!O:O, INT((ROW()-2)/10)+2 + 29+29)</f>
        <v/>
      </c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>
        <f>L278*86400</f>
        <v/>
      </c>
      <c r="N278" s="17">
        <f t="array" ref="N278">INDEX('MATCH INFO'!O:O, INT((ROW()-2)/10)+2 + 29+29)</f>
        <v/>
      </c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>
        <f>L279*86400</f>
        <v/>
      </c>
      <c r="N279" s="17">
        <f t="array" ref="N279">INDEX('MATCH INFO'!O:O, INT((ROW()-2)/10)+2 + 29+29)</f>
        <v/>
      </c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>
        <f>L280*86400</f>
        <v/>
      </c>
      <c r="N280" s="17">
        <f t="array" ref="N280">INDEX('MATCH INFO'!O:O, INT((ROW()-2)/10)+2 + 29+29)</f>
        <v/>
      </c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>
        <f>L281*86400</f>
        <v/>
      </c>
      <c r="N281" s="17">
        <f t="array" ref="N281">INDEX('MATCH INFO'!O:O, INT((ROW()-2)/10)+2 + 29+29)</f>
        <v/>
      </c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>
        <f>L282*86400</f>
        <v/>
      </c>
      <c r="N282" s="17">
        <f t="array" ref="N282">INDEX('MATCH INFO'!O:O, INT((ROW()-2)/10)+2 + 29+29)</f>
        <v/>
      </c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>
        <f>L283*86400</f>
        <v/>
      </c>
      <c r="N283" s="17">
        <f t="array" ref="N283">INDEX('MATCH INFO'!O:O, INT((ROW()-2)/10)+2 + 29+29)</f>
        <v/>
      </c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>
        <f>L284*86400</f>
        <v/>
      </c>
      <c r="N284" s="17">
        <f t="array" ref="N284">INDEX('MATCH INFO'!O:O, INT((ROW()-2)/10)+2 + 29+29)</f>
        <v/>
      </c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>
        <f>L285*86400</f>
        <v/>
      </c>
      <c r="N285" s="17">
        <f t="array" ref="N285">INDEX('MATCH INFO'!O:O, INT((ROW()-2)/10)+2 + 29+29)</f>
        <v/>
      </c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>
        <f>L286*86400</f>
        <v/>
      </c>
      <c r="N286" s="17">
        <f t="array" ref="N286">INDEX('MATCH INFO'!O:O, INT((ROW()-2)/10)+2 + 29+29)</f>
        <v/>
      </c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>
        <f>L287*86400</f>
        <v/>
      </c>
      <c r="N287" s="17">
        <f t="array" ref="N287">INDEX('MATCH INFO'!O:O, INT((ROW()-2)/10)+2 + 29+29)</f>
        <v/>
      </c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>
        <f>L288*86400</f>
        <v/>
      </c>
      <c r="N288" s="17">
        <f t="array" ref="N288">INDEX('MATCH INFO'!O:O, INT((ROW()-2)/10)+2 + 29+29)</f>
        <v/>
      </c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>
        <f>L289*86400</f>
        <v/>
      </c>
      <c r="N289" s="17">
        <f t="array" ref="N289">INDEX('MATCH INFO'!O:O, INT((ROW()-2)/10)+2 + 29+29)</f>
        <v/>
      </c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>
        <f>L290*86400</f>
        <v/>
      </c>
      <c r="N290" s="17">
        <f t="array" ref="N290">INDEX('MATCH INFO'!O:O, INT((ROW()-2)/10)+2 + 29+29)</f>
        <v/>
      </c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>
        <f>L291*86400</f>
        <v/>
      </c>
      <c r="N291" s="17">
        <f t="array" ref="N291">INDEX('MATCH INFO'!O:O, INT((ROW()-2)/10)+2 + 29+29)</f>
        <v/>
      </c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>
        <f>L292*86400</f>
        <v/>
      </c>
      <c r="N292" s="17">
        <f t="array" ref="N292">INDEX('MATCH INFO'!O:O, INT((ROW()-2)/10)+2 + 29+29)</f>
        <v/>
      </c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>
        <f>L293*86400</f>
        <v/>
      </c>
      <c r="N293" s="17">
        <f t="array" ref="N293">INDEX('MATCH INFO'!O:O, INT((ROW()-2)/10)+2 + 29+29)</f>
        <v/>
      </c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>
        <f>L294*86400</f>
        <v/>
      </c>
      <c r="N294" s="17">
        <f t="array" ref="N294">INDEX('MATCH INFO'!O:O, INT((ROW()-2)/10)+2 + 29+29)</f>
        <v/>
      </c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>
        <f>L295*86400</f>
        <v/>
      </c>
      <c r="N295" s="17">
        <f t="array" ref="N295">INDEX('MATCH INFO'!O:O, INT((ROW()-2)/10)+2 + 29+29)</f>
        <v/>
      </c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>
        <f>L296*86400</f>
        <v/>
      </c>
      <c r="N296" s="17">
        <f t="array" ref="N296">INDEX('MATCH INFO'!O:O, INT((ROW()-2)/10)+2 + 29+29)</f>
        <v/>
      </c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>
        <f>L297*86400</f>
        <v/>
      </c>
      <c r="N297" s="17">
        <f t="array" ref="N297">INDEX('MATCH INFO'!O:O, INT((ROW()-2)/10)+2 + 29+29)</f>
        <v/>
      </c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>
        <f>L298*86400</f>
        <v/>
      </c>
      <c r="N298" s="17">
        <f t="array" ref="N298">INDEX('MATCH INFO'!O:O, INT((ROW()-2)/10)+2 + 29+29)</f>
        <v/>
      </c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>
        <f>L299*86400</f>
        <v/>
      </c>
      <c r="N299" s="17">
        <f t="array" ref="N299">INDEX('MATCH INFO'!O:O, INT((ROW()-2)/10)+2 + 29+29)</f>
        <v/>
      </c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>
        <f>L300*86400</f>
        <v/>
      </c>
      <c r="N300" s="17">
        <f t="array" ref="N300">INDEX('MATCH INFO'!O:O, INT((ROW()-2)/10)+2 + 29+29)</f>
        <v/>
      </c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>
        <f>L301*86400</f>
        <v/>
      </c>
      <c r="N301" s="17">
        <f t="array" ref="N301">INDEX('MATCH INFO'!O:O, INT((ROW()-2)/10)+2 + 29+29)</f>
        <v/>
      </c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>
        <f>L302*86400</f>
        <v/>
      </c>
      <c r="N302" s="17">
        <f t="array" ref="N302">INDEX('MATCH INFO'!O:O, INT((ROW()-2)/10)+2 + 29+29)</f>
        <v/>
      </c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>
        <f>L303*86400</f>
        <v/>
      </c>
      <c r="N303" s="17">
        <f t="array" ref="N303">INDEX('MATCH INFO'!O:O, INT((ROW()-2)/10)+2 + 29+29)</f>
        <v/>
      </c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>
        <f>L304*86400</f>
        <v/>
      </c>
      <c r="N304" s="17">
        <f t="array" ref="N304">INDEX('MATCH INFO'!O:O, INT((ROW()-2)/10)+2 + 29+29)</f>
        <v/>
      </c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>
        <f>L305*86400</f>
        <v/>
      </c>
      <c r="N305" s="17">
        <f t="array" ref="N305">INDEX('MATCH INFO'!O:O, INT((ROW()-2)/10)+2 + 29+29)</f>
        <v/>
      </c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>
        <f>L306*86400</f>
        <v/>
      </c>
      <c r="N306" s="17">
        <f t="array" ref="N306">INDEX('MATCH INFO'!O:O, INT((ROW()-2)/10)+2 + 29+29)</f>
        <v/>
      </c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>
        <f>L307*86400</f>
        <v/>
      </c>
      <c r="N307" s="17">
        <f t="array" ref="N307">INDEX('MATCH INFO'!O:O, INT((ROW()-2)/10)+2 + 29+29)</f>
        <v/>
      </c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>
        <f>L308*86400</f>
        <v/>
      </c>
      <c r="N308" s="17">
        <f t="array" ref="N308">INDEX('MATCH INFO'!O:O, INT((ROW()-2)/10)+2 + 29+29)</f>
        <v/>
      </c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>
        <f>L309*86400</f>
        <v/>
      </c>
      <c r="N309" s="17">
        <f t="array" ref="N309">INDEX('MATCH INFO'!O:O, INT((ROW()-2)/10)+2 + 29+29)</f>
        <v/>
      </c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>
        <f>L310*86400</f>
        <v/>
      </c>
      <c r="N310" s="17">
        <f t="array" ref="N310">INDEX('MATCH INFO'!O:O, INT((ROW()-2)/10)+2 + 29+29)</f>
        <v/>
      </c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>
        <f>L311*86400</f>
        <v/>
      </c>
      <c r="N311" s="17">
        <f t="array" ref="N311">INDEX('MATCH INFO'!O:O, INT((ROW()-2)/10)+2 + 29+29)</f>
        <v/>
      </c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>
        <f>L312*86400</f>
        <v/>
      </c>
      <c r="N312" s="17">
        <f t="array" ref="N312">INDEX('MATCH INFO'!O:O, INT((ROW()-2)/10)+2 + 29+29)</f>
        <v/>
      </c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>
        <f>L313*86400</f>
        <v/>
      </c>
      <c r="N313" s="17">
        <f t="array" ref="N313">INDEX('MATCH INFO'!O:O, INT((ROW()-2)/10)+2 + 29+29)</f>
        <v/>
      </c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>
        <f>L314*86400</f>
        <v/>
      </c>
      <c r="N314" s="17">
        <f t="array" ref="N314">INDEX('MATCH INFO'!O:O, INT((ROW()-2)/10)+2 + 29+29)</f>
        <v/>
      </c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>
        <f>L315*86400</f>
        <v/>
      </c>
      <c r="N315" s="17">
        <f t="array" ref="N315">INDEX('MATCH INFO'!O:O, INT((ROW()-2)/10)+2 + 29+29)</f>
        <v/>
      </c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>
        <f>L316*86400</f>
        <v/>
      </c>
      <c r="N316" s="17">
        <f t="array" ref="N316">INDEX('MATCH INFO'!O:O, INT((ROW()-2)/10)+2 + 29+29)</f>
        <v/>
      </c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>
        <f>L317*86400</f>
        <v/>
      </c>
      <c r="N317" s="17">
        <f t="array" ref="N317">INDEX('MATCH INFO'!O:O, INT((ROW()-2)/10)+2 + 29+29)</f>
        <v/>
      </c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>
        <f>L318*86400</f>
        <v/>
      </c>
      <c r="N318" s="17">
        <f t="array" ref="N318">INDEX('MATCH INFO'!O:O, INT((ROW()-2)/10)+2 + 29+29)</f>
        <v/>
      </c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>
        <f>L319*86400</f>
        <v/>
      </c>
      <c r="N319" s="17">
        <f t="array" ref="N319">INDEX('MATCH INFO'!O:O, INT((ROW()-2)/10)+2 + 29+29)</f>
        <v/>
      </c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>
        <f>L320*86400</f>
        <v/>
      </c>
      <c r="N320" s="17">
        <f t="array" ref="N320">INDEX('MATCH INFO'!O:O, INT((ROW()-2)/10)+2 + 29+29)</f>
        <v/>
      </c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>
        <f>L321*86400</f>
        <v/>
      </c>
      <c r="N321" s="17">
        <f t="array" ref="N321">INDEX('MATCH INFO'!O:O, INT((ROW()-2)/10)+2 + 29+29)</f>
        <v/>
      </c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>
        <f>L322*86400</f>
        <v/>
      </c>
      <c r="N322" s="17">
        <f t="array" ref="N322">INDEX('MATCH INFO'!O:O, INT((ROW()-2)/10)+2 + 29+29)</f>
        <v/>
      </c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>
        <f>L323*86400</f>
        <v/>
      </c>
      <c r="N323" s="17">
        <f t="array" ref="N323">INDEX('MATCH INFO'!O:O, INT((ROW()-2)/10)+2 + 29+29)</f>
        <v/>
      </c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>
        <f>L324*86400</f>
        <v/>
      </c>
      <c r="N324" s="17">
        <f t="array" ref="N324">INDEX('MATCH INFO'!O:O, INT((ROW()-2)/10)+2 + 29+29)</f>
        <v/>
      </c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>
        <f>L325*86400</f>
        <v/>
      </c>
      <c r="N325" s="17">
        <f t="array" ref="N325">INDEX('MATCH INFO'!O:O, INT((ROW()-2)/10)+2 + 29+29)</f>
        <v/>
      </c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>
        <f>L326*86400</f>
        <v/>
      </c>
      <c r="N326" s="17">
        <f t="array" ref="N326">INDEX('MATCH INFO'!O:O, INT((ROW()-2)/10)+2 + 29+29)</f>
        <v/>
      </c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>
        <f>L327*86400</f>
        <v/>
      </c>
      <c r="N327" s="17">
        <f t="array" ref="N327">INDEX('MATCH INFO'!O:O, INT((ROW()-2)/10)+2 + 29+29)</f>
        <v/>
      </c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>
        <f>L328*86400</f>
        <v/>
      </c>
      <c r="N328" s="17">
        <f t="array" ref="N328">INDEX('MATCH INFO'!O:O, INT((ROW()-2)/10)+2 + 29+29)</f>
        <v/>
      </c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>
        <f>L329*86400</f>
        <v/>
      </c>
      <c r="N329" s="17">
        <f t="array" ref="N329">INDEX('MATCH INFO'!O:O, INT((ROW()-2)/10)+2 + 29+29)</f>
        <v/>
      </c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>
        <f>L330*86400</f>
        <v/>
      </c>
      <c r="N330" s="17">
        <f t="array" ref="N330">INDEX('MATCH INFO'!O:O, INT((ROW()-2)/10)+2 + 29+29)</f>
        <v/>
      </c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>
        <f>L331*86400</f>
        <v/>
      </c>
      <c r="N331" s="17">
        <f t="array" ref="N331">INDEX('MATCH INFO'!O:O, INT((ROW()-2)/10)+2 + 29+29)</f>
        <v/>
      </c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>
        <f>L332*86400</f>
        <v/>
      </c>
      <c r="N332" s="17">
        <f t="array" ref="N332">INDEX('MATCH INFO'!O:O, INT((ROW()-2)/10)+2 + 29+29)</f>
        <v/>
      </c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>
        <f>L333*86400</f>
        <v/>
      </c>
      <c r="N333" s="17">
        <f t="array" ref="N333">INDEX('MATCH INFO'!O:O, INT((ROW()-2)/10)+2 + 29+29)</f>
        <v/>
      </c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>
        <f>L334*86400</f>
        <v/>
      </c>
      <c r="N334" s="17">
        <f t="array" ref="N334">INDEX('MATCH INFO'!O:O, INT((ROW()-2)/10)+2 + 29+29)</f>
        <v/>
      </c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>
        <f>L335*86400</f>
        <v/>
      </c>
      <c r="N335" s="17">
        <f t="array" ref="N335">INDEX('MATCH INFO'!O:O, INT((ROW()-2)/10)+2 + 29+29)</f>
        <v/>
      </c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>
        <f>L336*86400</f>
        <v/>
      </c>
      <c r="N336" s="17">
        <f t="array" ref="N336">INDEX('MATCH INFO'!O:O, INT((ROW()-2)/10)+2 + 29+29)</f>
        <v/>
      </c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>
        <f>L337*86400</f>
        <v/>
      </c>
      <c r="N337" s="17">
        <f t="array" ref="N337">INDEX('MATCH INFO'!O:O, INT((ROW()-2)/10)+2 + 29+29)</f>
        <v/>
      </c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>
        <f>L338*86400</f>
        <v/>
      </c>
      <c r="N338" s="17">
        <f t="array" ref="N338">INDEX('MATCH INFO'!O:O, INT((ROW()-2)/10)+2 + 29+29)</f>
        <v/>
      </c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>
        <f>L339*86400</f>
        <v/>
      </c>
      <c r="N339" s="17">
        <f t="array" ref="N339">INDEX('MATCH INFO'!O:O, INT((ROW()-2)/10)+2 + 29+29)</f>
        <v/>
      </c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>
        <f>L340*86400</f>
        <v/>
      </c>
      <c r="N340" s="17">
        <f t="array" ref="N340">INDEX('MATCH INFO'!O:O, INT((ROW()-2)/10)+2 + 29+29)</f>
        <v/>
      </c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>
        <f>L341*86400</f>
        <v/>
      </c>
      <c r="N341" s="17">
        <f t="array" ref="N341">INDEX('MATCH INFO'!O:O, INT((ROW()-2)/10)+2 + 29+29)</f>
        <v/>
      </c>
    </row>
  </sheetData>
  <conditionalFormatting sqref="A2:N34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10" defaultRowHeight="18"/>
  <cols>
    <col width="13.28515625" customWidth="1" style="2" min="2" max="2"/>
    <col width="15.28515625" customWidth="1" style="2" min="4" max="4"/>
    <col width="16.7109375" customWidth="1" style="2" min="13" max="13"/>
    <col width="17.42578125" customWidth="1" style="2" min="14" max="14"/>
  </cols>
  <sheetData>
    <row r="1">
      <c r="A1" s="3" t="inlineStr">
        <is>
          <t>Team</t>
        </is>
      </c>
      <c r="B1" s="3" t="inlineStr">
        <is>
          <t>Player</t>
        </is>
      </c>
      <c r="C1" s="3" t="inlineStr">
        <is>
          <t>Position</t>
        </is>
      </c>
      <c r="D1" s="3" t="inlineStr">
        <is>
          <t>Map</t>
        </is>
      </c>
      <c r="E1" s="3" t="inlineStr">
        <is>
          <t>Map Type</t>
        </is>
      </c>
      <c r="F1" s="3" t="inlineStr">
        <is>
          <t>Elim</t>
        </is>
      </c>
      <c r="G1" s="3" t="inlineStr">
        <is>
          <t>Death</t>
        </is>
      </c>
      <c r="H1" s="3" t="inlineStr">
        <is>
          <t>Assists</t>
        </is>
      </c>
      <c r="I1" s="3" t="inlineStr">
        <is>
          <t>Damage</t>
        </is>
      </c>
      <c r="J1" s="3" t="inlineStr">
        <is>
          <t>Heal</t>
        </is>
      </c>
      <c r="K1" s="3" t="inlineStr">
        <is>
          <t>Mitigated</t>
        </is>
      </c>
      <c r="L1" s="3" t="inlineStr">
        <is>
          <t>Playtime</t>
        </is>
      </c>
      <c r="M1" s="3" t="inlineStr">
        <is>
          <t>Playtime(Seconds)</t>
        </is>
      </c>
      <c r="N1" s="46" t="inlineStr">
        <is>
          <t>MATCH_ID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>
        <f>L2*86400</f>
        <v/>
      </c>
      <c r="N2" s="17">
        <f t="array" ref="N2">INDEX('MATCH INFO'!O:O, INT((ROW()-2)/10)+2 + 92)</f>
        <v/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>
        <f>L3*86400</f>
        <v/>
      </c>
      <c r="N3" s="17">
        <f t="array" ref="N3">INDEX('MATCH INFO'!O:O, INT((ROW()-2)/10)+2 + 92)</f>
        <v/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>
        <f>L4*86400</f>
        <v/>
      </c>
      <c r="N4" s="17">
        <f t="array" ref="N4">INDEX('MATCH INFO'!O:O, INT((ROW()-2)/10)+2 + 92)</f>
        <v/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>
        <f>L5*86400</f>
        <v/>
      </c>
      <c r="N5" s="17">
        <f t="array" ref="N5">INDEX('MATCH INFO'!O:O, INT((ROW()-2)/10)+2 + 92)</f>
        <v/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>
        <f>L6*86400</f>
        <v/>
      </c>
      <c r="N6" s="17">
        <f t="array" ref="N6">INDEX('MATCH INFO'!O:O, INT((ROW()-2)/10)+2 + 92)</f>
        <v/>
      </c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>
        <f>L7*86400</f>
        <v/>
      </c>
      <c r="N7" s="17">
        <f t="array" ref="N7">INDEX('MATCH INFO'!O:O, INT((ROW()-2)/10)+2 + 92)</f>
        <v/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>
        <f>L8*86400</f>
        <v/>
      </c>
      <c r="N8" s="17">
        <f t="array" ref="N8">INDEX('MATCH INFO'!O:O, INT((ROW()-2)/10)+2 + 92)</f>
        <v/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>
        <f>L9*86400</f>
        <v/>
      </c>
      <c r="N9" s="17">
        <f t="array" ref="N9">INDEX('MATCH INFO'!O:O, INT((ROW()-2)/10)+2 + 92)</f>
        <v/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>
        <f>L10*86400</f>
        <v/>
      </c>
      <c r="N10" s="17">
        <f t="array" ref="N10">INDEX('MATCH INFO'!O:O, INT((ROW()-2)/10)+2 + 92)</f>
        <v/>
      </c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>
        <f>L11*86400</f>
        <v/>
      </c>
      <c r="N11" s="17">
        <f t="array" ref="N11">INDEX('MATCH INFO'!O:O, INT((ROW()-2)/10)+2 + 92)</f>
        <v/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>
        <f>L12*86400</f>
        <v/>
      </c>
      <c r="N12" s="17">
        <f t="array" ref="N12">INDEX('MATCH INFO'!O:O, INT((ROW()-2)/10)+2 + 92)</f>
        <v/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>
        <f>L13*86400</f>
        <v/>
      </c>
      <c r="N13" s="17">
        <f t="array" ref="N13">INDEX('MATCH INFO'!O:O, INT((ROW()-2)/10)+2 + 92)</f>
        <v/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>
        <f>L14*86400</f>
        <v/>
      </c>
      <c r="N14" s="17">
        <f t="array" ref="N14">INDEX('MATCH INFO'!O:O, INT((ROW()-2)/10)+2 + 92)</f>
        <v/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>
        <f>L15*86400</f>
        <v/>
      </c>
      <c r="N15" s="17">
        <f t="array" ref="N15">INDEX('MATCH INFO'!O:O, INT((ROW()-2)/10)+2 + 92)</f>
        <v/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>
        <f>L16*86400</f>
        <v/>
      </c>
      <c r="N16" s="17">
        <f t="array" ref="N16">INDEX('MATCH INFO'!O:O, INT((ROW()-2)/10)+2 + 92)</f>
        <v/>
      </c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>
        <f>L17*86400</f>
        <v/>
      </c>
      <c r="N17" s="17">
        <f t="array" ref="N17">INDEX('MATCH INFO'!O:O, INT((ROW()-2)/10)+2 + 92)</f>
        <v/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>
        <f>L18*86400</f>
        <v/>
      </c>
      <c r="N18" s="17">
        <f t="array" ref="N18">INDEX('MATCH INFO'!O:O, INT((ROW()-2)/10)+2 + 92)</f>
        <v/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>
        <f>L19*86400</f>
        <v/>
      </c>
      <c r="N19" s="17">
        <f t="array" ref="N19">INDEX('MATCH INFO'!O:O, INT((ROW()-2)/10)+2 + 92)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>
        <f>L20*86400</f>
        <v/>
      </c>
      <c r="N20" s="17">
        <f t="array" ref="N20">INDEX('MATCH INFO'!O:O, INT((ROW()-2)/10)+2 + 92)</f>
        <v/>
      </c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>
        <f>L21*86400</f>
        <v/>
      </c>
      <c r="N21" s="17">
        <f t="array" ref="N21">INDEX('MATCH INFO'!O:O, INT((ROW()-2)/10)+2 + 92)</f>
        <v/>
      </c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>
        <f>L22*86400</f>
        <v/>
      </c>
      <c r="N22" s="17">
        <f t="array" ref="N22">INDEX('MATCH INFO'!O:O, INT((ROW()-2)/10)+2 + 92)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>
        <f>L23*86400</f>
        <v/>
      </c>
      <c r="N23" s="17">
        <f t="array" ref="N23">INDEX('MATCH INFO'!O:O, INT((ROW()-2)/10)+2 + 92)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>
        <f>L24*86400</f>
        <v/>
      </c>
      <c r="N24" s="17">
        <f t="array" ref="N24">INDEX('MATCH INFO'!O:O, INT((ROW()-2)/10)+2 + 92)</f>
        <v/>
      </c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>
        <f>L25*86400</f>
        <v/>
      </c>
      <c r="N25" s="17">
        <f t="array" ref="N25">INDEX('MATCH INFO'!O:O, INT((ROW()-2)/10)+2 + 92)</f>
        <v/>
      </c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>
        <f>L26*86400</f>
        <v/>
      </c>
      <c r="N26" s="17">
        <f t="array" ref="N26">INDEX('MATCH INFO'!O:O, INT((ROW()-2)/10)+2 + 92)</f>
        <v/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>
        <f>L27*86400</f>
        <v/>
      </c>
      <c r="N27" s="17">
        <f t="array" ref="N27">INDEX('MATCH INFO'!O:O, INT((ROW()-2)/10)+2 + 92)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>
        <f>L28*86400</f>
        <v/>
      </c>
      <c r="N28" s="17">
        <f t="array" ref="N28">INDEX('MATCH INFO'!O:O, INT((ROW()-2)/10)+2 + 92)</f>
        <v/>
      </c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>
        <f>L29*86400</f>
        <v/>
      </c>
      <c r="N29" s="17">
        <f t="array" ref="N29">INDEX('MATCH INFO'!O:O, INT((ROW()-2)/10)+2 + 92)</f>
        <v/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>
        <f>L30*86400</f>
        <v/>
      </c>
      <c r="N30" s="17">
        <f t="array" ref="N30">INDEX('MATCH INFO'!O:O, INT((ROW()-2)/10)+2 + 92)</f>
        <v/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>
        <f>L31*86400</f>
        <v/>
      </c>
      <c r="N31" s="17">
        <f t="array" ref="N31">INDEX('MATCH INFO'!O:O, INT((ROW()-2)/10)+2 + 92)</f>
        <v/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>
        <f>L32*86400</f>
        <v/>
      </c>
      <c r="N32" s="17">
        <f t="array" ref="N32">INDEX('MATCH INFO'!O:O, INT((ROW()-2)/10)+2 + 92)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>
        <f>L33*86400</f>
        <v/>
      </c>
      <c r="N33" s="17">
        <f t="array" ref="N33">INDEX('MATCH INFO'!O:O, INT((ROW()-2)/10)+2 + 92)</f>
        <v/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>
        <f>L34*86400</f>
        <v/>
      </c>
      <c r="N34" s="17">
        <f t="array" ref="N34">INDEX('MATCH INFO'!O:O, INT((ROW()-2)/10)+2 + 92)</f>
        <v/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>
        <f>L35*86400</f>
        <v/>
      </c>
      <c r="N35" s="17">
        <f t="array" ref="N35">INDEX('MATCH INFO'!O:O, INT((ROW()-2)/10)+2 + 92)</f>
        <v/>
      </c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>
        <f>L36*86400</f>
        <v/>
      </c>
      <c r="N36" s="17">
        <f t="array" ref="N36">INDEX('MATCH INFO'!O:O, INT((ROW()-2)/10)+2 + 92)</f>
        <v/>
      </c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>
        <f>L37*86400</f>
        <v/>
      </c>
      <c r="N37" s="17">
        <f t="array" ref="N37">INDEX('MATCH INFO'!O:O, INT((ROW()-2)/10)+2 + 92)</f>
        <v/>
      </c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>
        <f>L38*86400</f>
        <v/>
      </c>
      <c r="N38" s="17">
        <f t="array" ref="N38">INDEX('MATCH INFO'!O:O, INT((ROW()-2)/10)+2 + 92)</f>
        <v/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>
        <f>L39*86400</f>
        <v/>
      </c>
      <c r="N39" s="17">
        <f t="array" ref="N39">INDEX('MATCH INFO'!O:O, INT((ROW()-2)/10)+2 + 92)</f>
        <v/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>
        <f>L40*86400</f>
        <v/>
      </c>
      <c r="N40" s="17">
        <f t="array" ref="N40">INDEX('MATCH INFO'!O:O, INT((ROW()-2)/10)+2 + 92)</f>
        <v/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>
        <f>L41*86400</f>
        <v/>
      </c>
      <c r="N41" s="17">
        <f t="array" ref="N41">INDEX('MATCH INFO'!O:O, INT((ROW()-2)/10)+2 + 92)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>
        <f>L42*86400</f>
        <v/>
      </c>
      <c r="N42" s="17">
        <f t="array" ref="N42">INDEX('MATCH INFO'!O:O, INT((ROW()-2)/10)+2 + 92)</f>
        <v/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>
        <f>L43*86400</f>
        <v/>
      </c>
      <c r="N43" s="17">
        <f t="array" ref="N43">INDEX('MATCH INFO'!O:O, INT((ROW()-2)/10)+2 + 92)</f>
        <v/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>
        <f>L44*86400</f>
        <v/>
      </c>
      <c r="N44" s="17">
        <f t="array" ref="N44">INDEX('MATCH INFO'!O:O, INT((ROW()-2)/10)+2 + 92)</f>
        <v/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>
        <f>L45*86400</f>
        <v/>
      </c>
      <c r="N45" s="17">
        <f t="array" ref="N45">INDEX('MATCH INFO'!O:O, INT((ROW()-2)/10)+2 + 92)</f>
        <v/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>
        <f>L46*86400</f>
        <v/>
      </c>
      <c r="N46" s="17">
        <f t="array" ref="N46">INDEX('MATCH INFO'!O:O, INT((ROW()-2)/10)+2 + 92)</f>
        <v/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>
        <f>L47*86400</f>
        <v/>
      </c>
      <c r="N47" s="17">
        <f t="array" ref="N47">INDEX('MATCH INFO'!O:O, INT((ROW()-2)/10)+2 + 92)</f>
        <v/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>
        <f>L48*86400</f>
        <v/>
      </c>
      <c r="N48" s="17">
        <f t="array" ref="N48">INDEX('MATCH INFO'!O:O, INT((ROW()-2)/10)+2 + 92)</f>
        <v/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>
        <f>L49*86400</f>
        <v/>
      </c>
      <c r="N49" s="17">
        <f t="array" ref="N49">INDEX('MATCH INFO'!O:O, INT((ROW()-2)/10)+2 + 92)</f>
        <v/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>
        <f>L50*86400</f>
        <v/>
      </c>
      <c r="N50" s="17">
        <f t="array" ref="N50">INDEX('MATCH INFO'!O:O, INT((ROW()-2)/10)+2 + 92)</f>
        <v/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>
        <f>L51*86400</f>
        <v/>
      </c>
      <c r="N51" s="17">
        <f t="array" ref="N51">INDEX('MATCH INFO'!O:O, INT((ROW()-2)/10)+2 + 92)</f>
        <v/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>
        <f>L52*86400</f>
        <v/>
      </c>
      <c r="N52" s="17">
        <f t="array" ref="N52">INDEX('MATCH INFO'!O:O, INT((ROW()-2)/10)+2 + 92)</f>
        <v/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>
        <f>L53*86400</f>
        <v/>
      </c>
      <c r="N53" s="17">
        <f t="array" ref="N53">INDEX('MATCH INFO'!O:O, INT((ROW()-2)/10)+2 + 92)</f>
        <v/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>
        <f>L54*86400</f>
        <v/>
      </c>
      <c r="N54" s="17">
        <f t="array" ref="N54">INDEX('MATCH INFO'!O:O, INT((ROW()-2)/10)+2 + 92)</f>
        <v/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>
        <f>L55*86400</f>
        <v/>
      </c>
      <c r="N55" s="17">
        <f t="array" ref="N55">INDEX('MATCH INFO'!O:O, INT((ROW()-2)/10)+2 + 92)</f>
        <v/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>
        <f>L56*86400</f>
        <v/>
      </c>
      <c r="N56" s="17">
        <f t="array" ref="N56">INDEX('MATCH INFO'!O:O, INT((ROW()-2)/10)+2 + 92)</f>
        <v/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>
        <f>L57*86400</f>
        <v/>
      </c>
      <c r="N57" s="17">
        <f t="array" ref="N57">INDEX('MATCH INFO'!O:O, INT((ROW()-2)/10)+2 + 92)</f>
        <v/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>
        <f>L58*86400</f>
        <v/>
      </c>
      <c r="N58" s="17">
        <f t="array" ref="N58">INDEX('MATCH INFO'!O:O, INT((ROW()-2)/10)+2 + 92)</f>
        <v/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>
        <f>L59*86400</f>
        <v/>
      </c>
      <c r="N59" s="17">
        <f t="array" ref="N59">INDEX('MATCH INFO'!O:O, INT((ROW()-2)/10)+2 + 92)</f>
        <v/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>
        <f>L60*86400</f>
        <v/>
      </c>
      <c r="N60" s="17">
        <f t="array" ref="N60">INDEX('MATCH INFO'!O:O, INT((ROW()-2)/10)+2 + 92)</f>
        <v/>
      </c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>
        <f>L61*86400</f>
        <v/>
      </c>
      <c r="N61" s="17">
        <f t="array" ref="N61">INDEX('MATCH INFO'!O:O, INT((ROW()-2)/10)+2 + 92)</f>
        <v/>
      </c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>
        <f>L62*86400</f>
        <v/>
      </c>
      <c r="N62" s="17">
        <f t="array" ref="N62">INDEX('MATCH INFO'!O:O, INT((ROW()-2)/10)+2 + 92)</f>
        <v/>
      </c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>
        <f>L63*86400</f>
        <v/>
      </c>
      <c r="N63" s="17">
        <f t="array" ref="N63">INDEX('MATCH INFO'!O:O, INT((ROW()-2)/10)+2 + 92)</f>
        <v/>
      </c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>
        <f>L64*86400</f>
        <v/>
      </c>
      <c r="N64" s="17">
        <f t="array" ref="N64">INDEX('MATCH INFO'!O:O, INT((ROW()-2)/10)+2 + 92)</f>
        <v/>
      </c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>
        <f>L65*86400</f>
        <v/>
      </c>
      <c r="N65" s="17">
        <f t="array" ref="N65">INDEX('MATCH INFO'!O:O, INT((ROW()-2)/10)+2 + 92)</f>
        <v/>
      </c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>
        <f>L66*86400</f>
        <v/>
      </c>
      <c r="N66" s="17">
        <f t="array" ref="N66">INDEX('MATCH INFO'!O:O, INT((ROW()-2)/10)+2 + 92)</f>
        <v/>
      </c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>
        <f>L67*86400</f>
        <v/>
      </c>
      <c r="N67" s="17">
        <f t="array" ref="N67">INDEX('MATCH INFO'!O:O, INT((ROW()-2)/10)+2 + 92)</f>
        <v/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>
        <f>L68*86400</f>
        <v/>
      </c>
      <c r="N68" s="17">
        <f t="array" ref="N68">INDEX('MATCH INFO'!O:O, INT((ROW()-2)/10)+2 + 92)</f>
        <v/>
      </c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>
        <f>L69*86400</f>
        <v/>
      </c>
      <c r="N69" s="17">
        <f t="array" ref="N69">INDEX('MATCH INFO'!O:O, INT((ROW()-2)/10)+2 + 92)</f>
        <v/>
      </c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>
        <f>L70*86400</f>
        <v/>
      </c>
      <c r="N70" s="17">
        <f t="array" ref="N70">INDEX('MATCH INFO'!O:O, INT((ROW()-2)/10)+2 + 92)</f>
        <v/>
      </c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>
        <f>L71*86400</f>
        <v/>
      </c>
      <c r="N71" s="17">
        <f t="array" ref="N71">INDEX('MATCH INFO'!O:O, INT((ROW()-2)/10)+2 + 92)</f>
        <v/>
      </c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>
        <f>L72*86400</f>
        <v/>
      </c>
      <c r="N72" s="17">
        <f t="array" ref="N72">INDEX('MATCH INFO'!O:O, INT((ROW()-2)/10)+2 + 92)</f>
        <v/>
      </c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>
        <f>L73*86400</f>
        <v/>
      </c>
      <c r="N73" s="17">
        <f t="array" ref="N73">INDEX('MATCH INFO'!O:O, INT((ROW()-2)/10)+2 + 92)</f>
        <v/>
      </c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>
        <f>L74*86400</f>
        <v/>
      </c>
      <c r="N74" s="17">
        <f t="array" ref="N74">INDEX('MATCH INFO'!O:O, INT((ROW()-2)/10)+2 + 92)</f>
        <v/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>
        <f>L75*86400</f>
        <v/>
      </c>
      <c r="N75" s="17">
        <f t="array" ref="N75">INDEX('MATCH INFO'!O:O, INT((ROW()-2)/10)+2 + 92)</f>
        <v/>
      </c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>
        <f>L76*86400</f>
        <v/>
      </c>
      <c r="N76" s="17">
        <f t="array" ref="N76">INDEX('MATCH INFO'!O:O, INT((ROW()-2)/10)+2 + 92)</f>
        <v/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>
        <f>L77*86400</f>
        <v/>
      </c>
      <c r="N77" s="17">
        <f t="array" ref="N77">INDEX('MATCH INFO'!O:O, INT((ROW()-2)/10)+2 + 92)</f>
        <v/>
      </c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>
        <f>L78*86400</f>
        <v/>
      </c>
      <c r="N78" s="17">
        <f t="array" ref="N78">INDEX('MATCH INFO'!O:O, INT((ROW()-2)/10)+2 + 92)</f>
        <v/>
      </c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>
        <f>L79*86400</f>
        <v/>
      </c>
      <c r="N79" s="17">
        <f t="array" ref="N79">INDEX('MATCH INFO'!O:O, INT((ROW()-2)/10)+2 + 92)</f>
        <v/>
      </c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>
        <f>L80*86400</f>
        <v/>
      </c>
      <c r="N80" s="17">
        <f t="array" ref="N80">INDEX('MATCH INFO'!O:O, INT((ROW()-2)/10)+2 + 92)</f>
        <v/>
      </c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>
        <f>L81*86400</f>
        <v/>
      </c>
      <c r="N81" s="17">
        <f t="array" ref="N81">INDEX('MATCH INFO'!O:O, INT((ROW()-2)/10)+2 + 92)</f>
        <v/>
      </c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>
        <f>L82*86400</f>
        <v/>
      </c>
      <c r="N82" s="17">
        <f t="array" ref="N82">INDEX('MATCH INFO'!O:O, INT((ROW()-2)/10)+2 + 92)</f>
        <v/>
      </c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>
        <f>L83*86400</f>
        <v/>
      </c>
      <c r="N83" s="17">
        <f t="array" ref="N83">INDEX('MATCH INFO'!O:O, INT((ROW()-2)/10)+2 + 92)</f>
        <v/>
      </c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>
        <f>L84*86400</f>
        <v/>
      </c>
      <c r="N84" s="17">
        <f t="array" ref="N84">INDEX('MATCH INFO'!O:O, INT((ROW()-2)/10)+2 + 92)</f>
        <v/>
      </c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>
        <f>L85*86400</f>
        <v/>
      </c>
      <c r="N85" s="17">
        <f t="array" ref="N85">INDEX('MATCH INFO'!O:O, INT((ROW()-2)/10)+2 + 92)</f>
        <v/>
      </c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>
        <f>L86*86400</f>
        <v/>
      </c>
      <c r="N86" s="17">
        <f t="array" ref="N86">INDEX('MATCH INFO'!O:O, INT((ROW()-2)/10)+2 + 92)</f>
        <v/>
      </c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>
        <f>L87*86400</f>
        <v/>
      </c>
      <c r="N87" s="17">
        <f t="array" ref="N87">INDEX('MATCH INFO'!O:O, INT((ROW()-2)/10)+2 + 92)</f>
        <v/>
      </c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>
        <f>L88*86400</f>
        <v/>
      </c>
      <c r="N88" s="17">
        <f t="array" ref="N88">INDEX('MATCH INFO'!O:O, INT((ROW()-2)/10)+2 + 92)</f>
        <v/>
      </c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>
        <f>L89*86400</f>
        <v/>
      </c>
      <c r="N89" s="17">
        <f t="array" ref="N89">INDEX('MATCH INFO'!O:O, INT((ROW()-2)/10)+2 + 92)</f>
        <v/>
      </c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>
        <f>L90*86400</f>
        <v/>
      </c>
      <c r="N90" s="17">
        <f t="array" ref="N90">INDEX('MATCH INFO'!O:O, INT((ROW()-2)/10)+2 + 92)</f>
        <v/>
      </c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>
        <f>L91*86400</f>
        <v/>
      </c>
      <c r="N91" s="17">
        <f t="array" ref="N91">INDEX('MATCH INFO'!O:O, INT((ROW()-2)/10)+2 + 92)</f>
        <v/>
      </c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>
        <f>L92*86400</f>
        <v/>
      </c>
      <c r="N92" s="17">
        <f t="array" ref="N92">INDEX('MATCH INFO'!O:O, INT((ROW()-2)/10)+2 + 92)</f>
        <v/>
      </c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>
        <f>L93*86400</f>
        <v/>
      </c>
      <c r="N93" s="17">
        <f t="array" ref="N93">INDEX('MATCH INFO'!O:O, INT((ROW()-2)/10)+2 + 92)</f>
        <v/>
      </c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>
        <f>L94*86400</f>
        <v/>
      </c>
      <c r="N94" s="17">
        <f t="array" ref="N94">INDEX('MATCH INFO'!O:O, INT((ROW()-2)/10)+2 + 92)</f>
        <v/>
      </c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>
        <f>L95*86400</f>
        <v/>
      </c>
      <c r="N95" s="17">
        <f t="array" ref="N95">INDEX('MATCH INFO'!O:O, INT((ROW()-2)/10)+2 + 92)</f>
        <v/>
      </c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>
        <f>L96*86400</f>
        <v/>
      </c>
      <c r="N96" s="17">
        <f t="array" ref="N96">INDEX('MATCH INFO'!O:O, INT((ROW()-2)/10)+2 + 92)</f>
        <v/>
      </c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>
        <f>L97*86400</f>
        <v/>
      </c>
      <c r="N97" s="17">
        <f t="array" ref="N97">INDEX('MATCH INFO'!O:O, INT((ROW()-2)/10)+2 + 92)</f>
        <v/>
      </c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>
        <f>L98*86400</f>
        <v/>
      </c>
      <c r="N98" s="17">
        <f t="array" ref="N98">INDEX('MATCH INFO'!O:O, INT((ROW()-2)/10)+2 + 92)</f>
        <v/>
      </c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>
        <f>L99*86400</f>
        <v/>
      </c>
      <c r="N99" s="17">
        <f t="array" ref="N99">INDEX('MATCH INFO'!O:O, INT((ROW()-2)/10)+2 + 92)</f>
        <v/>
      </c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>
        <f>L100*86400</f>
        <v/>
      </c>
      <c r="N100" s="17">
        <f t="array" ref="N100">INDEX('MATCH INFO'!O:O, INT((ROW()-2)/10)+2 + 92)</f>
        <v/>
      </c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>
        <f>L101*86400</f>
        <v/>
      </c>
      <c r="N101" s="17">
        <f t="array" ref="N101">INDEX('MATCH INFO'!O:O, INT((ROW()-2)/10)+2 + 92)</f>
        <v/>
      </c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>
        <f>L102*86400</f>
        <v/>
      </c>
      <c r="N102" s="17">
        <f t="array" ref="N102">INDEX('MATCH INFO'!O:O, INT((ROW()-2)/10)+2 + 92)</f>
        <v/>
      </c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>
        <f>L103*86400</f>
        <v/>
      </c>
      <c r="N103" s="17">
        <f t="array" ref="N103">INDEX('MATCH INFO'!O:O, INT((ROW()-2)/10)+2 + 92)</f>
        <v/>
      </c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>
        <f>L104*86400</f>
        <v/>
      </c>
      <c r="N104" s="17">
        <f t="array" ref="N104">INDEX('MATCH INFO'!O:O, INT((ROW()-2)/10)+2 + 92)</f>
        <v/>
      </c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>
        <f>L105*86400</f>
        <v/>
      </c>
      <c r="N105" s="17">
        <f t="array" ref="N105">INDEX('MATCH INFO'!O:O, INT((ROW()-2)/10)+2 + 92)</f>
        <v/>
      </c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>
        <f>L106*86400</f>
        <v/>
      </c>
      <c r="N106" s="17">
        <f t="array" ref="N106">INDEX('MATCH INFO'!O:O, INT((ROW()-2)/10)+2 + 92)</f>
        <v/>
      </c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>
        <f>L107*86400</f>
        <v/>
      </c>
      <c r="N107" s="17">
        <f t="array" ref="N107">INDEX('MATCH INFO'!O:O, INT((ROW()-2)/10)+2 + 92)</f>
        <v/>
      </c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>
        <f>L108*86400</f>
        <v/>
      </c>
      <c r="N108" s="17">
        <f t="array" ref="N108">INDEX('MATCH INFO'!O:O, INT((ROW()-2)/10)+2 + 92)</f>
        <v/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>
        <f>L109*86400</f>
        <v/>
      </c>
      <c r="N109" s="17">
        <f t="array" ref="N109">INDEX('MATCH INFO'!O:O, INT((ROW()-2)/10)+2 + 92)</f>
        <v/>
      </c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>
        <f>L110*86400</f>
        <v/>
      </c>
      <c r="N110" s="17">
        <f t="array" ref="N110">INDEX('MATCH INFO'!O:O, INT((ROW()-2)/10)+2 + 92)</f>
        <v/>
      </c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>
        <f>L111*86400</f>
        <v/>
      </c>
      <c r="N111" s="17">
        <f t="array" ref="N111">INDEX('MATCH INFO'!O:O, INT((ROW()-2)/10)+2 + 92)</f>
        <v/>
      </c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>
        <f>L112*86400</f>
        <v/>
      </c>
      <c r="N112" s="17">
        <f t="array" ref="N112">INDEX('MATCH INFO'!O:O, INT((ROW()-2)/10)+2 + 92)</f>
        <v/>
      </c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>
        <f>L113*86400</f>
        <v/>
      </c>
      <c r="N113" s="17">
        <f t="array" ref="N113">INDEX('MATCH INFO'!O:O, INT((ROW()-2)/10)+2 + 92)</f>
        <v/>
      </c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>
        <f>L114*86400</f>
        <v/>
      </c>
      <c r="N114" s="17">
        <f t="array" ref="N114">INDEX('MATCH INFO'!O:O, INT((ROW()-2)/10)+2 + 92)</f>
        <v/>
      </c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>
        <f>L115*86400</f>
        <v/>
      </c>
      <c r="N115" s="17">
        <f t="array" ref="N115">INDEX('MATCH INFO'!O:O, INT((ROW()-2)/10)+2 + 92)</f>
        <v/>
      </c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>
        <f>L116*86400</f>
        <v/>
      </c>
      <c r="N116" s="17">
        <f t="array" ref="N116">INDEX('MATCH INFO'!O:O, INT((ROW()-2)/10)+2 + 92)</f>
        <v/>
      </c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>
        <f>L117*86400</f>
        <v/>
      </c>
      <c r="N117" s="17">
        <f t="array" ref="N117">INDEX('MATCH INFO'!O:O, INT((ROW()-2)/10)+2 + 92)</f>
        <v/>
      </c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>
        <f>L118*86400</f>
        <v/>
      </c>
      <c r="N118" s="17">
        <f t="array" ref="N118">INDEX('MATCH INFO'!O:O, INT((ROW()-2)/10)+2 + 92)</f>
        <v/>
      </c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>
        <f>L119*86400</f>
        <v/>
      </c>
      <c r="N119" s="17">
        <f t="array" ref="N119">INDEX('MATCH INFO'!O:O, INT((ROW()-2)/10)+2 + 92)</f>
        <v/>
      </c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>
        <f>L120*86400</f>
        <v/>
      </c>
      <c r="N120" s="17">
        <f t="array" ref="N120">INDEX('MATCH INFO'!O:O, INT((ROW()-2)/10)+2 + 92)</f>
        <v/>
      </c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>
        <f>L121*86400</f>
        <v/>
      </c>
      <c r="N121" s="17">
        <f t="array" ref="N121">INDEX('MATCH INFO'!O:O, INT((ROW()-2)/10)+2 + 92)</f>
        <v/>
      </c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>
        <f>L122*86400</f>
        <v/>
      </c>
      <c r="N122" s="17">
        <f t="array" ref="N122">INDEX('MATCH INFO'!O:O, INT((ROW()-2)/10)+2 + 92)</f>
        <v/>
      </c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>
        <f>L123*86400</f>
        <v/>
      </c>
      <c r="N123" s="17">
        <f t="array" ref="N123">INDEX('MATCH INFO'!O:O, INT((ROW()-2)/10)+2 + 92)</f>
        <v/>
      </c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>
        <f>L124*86400</f>
        <v/>
      </c>
      <c r="N124" s="17">
        <f t="array" ref="N124">INDEX('MATCH INFO'!O:O, INT((ROW()-2)/10)+2 + 92)</f>
        <v/>
      </c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>
        <f>L125*86400</f>
        <v/>
      </c>
      <c r="N125" s="17">
        <f t="array" ref="N125">INDEX('MATCH INFO'!O:O, INT((ROW()-2)/10)+2 + 92)</f>
        <v/>
      </c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>
        <f>L126*86400</f>
        <v/>
      </c>
      <c r="N126" s="17">
        <f t="array" ref="N126">INDEX('MATCH INFO'!O:O, INT((ROW()-2)/10)+2 + 92)</f>
        <v/>
      </c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>
        <f>L127*86400</f>
        <v/>
      </c>
      <c r="N127" s="17">
        <f t="array" ref="N127">INDEX('MATCH INFO'!O:O, INT((ROW()-2)/10)+2 + 92)</f>
        <v/>
      </c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>
        <f>L128*86400</f>
        <v/>
      </c>
      <c r="N128" s="17">
        <f t="array" ref="N128">INDEX('MATCH INFO'!O:O, INT((ROW()-2)/10)+2 + 92)</f>
        <v/>
      </c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>
        <f>L129*86400</f>
        <v/>
      </c>
      <c r="N129" s="17">
        <f t="array" ref="N129">INDEX('MATCH INFO'!O:O, INT((ROW()-2)/10)+2 + 92)</f>
        <v/>
      </c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>
        <f>L130*86400</f>
        <v/>
      </c>
      <c r="N130" s="17">
        <f t="array" ref="N130">INDEX('MATCH INFO'!O:O, INT((ROW()-2)/10)+2 + 92)</f>
        <v/>
      </c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>
        <f>L131*86400</f>
        <v/>
      </c>
      <c r="N131" s="17">
        <f t="array" ref="N131">INDEX('MATCH INFO'!O:O, INT((ROW()-2)/10)+2 + 92)</f>
        <v/>
      </c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>
        <f>L132*86400</f>
        <v/>
      </c>
      <c r="N132" s="17">
        <f t="array" ref="N132">INDEX('MATCH INFO'!O:O, INT((ROW()-2)/10)+2 + 92)</f>
        <v/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>
        <f>L133*86400</f>
        <v/>
      </c>
      <c r="N133" s="17">
        <f t="array" ref="N133">INDEX('MATCH INFO'!O:O, INT((ROW()-2)/10)+2 + 92)</f>
        <v/>
      </c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>
        <f>L134*86400</f>
        <v/>
      </c>
      <c r="N134" s="17">
        <f t="array" ref="N134">INDEX('MATCH INFO'!O:O, INT((ROW()-2)/10)+2 + 92)</f>
        <v/>
      </c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>
        <f>L135*86400</f>
        <v/>
      </c>
      <c r="N135" s="17">
        <f t="array" ref="N135">INDEX('MATCH INFO'!O:O, INT((ROW()-2)/10)+2 + 92)</f>
        <v/>
      </c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>
        <f>L136*86400</f>
        <v/>
      </c>
      <c r="N136" s="17">
        <f t="array" ref="N136">INDEX('MATCH INFO'!O:O, INT((ROW()-2)/10)+2 + 92)</f>
        <v/>
      </c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>
        <f>L137*86400</f>
        <v/>
      </c>
      <c r="N137" s="17">
        <f t="array" ref="N137">INDEX('MATCH INFO'!O:O, INT((ROW()-2)/10)+2 + 92)</f>
        <v/>
      </c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>
        <f>L138*86400</f>
        <v/>
      </c>
      <c r="N138" s="17">
        <f t="array" ref="N138">INDEX('MATCH INFO'!O:O, INT((ROW()-2)/10)+2 + 92)</f>
        <v/>
      </c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>
        <f>L139*86400</f>
        <v/>
      </c>
      <c r="N139" s="17">
        <f t="array" ref="N139">INDEX('MATCH INFO'!O:O, INT((ROW()-2)/10)+2 + 92)</f>
        <v/>
      </c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>
        <f>L140*86400</f>
        <v/>
      </c>
      <c r="N140" s="17">
        <f t="array" ref="N140">INDEX('MATCH INFO'!O:O, INT((ROW()-2)/10)+2 + 92)</f>
        <v/>
      </c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>
        <f>L141*86400</f>
        <v/>
      </c>
      <c r="N141" s="17">
        <f t="array" ref="N141">INDEX('MATCH INFO'!O:O, INT((ROW()-2)/10)+2 + 92)</f>
        <v/>
      </c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>
        <f>L142*86400</f>
        <v/>
      </c>
      <c r="N142" s="17">
        <f t="array" ref="N142">INDEX('MATCH INFO'!O:O, INT((ROW()-2)/10)+2 + 92)</f>
        <v/>
      </c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>
        <f>L143*86400</f>
        <v/>
      </c>
      <c r="N143" s="17">
        <f t="array" ref="N143">INDEX('MATCH INFO'!O:O, INT((ROW()-2)/10)+2 + 92)</f>
        <v/>
      </c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>
        <f>L144*86400</f>
        <v/>
      </c>
      <c r="N144" s="17">
        <f t="array" ref="N144">INDEX('MATCH INFO'!O:O, INT((ROW()-2)/10)+2 + 92)</f>
        <v/>
      </c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>
        <f>L145*86400</f>
        <v/>
      </c>
      <c r="N145" s="17">
        <f t="array" ref="N145">INDEX('MATCH INFO'!O:O, INT((ROW()-2)/10)+2 + 92)</f>
        <v/>
      </c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>
        <f>L146*86400</f>
        <v/>
      </c>
      <c r="N146" s="17">
        <f t="array" ref="N146">INDEX('MATCH INFO'!O:O, INT((ROW()-2)/10)+2 + 92)</f>
        <v/>
      </c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>
        <f>L147*86400</f>
        <v/>
      </c>
      <c r="N147" s="17">
        <f t="array" ref="N147">INDEX('MATCH INFO'!O:O, INT((ROW()-2)/10)+2 + 92)</f>
        <v/>
      </c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>
        <f>L148*86400</f>
        <v/>
      </c>
      <c r="N148" s="17">
        <f t="array" ref="N148">INDEX('MATCH INFO'!O:O, INT((ROW()-2)/10)+2 + 92)</f>
        <v/>
      </c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>
        <f>L149*86400</f>
        <v/>
      </c>
      <c r="N149" s="17">
        <f t="array" ref="N149">INDEX('MATCH INFO'!O:O, INT((ROW()-2)/10)+2 + 92)</f>
        <v/>
      </c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>
        <f>L150*86400</f>
        <v/>
      </c>
      <c r="N150" s="17">
        <f t="array" ref="N150">INDEX('MATCH INFO'!O:O, INT((ROW()-2)/10)+2 + 92)</f>
        <v/>
      </c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>
        <f>L151*86400</f>
        <v/>
      </c>
      <c r="N151" s="17">
        <f t="array" ref="N151">INDEX('MATCH INFO'!O:O, INT((ROW()-2)/10)+2 + 92)</f>
        <v/>
      </c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>
        <f>L152*86400</f>
        <v/>
      </c>
      <c r="N152" s="17">
        <f t="array" ref="N152">INDEX('MATCH INFO'!O:O, INT((ROW()-2)/10)+2 + 92)</f>
        <v/>
      </c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>
        <f>L153*86400</f>
        <v/>
      </c>
      <c r="N153" s="17">
        <f t="array" ref="N153">INDEX('MATCH INFO'!O:O, INT((ROW()-2)/10)+2 + 92)</f>
        <v/>
      </c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>
        <f>L154*86400</f>
        <v/>
      </c>
      <c r="N154" s="17">
        <f t="array" ref="N154">INDEX('MATCH INFO'!O:O, INT((ROW()-2)/10)+2 + 92)</f>
        <v/>
      </c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>
        <f>L155*86400</f>
        <v/>
      </c>
      <c r="N155" s="17">
        <f t="array" ref="N155">INDEX('MATCH INFO'!O:O, INT((ROW()-2)/10)+2 + 92)</f>
        <v/>
      </c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>
        <f>L156*86400</f>
        <v/>
      </c>
      <c r="N156" s="17">
        <f t="array" ref="N156">INDEX('MATCH INFO'!O:O, INT((ROW()-2)/10)+2 + 92)</f>
        <v/>
      </c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>
        <f>L157*86400</f>
        <v/>
      </c>
      <c r="N157" s="17">
        <f t="array" ref="N157">INDEX('MATCH INFO'!O:O, INT((ROW()-2)/10)+2 + 92)</f>
        <v/>
      </c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>
        <f>L158*86400</f>
        <v/>
      </c>
      <c r="N158" s="17">
        <f t="array" ref="N158">INDEX('MATCH INFO'!O:O, INT((ROW()-2)/10)+2 + 92)</f>
        <v/>
      </c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>
        <f>L159*86400</f>
        <v/>
      </c>
      <c r="N159" s="17">
        <f t="array" ref="N159">INDEX('MATCH INFO'!O:O, INT((ROW()-2)/10)+2 + 92)</f>
        <v/>
      </c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>
        <f>L160*86400</f>
        <v/>
      </c>
      <c r="N160" s="17">
        <f t="array" ref="N160">INDEX('MATCH INFO'!O:O, INT((ROW()-2)/10)+2 + 92)</f>
        <v/>
      </c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>
        <f>L161*86400</f>
        <v/>
      </c>
      <c r="N161" s="17">
        <f t="array" ref="N161">INDEX('MATCH INFO'!O:O, INT((ROW()-2)/10)+2 + 92)</f>
        <v/>
      </c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>
        <f>L162*86400</f>
        <v/>
      </c>
      <c r="N162" s="17">
        <f t="array" ref="N162">INDEX('MATCH INFO'!O:O, INT((ROW()-2)/10)+2 + 92)</f>
        <v/>
      </c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>
        <f>L163*86400</f>
        <v/>
      </c>
      <c r="N163" s="17">
        <f t="array" ref="N163">INDEX('MATCH INFO'!O:O, INT((ROW()-2)/10)+2 + 92)</f>
        <v/>
      </c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>
        <f>L164*86400</f>
        <v/>
      </c>
      <c r="N164" s="17">
        <f t="array" ref="N164">INDEX('MATCH INFO'!O:O, INT((ROW()-2)/10)+2 + 92)</f>
        <v/>
      </c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>
        <f>L165*86400</f>
        <v/>
      </c>
      <c r="N165" s="17">
        <f t="array" ref="N165">INDEX('MATCH INFO'!O:O, INT((ROW()-2)/10)+2 + 92)</f>
        <v/>
      </c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>
        <f>L166*86400</f>
        <v/>
      </c>
      <c r="N166" s="17">
        <f t="array" ref="N166">INDEX('MATCH INFO'!O:O, INT((ROW()-2)/10)+2 + 92)</f>
        <v/>
      </c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>
        <f>L167*86400</f>
        <v/>
      </c>
      <c r="N167" s="17">
        <f t="array" ref="N167">INDEX('MATCH INFO'!O:O, INT((ROW()-2)/10)+2 + 92)</f>
        <v/>
      </c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>
        <f>L168*86400</f>
        <v/>
      </c>
      <c r="N168" s="17">
        <f t="array" ref="N168">INDEX('MATCH INFO'!O:O, INT((ROW()-2)/10)+2 + 92)</f>
        <v/>
      </c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>
        <f>L169*86400</f>
        <v/>
      </c>
      <c r="N169" s="17">
        <f t="array" ref="N169">INDEX('MATCH INFO'!O:O, INT((ROW()-2)/10)+2 + 92)</f>
        <v/>
      </c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>
        <f>L170*86400</f>
        <v/>
      </c>
      <c r="N170" s="17">
        <f t="array" ref="N170">INDEX('MATCH INFO'!O:O, INT((ROW()-2)/10)+2 + 92)</f>
        <v/>
      </c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>
        <f>L171*86400</f>
        <v/>
      </c>
      <c r="N171" s="17">
        <f t="array" ref="N171">INDEX('MATCH INFO'!O:O, INT((ROW()-2)/10)+2 + 92)</f>
        <v/>
      </c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>
        <f>L172*86400</f>
        <v/>
      </c>
      <c r="N172" s="17">
        <f t="array" ref="N172">INDEX('MATCH INFO'!O:O, INT((ROW()-2)/10)+2 + 92)</f>
        <v/>
      </c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>
        <f>L173*86400</f>
        <v/>
      </c>
      <c r="N173" s="17">
        <f t="array" ref="N173">INDEX('MATCH INFO'!O:O, INT((ROW()-2)/10)+2 + 92)</f>
        <v/>
      </c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>
        <f>L174*86400</f>
        <v/>
      </c>
      <c r="N174" s="17">
        <f t="array" ref="N174">INDEX('MATCH INFO'!O:O, INT((ROW()-2)/10)+2 + 92)</f>
        <v/>
      </c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>
        <f>L175*86400</f>
        <v/>
      </c>
      <c r="N175" s="17">
        <f t="array" ref="N175">INDEX('MATCH INFO'!O:O, INT((ROW()-2)/10)+2 + 92)</f>
        <v/>
      </c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>
        <f>L176*86400</f>
        <v/>
      </c>
      <c r="N176" s="17">
        <f t="array" ref="N176">INDEX('MATCH INFO'!O:O, INT((ROW()-2)/10)+2 + 92)</f>
        <v/>
      </c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>
        <f>L177*86400</f>
        <v/>
      </c>
      <c r="N177" s="17">
        <f t="array" ref="N177">INDEX('MATCH INFO'!O:O, INT((ROW()-2)/10)+2 + 92)</f>
        <v/>
      </c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>
        <f>L178*86400</f>
        <v/>
      </c>
      <c r="N178" s="17">
        <f t="array" ref="N178">INDEX('MATCH INFO'!O:O, INT((ROW()-2)/10)+2 + 92)</f>
        <v/>
      </c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>
        <f>L179*86400</f>
        <v/>
      </c>
      <c r="N179" s="17">
        <f t="array" ref="N179">INDEX('MATCH INFO'!O:O, INT((ROW()-2)/10)+2 + 92)</f>
        <v/>
      </c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>
        <f>L180*86400</f>
        <v/>
      </c>
      <c r="N180" s="17">
        <f t="array" ref="N180">INDEX('MATCH INFO'!O:O, INT((ROW()-2)/10)+2 + 92)</f>
        <v/>
      </c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>
        <f>L181*86400</f>
        <v/>
      </c>
      <c r="N181" s="17">
        <f t="array" ref="N181">INDEX('MATCH INFO'!O:O, INT((ROW()-2)/10)+2 + 92)</f>
        <v/>
      </c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>
        <f>L182*86400</f>
        <v/>
      </c>
      <c r="N182" s="17">
        <f t="array" ref="N182">INDEX('MATCH INFO'!O:O, INT((ROW()-2)/10)+2 + 92)</f>
        <v/>
      </c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>
        <f>L183*86400</f>
        <v/>
      </c>
      <c r="N183" s="17">
        <f t="array" ref="N183">INDEX('MATCH INFO'!O:O, INT((ROW()-2)/10)+2 + 92)</f>
        <v/>
      </c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>
        <f>L184*86400</f>
        <v/>
      </c>
      <c r="N184" s="17">
        <f t="array" ref="N184">INDEX('MATCH INFO'!O:O, INT((ROW()-2)/10)+2 + 92)</f>
        <v/>
      </c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>
        <f>L185*86400</f>
        <v/>
      </c>
      <c r="N185" s="17">
        <f t="array" ref="N185">INDEX('MATCH INFO'!O:O, INT((ROW()-2)/10)+2 + 92)</f>
        <v/>
      </c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>
        <f>L186*86400</f>
        <v/>
      </c>
      <c r="N186" s="17">
        <f t="array" ref="N186">INDEX('MATCH INFO'!O:O, INT((ROW()-2)/10)+2 + 92)</f>
        <v/>
      </c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>
        <f>L187*86400</f>
        <v/>
      </c>
      <c r="N187" s="17">
        <f t="array" ref="N187">INDEX('MATCH INFO'!O:O, INT((ROW()-2)/10)+2 + 92)</f>
        <v/>
      </c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>
        <f>L188*86400</f>
        <v/>
      </c>
      <c r="N188" s="17">
        <f t="array" ref="N188">INDEX('MATCH INFO'!O:O, INT((ROW()-2)/10)+2 + 92)</f>
        <v/>
      </c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>
        <f>L189*86400</f>
        <v/>
      </c>
      <c r="N189" s="17">
        <f t="array" ref="N189">INDEX('MATCH INFO'!O:O, INT((ROW()-2)/10)+2 + 92)</f>
        <v/>
      </c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>
        <f>L190*86400</f>
        <v/>
      </c>
      <c r="N190" s="17">
        <f t="array" ref="N190">INDEX('MATCH INFO'!O:O, INT((ROW()-2)/10)+2 + 92)</f>
        <v/>
      </c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>
        <f>L191*86400</f>
        <v/>
      </c>
      <c r="N191" s="17">
        <f t="array" ref="N191">INDEX('MATCH INFO'!O:O, INT((ROW()-2)/10)+2 + 92)</f>
        <v/>
      </c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>
        <f>L192*86400</f>
        <v/>
      </c>
      <c r="N192" s="17">
        <f t="array" ref="N192">INDEX('MATCH INFO'!O:O, INT((ROW()-2)/10)+2 + 92)</f>
        <v/>
      </c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>
        <f>L193*86400</f>
        <v/>
      </c>
      <c r="N193" s="17">
        <f t="array" ref="N193">INDEX('MATCH INFO'!O:O, INT((ROW()-2)/10)+2 + 92)</f>
        <v/>
      </c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>
        <f>L194*86400</f>
        <v/>
      </c>
      <c r="N194" s="17">
        <f t="array" ref="N194">INDEX('MATCH INFO'!O:O, INT((ROW()-2)/10)+2 + 92)</f>
        <v/>
      </c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>
        <f>L195*86400</f>
        <v/>
      </c>
      <c r="N195" s="17">
        <f t="array" ref="N195">INDEX('MATCH INFO'!O:O, INT((ROW()-2)/10)+2 + 92)</f>
        <v/>
      </c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>
        <f>L196*86400</f>
        <v/>
      </c>
      <c r="N196" s="17">
        <f t="array" ref="N196">INDEX('MATCH INFO'!O:O, INT((ROW()-2)/10)+2 + 92)</f>
        <v/>
      </c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>
        <f>L197*86400</f>
        <v/>
      </c>
      <c r="N197" s="17">
        <f t="array" ref="N197">INDEX('MATCH INFO'!O:O, INT((ROW()-2)/10)+2 + 92)</f>
        <v/>
      </c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>
        <f>L198*86400</f>
        <v/>
      </c>
      <c r="N198" s="17">
        <f t="array" ref="N198">INDEX('MATCH INFO'!O:O, INT((ROW()-2)/10)+2 + 92)</f>
        <v/>
      </c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>
        <f>L199*86400</f>
        <v/>
      </c>
      <c r="N199" s="17">
        <f t="array" ref="N199">INDEX('MATCH INFO'!O:O, INT((ROW()-2)/10)+2 + 92)</f>
        <v/>
      </c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>
        <f>L200*86400</f>
        <v/>
      </c>
      <c r="N200" s="17">
        <f t="array" ref="N200">INDEX('MATCH INFO'!O:O, INT((ROW()-2)/10)+2 + 92)</f>
        <v/>
      </c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>
        <f>L201*86400</f>
        <v/>
      </c>
      <c r="N201" s="17">
        <f t="array" ref="N201">INDEX('MATCH INFO'!O:O, INT((ROW()-2)/10)+2 + 92)</f>
        <v/>
      </c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>
        <f>L202*86400</f>
        <v/>
      </c>
      <c r="N202" s="17">
        <f t="array" ref="N202">INDEX('MATCH INFO'!O:O, INT((ROW()-2)/10)+2 + 92)</f>
        <v/>
      </c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>
        <f>L203*86400</f>
        <v/>
      </c>
      <c r="N203" s="17">
        <f t="array" ref="N203">INDEX('MATCH INFO'!O:O, INT((ROW()-2)/10)+2 + 92)</f>
        <v/>
      </c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>
        <f>L204*86400</f>
        <v/>
      </c>
      <c r="N204" s="17">
        <f t="array" ref="N204">INDEX('MATCH INFO'!O:O, INT((ROW()-2)/10)+2 + 92)</f>
        <v/>
      </c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>
        <f>L205*86400</f>
        <v/>
      </c>
      <c r="N205" s="17">
        <f t="array" ref="N205">INDEX('MATCH INFO'!O:O, INT((ROW()-2)/10)+2 + 92)</f>
        <v/>
      </c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>
        <f>L206*86400</f>
        <v/>
      </c>
      <c r="N206" s="17">
        <f t="array" ref="N206">INDEX('MATCH INFO'!O:O, INT((ROW()-2)/10)+2 + 92)</f>
        <v/>
      </c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>
        <f>L207*86400</f>
        <v/>
      </c>
      <c r="N207" s="17">
        <f t="array" ref="N207">INDEX('MATCH INFO'!O:O, INT((ROW()-2)/10)+2 + 92)</f>
        <v/>
      </c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>
        <f>L208*86400</f>
        <v/>
      </c>
      <c r="N208" s="17">
        <f t="array" ref="N208">INDEX('MATCH INFO'!O:O, INT((ROW()-2)/10)+2 + 92)</f>
        <v/>
      </c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>
        <f>L209*86400</f>
        <v/>
      </c>
      <c r="N209" s="17">
        <f t="array" ref="N209">INDEX('MATCH INFO'!O:O, INT((ROW()-2)/10)+2 + 92)</f>
        <v/>
      </c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>
        <f>L210*86400</f>
        <v/>
      </c>
      <c r="N210" s="17">
        <f t="array" ref="N210">INDEX('MATCH INFO'!O:O, INT((ROW()-2)/10)+2 + 92)</f>
        <v/>
      </c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>
        <f>L211*86400</f>
        <v/>
      </c>
      <c r="N211" s="17">
        <f t="array" ref="N211">INDEX('MATCH INFO'!O:O, INT((ROW()-2)/10)+2 + 92)</f>
        <v/>
      </c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>
        <f>L212*86400</f>
        <v/>
      </c>
      <c r="N212" s="17">
        <f t="array" ref="N212">INDEX('MATCH INFO'!O:O, INT((ROW()-2)/10)+2 + 92)</f>
        <v/>
      </c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>
        <f>L213*86400</f>
        <v/>
      </c>
      <c r="N213" s="17">
        <f t="array" ref="N213">INDEX('MATCH INFO'!O:O, INT((ROW()-2)/10)+2 + 92)</f>
        <v/>
      </c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>
        <f>L214*86400</f>
        <v/>
      </c>
      <c r="N214" s="17">
        <f t="array" ref="N214">INDEX('MATCH INFO'!O:O, INT((ROW()-2)/10)+2 + 92)</f>
        <v/>
      </c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>
        <f>L215*86400</f>
        <v/>
      </c>
      <c r="N215" s="17">
        <f t="array" ref="N215">INDEX('MATCH INFO'!O:O, INT((ROW()-2)/10)+2 + 92)</f>
        <v/>
      </c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>
        <f>L216*86400</f>
        <v/>
      </c>
      <c r="N216" s="17">
        <f t="array" ref="N216">INDEX('MATCH INFO'!O:O, INT((ROW()-2)/10)+2 + 92)</f>
        <v/>
      </c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>
        <f>L217*86400</f>
        <v/>
      </c>
      <c r="N217" s="17">
        <f t="array" ref="N217">INDEX('MATCH INFO'!O:O, INT((ROW()-2)/10)+2 + 92)</f>
        <v/>
      </c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>
        <f>L218*86400</f>
        <v/>
      </c>
      <c r="N218" s="17">
        <f t="array" ref="N218">INDEX('MATCH INFO'!O:O, INT((ROW()-2)/10)+2 + 92)</f>
        <v/>
      </c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>
        <f>L219*86400</f>
        <v/>
      </c>
      <c r="N219" s="17">
        <f t="array" ref="N219">INDEX('MATCH INFO'!O:O, INT((ROW()-2)/10)+2 + 92)</f>
        <v/>
      </c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>
        <f>L220*86400</f>
        <v/>
      </c>
      <c r="N220" s="17">
        <f t="array" ref="N220">INDEX('MATCH INFO'!O:O, INT((ROW()-2)/10)+2 + 92)</f>
        <v/>
      </c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>
        <f>L221*86400</f>
        <v/>
      </c>
      <c r="N221" s="17">
        <f t="array" ref="N221">INDEX('MATCH INFO'!O:O, INT((ROW()-2)/10)+2 + 92)</f>
        <v/>
      </c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>
        <f>L222*86400</f>
        <v/>
      </c>
      <c r="N222" s="17">
        <f t="array" ref="N222">INDEX('MATCH INFO'!O:O, INT((ROW()-2)/10)+2 + 92)</f>
        <v/>
      </c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>
        <f>L223*86400</f>
        <v/>
      </c>
      <c r="N223" s="17">
        <f t="array" ref="N223">INDEX('MATCH INFO'!O:O, INT((ROW()-2)/10)+2 + 92)</f>
        <v/>
      </c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>
        <f>L224*86400</f>
        <v/>
      </c>
      <c r="N224" s="17">
        <f t="array" ref="N224">INDEX('MATCH INFO'!O:O, INT((ROW()-2)/10)+2 + 92)</f>
        <v/>
      </c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>
        <f>L225*86400</f>
        <v/>
      </c>
      <c r="N225" s="17">
        <f t="array" ref="N225">INDEX('MATCH INFO'!O:O, INT((ROW()-2)/10)+2 + 92)</f>
        <v/>
      </c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>
        <f>L226*86400</f>
        <v/>
      </c>
      <c r="N226" s="17">
        <f t="array" ref="N226">INDEX('MATCH INFO'!O:O, INT((ROW()-2)/10)+2 + 92)</f>
        <v/>
      </c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>
        <f>L227*86400</f>
        <v/>
      </c>
      <c r="N227" s="17">
        <f t="array" ref="N227">INDEX('MATCH INFO'!O:O, INT((ROW()-2)/10)+2 + 92)</f>
        <v/>
      </c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>
        <f>L228*86400</f>
        <v/>
      </c>
      <c r="N228" s="17">
        <f t="array" ref="N228">INDEX('MATCH INFO'!O:O, INT((ROW()-2)/10)+2 + 92)</f>
        <v/>
      </c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>
        <f>L229*86400</f>
        <v/>
      </c>
      <c r="N229" s="17">
        <f t="array" ref="N229">INDEX('MATCH INFO'!O:O, INT((ROW()-2)/10)+2 + 92)</f>
        <v/>
      </c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>
        <f>L230*86400</f>
        <v/>
      </c>
      <c r="N230" s="17">
        <f t="array" ref="N230">INDEX('MATCH INFO'!O:O, INT((ROW()-2)/10)+2 + 92)</f>
        <v/>
      </c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>
        <f>L231*86400</f>
        <v/>
      </c>
      <c r="N231" s="17">
        <f t="array" ref="N231">INDEX('MATCH INFO'!O:O, INT((ROW()-2)/10)+2 + 92)</f>
        <v/>
      </c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>
        <f>L232*86400</f>
        <v/>
      </c>
      <c r="N232" s="17">
        <f t="array" ref="N232">INDEX('MATCH INFO'!O:O, INT((ROW()-2)/10)+2 + 92)</f>
        <v/>
      </c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>
        <f>L233*86400</f>
        <v/>
      </c>
      <c r="N233" s="17">
        <f t="array" ref="N233">INDEX('MATCH INFO'!O:O, INT((ROW()-2)/10)+2 + 92)</f>
        <v/>
      </c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>
        <f>L234*86400</f>
        <v/>
      </c>
      <c r="N234" s="17">
        <f t="array" ref="N234">INDEX('MATCH INFO'!O:O, INT((ROW()-2)/10)+2 + 92)</f>
        <v/>
      </c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>
        <f>L235*86400</f>
        <v/>
      </c>
      <c r="N235" s="17">
        <f t="array" ref="N235">INDEX('MATCH INFO'!O:O, INT((ROW()-2)/10)+2 + 92)</f>
        <v/>
      </c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>
        <f>L236*86400</f>
        <v/>
      </c>
      <c r="N236" s="17">
        <f t="array" ref="N236">INDEX('MATCH INFO'!O:O, INT((ROW()-2)/10)+2 + 92)</f>
        <v/>
      </c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>
        <f>L237*86400</f>
        <v/>
      </c>
      <c r="N237" s="17">
        <f t="array" ref="N237">INDEX('MATCH INFO'!O:O, INT((ROW()-2)/10)+2 + 92)</f>
        <v/>
      </c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>
        <f>L238*86400</f>
        <v/>
      </c>
      <c r="N238" s="17">
        <f t="array" ref="N238">INDEX('MATCH INFO'!O:O, INT((ROW()-2)/10)+2 + 92)</f>
        <v/>
      </c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>
        <f>L239*86400</f>
        <v/>
      </c>
      <c r="N239" s="17">
        <f t="array" ref="N239">INDEX('MATCH INFO'!O:O, INT((ROW()-2)/10)+2 + 92)</f>
        <v/>
      </c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>
        <f>L240*86400</f>
        <v/>
      </c>
      <c r="N240" s="17">
        <f t="array" ref="N240">INDEX('MATCH INFO'!O:O, INT((ROW()-2)/10)+2 + 92)</f>
        <v/>
      </c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>
        <f>L241*86400</f>
        <v/>
      </c>
      <c r="N241" s="17">
        <f t="array" ref="N241">INDEX('MATCH INFO'!O:O, INT((ROW()-2)/10)+2 + 92)</f>
        <v/>
      </c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>
        <f>L242*86400</f>
        <v/>
      </c>
      <c r="N242" s="17">
        <f t="array" ref="N242">INDEX('MATCH INFO'!O:O, INT((ROW()-2)/10)+2 + 92)</f>
        <v/>
      </c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>
        <f>L243*86400</f>
        <v/>
      </c>
      <c r="N243" s="17">
        <f t="array" ref="N243">INDEX('MATCH INFO'!O:O, INT((ROW()-2)/10)+2 + 92)</f>
        <v/>
      </c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>
        <f>L244*86400</f>
        <v/>
      </c>
      <c r="N244" s="17">
        <f t="array" ref="N244">INDEX('MATCH INFO'!O:O, INT((ROW()-2)/10)+2 + 92)</f>
        <v/>
      </c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>
        <f>L245*86400</f>
        <v/>
      </c>
      <c r="N245" s="17">
        <f t="array" ref="N245">INDEX('MATCH INFO'!O:O, INT((ROW()-2)/10)+2 + 92)</f>
        <v/>
      </c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>
        <f>L246*86400</f>
        <v/>
      </c>
      <c r="N246" s="17">
        <f t="array" ref="N246">INDEX('MATCH INFO'!O:O, INT((ROW()-2)/10)+2 + 92)</f>
        <v/>
      </c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>
        <f>L247*86400</f>
        <v/>
      </c>
      <c r="N247" s="17">
        <f t="array" ref="N247">INDEX('MATCH INFO'!O:O, INT((ROW()-2)/10)+2 + 92)</f>
        <v/>
      </c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>
        <f>L248*86400</f>
        <v/>
      </c>
      <c r="N248" s="17">
        <f t="array" ref="N248">INDEX('MATCH INFO'!O:O, INT((ROW()-2)/10)+2 + 92)</f>
        <v/>
      </c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>
        <f>L249*86400</f>
        <v/>
      </c>
      <c r="N249" s="17">
        <f t="array" ref="N249">INDEX('MATCH INFO'!O:O, INT((ROW()-2)/10)+2 + 92)</f>
        <v/>
      </c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>
        <f>L250*86400</f>
        <v/>
      </c>
      <c r="N250" s="17">
        <f t="array" ref="N250">INDEX('MATCH INFO'!O:O, INT((ROW()-2)/10)+2 + 92)</f>
        <v/>
      </c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>
        <f>L251*86400</f>
        <v/>
      </c>
      <c r="N251" s="17">
        <f t="array" ref="N251">INDEX('MATCH INFO'!O:O, INT((ROW()-2)/10)+2 + 92)</f>
        <v/>
      </c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>
        <f>L252*86400</f>
        <v/>
      </c>
      <c r="N252" s="17">
        <f t="array" ref="N252">INDEX('MATCH INFO'!O:O, INT((ROW()-2)/10)+2 + 92)</f>
        <v/>
      </c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>
        <f>L253*86400</f>
        <v/>
      </c>
      <c r="N253" s="17">
        <f t="array" ref="N253">INDEX('MATCH INFO'!O:O, INT((ROW()-2)/10)+2 + 92)</f>
        <v/>
      </c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>
        <f>L254*86400</f>
        <v/>
      </c>
      <c r="N254" s="17">
        <f t="array" ref="N254">INDEX('MATCH INFO'!O:O, INT((ROW()-2)/10)+2 + 92)</f>
        <v/>
      </c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>
        <f>L255*86400</f>
        <v/>
      </c>
      <c r="N255" s="17">
        <f t="array" ref="N255">INDEX('MATCH INFO'!O:O, INT((ROW()-2)/10)+2 + 92)</f>
        <v/>
      </c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>
        <f>L256*86400</f>
        <v/>
      </c>
      <c r="N256" s="17">
        <f t="array" ref="N256">INDEX('MATCH INFO'!O:O, INT((ROW()-2)/10)+2 + 92)</f>
        <v/>
      </c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>
        <f>L257*86400</f>
        <v/>
      </c>
      <c r="N257" s="17">
        <f t="array" ref="N257">INDEX('MATCH INFO'!O:O, INT((ROW()-2)/10)+2 + 92)</f>
        <v/>
      </c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>
        <f>L258*86400</f>
        <v/>
      </c>
      <c r="N258" s="17">
        <f t="array" ref="N258">INDEX('MATCH INFO'!O:O, INT((ROW()-2)/10)+2 + 92)</f>
        <v/>
      </c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>
        <f>L259*86400</f>
        <v/>
      </c>
      <c r="N259" s="17">
        <f t="array" ref="N259">INDEX('MATCH INFO'!O:O, INT((ROW()-2)/10)+2 + 92)</f>
        <v/>
      </c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>
        <f>L260*86400</f>
        <v/>
      </c>
      <c r="N260" s="17">
        <f t="array" ref="N260">INDEX('MATCH INFO'!O:O, INT((ROW()-2)/10)+2 + 92)</f>
        <v/>
      </c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>
        <f>L261*86400</f>
        <v/>
      </c>
      <c r="N261" s="17">
        <f t="array" ref="N261">INDEX('MATCH INFO'!O:O, INT((ROW()-2)/10)+2 + 92)</f>
        <v/>
      </c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>
        <f>L262*86400</f>
        <v/>
      </c>
      <c r="N262" s="17">
        <f t="array" ref="N262">INDEX('MATCH INFO'!O:O, INT((ROW()-2)/10)+2 + 92)</f>
        <v/>
      </c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>
        <f>L263*86400</f>
        <v/>
      </c>
      <c r="N263" s="17">
        <f t="array" ref="N263">INDEX('MATCH INFO'!O:O, INT((ROW()-2)/10)+2 + 92)</f>
        <v/>
      </c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>
        <f>L264*86400</f>
        <v/>
      </c>
      <c r="N264" s="17">
        <f t="array" ref="N264">INDEX('MATCH INFO'!O:O, INT((ROW()-2)/10)+2 + 92)</f>
        <v/>
      </c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>
        <f>L265*86400</f>
        <v/>
      </c>
      <c r="N265" s="17">
        <f t="array" ref="N265">INDEX('MATCH INFO'!O:O, INT((ROW()-2)/10)+2 + 92)</f>
        <v/>
      </c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>
        <f>L266*86400</f>
        <v/>
      </c>
      <c r="N266" s="17">
        <f t="array" ref="N266">INDEX('MATCH INFO'!O:O, INT((ROW()-2)/10)+2 + 92)</f>
        <v/>
      </c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>
        <f>L267*86400</f>
        <v/>
      </c>
      <c r="N267" s="17">
        <f t="array" ref="N267">INDEX('MATCH INFO'!O:O, INT((ROW()-2)/10)+2 + 92)</f>
        <v/>
      </c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>
        <f>L268*86400</f>
        <v/>
      </c>
      <c r="N268" s="17">
        <f t="array" ref="N268">INDEX('MATCH INFO'!O:O, INT((ROW()-2)/10)+2 + 92)</f>
        <v/>
      </c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>
        <f>L269*86400</f>
        <v/>
      </c>
      <c r="N269" s="17">
        <f t="array" ref="N269">INDEX('MATCH INFO'!O:O, INT((ROW()-2)/10)+2 + 92)</f>
        <v/>
      </c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>
        <f>L270*86400</f>
        <v/>
      </c>
      <c r="N270" s="17">
        <f t="array" ref="N270">INDEX('MATCH INFO'!O:O, INT((ROW()-2)/10)+2 + 92)</f>
        <v/>
      </c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>
        <f>L271*86400</f>
        <v/>
      </c>
      <c r="N271" s="17">
        <f t="array" ref="N271">INDEX('MATCH INFO'!O:O, INT((ROW()-2)/10)+2 + 92)</f>
        <v/>
      </c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>
        <f>L272*86400</f>
        <v/>
      </c>
      <c r="N272" s="17">
        <f t="array" ref="N272">INDEX('MATCH INFO'!O:O, INT((ROW()-2)/10)+2 + 92)</f>
        <v/>
      </c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>
        <f>L273*86400</f>
        <v/>
      </c>
      <c r="N273" s="17">
        <f t="array" ref="N273">INDEX('MATCH INFO'!O:O, INT((ROW()-2)/10)+2 + 92)</f>
        <v/>
      </c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>
        <f>L274*86400</f>
        <v/>
      </c>
      <c r="N274" s="17">
        <f t="array" ref="N274">INDEX('MATCH INFO'!O:O, INT((ROW()-2)/10)+2 + 92)</f>
        <v/>
      </c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>
        <f>L275*86400</f>
        <v/>
      </c>
      <c r="N275" s="17">
        <f t="array" ref="N275">INDEX('MATCH INFO'!O:O, INT((ROW()-2)/10)+2 + 92)</f>
        <v/>
      </c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>
        <f>L276*86400</f>
        <v/>
      </c>
      <c r="N276" s="17">
        <f t="array" ref="N276">INDEX('MATCH INFO'!O:O, INT((ROW()-2)/10)+2 + 92)</f>
        <v/>
      </c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>
        <f>L277*86400</f>
        <v/>
      </c>
      <c r="N277" s="17">
        <f t="array" ref="N277">INDEX('MATCH INFO'!O:O, INT((ROW()-2)/10)+2 + 92)</f>
        <v/>
      </c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>
        <f>L278*86400</f>
        <v/>
      </c>
      <c r="N278" s="17">
        <f t="array" ref="N278">INDEX('MATCH INFO'!O:O, INT((ROW()-2)/10)+2 + 92)</f>
        <v/>
      </c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>
        <f>L279*86400</f>
        <v/>
      </c>
      <c r="N279" s="17">
        <f t="array" ref="N279">INDEX('MATCH INFO'!O:O, INT((ROW()-2)/10)+2 + 92)</f>
        <v/>
      </c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>
        <f>L280*86400</f>
        <v/>
      </c>
      <c r="N280" s="17">
        <f t="array" ref="N280">INDEX('MATCH INFO'!O:O, INT((ROW()-2)/10)+2 + 92)</f>
        <v/>
      </c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>
        <f>L281*86400</f>
        <v/>
      </c>
      <c r="N281" s="17">
        <f t="array" ref="N281">INDEX('MATCH INFO'!O:O, INT((ROW()-2)/10)+2 + 92)</f>
        <v/>
      </c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>
        <f>L282*86400</f>
        <v/>
      </c>
      <c r="N282" s="17">
        <f t="array" ref="N282">INDEX('MATCH INFO'!O:O, INT((ROW()-2)/10)+2 + 92)</f>
        <v/>
      </c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>
        <f>L283*86400</f>
        <v/>
      </c>
      <c r="N283" s="17">
        <f t="array" ref="N283">INDEX('MATCH INFO'!O:O, INT((ROW()-2)/10)+2 + 92)</f>
        <v/>
      </c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>
        <f>L284*86400</f>
        <v/>
      </c>
      <c r="N284" s="17">
        <f t="array" ref="N284">INDEX('MATCH INFO'!O:O, INT((ROW()-2)/10)+2 + 92)</f>
        <v/>
      </c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>
        <f>L285*86400</f>
        <v/>
      </c>
      <c r="N285" s="17">
        <f t="array" ref="N285">INDEX('MATCH INFO'!O:O, INT((ROW()-2)/10)+2 + 92)</f>
        <v/>
      </c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>
        <f>L286*86400</f>
        <v/>
      </c>
      <c r="N286" s="17">
        <f t="array" ref="N286">INDEX('MATCH INFO'!O:O, INT((ROW()-2)/10)+2 + 92)</f>
        <v/>
      </c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>
        <f>L287*86400</f>
        <v/>
      </c>
      <c r="N287" s="17">
        <f t="array" ref="N287">INDEX('MATCH INFO'!O:O, INT((ROW()-2)/10)+2 + 92)</f>
        <v/>
      </c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>
        <f>L288*86400</f>
        <v/>
      </c>
      <c r="N288" s="17">
        <f t="array" ref="N288">INDEX('MATCH INFO'!O:O, INT((ROW()-2)/10)+2 + 92)</f>
        <v/>
      </c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>
        <f>L289*86400</f>
        <v/>
      </c>
      <c r="N289" s="17">
        <f t="array" ref="N289">INDEX('MATCH INFO'!O:O, INT((ROW()-2)/10)+2 + 92)</f>
        <v/>
      </c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>
        <f>L290*86400</f>
        <v/>
      </c>
      <c r="N290" s="17">
        <f t="array" ref="N290">INDEX('MATCH INFO'!O:O, INT((ROW()-2)/10)+2 + 92)</f>
        <v/>
      </c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>
        <f>L291*86400</f>
        <v/>
      </c>
      <c r="N291" s="17">
        <f t="array" ref="N291">INDEX('MATCH INFO'!O:O, INT((ROW()-2)/10)+2 + 92)</f>
        <v/>
      </c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>
        <f>L292*86400</f>
        <v/>
      </c>
      <c r="N292" s="17">
        <f t="array" ref="N292">INDEX('MATCH INFO'!O:O, INT((ROW()-2)/10)+2 + 92)</f>
        <v/>
      </c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>
        <f>L293*86400</f>
        <v/>
      </c>
      <c r="N293" s="17">
        <f t="array" ref="N293">INDEX('MATCH INFO'!O:O, INT((ROW()-2)/10)+2 + 92)</f>
        <v/>
      </c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>
        <f>L294*86400</f>
        <v/>
      </c>
      <c r="N294" s="17">
        <f t="array" ref="N294">INDEX('MATCH INFO'!O:O, INT((ROW()-2)/10)+2 + 92)</f>
        <v/>
      </c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>
        <f>L295*86400</f>
        <v/>
      </c>
      <c r="N295" s="17">
        <f t="array" ref="N295">INDEX('MATCH INFO'!O:O, INT((ROW()-2)/10)+2 + 92)</f>
        <v/>
      </c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>
        <f>L296*86400</f>
        <v/>
      </c>
      <c r="N296" s="17">
        <f t="array" ref="N296">INDEX('MATCH INFO'!O:O, INT((ROW()-2)/10)+2 + 92)</f>
        <v/>
      </c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>
        <f>L297*86400</f>
        <v/>
      </c>
      <c r="N297" s="17">
        <f t="array" ref="N297">INDEX('MATCH INFO'!O:O, INT((ROW()-2)/10)+2 + 92)</f>
        <v/>
      </c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>
        <f>L298*86400</f>
        <v/>
      </c>
      <c r="N298" s="17">
        <f t="array" ref="N298">INDEX('MATCH INFO'!O:O, INT((ROW()-2)/10)+2 + 92)</f>
        <v/>
      </c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>
        <f>L299*86400</f>
        <v/>
      </c>
      <c r="N299" s="17">
        <f t="array" ref="N299">INDEX('MATCH INFO'!O:O, INT((ROW()-2)/10)+2 + 92)</f>
        <v/>
      </c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>
        <f>L300*86400</f>
        <v/>
      </c>
      <c r="N300" s="17">
        <f t="array" ref="N300">INDEX('MATCH INFO'!O:O, INT((ROW()-2)/10)+2 + 92)</f>
        <v/>
      </c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>
        <f>L301*86400</f>
        <v/>
      </c>
      <c r="N301" s="17">
        <f t="array" ref="N301">INDEX('MATCH INFO'!O:O, INT((ROW()-2)/10)+2 + 92)</f>
        <v/>
      </c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>
        <f>L302*86400</f>
        <v/>
      </c>
      <c r="N302" s="17">
        <f t="array" ref="N302">INDEX('MATCH INFO'!O:O, INT((ROW()-2)/10)+2 + 92)</f>
        <v/>
      </c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>
        <f>L303*86400</f>
        <v/>
      </c>
      <c r="N303" s="17">
        <f t="array" ref="N303">INDEX('MATCH INFO'!O:O, INT((ROW()-2)/10)+2 + 92)</f>
        <v/>
      </c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>
        <f>L304*86400</f>
        <v/>
      </c>
      <c r="N304" s="17">
        <f t="array" ref="N304">INDEX('MATCH INFO'!O:O, INT((ROW()-2)/10)+2 + 92)</f>
        <v/>
      </c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>
        <f>L305*86400</f>
        <v/>
      </c>
      <c r="N305" s="17">
        <f t="array" ref="N305">INDEX('MATCH INFO'!O:O, INT((ROW()-2)/10)+2 + 92)</f>
        <v/>
      </c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>
        <f>L306*86400</f>
        <v/>
      </c>
      <c r="N306" s="17">
        <f t="array" ref="N306">INDEX('MATCH INFO'!O:O, INT((ROW()-2)/10)+2 + 92)</f>
        <v/>
      </c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>
        <f>L307*86400</f>
        <v/>
      </c>
      <c r="N307" s="17">
        <f t="array" ref="N307">INDEX('MATCH INFO'!O:O, INT((ROW()-2)/10)+2 + 92)</f>
        <v/>
      </c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>
        <f>L308*86400</f>
        <v/>
      </c>
      <c r="N308" s="17">
        <f t="array" ref="N308">INDEX('MATCH INFO'!O:O, INT((ROW()-2)/10)+2 + 92)</f>
        <v/>
      </c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>
        <f>L309*86400</f>
        <v/>
      </c>
      <c r="N309" s="17">
        <f t="array" ref="N309">INDEX('MATCH INFO'!O:O, INT((ROW()-2)/10)+2 + 92)</f>
        <v/>
      </c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>
        <f>L310*86400</f>
        <v/>
      </c>
      <c r="N310" s="17">
        <f t="array" ref="N310">INDEX('MATCH INFO'!O:O, INT((ROW()-2)/10)+2 + 92)</f>
        <v/>
      </c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>
        <f>L311*86400</f>
        <v/>
      </c>
      <c r="N311" s="17">
        <f t="array" ref="N311">INDEX('MATCH INFO'!O:O, INT((ROW()-2)/10)+2 + 92)</f>
        <v/>
      </c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>
        <f>L312*86400</f>
        <v/>
      </c>
      <c r="N312" s="17">
        <f t="array" ref="N312">INDEX('MATCH INFO'!O:O, INT((ROW()-2)/10)+2 + 92)</f>
        <v/>
      </c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>
        <f>L313*86400</f>
        <v/>
      </c>
      <c r="N313" s="17">
        <f t="array" ref="N313">INDEX('MATCH INFO'!O:O, INT((ROW()-2)/10)+2 + 92)</f>
        <v/>
      </c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>
        <f>L314*86400</f>
        <v/>
      </c>
      <c r="N314" s="17">
        <f t="array" ref="N314">INDEX('MATCH INFO'!O:O, INT((ROW()-2)/10)+2 + 92)</f>
        <v/>
      </c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>
        <f>L315*86400</f>
        <v/>
      </c>
      <c r="N315" s="17">
        <f t="array" ref="N315">INDEX('MATCH INFO'!O:O, INT((ROW()-2)/10)+2 + 92)</f>
        <v/>
      </c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>
        <f>L316*86400</f>
        <v/>
      </c>
      <c r="N316" s="17">
        <f t="array" ref="N316">INDEX('MATCH INFO'!O:O, INT((ROW()-2)/10)+2 + 92)</f>
        <v/>
      </c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>
        <f>L317*86400</f>
        <v/>
      </c>
      <c r="N317" s="17">
        <f t="array" ref="N317">INDEX('MATCH INFO'!O:O, INT((ROW()-2)/10)+2 + 92)</f>
        <v/>
      </c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>
        <f>L318*86400</f>
        <v/>
      </c>
      <c r="N318" s="17">
        <f t="array" ref="N318">INDEX('MATCH INFO'!O:O, INT((ROW()-2)/10)+2 + 92)</f>
        <v/>
      </c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>
        <f>L319*86400</f>
        <v/>
      </c>
      <c r="N319" s="17">
        <f t="array" ref="N319">INDEX('MATCH INFO'!O:O, INT((ROW()-2)/10)+2 + 92)</f>
        <v/>
      </c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>
        <f>L320*86400</f>
        <v/>
      </c>
      <c r="N320" s="17">
        <f t="array" ref="N320">INDEX('MATCH INFO'!O:O, INT((ROW()-2)/10)+2 + 92)</f>
        <v/>
      </c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>
        <f>L321*86400</f>
        <v/>
      </c>
      <c r="N321" s="17">
        <f t="array" ref="N321">INDEX('MATCH INFO'!O:O, INT((ROW()-2)/10)+2 + 92)</f>
        <v/>
      </c>
    </row>
  </sheetData>
  <conditionalFormatting sqref="A2:N32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selection activeCell="A1" sqref="A1"/>
    </sheetView>
  </sheetViews>
  <sheetFormatPr baseColWidth="10" defaultRowHeight="18"/>
  <cols>
    <col width="13.28515625" customWidth="1" style="2" min="2" max="2"/>
    <col width="15.28515625" customWidth="1" style="2" min="4" max="4"/>
    <col width="16.7109375" customWidth="1" style="2" min="13" max="13"/>
    <col width="17.42578125" customWidth="1" style="2" min="14" max="14"/>
  </cols>
  <sheetData>
    <row r="1">
      <c r="A1" s="3" t="inlineStr">
        <is>
          <t>Team</t>
        </is>
      </c>
      <c r="B1" s="3" t="inlineStr">
        <is>
          <t>Player</t>
        </is>
      </c>
      <c r="C1" s="3" t="inlineStr">
        <is>
          <t>Position</t>
        </is>
      </c>
      <c r="D1" s="3" t="inlineStr">
        <is>
          <t>Map</t>
        </is>
      </c>
      <c r="E1" s="3" t="inlineStr">
        <is>
          <t>Map Type</t>
        </is>
      </c>
      <c r="F1" s="3" t="inlineStr">
        <is>
          <t>Elim</t>
        </is>
      </c>
      <c r="G1" s="3" t="inlineStr">
        <is>
          <t>Death</t>
        </is>
      </c>
      <c r="H1" s="3" t="inlineStr">
        <is>
          <t>Assists</t>
        </is>
      </c>
      <c r="I1" s="3" t="inlineStr">
        <is>
          <t>Damage</t>
        </is>
      </c>
      <c r="J1" s="3" t="inlineStr">
        <is>
          <t>Heal</t>
        </is>
      </c>
      <c r="K1" s="3" t="inlineStr">
        <is>
          <t>Mitigated</t>
        </is>
      </c>
      <c r="L1" s="3" t="inlineStr">
        <is>
          <t>Playtime</t>
        </is>
      </c>
      <c r="M1" s="3" t="inlineStr">
        <is>
          <t>Playtime(Seconds)</t>
        </is>
      </c>
      <c r="N1" s="46" t="inlineStr">
        <is>
          <t>MATCH_ID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>
        <f>L2*86400</f>
        <v/>
      </c>
      <c r="N2" s="17">
        <f t="array" ref="N2">INDEX('MATCH INFO'!O:O, INT((ROW()-2)/10)+2 + 124)</f>
        <v/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>
        <f>L3*86400</f>
        <v/>
      </c>
      <c r="N3" s="17">
        <f t="array" ref="N3">INDEX('MATCH INFO'!O:O, INT((ROW()-2)/10)+2 + 124)</f>
        <v/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>
        <f>L4*86400</f>
        <v/>
      </c>
      <c r="N4" s="17">
        <f t="array" ref="N4">INDEX('MATCH INFO'!O:O, INT((ROW()-2)/10)+2 + 124)</f>
        <v/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>
        <f>L5*86400</f>
        <v/>
      </c>
      <c r="N5" s="17">
        <f t="array" ref="N5">INDEX('MATCH INFO'!O:O, INT((ROW()-2)/10)+2 + 124)</f>
        <v/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>
        <f>L6*86400</f>
        <v/>
      </c>
      <c r="N6" s="17">
        <f t="array" ref="N6">INDEX('MATCH INFO'!O:O, INT((ROW()-2)/10)+2 + 124)</f>
        <v/>
      </c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>
        <f>L7*86400</f>
        <v/>
      </c>
      <c r="N7" s="17">
        <f t="array" ref="N7">INDEX('MATCH INFO'!O:O, INT((ROW()-2)/10)+2 + 124)</f>
        <v/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>
        <f>L8*86400</f>
        <v/>
      </c>
      <c r="N8" s="17">
        <f t="array" ref="N8">INDEX('MATCH INFO'!O:O, INT((ROW()-2)/10)+2 + 124)</f>
        <v/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>
        <f>L9*86400</f>
        <v/>
      </c>
      <c r="N9" s="17">
        <f t="array" ref="N9">INDEX('MATCH INFO'!O:O, INT((ROW()-2)/10)+2 + 124)</f>
        <v/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>
        <f>L10*86400</f>
        <v/>
      </c>
      <c r="N10" s="17">
        <f t="array" ref="N10">INDEX('MATCH INFO'!O:O, INT((ROW()-2)/10)+2 + 124)</f>
        <v/>
      </c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>
        <f>L11*86400</f>
        <v/>
      </c>
      <c r="N11" s="17">
        <f t="array" ref="N11">INDEX('MATCH INFO'!O:O, INT((ROW()-2)/10)+2 + 124)</f>
        <v/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>
        <f>L12*86400</f>
        <v/>
      </c>
      <c r="N12" s="17">
        <f t="array" ref="N12">INDEX('MATCH INFO'!O:O, INT((ROW()-2)/10)+2 + 124)</f>
        <v/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>
        <f>L13*86400</f>
        <v/>
      </c>
      <c r="N13" s="17">
        <f t="array" ref="N13">INDEX('MATCH INFO'!O:O, INT((ROW()-2)/10)+2 + 124)</f>
        <v/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>
        <f>L14*86400</f>
        <v/>
      </c>
      <c r="N14" s="17">
        <f t="array" ref="N14">INDEX('MATCH INFO'!O:O, INT((ROW()-2)/10)+2 + 124)</f>
        <v/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>
        <f>L15*86400</f>
        <v/>
      </c>
      <c r="N15" s="17">
        <f t="array" ref="N15">INDEX('MATCH INFO'!O:O, INT((ROW()-2)/10)+2 + 124)</f>
        <v/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>
        <f>L16*86400</f>
        <v/>
      </c>
      <c r="N16" s="17">
        <f t="array" ref="N16">INDEX('MATCH INFO'!O:O, INT((ROW()-2)/10)+2 + 124)</f>
        <v/>
      </c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>
        <f>L17*86400</f>
        <v/>
      </c>
      <c r="N17" s="17">
        <f t="array" ref="N17">INDEX('MATCH INFO'!O:O, INT((ROW()-2)/10)+2 + 124)</f>
        <v/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>
        <f>L18*86400</f>
        <v/>
      </c>
      <c r="N18" s="17">
        <f t="array" ref="N18">INDEX('MATCH INFO'!O:O, INT((ROW()-2)/10)+2 + 124)</f>
        <v/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>
        <f>L19*86400</f>
        <v/>
      </c>
      <c r="N19" s="17">
        <f t="array" ref="N19">INDEX('MATCH INFO'!O:O, INT((ROW()-2)/10)+2 + 124)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>
        <f>L20*86400</f>
        <v/>
      </c>
      <c r="N20" s="17">
        <f t="array" ref="N20">INDEX('MATCH INFO'!O:O, INT((ROW()-2)/10)+2 + 124)</f>
        <v/>
      </c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>
        <f>L21*86400</f>
        <v/>
      </c>
      <c r="N21" s="17">
        <f t="array" ref="N21">INDEX('MATCH INFO'!O:O, INT((ROW()-2)/10)+2 + 124)</f>
        <v/>
      </c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>
        <f>L22*86400</f>
        <v/>
      </c>
      <c r="N22" s="17">
        <f t="array" ref="N22">INDEX('MATCH INFO'!O:O, INT((ROW()-2)/10)+2 + 124)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>
        <f>L23*86400</f>
        <v/>
      </c>
      <c r="N23" s="17">
        <f t="array" ref="N23">INDEX('MATCH INFO'!O:O, INT((ROW()-2)/10)+2 + 124)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>
        <f>L24*86400</f>
        <v/>
      </c>
      <c r="N24" s="17">
        <f t="array" ref="N24">INDEX('MATCH INFO'!O:O, INT((ROW()-2)/10)+2 + 124)</f>
        <v/>
      </c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>
        <f>L25*86400</f>
        <v/>
      </c>
      <c r="N25" s="17">
        <f t="array" ref="N25">INDEX('MATCH INFO'!O:O, INT((ROW()-2)/10)+2 + 124)</f>
        <v/>
      </c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>
        <f>L26*86400</f>
        <v/>
      </c>
      <c r="N26" s="17">
        <f t="array" ref="N26">INDEX('MATCH INFO'!O:O, INT((ROW()-2)/10)+2 + 124)</f>
        <v/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>
        <f>L27*86400</f>
        <v/>
      </c>
      <c r="N27" s="17">
        <f t="array" ref="N27">INDEX('MATCH INFO'!O:O, INT((ROW()-2)/10)+2 + 124)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>
        <f>L28*86400</f>
        <v/>
      </c>
      <c r="N28" s="17">
        <f t="array" ref="N28">INDEX('MATCH INFO'!O:O, INT((ROW()-2)/10)+2 + 124)</f>
        <v/>
      </c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>
        <f>L29*86400</f>
        <v/>
      </c>
      <c r="N29" s="17">
        <f t="array" ref="N29">INDEX('MATCH INFO'!O:O, INT((ROW()-2)/10)+2 + 124)</f>
        <v/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>
        <f>L30*86400</f>
        <v/>
      </c>
      <c r="N30" s="17">
        <f t="array" ref="N30">INDEX('MATCH INFO'!O:O, INT((ROW()-2)/10)+2 + 124)</f>
        <v/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>
        <f>L31*86400</f>
        <v/>
      </c>
      <c r="N31" s="17">
        <f t="array" ref="N31">INDEX('MATCH INFO'!O:O, INT((ROW()-2)/10)+2 + 124)</f>
        <v/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>
        <f>L32*86400</f>
        <v/>
      </c>
      <c r="N32" s="17">
        <f t="array" ref="N32">INDEX('MATCH INFO'!O:O, INT((ROW()-2)/10)+2 + 124)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>
        <f>L33*86400</f>
        <v/>
      </c>
      <c r="N33" s="17">
        <f t="array" ref="N33">INDEX('MATCH INFO'!O:O, INT((ROW()-2)/10)+2 + 124)</f>
        <v/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>
        <f>L34*86400</f>
        <v/>
      </c>
      <c r="N34" s="17">
        <f t="array" ref="N34">INDEX('MATCH INFO'!O:O, INT((ROW()-2)/10)+2 + 124)</f>
        <v/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>
        <f>L35*86400</f>
        <v/>
      </c>
      <c r="N35" s="17">
        <f t="array" ref="N35">INDEX('MATCH INFO'!O:O, INT((ROW()-2)/10)+2 + 124)</f>
        <v/>
      </c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>
        <f>L36*86400</f>
        <v/>
      </c>
      <c r="N36" s="17">
        <f t="array" ref="N36">INDEX('MATCH INFO'!O:O, INT((ROW()-2)/10)+2 + 124)</f>
        <v/>
      </c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>
        <f>L37*86400</f>
        <v/>
      </c>
      <c r="N37" s="17">
        <f t="array" ref="N37">INDEX('MATCH INFO'!O:O, INT((ROW()-2)/10)+2 + 124)</f>
        <v/>
      </c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>
        <f>L38*86400</f>
        <v/>
      </c>
      <c r="N38" s="17">
        <f t="array" ref="N38">INDEX('MATCH INFO'!O:O, INT((ROW()-2)/10)+2 + 124)</f>
        <v/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>
        <f>L39*86400</f>
        <v/>
      </c>
      <c r="N39" s="17">
        <f t="array" ref="N39">INDEX('MATCH INFO'!O:O, INT((ROW()-2)/10)+2 + 124)</f>
        <v/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>
        <f>L40*86400</f>
        <v/>
      </c>
      <c r="N40" s="17">
        <f t="array" ref="N40">INDEX('MATCH INFO'!O:O, INT((ROW()-2)/10)+2 + 124)</f>
        <v/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>
        <f>L41*86400</f>
        <v/>
      </c>
      <c r="N41" s="17">
        <f t="array" ref="N41">INDEX('MATCH INFO'!O:O, INT((ROW()-2)/10)+2 + 124)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>
        <f>L42*86400</f>
        <v/>
      </c>
      <c r="N42" s="17">
        <f t="array" ref="N42">INDEX('MATCH INFO'!O:O, INT((ROW()-2)/10)+2 + 124)</f>
        <v/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>
        <f>L43*86400</f>
        <v/>
      </c>
      <c r="N43" s="17">
        <f t="array" ref="N43">INDEX('MATCH INFO'!O:O, INT((ROW()-2)/10)+2 + 124)</f>
        <v/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>
        <f>L44*86400</f>
        <v/>
      </c>
      <c r="N44" s="17">
        <f t="array" ref="N44">INDEX('MATCH INFO'!O:O, INT((ROW()-2)/10)+2 + 124)</f>
        <v/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>
        <f>L45*86400</f>
        <v/>
      </c>
      <c r="N45" s="17">
        <f t="array" ref="N45">INDEX('MATCH INFO'!O:O, INT((ROW()-2)/10)+2 + 124)</f>
        <v/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>
        <f>L46*86400</f>
        <v/>
      </c>
      <c r="N46" s="17">
        <f t="array" ref="N46">INDEX('MATCH INFO'!O:O, INT((ROW()-2)/10)+2 + 124)</f>
        <v/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>
        <f>L47*86400</f>
        <v/>
      </c>
      <c r="N47" s="17">
        <f t="array" ref="N47">INDEX('MATCH INFO'!O:O, INT((ROW()-2)/10)+2 + 124)</f>
        <v/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>
        <f>L48*86400</f>
        <v/>
      </c>
      <c r="N48" s="17">
        <f t="array" ref="N48">INDEX('MATCH INFO'!O:O, INT((ROW()-2)/10)+2 + 124)</f>
        <v/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>
        <f>L49*86400</f>
        <v/>
      </c>
      <c r="N49" s="17">
        <f t="array" ref="N49">INDEX('MATCH INFO'!O:O, INT((ROW()-2)/10)+2 + 124)</f>
        <v/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>
        <f>L50*86400</f>
        <v/>
      </c>
      <c r="N50" s="17">
        <f t="array" ref="N50">INDEX('MATCH INFO'!O:O, INT((ROW()-2)/10)+2 + 124)</f>
        <v/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>
        <f>L51*86400</f>
        <v/>
      </c>
      <c r="N51" s="17">
        <f t="array" ref="N51">INDEX('MATCH INFO'!O:O, INT((ROW()-2)/10)+2 + 124)</f>
        <v/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>
        <f>L52*86400</f>
        <v/>
      </c>
      <c r="N52" s="17">
        <f t="array" ref="N52">INDEX('MATCH INFO'!O:O, INT((ROW()-2)/10)+2 + 124)</f>
        <v/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>
        <f>L53*86400</f>
        <v/>
      </c>
      <c r="N53" s="17">
        <f t="array" ref="N53">INDEX('MATCH INFO'!O:O, INT((ROW()-2)/10)+2 + 124)</f>
        <v/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>
        <f>L54*86400</f>
        <v/>
      </c>
      <c r="N54" s="17">
        <f t="array" ref="N54">INDEX('MATCH INFO'!O:O, INT((ROW()-2)/10)+2 + 124)</f>
        <v/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>
        <f>L55*86400</f>
        <v/>
      </c>
      <c r="N55" s="17">
        <f t="array" ref="N55">INDEX('MATCH INFO'!O:O, INT((ROW()-2)/10)+2 + 124)</f>
        <v/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>
        <f>L56*86400</f>
        <v/>
      </c>
      <c r="N56" s="17">
        <f t="array" ref="N56">INDEX('MATCH INFO'!O:O, INT((ROW()-2)/10)+2 + 124)</f>
        <v/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>
        <f>L57*86400</f>
        <v/>
      </c>
      <c r="N57" s="17">
        <f t="array" ref="N57">INDEX('MATCH INFO'!O:O, INT((ROW()-2)/10)+2 + 124)</f>
        <v/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>
        <f>L58*86400</f>
        <v/>
      </c>
      <c r="N58" s="17">
        <f t="array" ref="N58">INDEX('MATCH INFO'!O:O, INT((ROW()-2)/10)+2 + 124)</f>
        <v/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>
        <f>L59*86400</f>
        <v/>
      </c>
      <c r="N59" s="17">
        <f t="array" ref="N59">INDEX('MATCH INFO'!O:O, INT((ROW()-2)/10)+2 + 124)</f>
        <v/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>
        <f>L60*86400</f>
        <v/>
      </c>
      <c r="N60" s="17">
        <f t="array" ref="N60">INDEX('MATCH INFO'!O:O, INT((ROW()-2)/10)+2 + 124)</f>
        <v/>
      </c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>
        <f>L61*86400</f>
        <v/>
      </c>
      <c r="N61" s="17">
        <f t="array" ref="N61">INDEX('MATCH INFO'!O:O, INT((ROW()-2)/10)+2 + 124)</f>
        <v/>
      </c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>
        <f>L62*86400</f>
        <v/>
      </c>
      <c r="N62" s="17">
        <f t="array" ref="N62">INDEX('MATCH INFO'!O:O, INT((ROW()-2)/10)+2 + 124)</f>
        <v/>
      </c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>
        <f>L63*86400</f>
        <v/>
      </c>
      <c r="N63" s="17">
        <f t="array" ref="N63">INDEX('MATCH INFO'!O:O, INT((ROW()-2)/10)+2 + 124)</f>
        <v/>
      </c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>
        <f>L64*86400</f>
        <v/>
      </c>
      <c r="N64" s="17">
        <f t="array" ref="N64">INDEX('MATCH INFO'!O:O, INT((ROW()-2)/10)+2 + 124)</f>
        <v/>
      </c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>
        <f>L65*86400</f>
        <v/>
      </c>
      <c r="N65" s="17">
        <f t="array" ref="N65">INDEX('MATCH INFO'!O:O, INT((ROW()-2)/10)+2 + 124)</f>
        <v/>
      </c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>
        <f>L66*86400</f>
        <v/>
      </c>
      <c r="N66" s="17">
        <f t="array" ref="N66">INDEX('MATCH INFO'!O:O, INT((ROW()-2)/10)+2 + 124)</f>
        <v/>
      </c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>
        <f>L67*86400</f>
        <v/>
      </c>
      <c r="N67" s="17">
        <f t="array" ref="N67">INDEX('MATCH INFO'!O:O, INT((ROW()-2)/10)+2 + 124)</f>
        <v/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>
        <f>L68*86400</f>
        <v/>
      </c>
      <c r="N68" s="17">
        <f t="array" ref="N68">INDEX('MATCH INFO'!O:O, INT((ROW()-2)/10)+2 + 124)</f>
        <v/>
      </c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>
        <f>L69*86400</f>
        <v/>
      </c>
      <c r="N69" s="17">
        <f t="array" ref="N69">INDEX('MATCH INFO'!O:O, INT((ROW()-2)/10)+2 + 124)</f>
        <v/>
      </c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>
        <f>L70*86400</f>
        <v/>
      </c>
      <c r="N70" s="17">
        <f t="array" ref="N70">INDEX('MATCH INFO'!O:O, INT((ROW()-2)/10)+2 + 124)</f>
        <v/>
      </c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>
        <f>L71*86400</f>
        <v/>
      </c>
      <c r="N71" s="17">
        <f t="array" ref="N71">INDEX('MATCH INFO'!O:O, INT((ROW()-2)/10)+2 + 124)</f>
        <v/>
      </c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>
        <f>L72*86400</f>
        <v/>
      </c>
      <c r="N72" s="17">
        <f t="array" ref="N72">INDEX('MATCH INFO'!O:O, INT((ROW()-2)/10)+2 + 124)</f>
        <v/>
      </c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>
        <f>L73*86400</f>
        <v/>
      </c>
      <c r="N73" s="17">
        <f t="array" ref="N73">INDEX('MATCH INFO'!O:O, INT((ROW()-2)/10)+2 + 124)</f>
        <v/>
      </c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>
        <f>L74*86400</f>
        <v/>
      </c>
      <c r="N74" s="17">
        <f t="array" ref="N74">INDEX('MATCH INFO'!O:O, INT((ROW()-2)/10)+2 + 124)</f>
        <v/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>
        <f>L75*86400</f>
        <v/>
      </c>
      <c r="N75" s="17">
        <f t="array" ref="N75">INDEX('MATCH INFO'!O:O, INT((ROW()-2)/10)+2 + 124)</f>
        <v/>
      </c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>
        <f>L76*86400</f>
        <v/>
      </c>
      <c r="N76" s="17">
        <f t="array" ref="N76">INDEX('MATCH INFO'!O:O, INT((ROW()-2)/10)+2 + 124)</f>
        <v/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>
        <f>L77*86400</f>
        <v/>
      </c>
      <c r="N77" s="17">
        <f t="array" ref="N77">INDEX('MATCH INFO'!O:O, INT((ROW()-2)/10)+2 + 124)</f>
        <v/>
      </c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>
        <f>L78*86400</f>
        <v/>
      </c>
      <c r="N78" s="17">
        <f t="array" ref="N78">INDEX('MATCH INFO'!O:O, INT((ROW()-2)/10)+2 + 124)</f>
        <v/>
      </c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>
        <f>L79*86400</f>
        <v/>
      </c>
      <c r="N79" s="17">
        <f t="array" ref="N79">INDEX('MATCH INFO'!O:O, INT((ROW()-2)/10)+2 + 124)</f>
        <v/>
      </c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>
        <f>L80*86400</f>
        <v/>
      </c>
      <c r="N80" s="17">
        <f t="array" ref="N80">INDEX('MATCH INFO'!O:O, INT((ROW()-2)/10)+2 + 124)</f>
        <v/>
      </c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>
        <f>L81*86400</f>
        <v/>
      </c>
      <c r="N81" s="17">
        <f t="array" ref="N81">INDEX('MATCH INFO'!O:O, INT((ROW()-2)/10)+2 + 124)</f>
        <v/>
      </c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>
        <f>L82*86400</f>
        <v/>
      </c>
      <c r="N82" s="17">
        <f t="array" ref="N82">INDEX('MATCH INFO'!O:O, INT((ROW()-2)/10)+2 + 124)</f>
        <v/>
      </c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>
        <f>L83*86400</f>
        <v/>
      </c>
      <c r="N83" s="17">
        <f t="array" ref="N83">INDEX('MATCH INFO'!O:O, INT((ROW()-2)/10)+2 + 124)</f>
        <v/>
      </c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>
        <f>L84*86400</f>
        <v/>
      </c>
      <c r="N84" s="17">
        <f t="array" ref="N84">INDEX('MATCH INFO'!O:O, INT((ROW()-2)/10)+2 + 124)</f>
        <v/>
      </c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>
        <f>L85*86400</f>
        <v/>
      </c>
      <c r="N85" s="17">
        <f t="array" ref="N85">INDEX('MATCH INFO'!O:O, INT((ROW()-2)/10)+2 + 124)</f>
        <v/>
      </c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>
        <f>L86*86400</f>
        <v/>
      </c>
      <c r="N86" s="17">
        <f t="array" ref="N86">INDEX('MATCH INFO'!O:O, INT((ROW()-2)/10)+2 + 124)</f>
        <v/>
      </c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>
        <f>L87*86400</f>
        <v/>
      </c>
      <c r="N87" s="17">
        <f t="array" ref="N87">INDEX('MATCH INFO'!O:O, INT((ROW()-2)/10)+2 + 124)</f>
        <v/>
      </c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>
        <f>L88*86400</f>
        <v/>
      </c>
      <c r="N88" s="17">
        <f t="array" ref="N88">INDEX('MATCH INFO'!O:O, INT((ROW()-2)/10)+2 + 124)</f>
        <v/>
      </c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>
        <f>L89*86400</f>
        <v/>
      </c>
      <c r="N89" s="17">
        <f t="array" ref="N89">INDEX('MATCH INFO'!O:O, INT((ROW()-2)/10)+2 + 124)</f>
        <v/>
      </c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>
        <f>L90*86400</f>
        <v/>
      </c>
      <c r="N90" s="17">
        <f t="array" ref="N90">INDEX('MATCH INFO'!O:O, INT((ROW()-2)/10)+2 + 124)</f>
        <v/>
      </c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>
        <f>L91*86400</f>
        <v/>
      </c>
      <c r="N91" s="17">
        <f t="array" ref="N91">INDEX('MATCH INFO'!O:O, INT((ROW()-2)/10)+2 + 124)</f>
        <v/>
      </c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>
        <f>L92*86400</f>
        <v/>
      </c>
      <c r="N92" s="17">
        <f t="array" ref="N92">INDEX('MATCH INFO'!O:O, INT((ROW()-2)/10)+2 + 124)</f>
        <v/>
      </c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>
        <f>L93*86400</f>
        <v/>
      </c>
      <c r="N93" s="17">
        <f t="array" ref="N93">INDEX('MATCH INFO'!O:O, INT((ROW()-2)/10)+2 + 124)</f>
        <v/>
      </c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>
        <f>L94*86400</f>
        <v/>
      </c>
      <c r="N94" s="17">
        <f t="array" ref="N94">INDEX('MATCH INFO'!O:O, INT((ROW()-2)/10)+2 + 124)</f>
        <v/>
      </c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>
        <f>L95*86400</f>
        <v/>
      </c>
      <c r="N95" s="17">
        <f t="array" ref="N95">INDEX('MATCH INFO'!O:O, INT((ROW()-2)/10)+2 + 124)</f>
        <v/>
      </c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>
        <f>L96*86400</f>
        <v/>
      </c>
      <c r="N96" s="17">
        <f t="array" ref="N96">INDEX('MATCH INFO'!O:O, INT((ROW()-2)/10)+2 + 124)</f>
        <v/>
      </c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>
        <f>L97*86400</f>
        <v/>
      </c>
      <c r="N97" s="17">
        <f t="array" ref="N97">INDEX('MATCH INFO'!O:O, INT((ROW()-2)/10)+2 + 124)</f>
        <v/>
      </c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>
        <f>L98*86400</f>
        <v/>
      </c>
      <c r="N98" s="17">
        <f t="array" ref="N98">INDEX('MATCH INFO'!O:O, INT((ROW()-2)/10)+2 + 124)</f>
        <v/>
      </c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>
        <f>L99*86400</f>
        <v/>
      </c>
      <c r="N99" s="17">
        <f t="array" ref="N99">INDEX('MATCH INFO'!O:O, INT((ROW()-2)/10)+2 + 124)</f>
        <v/>
      </c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>
        <f>L100*86400</f>
        <v/>
      </c>
      <c r="N100" s="17">
        <f t="array" ref="N100">INDEX('MATCH INFO'!O:O, INT((ROW()-2)/10)+2 + 124)</f>
        <v/>
      </c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>
        <f>L101*86400</f>
        <v/>
      </c>
      <c r="N101" s="17">
        <f t="array" ref="N101">INDEX('MATCH INFO'!O:O, INT((ROW()-2)/10)+2 + 124)</f>
        <v/>
      </c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>
        <f>L102*86400</f>
        <v/>
      </c>
      <c r="N102" s="17">
        <f t="array" ref="N102">INDEX('MATCH INFO'!O:O, INT((ROW()-2)/10)+2 + 124)</f>
        <v/>
      </c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>
        <f>L103*86400</f>
        <v/>
      </c>
      <c r="N103" s="17">
        <f t="array" ref="N103">INDEX('MATCH INFO'!O:O, INT((ROW()-2)/10)+2 + 124)</f>
        <v/>
      </c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>
        <f>L104*86400</f>
        <v/>
      </c>
      <c r="N104" s="17">
        <f t="array" ref="N104">INDEX('MATCH INFO'!O:O, INT((ROW()-2)/10)+2 + 124)</f>
        <v/>
      </c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>
        <f>L105*86400</f>
        <v/>
      </c>
      <c r="N105" s="17">
        <f t="array" ref="N105">INDEX('MATCH INFO'!O:O, INT((ROW()-2)/10)+2 + 124)</f>
        <v/>
      </c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>
        <f>L106*86400</f>
        <v/>
      </c>
      <c r="N106" s="17">
        <f t="array" ref="N106">INDEX('MATCH INFO'!O:O, INT((ROW()-2)/10)+2 + 124)</f>
        <v/>
      </c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>
        <f>L107*86400</f>
        <v/>
      </c>
      <c r="N107" s="17">
        <f t="array" ref="N107">INDEX('MATCH INFO'!O:O, INT((ROW()-2)/10)+2 + 124)</f>
        <v/>
      </c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>
        <f>L108*86400</f>
        <v/>
      </c>
      <c r="N108" s="17">
        <f t="array" ref="N108">INDEX('MATCH INFO'!O:O, INT((ROW()-2)/10)+2 + 124)</f>
        <v/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>
        <f>L109*86400</f>
        <v/>
      </c>
      <c r="N109" s="17">
        <f t="array" ref="N109">INDEX('MATCH INFO'!O:O, INT((ROW()-2)/10)+2 + 124)</f>
        <v/>
      </c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>
        <f>L110*86400</f>
        <v/>
      </c>
      <c r="N110" s="17">
        <f t="array" ref="N110">INDEX('MATCH INFO'!O:O, INT((ROW()-2)/10)+2 + 124)</f>
        <v/>
      </c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>
        <f>L111*86400</f>
        <v/>
      </c>
      <c r="N111" s="17">
        <f t="array" ref="N111">INDEX('MATCH INFO'!O:O, INT((ROW()-2)/10)+2 + 124)</f>
        <v/>
      </c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>
        <f>L112*86400</f>
        <v/>
      </c>
      <c r="N112" s="17">
        <f t="array" ref="N112">INDEX('MATCH INFO'!O:O, INT((ROW()-2)/10)+2 + 124)</f>
        <v/>
      </c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>
        <f>L113*86400</f>
        <v/>
      </c>
      <c r="N113" s="17">
        <f t="array" ref="N113">INDEX('MATCH INFO'!O:O, INT((ROW()-2)/10)+2 + 124)</f>
        <v/>
      </c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>
        <f>L114*86400</f>
        <v/>
      </c>
      <c r="N114" s="17">
        <f t="array" ref="N114">INDEX('MATCH INFO'!O:O, INT((ROW()-2)/10)+2 + 124)</f>
        <v/>
      </c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>
        <f>L115*86400</f>
        <v/>
      </c>
      <c r="N115" s="17">
        <f t="array" ref="N115">INDEX('MATCH INFO'!O:O, INT((ROW()-2)/10)+2 + 124)</f>
        <v/>
      </c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>
        <f>L116*86400</f>
        <v/>
      </c>
      <c r="N116" s="17">
        <f t="array" ref="N116">INDEX('MATCH INFO'!O:O, INT((ROW()-2)/10)+2 + 124)</f>
        <v/>
      </c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>
        <f>L117*86400</f>
        <v/>
      </c>
      <c r="N117" s="17">
        <f t="array" ref="N117">INDEX('MATCH INFO'!O:O, INT((ROW()-2)/10)+2 + 124)</f>
        <v/>
      </c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>
        <f>L118*86400</f>
        <v/>
      </c>
      <c r="N118" s="17">
        <f t="array" ref="N118">INDEX('MATCH INFO'!O:O, INT((ROW()-2)/10)+2 + 124)</f>
        <v/>
      </c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>
        <f>L119*86400</f>
        <v/>
      </c>
      <c r="N119" s="17">
        <f t="array" ref="N119">INDEX('MATCH INFO'!O:O, INT((ROW()-2)/10)+2 + 124)</f>
        <v/>
      </c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>
        <f>L120*86400</f>
        <v/>
      </c>
      <c r="N120" s="17">
        <f t="array" ref="N120">INDEX('MATCH INFO'!O:O, INT((ROW()-2)/10)+2 + 124)</f>
        <v/>
      </c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>
        <f>L121*86400</f>
        <v/>
      </c>
      <c r="N121" s="17">
        <f t="array" ref="N121">INDEX('MATCH INFO'!O:O, INT((ROW()-2)/10)+2 + 124)</f>
        <v/>
      </c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>
        <f>L122*86400</f>
        <v/>
      </c>
      <c r="N122" s="17">
        <f t="array" ref="N122">INDEX('MATCH INFO'!O:O, INT((ROW()-2)/10)+2 + 124)</f>
        <v/>
      </c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>
        <f>L123*86400</f>
        <v/>
      </c>
      <c r="N123" s="17">
        <f t="array" ref="N123">INDEX('MATCH INFO'!O:O, INT((ROW()-2)/10)+2 + 124)</f>
        <v/>
      </c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>
        <f>L124*86400</f>
        <v/>
      </c>
      <c r="N124" s="17">
        <f t="array" ref="N124">INDEX('MATCH INFO'!O:O, INT((ROW()-2)/10)+2 + 124)</f>
        <v/>
      </c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>
        <f>L125*86400</f>
        <v/>
      </c>
      <c r="N125" s="17">
        <f t="array" ref="N125">INDEX('MATCH INFO'!O:O, INT((ROW()-2)/10)+2 + 124)</f>
        <v/>
      </c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>
        <f>L126*86400</f>
        <v/>
      </c>
      <c r="N126" s="17">
        <f t="array" ref="N126">INDEX('MATCH INFO'!O:O, INT((ROW()-2)/10)+2 + 124)</f>
        <v/>
      </c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>
        <f>L127*86400</f>
        <v/>
      </c>
      <c r="N127" s="17">
        <f t="array" ref="N127">INDEX('MATCH INFO'!O:O, INT((ROW()-2)/10)+2 + 124)</f>
        <v/>
      </c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>
        <f>L128*86400</f>
        <v/>
      </c>
      <c r="N128" s="17">
        <f t="array" ref="N128">INDEX('MATCH INFO'!O:O, INT((ROW()-2)/10)+2 + 124)</f>
        <v/>
      </c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>
        <f>L129*86400</f>
        <v/>
      </c>
      <c r="N129" s="17">
        <f t="array" ref="N129">INDEX('MATCH INFO'!O:O, INT((ROW()-2)/10)+2 + 124)</f>
        <v/>
      </c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>
        <f>L130*86400</f>
        <v/>
      </c>
      <c r="N130" s="17">
        <f t="array" ref="N130">INDEX('MATCH INFO'!O:O, INT((ROW()-2)/10)+2 + 124)</f>
        <v/>
      </c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>
        <f>L131*86400</f>
        <v/>
      </c>
      <c r="N131" s="17">
        <f t="array" ref="N131">INDEX('MATCH INFO'!O:O, INT((ROW()-2)/10)+2 + 124)</f>
        <v/>
      </c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>
        <f>L132*86400</f>
        <v/>
      </c>
      <c r="N132" s="17">
        <f t="array" ref="N132">INDEX('MATCH INFO'!O:O, INT((ROW()-2)/10)+2 + 124)</f>
        <v/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>
        <f>L133*86400</f>
        <v/>
      </c>
      <c r="N133" s="17">
        <f t="array" ref="N133">INDEX('MATCH INFO'!O:O, INT((ROW()-2)/10)+2 + 124)</f>
        <v/>
      </c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>
        <f>L134*86400</f>
        <v/>
      </c>
      <c r="N134" s="17">
        <f t="array" ref="N134">INDEX('MATCH INFO'!O:O, INT((ROW()-2)/10)+2 + 124)</f>
        <v/>
      </c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>
        <f>L135*86400</f>
        <v/>
      </c>
      <c r="N135" s="17">
        <f t="array" ref="N135">INDEX('MATCH INFO'!O:O, INT((ROW()-2)/10)+2 + 124)</f>
        <v/>
      </c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>
        <f>L136*86400</f>
        <v/>
      </c>
      <c r="N136" s="17">
        <f t="array" ref="N136">INDEX('MATCH INFO'!O:O, INT((ROW()-2)/10)+2 + 124)</f>
        <v/>
      </c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>
        <f>L137*86400</f>
        <v/>
      </c>
      <c r="N137" s="17">
        <f t="array" ref="N137">INDEX('MATCH INFO'!O:O, INT((ROW()-2)/10)+2 + 124)</f>
        <v/>
      </c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>
        <f>L138*86400</f>
        <v/>
      </c>
      <c r="N138" s="17">
        <f t="array" ref="N138">INDEX('MATCH INFO'!O:O, INT((ROW()-2)/10)+2 + 124)</f>
        <v/>
      </c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>
        <f>L139*86400</f>
        <v/>
      </c>
      <c r="N139" s="17">
        <f t="array" ref="N139">INDEX('MATCH INFO'!O:O, INT((ROW()-2)/10)+2 + 124)</f>
        <v/>
      </c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>
        <f>L140*86400</f>
        <v/>
      </c>
      <c r="N140" s="17">
        <f t="array" ref="N140">INDEX('MATCH INFO'!O:O, INT((ROW()-2)/10)+2 + 124)</f>
        <v/>
      </c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>
        <f>L141*86400</f>
        <v/>
      </c>
      <c r="N141" s="17">
        <f t="array" ref="N141">INDEX('MATCH INFO'!O:O, INT((ROW()-2)/10)+2 + 124)</f>
        <v/>
      </c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>
        <f>L142*86400</f>
        <v/>
      </c>
      <c r="N142" s="17">
        <f t="array" ref="N142">INDEX('MATCH INFO'!O:O, INT((ROW()-2)/10)+2 + 124)</f>
        <v/>
      </c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>
        <f>L143*86400</f>
        <v/>
      </c>
      <c r="N143" s="17">
        <f t="array" ref="N143">INDEX('MATCH INFO'!O:O, INT((ROW()-2)/10)+2 + 124)</f>
        <v/>
      </c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>
        <f>L144*86400</f>
        <v/>
      </c>
      <c r="N144" s="17">
        <f t="array" ref="N144">INDEX('MATCH INFO'!O:O, INT((ROW()-2)/10)+2 + 124)</f>
        <v/>
      </c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>
        <f>L145*86400</f>
        <v/>
      </c>
      <c r="N145" s="17">
        <f t="array" ref="N145">INDEX('MATCH INFO'!O:O, INT((ROW()-2)/10)+2 + 124)</f>
        <v/>
      </c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>
        <f>L146*86400</f>
        <v/>
      </c>
      <c r="N146" s="17">
        <f t="array" ref="N146">INDEX('MATCH INFO'!O:O, INT((ROW()-2)/10)+2 + 124)</f>
        <v/>
      </c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>
        <f>L147*86400</f>
        <v/>
      </c>
      <c r="N147" s="17">
        <f t="array" ref="N147">INDEX('MATCH INFO'!O:O, INT((ROW()-2)/10)+2 + 124)</f>
        <v/>
      </c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>
        <f>L148*86400</f>
        <v/>
      </c>
      <c r="N148" s="17">
        <f t="array" ref="N148">INDEX('MATCH INFO'!O:O, INT((ROW()-2)/10)+2 + 124)</f>
        <v/>
      </c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>
        <f>L149*86400</f>
        <v/>
      </c>
      <c r="N149" s="17">
        <f t="array" ref="N149">INDEX('MATCH INFO'!O:O, INT((ROW()-2)/10)+2 + 124)</f>
        <v/>
      </c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>
        <f>L150*86400</f>
        <v/>
      </c>
      <c r="N150" s="17">
        <f t="array" ref="N150">INDEX('MATCH INFO'!O:O, INT((ROW()-2)/10)+2 + 124)</f>
        <v/>
      </c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>
        <f>L151*86400</f>
        <v/>
      </c>
      <c r="N151" s="17">
        <f t="array" ref="N151">INDEX('MATCH INFO'!O:O, INT((ROW()-2)/10)+2 + 124)</f>
        <v/>
      </c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>
        <f>L152*86400</f>
        <v/>
      </c>
      <c r="N152" s="17">
        <f t="array" ref="N152">INDEX('MATCH INFO'!O:O, INT((ROW()-2)/10)+2 + 124)</f>
        <v/>
      </c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>
        <f>L153*86400</f>
        <v/>
      </c>
      <c r="N153" s="17">
        <f t="array" ref="N153">INDEX('MATCH INFO'!O:O, INT((ROW()-2)/10)+2 + 124)</f>
        <v/>
      </c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>
        <f>L154*86400</f>
        <v/>
      </c>
      <c r="N154" s="17">
        <f t="array" ref="N154">INDEX('MATCH INFO'!O:O, INT((ROW()-2)/10)+2 + 124)</f>
        <v/>
      </c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>
        <f>L155*86400</f>
        <v/>
      </c>
      <c r="N155" s="17">
        <f t="array" ref="N155">INDEX('MATCH INFO'!O:O, INT((ROW()-2)/10)+2 + 124)</f>
        <v/>
      </c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>
        <f>L156*86400</f>
        <v/>
      </c>
      <c r="N156" s="17">
        <f t="array" ref="N156">INDEX('MATCH INFO'!O:O, INT((ROW()-2)/10)+2 + 124)</f>
        <v/>
      </c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>
        <f>L157*86400</f>
        <v/>
      </c>
      <c r="N157" s="17">
        <f t="array" ref="N157">INDEX('MATCH INFO'!O:O, INT((ROW()-2)/10)+2 + 124)</f>
        <v/>
      </c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>
        <f>L158*86400</f>
        <v/>
      </c>
      <c r="N158" s="17">
        <f t="array" ref="N158">INDEX('MATCH INFO'!O:O, INT((ROW()-2)/10)+2 + 124)</f>
        <v/>
      </c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>
        <f>L159*86400</f>
        <v/>
      </c>
      <c r="N159" s="17">
        <f t="array" ref="N159">INDEX('MATCH INFO'!O:O, INT((ROW()-2)/10)+2 + 124)</f>
        <v/>
      </c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>
        <f>L160*86400</f>
        <v/>
      </c>
      <c r="N160" s="17">
        <f t="array" ref="N160">INDEX('MATCH INFO'!O:O, INT((ROW()-2)/10)+2 + 124)</f>
        <v/>
      </c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>
        <f>L161*86400</f>
        <v/>
      </c>
      <c r="N161" s="17">
        <f t="array" ref="N161">INDEX('MATCH INFO'!O:O, INT((ROW()-2)/10)+2 + 124)</f>
        <v/>
      </c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>
        <f>L162*86400</f>
        <v/>
      </c>
      <c r="N162" s="17">
        <f t="array" ref="N162">INDEX('MATCH INFO'!O:O, INT((ROW()-2)/10)+2 + 124)</f>
        <v/>
      </c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>
        <f>L163*86400</f>
        <v/>
      </c>
      <c r="N163" s="17">
        <f t="array" ref="N163">INDEX('MATCH INFO'!O:O, INT((ROW()-2)/10)+2 + 124)</f>
        <v/>
      </c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>
        <f>L164*86400</f>
        <v/>
      </c>
      <c r="N164" s="17">
        <f t="array" ref="N164">INDEX('MATCH INFO'!O:O, INT((ROW()-2)/10)+2 + 124)</f>
        <v/>
      </c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>
        <f>L165*86400</f>
        <v/>
      </c>
      <c r="N165" s="17">
        <f t="array" ref="N165">INDEX('MATCH INFO'!O:O, INT((ROW()-2)/10)+2 + 124)</f>
        <v/>
      </c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>
        <f>L166*86400</f>
        <v/>
      </c>
      <c r="N166" s="17">
        <f t="array" ref="N166">INDEX('MATCH INFO'!O:O, INT((ROW()-2)/10)+2 + 124)</f>
        <v/>
      </c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>
        <f>L167*86400</f>
        <v/>
      </c>
      <c r="N167" s="17">
        <f t="array" ref="N167">INDEX('MATCH INFO'!O:O, INT((ROW()-2)/10)+2 + 124)</f>
        <v/>
      </c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>
        <f>L168*86400</f>
        <v/>
      </c>
      <c r="N168" s="17">
        <f t="array" ref="N168">INDEX('MATCH INFO'!O:O, INT((ROW()-2)/10)+2 + 124)</f>
        <v/>
      </c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>
        <f>L169*86400</f>
        <v/>
      </c>
      <c r="N169" s="17">
        <f t="array" ref="N169">INDEX('MATCH INFO'!O:O, INT((ROW()-2)/10)+2 + 124)</f>
        <v/>
      </c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>
        <f>L170*86400</f>
        <v/>
      </c>
      <c r="N170" s="17">
        <f t="array" ref="N170">INDEX('MATCH INFO'!O:O, INT((ROW()-2)/10)+2 + 124)</f>
        <v/>
      </c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>
        <f>L171*86400</f>
        <v/>
      </c>
      <c r="N171" s="17">
        <f t="array" ref="N171">INDEX('MATCH INFO'!O:O, INT((ROW()-2)/10)+2 + 124)</f>
        <v/>
      </c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>
        <f>L172*86400</f>
        <v/>
      </c>
      <c r="N172" s="17">
        <f t="array" ref="N172">INDEX('MATCH INFO'!O:O, INT((ROW()-2)/10)+2 + 124)</f>
        <v/>
      </c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>
        <f>L173*86400</f>
        <v/>
      </c>
      <c r="N173" s="17">
        <f t="array" ref="N173">INDEX('MATCH INFO'!O:O, INT((ROW()-2)/10)+2 + 124)</f>
        <v/>
      </c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>
        <f>L174*86400</f>
        <v/>
      </c>
      <c r="N174" s="17">
        <f t="array" ref="N174">INDEX('MATCH INFO'!O:O, INT((ROW()-2)/10)+2 + 124)</f>
        <v/>
      </c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>
        <f>L175*86400</f>
        <v/>
      </c>
      <c r="N175" s="17">
        <f t="array" ref="N175">INDEX('MATCH INFO'!O:O, INT((ROW()-2)/10)+2 + 124)</f>
        <v/>
      </c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>
        <f>L176*86400</f>
        <v/>
      </c>
      <c r="N176" s="17">
        <f t="array" ref="N176">INDEX('MATCH INFO'!O:O, INT((ROW()-2)/10)+2 + 124)</f>
        <v/>
      </c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>
        <f>L177*86400</f>
        <v/>
      </c>
      <c r="N177" s="17">
        <f t="array" ref="N177">INDEX('MATCH INFO'!O:O, INT((ROW()-2)/10)+2 + 124)</f>
        <v/>
      </c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>
        <f>L178*86400</f>
        <v/>
      </c>
      <c r="N178" s="17">
        <f t="array" ref="N178">INDEX('MATCH INFO'!O:O, INT((ROW()-2)/10)+2 + 124)</f>
        <v/>
      </c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>
        <f>L179*86400</f>
        <v/>
      </c>
      <c r="N179" s="17">
        <f t="array" ref="N179">INDEX('MATCH INFO'!O:O, INT((ROW()-2)/10)+2 + 124)</f>
        <v/>
      </c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>
        <f>L180*86400</f>
        <v/>
      </c>
      <c r="N180" s="17">
        <f t="array" ref="N180">INDEX('MATCH INFO'!O:O, INT((ROW()-2)/10)+2 + 124)</f>
        <v/>
      </c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>
        <f>L181*86400</f>
        <v/>
      </c>
      <c r="N181" s="17">
        <f t="array" ref="N181">INDEX('MATCH INFO'!O:O, INT((ROW()-2)/10)+2 + 124)</f>
        <v/>
      </c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>
        <f>L182*86400</f>
        <v/>
      </c>
      <c r="N182" s="17">
        <f t="array" ref="N182">INDEX('MATCH INFO'!O:O, INT((ROW()-2)/10)+2 + 124)</f>
        <v/>
      </c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>
        <f>L183*86400</f>
        <v/>
      </c>
      <c r="N183" s="17">
        <f t="array" ref="N183">INDEX('MATCH INFO'!O:O, INT((ROW()-2)/10)+2 + 124)</f>
        <v/>
      </c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>
        <f>L184*86400</f>
        <v/>
      </c>
      <c r="N184" s="17">
        <f t="array" ref="N184">INDEX('MATCH INFO'!O:O, INT((ROW()-2)/10)+2 + 124)</f>
        <v/>
      </c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>
        <f>L185*86400</f>
        <v/>
      </c>
      <c r="N185" s="17">
        <f t="array" ref="N185">INDEX('MATCH INFO'!O:O, INT((ROW()-2)/10)+2 + 124)</f>
        <v/>
      </c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>
        <f>L186*86400</f>
        <v/>
      </c>
      <c r="N186" s="17">
        <f t="array" ref="N186">INDEX('MATCH INFO'!O:O, INT((ROW()-2)/10)+2 + 124)</f>
        <v/>
      </c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>
        <f>L187*86400</f>
        <v/>
      </c>
      <c r="N187" s="17">
        <f t="array" ref="N187">INDEX('MATCH INFO'!O:O, INT((ROW()-2)/10)+2 + 124)</f>
        <v/>
      </c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>
        <f>L188*86400</f>
        <v/>
      </c>
      <c r="N188" s="17">
        <f t="array" ref="N188">INDEX('MATCH INFO'!O:O, INT((ROW()-2)/10)+2 + 124)</f>
        <v/>
      </c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>
        <f>L189*86400</f>
        <v/>
      </c>
      <c r="N189" s="17">
        <f t="array" ref="N189">INDEX('MATCH INFO'!O:O, INT((ROW()-2)/10)+2 + 124)</f>
        <v/>
      </c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>
        <f>L190*86400</f>
        <v/>
      </c>
      <c r="N190" s="17">
        <f t="array" ref="N190">INDEX('MATCH INFO'!O:O, INT((ROW()-2)/10)+2 + 124)</f>
        <v/>
      </c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>
        <f>L191*86400</f>
        <v/>
      </c>
      <c r="N191" s="17">
        <f t="array" ref="N191">INDEX('MATCH INFO'!O:O, INT((ROW()-2)/10)+2 + 124)</f>
        <v/>
      </c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>
        <f>L192*86400</f>
        <v/>
      </c>
      <c r="N192" s="17">
        <f t="array" ref="N192">INDEX('MATCH INFO'!O:O, INT((ROW()-2)/10)+2 + 124)</f>
        <v/>
      </c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>
        <f>L193*86400</f>
        <v/>
      </c>
      <c r="N193" s="17">
        <f t="array" ref="N193">INDEX('MATCH INFO'!O:O, INT((ROW()-2)/10)+2 + 124)</f>
        <v/>
      </c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>
        <f>L194*86400</f>
        <v/>
      </c>
      <c r="N194" s="17">
        <f t="array" ref="N194">INDEX('MATCH INFO'!O:O, INT((ROW()-2)/10)+2 + 124)</f>
        <v/>
      </c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>
        <f>L195*86400</f>
        <v/>
      </c>
      <c r="N195" s="17">
        <f t="array" ref="N195">INDEX('MATCH INFO'!O:O, INT((ROW()-2)/10)+2 + 124)</f>
        <v/>
      </c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>
        <f>L196*86400</f>
        <v/>
      </c>
      <c r="N196" s="17">
        <f t="array" ref="N196">INDEX('MATCH INFO'!O:O, INT((ROW()-2)/10)+2 + 124)</f>
        <v/>
      </c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>
        <f>L197*86400</f>
        <v/>
      </c>
      <c r="N197" s="17">
        <f t="array" ref="N197">INDEX('MATCH INFO'!O:O, INT((ROW()-2)/10)+2 + 124)</f>
        <v/>
      </c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>
        <f>L198*86400</f>
        <v/>
      </c>
      <c r="N198" s="17">
        <f t="array" ref="N198">INDEX('MATCH INFO'!O:O, INT((ROW()-2)/10)+2 + 124)</f>
        <v/>
      </c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>
        <f>L199*86400</f>
        <v/>
      </c>
      <c r="N199" s="17">
        <f t="array" ref="N199">INDEX('MATCH INFO'!O:O, INT((ROW()-2)/10)+2 + 124)</f>
        <v/>
      </c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>
        <f>L200*86400</f>
        <v/>
      </c>
      <c r="N200" s="17">
        <f t="array" ref="N200">INDEX('MATCH INFO'!O:O, INT((ROW()-2)/10)+2 + 124)</f>
        <v/>
      </c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>
        <f>L201*86400</f>
        <v/>
      </c>
      <c r="N201" s="17">
        <f t="array" ref="N201">INDEX('MATCH INFO'!O:O, INT((ROW()-2)/10)+2 + 124)</f>
        <v/>
      </c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>
        <f>L202*86400</f>
        <v/>
      </c>
      <c r="N202" s="17">
        <f t="array" ref="N202">INDEX('MATCH INFO'!O:O, INT((ROW()-2)/10)+2 + 124)</f>
        <v/>
      </c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>
        <f>L203*86400</f>
        <v/>
      </c>
      <c r="N203" s="17">
        <f t="array" ref="N203">INDEX('MATCH INFO'!O:O, INT((ROW()-2)/10)+2 + 124)</f>
        <v/>
      </c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>
        <f>L204*86400</f>
        <v/>
      </c>
      <c r="N204" s="17">
        <f t="array" ref="N204">INDEX('MATCH INFO'!O:O, INT((ROW()-2)/10)+2 + 124)</f>
        <v/>
      </c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>
        <f>L205*86400</f>
        <v/>
      </c>
      <c r="N205" s="17">
        <f t="array" ref="N205">INDEX('MATCH INFO'!O:O, INT((ROW()-2)/10)+2 + 124)</f>
        <v/>
      </c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>
        <f>L206*86400</f>
        <v/>
      </c>
      <c r="N206" s="17">
        <f t="array" ref="N206">INDEX('MATCH INFO'!O:O, INT((ROW()-2)/10)+2 + 124)</f>
        <v/>
      </c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>
        <f>L207*86400</f>
        <v/>
      </c>
      <c r="N207" s="17">
        <f t="array" ref="N207">INDEX('MATCH INFO'!O:O, INT((ROW()-2)/10)+2 + 124)</f>
        <v/>
      </c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>
        <f>L208*86400</f>
        <v/>
      </c>
      <c r="N208" s="17">
        <f t="array" ref="N208">INDEX('MATCH INFO'!O:O, INT((ROW()-2)/10)+2 + 124)</f>
        <v/>
      </c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>
        <f>L209*86400</f>
        <v/>
      </c>
      <c r="N209" s="17">
        <f t="array" ref="N209">INDEX('MATCH INFO'!O:O, INT((ROW()-2)/10)+2 + 124)</f>
        <v/>
      </c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>
        <f>L210*86400</f>
        <v/>
      </c>
      <c r="N210" s="17">
        <f t="array" ref="N210">INDEX('MATCH INFO'!O:O, INT((ROW()-2)/10)+2 + 124)</f>
        <v/>
      </c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>
        <f>L211*86400</f>
        <v/>
      </c>
      <c r="N211" s="17">
        <f t="array" ref="N211">INDEX('MATCH INFO'!O:O, INT((ROW()-2)/10)+2 + 124)</f>
        <v/>
      </c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>
        <f>L212*86400</f>
        <v/>
      </c>
      <c r="N212" s="17">
        <f t="array" ref="N212">INDEX('MATCH INFO'!O:O, INT((ROW()-2)/10)+2 + 124)</f>
        <v/>
      </c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>
        <f>L213*86400</f>
        <v/>
      </c>
      <c r="N213" s="17">
        <f t="array" ref="N213">INDEX('MATCH INFO'!O:O, INT((ROW()-2)/10)+2 + 124)</f>
        <v/>
      </c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>
        <f>L214*86400</f>
        <v/>
      </c>
      <c r="N214" s="17">
        <f t="array" ref="N214">INDEX('MATCH INFO'!O:O, INT((ROW()-2)/10)+2 + 124)</f>
        <v/>
      </c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>
        <f>L215*86400</f>
        <v/>
      </c>
      <c r="N215" s="17">
        <f t="array" ref="N215">INDEX('MATCH INFO'!O:O, INT((ROW()-2)/10)+2 + 124)</f>
        <v/>
      </c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>
        <f>L216*86400</f>
        <v/>
      </c>
      <c r="N216" s="17">
        <f t="array" ref="N216">INDEX('MATCH INFO'!O:O, INT((ROW()-2)/10)+2 + 124)</f>
        <v/>
      </c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>
        <f>L217*86400</f>
        <v/>
      </c>
      <c r="N217" s="17">
        <f t="array" ref="N217">INDEX('MATCH INFO'!O:O, INT((ROW()-2)/10)+2 + 124)</f>
        <v/>
      </c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>
        <f>L218*86400</f>
        <v/>
      </c>
      <c r="N218" s="17">
        <f t="array" ref="N218">INDEX('MATCH INFO'!O:O, INT((ROW()-2)/10)+2 + 124)</f>
        <v/>
      </c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>
        <f>L219*86400</f>
        <v/>
      </c>
      <c r="N219" s="17">
        <f t="array" ref="N219">INDEX('MATCH INFO'!O:O, INT((ROW()-2)/10)+2 + 124)</f>
        <v/>
      </c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>
        <f>L220*86400</f>
        <v/>
      </c>
      <c r="N220" s="17">
        <f t="array" ref="N220">INDEX('MATCH INFO'!O:O, INT((ROW()-2)/10)+2 + 124)</f>
        <v/>
      </c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>
        <f>L221*86400</f>
        <v/>
      </c>
      <c r="N221" s="17">
        <f t="array" ref="N221">INDEX('MATCH INFO'!O:O, INT((ROW()-2)/10)+2 + 124)</f>
        <v/>
      </c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>
        <f>L222*86400</f>
        <v/>
      </c>
      <c r="N222" s="17">
        <f t="array" ref="N222">INDEX('MATCH INFO'!O:O, INT((ROW()-2)/10)+2 + 124)</f>
        <v/>
      </c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>
        <f>L223*86400</f>
        <v/>
      </c>
      <c r="N223" s="17">
        <f t="array" ref="N223">INDEX('MATCH INFO'!O:O, INT((ROW()-2)/10)+2 + 124)</f>
        <v/>
      </c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>
        <f>L224*86400</f>
        <v/>
      </c>
      <c r="N224" s="17">
        <f t="array" ref="N224">INDEX('MATCH INFO'!O:O, INT((ROW()-2)/10)+2 + 124)</f>
        <v/>
      </c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>
        <f>L225*86400</f>
        <v/>
      </c>
      <c r="N225" s="17">
        <f t="array" ref="N225">INDEX('MATCH INFO'!O:O, INT((ROW()-2)/10)+2 + 124)</f>
        <v/>
      </c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>
        <f>L226*86400</f>
        <v/>
      </c>
      <c r="N226" s="17">
        <f t="array" ref="N226">INDEX('MATCH INFO'!O:O, INT((ROW()-2)/10)+2 + 124)</f>
        <v/>
      </c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>
        <f>L227*86400</f>
        <v/>
      </c>
      <c r="N227" s="17">
        <f t="array" ref="N227">INDEX('MATCH INFO'!O:O, INT((ROW()-2)/10)+2 + 124)</f>
        <v/>
      </c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>
        <f>L228*86400</f>
        <v/>
      </c>
      <c r="N228" s="17">
        <f t="array" ref="N228">INDEX('MATCH INFO'!O:O, INT((ROW()-2)/10)+2 + 124)</f>
        <v/>
      </c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>
        <f>L229*86400</f>
        <v/>
      </c>
      <c r="N229" s="17">
        <f t="array" ref="N229">INDEX('MATCH INFO'!O:O, INT((ROW()-2)/10)+2 + 124)</f>
        <v/>
      </c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>
        <f>L230*86400</f>
        <v/>
      </c>
      <c r="N230" s="17">
        <f t="array" ref="N230">INDEX('MATCH INFO'!O:O, INT((ROW()-2)/10)+2 + 124)</f>
        <v/>
      </c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>
        <f>L231*86400</f>
        <v/>
      </c>
      <c r="N231" s="17">
        <f t="array" ref="N231">INDEX('MATCH INFO'!O:O, INT((ROW()-2)/10)+2 + 124)</f>
        <v/>
      </c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>
        <f>L232*86400</f>
        <v/>
      </c>
      <c r="N232" s="17">
        <f t="array" ref="N232">INDEX('MATCH INFO'!O:O, INT((ROW()-2)/10)+2 + 124)</f>
        <v/>
      </c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>
        <f>L233*86400</f>
        <v/>
      </c>
      <c r="N233" s="17">
        <f t="array" ref="N233">INDEX('MATCH INFO'!O:O, INT((ROW()-2)/10)+2 + 124)</f>
        <v/>
      </c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>
        <f>L234*86400</f>
        <v/>
      </c>
      <c r="N234" s="17">
        <f t="array" ref="N234">INDEX('MATCH INFO'!O:O, INT((ROW()-2)/10)+2 + 124)</f>
        <v/>
      </c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>
        <f>L235*86400</f>
        <v/>
      </c>
      <c r="N235" s="17">
        <f t="array" ref="N235">INDEX('MATCH INFO'!O:O, INT((ROW()-2)/10)+2 + 124)</f>
        <v/>
      </c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>
        <f>L236*86400</f>
        <v/>
      </c>
      <c r="N236" s="17">
        <f t="array" ref="N236">INDEX('MATCH INFO'!O:O, INT((ROW()-2)/10)+2 + 124)</f>
        <v/>
      </c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>
        <f>L237*86400</f>
        <v/>
      </c>
      <c r="N237" s="17">
        <f t="array" ref="N237">INDEX('MATCH INFO'!O:O, INT((ROW()-2)/10)+2 + 124)</f>
        <v/>
      </c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>
        <f>L238*86400</f>
        <v/>
      </c>
      <c r="N238" s="17">
        <f t="array" ref="N238">INDEX('MATCH INFO'!O:O, INT((ROW()-2)/10)+2 + 124)</f>
        <v/>
      </c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>
        <f>L239*86400</f>
        <v/>
      </c>
      <c r="N239" s="17">
        <f t="array" ref="N239">INDEX('MATCH INFO'!O:O, INT((ROW()-2)/10)+2 + 124)</f>
        <v/>
      </c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>
        <f>L240*86400</f>
        <v/>
      </c>
      <c r="N240" s="17">
        <f t="array" ref="N240">INDEX('MATCH INFO'!O:O, INT((ROW()-2)/10)+2 + 124)</f>
        <v/>
      </c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>
        <f>L241*86400</f>
        <v/>
      </c>
      <c r="N241" s="17">
        <f t="array" ref="N241">INDEX('MATCH INFO'!O:O, INT((ROW()-2)/10)+2 + 124)</f>
        <v/>
      </c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>
        <f>L242*86400</f>
        <v/>
      </c>
      <c r="N242" s="17">
        <f t="array" ref="N242">INDEX('MATCH INFO'!O:O, INT((ROW()-2)/10)+2 + 124)</f>
        <v/>
      </c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>
        <f>L243*86400</f>
        <v/>
      </c>
      <c r="N243" s="17">
        <f t="array" ref="N243">INDEX('MATCH INFO'!O:O, INT((ROW()-2)/10)+2 + 124)</f>
        <v/>
      </c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>
        <f>L244*86400</f>
        <v/>
      </c>
      <c r="N244" s="17">
        <f t="array" ref="N244">INDEX('MATCH INFO'!O:O, INT((ROW()-2)/10)+2 + 124)</f>
        <v/>
      </c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>
        <f>L245*86400</f>
        <v/>
      </c>
      <c r="N245" s="17">
        <f t="array" ref="N245">INDEX('MATCH INFO'!O:O, INT((ROW()-2)/10)+2 + 124)</f>
        <v/>
      </c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>
        <f>L246*86400</f>
        <v/>
      </c>
      <c r="N246" s="17">
        <f t="array" ref="N246">INDEX('MATCH INFO'!O:O, INT((ROW()-2)/10)+2 + 124)</f>
        <v/>
      </c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>
        <f>L247*86400</f>
        <v/>
      </c>
      <c r="N247" s="17">
        <f t="array" ref="N247">INDEX('MATCH INFO'!O:O, INT((ROW()-2)/10)+2 + 124)</f>
        <v/>
      </c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>
        <f>L248*86400</f>
        <v/>
      </c>
      <c r="N248" s="17">
        <f t="array" ref="N248">INDEX('MATCH INFO'!O:O, INT((ROW()-2)/10)+2 + 124)</f>
        <v/>
      </c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>
        <f>L249*86400</f>
        <v/>
      </c>
      <c r="N249" s="17">
        <f t="array" ref="N249">INDEX('MATCH INFO'!O:O, INT((ROW()-2)/10)+2 + 124)</f>
        <v/>
      </c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>
        <f>L250*86400</f>
        <v/>
      </c>
      <c r="N250" s="17">
        <f t="array" ref="N250">INDEX('MATCH INFO'!O:O, INT((ROW()-2)/10)+2 + 124)</f>
        <v/>
      </c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>
        <f>L251*86400</f>
        <v/>
      </c>
      <c r="N251" s="17">
        <f t="array" ref="N251">INDEX('MATCH INFO'!O:O, INT((ROW()-2)/10)+2 + 124)</f>
        <v/>
      </c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>
        <f>L252*86400</f>
        <v/>
      </c>
      <c r="N252" s="17">
        <f t="array" ref="N252">INDEX('MATCH INFO'!O:O, INT((ROW()-2)/10)+2 + 124)</f>
        <v/>
      </c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>
        <f>L253*86400</f>
        <v/>
      </c>
      <c r="N253" s="17">
        <f t="array" ref="N253">INDEX('MATCH INFO'!O:O, INT((ROW()-2)/10)+2 + 124)</f>
        <v/>
      </c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>
        <f>L254*86400</f>
        <v/>
      </c>
      <c r="N254" s="17">
        <f t="array" ref="N254">INDEX('MATCH INFO'!O:O, INT((ROW()-2)/10)+2 + 124)</f>
        <v/>
      </c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>
        <f>L255*86400</f>
        <v/>
      </c>
      <c r="N255" s="17">
        <f t="array" ref="N255">INDEX('MATCH INFO'!O:O, INT((ROW()-2)/10)+2 + 124)</f>
        <v/>
      </c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>
        <f>L256*86400</f>
        <v/>
      </c>
      <c r="N256" s="17">
        <f t="array" ref="N256">INDEX('MATCH INFO'!O:O, INT((ROW()-2)/10)+2 + 124)</f>
        <v/>
      </c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>
        <f>L257*86400</f>
        <v/>
      </c>
      <c r="N257" s="17">
        <f t="array" ref="N257">INDEX('MATCH INFO'!O:O, INT((ROW()-2)/10)+2 + 124)</f>
        <v/>
      </c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>
        <f>L258*86400</f>
        <v/>
      </c>
      <c r="N258" s="17">
        <f t="array" ref="N258">INDEX('MATCH INFO'!O:O, INT((ROW()-2)/10)+2 + 124)</f>
        <v/>
      </c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>
        <f>L259*86400</f>
        <v/>
      </c>
      <c r="N259" s="17">
        <f t="array" ref="N259">INDEX('MATCH INFO'!O:O, INT((ROW()-2)/10)+2 + 124)</f>
        <v/>
      </c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>
        <f>L260*86400</f>
        <v/>
      </c>
      <c r="N260" s="17">
        <f t="array" ref="N260">INDEX('MATCH INFO'!O:O, INT((ROW()-2)/10)+2 + 124)</f>
        <v/>
      </c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>
        <f>L261*86400</f>
        <v/>
      </c>
      <c r="N261" s="17">
        <f t="array" ref="N261">INDEX('MATCH INFO'!O:O, INT((ROW()-2)/10)+2 + 124)</f>
        <v/>
      </c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>
        <f>L262*86400</f>
        <v/>
      </c>
      <c r="N262" s="17">
        <f t="array" ref="N262">INDEX('MATCH INFO'!O:O, INT((ROW()-2)/10)+2 + 124)</f>
        <v/>
      </c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>
        <f>L263*86400</f>
        <v/>
      </c>
      <c r="N263" s="17">
        <f t="array" ref="N263">INDEX('MATCH INFO'!O:O, INT((ROW()-2)/10)+2 + 124)</f>
        <v/>
      </c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>
        <f>L264*86400</f>
        <v/>
      </c>
      <c r="N264" s="17">
        <f t="array" ref="N264">INDEX('MATCH INFO'!O:O, INT((ROW()-2)/10)+2 + 124)</f>
        <v/>
      </c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>
        <f>L265*86400</f>
        <v/>
      </c>
      <c r="N265" s="17">
        <f t="array" ref="N265">INDEX('MATCH INFO'!O:O, INT((ROW()-2)/10)+2 + 124)</f>
        <v/>
      </c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>
        <f>L266*86400</f>
        <v/>
      </c>
      <c r="N266" s="17">
        <f t="array" ref="N266">INDEX('MATCH INFO'!O:O, INT((ROW()-2)/10)+2 + 124)</f>
        <v/>
      </c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>
        <f>L267*86400</f>
        <v/>
      </c>
      <c r="N267" s="17">
        <f t="array" ref="N267">INDEX('MATCH INFO'!O:O, INT((ROW()-2)/10)+2 + 124)</f>
        <v/>
      </c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>
        <f>L268*86400</f>
        <v/>
      </c>
      <c r="N268" s="17">
        <f t="array" ref="N268">INDEX('MATCH INFO'!O:O, INT((ROW()-2)/10)+2 + 124)</f>
        <v/>
      </c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>
        <f>L269*86400</f>
        <v/>
      </c>
      <c r="N269" s="17">
        <f t="array" ref="N269">INDEX('MATCH INFO'!O:O, INT((ROW()-2)/10)+2 + 124)</f>
        <v/>
      </c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>
        <f>L270*86400</f>
        <v/>
      </c>
      <c r="N270" s="17">
        <f t="array" ref="N270">INDEX('MATCH INFO'!O:O, INT((ROW()-2)/10)+2 + 124)</f>
        <v/>
      </c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>
        <f>L271*86400</f>
        <v/>
      </c>
      <c r="N271" s="17">
        <f t="array" ref="N271">INDEX('MATCH INFO'!O:O, INT((ROW()-2)/10)+2 + 124)</f>
        <v/>
      </c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>
        <f>L272*86400</f>
        <v/>
      </c>
      <c r="N272" s="17">
        <f t="array" ref="N272">INDEX('MATCH INFO'!O:O, INT((ROW()-2)/10)+2 + 124)</f>
        <v/>
      </c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>
        <f>L273*86400</f>
        <v/>
      </c>
      <c r="N273" s="17">
        <f t="array" ref="N273">INDEX('MATCH INFO'!O:O, INT((ROW()-2)/10)+2 + 124)</f>
        <v/>
      </c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>
        <f>L274*86400</f>
        <v/>
      </c>
      <c r="N274" s="17">
        <f t="array" ref="N274">INDEX('MATCH INFO'!O:O, INT((ROW()-2)/10)+2 + 124)</f>
        <v/>
      </c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>
        <f>L275*86400</f>
        <v/>
      </c>
      <c r="N275" s="17">
        <f t="array" ref="N275">INDEX('MATCH INFO'!O:O, INT((ROW()-2)/10)+2 + 124)</f>
        <v/>
      </c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>
        <f>L276*86400</f>
        <v/>
      </c>
      <c r="N276" s="17">
        <f t="array" ref="N276">INDEX('MATCH INFO'!O:O, INT((ROW()-2)/10)+2 + 124)</f>
        <v/>
      </c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>
        <f>L277*86400</f>
        <v/>
      </c>
      <c r="N277" s="17">
        <f t="array" ref="N277">INDEX('MATCH INFO'!O:O, INT((ROW()-2)/10)+2 + 124)</f>
        <v/>
      </c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>
        <f>L278*86400</f>
        <v/>
      </c>
      <c r="N278" s="17">
        <f t="array" ref="N278">INDEX('MATCH INFO'!O:O, INT((ROW()-2)/10)+2 + 124)</f>
        <v/>
      </c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>
        <f>L279*86400</f>
        <v/>
      </c>
      <c r="N279" s="17">
        <f t="array" ref="N279">INDEX('MATCH INFO'!O:O, INT((ROW()-2)/10)+2 + 124)</f>
        <v/>
      </c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>
        <f>L280*86400</f>
        <v/>
      </c>
      <c r="N280" s="17">
        <f t="array" ref="N280">INDEX('MATCH INFO'!O:O, INT((ROW()-2)/10)+2 + 124)</f>
        <v/>
      </c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>
        <f>L281*86400</f>
        <v/>
      </c>
      <c r="N281" s="17">
        <f t="array" ref="N281">INDEX('MATCH INFO'!O:O, INT((ROW()-2)/10)+2 + 124)</f>
        <v/>
      </c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>
        <f>L282*86400</f>
        <v/>
      </c>
      <c r="N282" s="17">
        <f t="array" ref="N282">INDEX('MATCH INFO'!O:O, INT((ROW()-2)/10)+2 + 124)</f>
        <v/>
      </c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>
        <f>L283*86400</f>
        <v/>
      </c>
      <c r="N283" s="17">
        <f t="array" ref="N283">INDEX('MATCH INFO'!O:O, INT((ROW()-2)/10)+2 + 124)</f>
        <v/>
      </c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>
        <f>L284*86400</f>
        <v/>
      </c>
      <c r="N284" s="17">
        <f t="array" ref="N284">INDEX('MATCH INFO'!O:O, INT((ROW()-2)/10)+2 + 124)</f>
        <v/>
      </c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>
        <f>L285*86400</f>
        <v/>
      </c>
      <c r="N285" s="17">
        <f t="array" ref="N285">INDEX('MATCH INFO'!O:O, INT((ROW()-2)/10)+2 + 124)</f>
        <v/>
      </c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>
        <f>L286*86400</f>
        <v/>
      </c>
      <c r="N286" s="17">
        <f t="array" ref="N286">INDEX('MATCH INFO'!O:O, INT((ROW()-2)/10)+2 + 124)</f>
        <v/>
      </c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>
        <f>L287*86400</f>
        <v/>
      </c>
      <c r="N287" s="17">
        <f t="array" ref="N287">INDEX('MATCH INFO'!O:O, INT((ROW()-2)/10)+2 + 124)</f>
        <v/>
      </c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>
        <f>L288*86400</f>
        <v/>
      </c>
      <c r="N288" s="17">
        <f t="array" ref="N288">INDEX('MATCH INFO'!O:O, INT((ROW()-2)/10)+2 + 124)</f>
        <v/>
      </c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>
        <f>L289*86400</f>
        <v/>
      </c>
      <c r="N289" s="17">
        <f t="array" ref="N289">INDEX('MATCH INFO'!O:O, INT((ROW()-2)/10)+2 + 124)</f>
        <v/>
      </c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>
        <f>L290*86400</f>
        <v/>
      </c>
      <c r="N290" s="17">
        <f t="array" ref="N290">INDEX('MATCH INFO'!O:O, INT((ROW()-2)/10)+2 + 124)</f>
        <v/>
      </c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>
        <f>L291*86400</f>
        <v/>
      </c>
      <c r="N291" s="17">
        <f t="array" ref="N291">INDEX('MATCH INFO'!O:O, INT((ROW()-2)/10)+2 + 124)</f>
        <v/>
      </c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>
        <f>L292*86400</f>
        <v/>
      </c>
      <c r="N292" s="17">
        <f t="array" ref="N292">INDEX('MATCH INFO'!O:O, INT((ROW()-2)/10)+2 + 124)</f>
        <v/>
      </c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>
        <f>L293*86400</f>
        <v/>
      </c>
      <c r="N293" s="17">
        <f t="array" ref="N293">INDEX('MATCH INFO'!O:O, INT((ROW()-2)/10)+2 + 124)</f>
        <v/>
      </c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>
        <f>L294*86400</f>
        <v/>
      </c>
      <c r="N294" s="17">
        <f t="array" ref="N294">INDEX('MATCH INFO'!O:O, INT((ROW()-2)/10)+2 + 124)</f>
        <v/>
      </c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>
        <f>L295*86400</f>
        <v/>
      </c>
      <c r="N295" s="17">
        <f t="array" ref="N295">INDEX('MATCH INFO'!O:O, INT((ROW()-2)/10)+2 + 124)</f>
        <v/>
      </c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>
        <f>L296*86400</f>
        <v/>
      </c>
      <c r="N296" s="17">
        <f t="array" ref="N296">INDEX('MATCH INFO'!O:O, INT((ROW()-2)/10)+2 + 124)</f>
        <v/>
      </c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>
        <f>L297*86400</f>
        <v/>
      </c>
      <c r="N297" s="17">
        <f t="array" ref="N297">INDEX('MATCH INFO'!O:O, INT((ROW()-2)/10)+2 + 124)</f>
        <v/>
      </c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>
        <f>L298*86400</f>
        <v/>
      </c>
      <c r="N298" s="17">
        <f t="array" ref="N298">INDEX('MATCH INFO'!O:O, INT((ROW()-2)/10)+2 + 124)</f>
        <v/>
      </c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>
        <f>L299*86400</f>
        <v/>
      </c>
      <c r="N299" s="17">
        <f t="array" ref="N299">INDEX('MATCH INFO'!O:O, INT((ROW()-2)/10)+2 + 124)</f>
        <v/>
      </c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>
        <f>L300*86400</f>
        <v/>
      </c>
      <c r="N300" s="17">
        <f t="array" ref="N300">INDEX('MATCH INFO'!O:O, INT((ROW()-2)/10)+2 + 124)</f>
        <v/>
      </c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>
        <f>L301*86400</f>
        <v/>
      </c>
      <c r="N301" s="17">
        <f t="array" ref="N301">INDEX('MATCH INFO'!O:O, INT((ROW()-2)/10)+2 + 124)</f>
        <v/>
      </c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>
        <f>L302*86400</f>
        <v/>
      </c>
      <c r="N302" s="17">
        <f t="array" ref="N302">INDEX('MATCH INFO'!O:O, INT((ROW()-2)/10)+2 + 124)</f>
        <v/>
      </c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>
        <f>L303*86400</f>
        <v/>
      </c>
      <c r="N303" s="17">
        <f t="array" ref="N303">INDEX('MATCH INFO'!O:O, INT((ROW()-2)/10)+2 + 124)</f>
        <v/>
      </c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>
        <f>L304*86400</f>
        <v/>
      </c>
      <c r="N304" s="17">
        <f t="array" ref="N304">INDEX('MATCH INFO'!O:O, INT((ROW()-2)/10)+2 + 124)</f>
        <v/>
      </c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>
        <f>L305*86400</f>
        <v/>
      </c>
      <c r="N305" s="17">
        <f t="array" ref="N305">INDEX('MATCH INFO'!O:O, INT((ROW()-2)/10)+2 + 124)</f>
        <v/>
      </c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>
        <f>L306*86400</f>
        <v/>
      </c>
      <c r="N306" s="17">
        <f t="array" ref="N306">INDEX('MATCH INFO'!O:O, INT((ROW()-2)/10)+2 + 124)</f>
        <v/>
      </c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>
        <f>L307*86400</f>
        <v/>
      </c>
      <c r="N307" s="17">
        <f t="array" ref="N307">INDEX('MATCH INFO'!O:O, INT((ROW()-2)/10)+2 + 124)</f>
        <v/>
      </c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>
        <f>L308*86400</f>
        <v/>
      </c>
      <c r="N308" s="17">
        <f t="array" ref="N308">INDEX('MATCH INFO'!O:O, INT((ROW()-2)/10)+2 + 124)</f>
        <v/>
      </c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>
        <f>L309*86400</f>
        <v/>
      </c>
      <c r="N309" s="17">
        <f t="array" ref="N309">INDEX('MATCH INFO'!O:O, INT((ROW()-2)/10)+2 + 124)</f>
        <v/>
      </c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>
        <f>L310*86400</f>
        <v/>
      </c>
      <c r="N310" s="17">
        <f t="array" ref="N310">INDEX('MATCH INFO'!O:O, INT((ROW()-2)/10)+2 + 124)</f>
        <v/>
      </c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>
        <f>L311*86400</f>
        <v/>
      </c>
      <c r="N311" s="17">
        <f t="array" ref="N311">INDEX('MATCH INFO'!O:O, INT((ROW()-2)/10)+2 + 124)</f>
        <v/>
      </c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>
        <f>L312*86400</f>
        <v/>
      </c>
      <c r="N312" s="17">
        <f t="array" ref="N312">INDEX('MATCH INFO'!O:O, INT((ROW()-2)/10)+2 + 124)</f>
        <v/>
      </c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>
        <f>L313*86400</f>
        <v/>
      </c>
      <c r="N313" s="17">
        <f t="array" ref="N313">INDEX('MATCH INFO'!O:O, INT((ROW()-2)/10)+2 + 124)</f>
        <v/>
      </c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>
        <f>L314*86400</f>
        <v/>
      </c>
      <c r="N314" s="17">
        <f t="array" ref="N314">INDEX('MATCH INFO'!O:O, INT((ROW()-2)/10)+2 + 124)</f>
        <v/>
      </c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>
        <f>L315*86400</f>
        <v/>
      </c>
      <c r="N315" s="17">
        <f t="array" ref="N315">INDEX('MATCH INFO'!O:O, INT((ROW()-2)/10)+2 + 124)</f>
        <v/>
      </c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>
        <f>L316*86400</f>
        <v/>
      </c>
      <c r="N316" s="17">
        <f t="array" ref="N316">INDEX('MATCH INFO'!O:O, INT((ROW()-2)/10)+2 + 124)</f>
        <v/>
      </c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>
        <f>L317*86400</f>
        <v/>
      </c>
      <c r="N317" s="17">
        <f t="array" ref="N317">INDEX('MATCH INFO'!O:O, INT((ROW()-2)/10)+2 + 124)</f>
        <v/>
      </c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>
        <f>L318*86400</f>
        <v/>
      </c>
      <c r="N318" s="17">
        <f t="array" ref="N318">INDEX('MATCH INFO'!O:O, INT((ROW()-2)/10)+2 + 124)</f>
        <v/>
      </c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>
        <f>L319*86400</f>
        <v/>
      </c>
      <c r="N319" s="17">
        <f t="array" ref="N319">INDEX('MATCH INFO'!O:O, INT((ROW()-2)/10)+2 + 124)</f>
        <v/>
      </c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>
        <f>L320*86400</f>
        <v/>
      </c>
      <c r="N320" s="17">
        <f t="array" ref="N320">INDEX('MATCH INFO'!O:O, INT((ROW()-2)/10)+2 + 124)</f>
        <v/>
      </c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>
        <f>L321*86400</f>
        <v/>
      </c>
      <c r="N321" s="17">
        <f t="array" ref="N321">INDEX('MATCH INFO'!O:O, INT((ROW()-2)/10)+2 + 124)</f>
        <v/>
      </c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>
        <f>L322*86400</f>
        <v/>
      </c>
      <c r="N322" s="17">
        <f t="array" ref="N322">INDEX('MATCH INFO'!O:O, INT((ROW()-2)/10)+2 + 124)</f>
        <v/>
      </c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>
        <f>L323*86400</f>
        <v/>
      </c>
      <c r="N323" s="17">
        <f t="array" ref="N323">INDEX('MATCH INFO'!O:O, INT((ROW()-2)/10)+2 + 124)</f>
        <v/>
      </c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>
        <f>L324*86400</f>
        <v/>
      </c>
      <c r="N324" s="17">
        <f t="array" ref="N324">INDEX('MATCH INFO'!O:O, INT((ROW()-2)/10)+2 + 124)</f>
        <v/>
      </c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>
        <f>L325*86400</f>
        <v/>
      </c>
      <c r="N325" s="17">
        <f t="array" ref="N325">INDEX('MATCH INFO'!O:O, INT((ROW()-2)/10)+2 + 124)</f>
        <v/>
      </c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>
        <f>L326*86400</f>
        <v/>
      </c>
      <c r="N326" s="17">
        <f t="array" ref="N326">INDEX('MATCH INFO'!O:O, INT((ROW()-2)/10)+2 + 124)</f>
        <v/>
      </c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>
        <f>L327*86400</f>
        <v/>
      </c>
      <c r="N327" s="17">
        <f t="array" ref="N327">INDEX('MATCH INFO'!O:O, INT((ROW()-2)/10)+2 + 124)</f>
        <v/>
      </c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>
        <f>L328*86400</f>
        <v/>
      </c>
      <c r="N328" s="17">
        <f t="array" ref="N328">INDEX('MATCH INFO'!O:O, INT((ROW()-2)/10)+2 + 124)</f>
        <v/>
      </c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>
        <f>L329*86400</f>
        <v/>
      </c>
      <c r="N329" s="17">
        <f t="array" ref="N329">INDEX('MATCH INFO'!O:O, INT((ROW()-2)/10)+2 + 124)</f>
        <v/>
      </c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>
        <f>L330*86400</f>
        <v/>
      </c>
      <c r="N330" s="17">
        <f t="array" ref="N330">INDEX('MATCH INFO'!O:O, INT((ROW()-2)/10)+2 + 124)</f>
        <v/>
      </c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>
        <f>L331*86400</f>
        <v/>
      </c>
      <c r="N331" s="17">
        <f t="array" ref="N331">INDEX('MATCH INFO'!O:O, INT((ROW()-2)/10)+2 + 124)</f>
        <v/>
      </c>
    </row>
  </sheetData>
  <conditionalFormatting sqref="A2:N33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10" defaultRowHeight="18"/>
  <cols>
    <col width="13.28515625" customWidth="1" style="2" min="2" max="2"/>
    <col width="15.28515625" customWidth="1" style="2" min="4" max="4"/>
    <col width="16.7109375" customWidth="1" style="2" min="13" max="13"/>
    <col width="25" customWidth="1" style="2" min="14" max="14"/>
  </cols>
  <sheetData>
    <row r="1">
      <c r="A1" s="3" t="inlineStr">
        <is>
          <t>Team</t>
        </is>
      </c>
      <c r="B1" s="3" t="inlineStr">
        <is>
          <t>Player</t>
        </is>
      </c>
      <c r="C1" s="3" t="inlineStr">
        <is>
          <t>Position</t>
        </is>
      </c>
      <c r="D1" s="3" t="inlineStr">
        <is>
          <t>Map</t>
        </is>
      </c>
      <c r="E1" s="3" t="inlineStr">
        <is>
          <t>Map Type</t>
        </is>
      </c>
      <c r="F1" s="3" t="inlineStr">
        <is>
          <t>Elim</t>
        </is>
      </c>
      <c r="G1" s="3" t="inlineStr">
        <is>
          <t>Death</t>
        </is>
      </c>
      <c r="H1" s="3" t="inlineStr">
        <is>
          <t>Assists</t>
        </is>
      </c>
      <c r="I1" s="3" t="inlineStr">
        <is>
          <t>Damage</t>
        </is>
      </c>
      <c r="J1" s="3" t="inlineStr">
        <is>
          <t>Heal</t>
        </is>
      </c>
      <c r="K1" s="3" t="inlineStr">
        <is>
          <t>Mitigated</t>
        </is>
      </c>
      <c r="L1" s="3" t="inlineStr">
        <is>
          <t>Playtime</t>
        </is>
      </c>
      <c r="M1" s="3" t="inlineStr">
        <is>
          <t>Playtime(Seconds)</t>
        </is>
      </c>
      <c r="N1" s="19" t="inlineStr">
        <is>
          <t>MATCH_ID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>
        <f>L2*86400</f>
        <v/>
      </c>
      <c r="N2" s="17">
        <f t="array" ref="N2">INDEX('MATCH INFO'!O:O, INT((ROW()-2)/10)+2 + 157)</f>
        <v/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>
        <f>L3*86400</f>
        <v/>
      </c>
      <c r="N3" s="17">
        <f t="array" ref="N3">INDEX('MATCH INFO'!O:O, INT((ROW()-2)/10)+2 + 157)</f>
        <v/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>
        <f>L4*86400</f>
        <v/>
      </c>
      <c r="N4" s="17">
        <f t="array" ref="N4">INDEX('MATCH INFO'!O:O, INT((ROW()-2)/10)+2 + 157)</f>
        <v/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>
        <f>L5*86400</f>
        <v/>
      </c>
      <c r="N5" s="17">
        <f t="array" ref="N5">INDEX('MATCH INFO'!O:O, INT((ROW()-2)/10)+2 + 157)</f>
        <v/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>
        <f>L6*86400</f>
        <v/>
      </c>
      <c r="N6" s="17">
        <f t="array" ref="N6">INDEX('MATCH INFO'!O:O, INT((ROW()-2)/10)+2 + 157)</f>
        <v/>
      </c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>
        <f>L7*86400</f>
        <v/>
      </c>
      <c r="N7" s="17">
        <f t="array" ref="N7">INDEX('MATCH INFO'!O:O, INT((ROW()-2)/10)+2 + 157)</f>
        <v/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>
        <f>L8*86400</f>
        <v/>
      </c>
      <c r="N8" s="17">
        <f t="array" ref="N8">INDEX('MATCH INFO'!O:O, INT((ROW()-2)/10)+2 + 157)</f>
        <v/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>
        <f>L9*86400</f>
        <v/>
      </c>
      <c r="N9" s="17">
        <f t="array" ref="N9">INDEX('MATCH INFO'!O:O, INT((ROW()-2)/10)+2 + 157)</f>
        <v/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>
        <f>L10*86400</f>
        <v/>
      </c>
      <c r="N10" s="17">
        <f t="array" ref="N10">INDEX('MATCH INFO'!O:O, INT((ROW()-2)/10)+2 + 157)</f>
        <v/>
      </c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>
        <f>L11*86400</f>
        <v/>
      </c>
      <c r="N11" s="17">
        <f t="array" ref="N11">INDEX('MATCH INFO'!O:O, INT((ROW()-2)/10)+2 + 157)</f>
        <v/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>
        <f>L12*86400</f>
        <v/>
      </c>
      <c r="N12" s="17">
        <f t="array" ref="N12">INDEX('MATCH INFO'!O:O, INT((ROW()-2)/10)+2 + 157)</f>
        <v/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>
        <f>L13*86400</f>
        <v/>
      </c>
      <c r="N13" s="17">
        <f t="array" ref="N13">INDEX('MATCH INFO'!O:O, INT((ROW()-2)/10)+2 + 157)</f>
        <v/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>
        <f>L14*86400</f>
        <v/>
      </c>
      <c r="N14" s="17">
        <f t="array" ref="N14">INDEX('MATCH INFO'!O:O, INT((ROW()-2)/10)+2 + 157)</f>
        <v/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>
        <f>L15*86400</f>
        <v/>
      </c>
      <c r="N15" s="17">
        <f t="array" ref="N15">INDEX('MATCH INFO'!O:O, INT((ROW()-2)/10)+2 + 157)</f>
        <v/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>
        <f>L16*86400</f>
        <v/>
      </c>
      <c r="N16" s="17">
        <f t="array" ref="N16">INDEX('MATCH INFO'!O:O, INT((ROW()-2)/10)+2 + 157)</f>
        <v/>
      </c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>
        <f>L17*86400</f>
        <v/>
      </c>
      <c r="N17" s="17">
        <f t="array" ref="N17">INDEX('MATCH INFO'!O:O, INT((ROW()-2)/10)+2 + 157)</f>
        <v/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>
        <f>L18*86400</f>
        <v/>
      </c>
      <c r="N18" s="17">
        <f t="array" ref="N18">INDEX('MATCH INFO'!O:O, INT((ROW()-2)/10)+2 + 157)</f>
        <v/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>
        <f>L19*86400</f>
        <v/>
      </c>
      <c r="N19" s="17">
        <f t="array" ref="N19">INDEX('MATCH INFO'!O:O, INT((ROW()-2)/10)+2 + 157)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>
        <f>L20*86400</f>
        <v/>
      </c>
      <c r="N20" s="17">
        <f t="array" ref="N20">INDEX('MATCH INFO'!O:O, INT((ROW()-2)/10)+2 + 157)</f>
        <v/>
      </c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>
        <f>L21*86400</f>
        <v/>
      </c>
      <c r="N21" s="17">
        <f t="array" ref="N21">INDEX('MATCH INFO'!O:O, INT((ROW()-2)/10)+2 + 157)</f>
        <v/>
      </c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>
        <f>L22*86400</f>
        <v/>
      </c>
      <c r="N22" s="17">
        <f t="array" ref="N22">INDEX('MATCH INFO'!O:O, INT((ROW()-2)/10)+2 + 157)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>
        <f>L23*86400</f>
        <v/>
      </c>
      <c r="N23" s="17">
        <f t="array" ref="N23">INDEX('MATCH INFO'!O:O, INT((ROW()-2)/10)+2 + 157)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>
        <f>L24*86400</f>
        <v/>
      </c>
      <c r="N24" s="17">
        <f t="array" ref="N24">INDEX('MATCH INFO'!O:O, INT((ROW()-2)/10)+2 + 157)</f>
        <v/>
      </c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>
        <f>L25*86400</f>
        <v/>
      </c>
      <c r="N25" s="17">
        <f t="array" ref="N25">INDEX('MATCH INFO'!O:O, INT((ROW()-2)/10)+2 + 157)</f>
        <v/>
      </c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>
        <f>L26*86400</f>
        <v/>
      </c>
      <c r="N26" s="17">
        <f t="array" ref="N26">INDEX('MATCH INFO'!O:O, INT((ROW()-2)/10)+2 + 157)</f>
        <v/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>
        <f>L27*86400</f>
        <v/>
      </c>
      <c r="N27" s="17">
        <f t="array" ref="N27">INDEX('MATCH INFO'!O:O, INT((ROW()-2)/10)+2 + 157)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>
        <f>L28*86400</f>
        <v/>
      </c>
      <c r="N28" s="17">
        <f t="array" ref="N28">INDEX('MATCH INFO'!O:O, INT((ROW()-2)/10)+2 + 157)</f>
        <v/>
      </c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>
        <f>L29*86400</f>
        <v/>
      </c>
      <c r="N29" s="17">
        <f t="array" ref="N29">INDEX('MATCH INFO'!O:O, INT((ROW()-2)/10)+2 + 157)</f>
        <v/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>
        <f>L30*86400</f>
        <v/>
      </c>
      <c r="N30" s="17">
        <f t="array" ref="N30">INDEX('MATCH INFO'!O:O, INT((ROW()-2)/10)+2 + 157)</f>
        <v/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>
        <f>L31*86400</f>
        <v/>
      </c>
      <c r="N31" s="17">
        <f t="array" ref="N31">INDEX('MATCH INFO'!O:O, INT((ROW()-2)/10)+2 + 157)</f>
        <v/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>
        <f>L32*86400</f>
        <v/>
      </c>
      <c r="N32" s="17">
        <f t="array" ref="N32">INDEX('MATCH INFO'!O:O, INT((ROW()-2)/10)+2 + 157)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>
        <f>L33*86400</f>
        <v/>
      </c>
      <c r="N33" s="17">
        <f t="array" ref="N33">INDEX('MATCH INFO'!O:O, INT((ROW()-2)/10)+2 + 157)</f>
        <v/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>
        <f>L34*86400</f>
        <v/>
      </c>
      <c r="N34" s="17">
        <f t="array" ref="N34">INDEX('MATCH INFO'!O:O, INT((ROW()-2)/10)+2 + 157)</f>
        <v/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>
        <f>L35*86400</f>
        <v/>
      </c>
      <c r="N35" s="17">
        <f t="array" ref="N35">INDEX('MATCH INFO'!O:O, INT((ROW()-2)/10)+2 + 157)</f>
        <v/>
      </c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>
        <f>L36*86400</f>
        <v/>
      </c>
      <c r="N36" s="17">
        <f t="array" ref="N36">INDEX('MATCH INFO'!O:O, INT((ROW()-2)/10)+2 + 157)</f>
        <v/>
      </c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>
        <f>L37*86400</f>
        <v/>
      </c>
      <c r="N37" s="17">
        <f t="array" ref="N37">INDEX('MATCH INFO'!O:O, INT((ROW()-2)/10)+2 + 157)</f>
        <v/>
      </c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>
        <f>L38*86400</f>
        <v/>
      </c>
      <c r="N38" s="17">
        <f t="array" ref="N38">INDEX('MATCH INFO'!O:O, INT((ROW()-2)/10)+2 + 157)</f>
        <v/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>
        <f>L39*86400</f>
        <v/>
      </c>
      <c r="N39" s="17">
        <f t="array" ref="N39">INDEX('MATCH INFO'!O:O, INT((ROW()-2)/10)+2 + 157)</f>
        <v/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>
        <f>L40*86400</f>
        <v/>
      </c>
      <c r="N40" s="17">
        <f t="array" ref="N40">INDEX('MATCH INFO'!O:O, INT((ROW()-2)/10)+2 + 157)</f>
        <v/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>
        <f>L41*86400</f>
        <v/>
      </c>
      <c r="N41" s="17">
        <f t="array" ref="N41">INDEX('MATCH INFO'!O:O, INT((ROW()-2)/10)+2 + 157)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>
        <f>L42*86400</f>
        <v/>
      </c>
      <c r="N42" s="17">
        <f t="array" ref="N42">INDEX('MATCH INFO'!O:O, INT((ROW()-2)/10)+2 + 157)</f>
        <v/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>
        <f>L43*86400</f>
        <v/>
      </c>
      <c r="N43" s="17">
        <f t="array" ref="N43">INDEX('MATCH INFO'!O:O, INT((ROW()-2)/10)+2 + 157)</f>
        <v/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>
        <f>L44*86400</f>
        <v/>
      </c>
      <c r="N44" s="17">
        <f t="array" ref="N44">INDEX('MATCH INFO'!O:O, INT((ROW()-2)/10)+2 + 157)</f>
        <v/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>
        <f>L45*86400</f>
        <v/>
      </c>
      <c r="N45" s="17">
        <f t="array" ref="N45">INDEX('MATCH INFO'!O:O, INT((ROW()-2)/10)+2 + 157)</f>
        <v/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>
        <f>L46*86400</f>
        <v/>
      </c>
      <c r="N46" s="17">
        <f t="array" ref="N46">INDEX('MATCH INFO'!O:O, INT((ROW()-2)/10)+2 + 157)</f>
        <v/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>
        <f>L47*86400</f>
        <v/>
      </c>
      <c r="N47" s="17">
        <f t="array" ref="N47">INDEX('MATCH INFO'!O:O, INT((ROW()-2)/10)+2 + 157)</f>
        <v/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>
        <f>L48*86400</f>
        <v/>
      </c>
      <c r="N48" s="17">
        <f t="array" ref="N48">INDEX('MATCH INFO'!O:O, INT((ROW()-2)/10)+2 + 157)</f>
        <v/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>
        <f>L49*86400</f>
        <v/>
      </c>
      <c r="N49" s="17">
        <f t="array" ref="N49">INDEX('MATCH INFO'!O:O, INT((ROW()-2)/10)+2 + 157)</f>
        <v/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>
        <f>L50*86400</f>
        <v/>
      </c>
      <c r="N50" s="17">
        <f t="array" ref="N50">INDEX('MATCH INFO'!O:O, INT((ROW()-2)/10)+2 + 157)</f>
        <v/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>
        <f>L51*86400</f>
        <v/>
      </c>
      <c r="N51" s="17">
        <f t="array" ref="N51">INDEX('MATCH INFO'!O:O, INT((ROW()-2)/10)+2 + 157)</f>
        <v/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>
        <f>L52*86400</f>
        <v/>
      </c>
      <c r="N52" s="17">
        <f t="array" ref="N52">INDEX('MATCH INFO'!O:O, INT((ROW()-2)/10)+2 + 157)</f>
        <v/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>
        <f>L53*86400</f>
        <v/>
      </c>
      <c r="N53" s="17">
        <f t="array" ref="N53">INDEX('MATCH INFO'!O:O, INT((ROW()-2)/10)+2 + 157)</f>
        <v/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>
        <f>L54*86400</f>
        <v/>
      </c>
      <c r="N54" s="17">
        <f t="array" ref="N54">INDEX('MATCH INFO'!O:O, INT((ROW()-2)/10)+2 + 157)</f>
        <v/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>
        <f>L55*86400</f>
        <v/>
      </c>
      <c r="N55" s="17">
        <f t="array" ref="N55">INDEX('MATCH INFO'!O:O, INT((ROW()-2)/10)+2 + 157)</f>
        <v/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>
        <f>L56*86400</f>
        <v/>
      </c>
      <c r="N56" s="17">
        <f t="array" ref="N56">INDEX('MATCH INFO'!O:O, INT((ROW()-2)/10)+2 + 157)</f>
        <v/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>
        <f>L57*86400</f>
        <v/>
      </c>
      <c r="N57" s="17">
        <f t="array" ref="N57">INDEX('MATCH INFO'!O:O, INT((ROW()-2)/10)+2 + 157)</f>
        <v/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>
        <f>L58*86400</f>
        <v/>
      </c>
      <c r="N58" s="17">
        <f t="array" ref="N58">INDEX('MATCH INFO'!O:O, INT((ROW()-2)/10)+2 + 157)</f>
        <v/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>
        <f>L59*86400</f>
        <v/>
      </c>
      <c r="N59" s="17">
        <f t="array" ref="N59">INDEX('MATCH INFO'!O:O, INT((ROW()-2)/10)+2 + 157)</f>
        <v/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>
        <f>L60*86400</f>
        <v/>
      </c>
      <c r="N60" s="17">
        <f t="array" ref="N60">INDEX('MATCH INFO'!O:O, INT((ROW()-2)/10)+2 + 157)</f>
        <v/>
      </c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>
        <f>L61*86400</f>
        <v/>
      </c>
      <c r="N61" s="17">
        <f t="array" ref="N61">INDEX('MATCH INFO'!O:O, INT((ROW()-2)/10)+2 + 157)</f>
        <v/>
      </c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>
        <f>L62*86400</f>
        <v/>
      </c>
      <c r="N62" s="17">
        <f t="array" ref="N62">INDEX('MATCH INFO'!O:O, INT((ROW()-2)/10)+2 + 157)</f>
        <v/>
      </c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>
        <f>L63*86400</f>
        <v/>
      </c>
      <c r="N63" s="17">
        <f t="array" ref="N63">INDEX('MATCH INFO'!O:O, INT((ROW()-2)/10)+2 + 157)</f>
        <v/>
      </c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>
        <f>L64*86400</f>
        <v/>
      </c>
      <c r="N64" s="17">
        <f t="array" ref="N64">INDEX('MATCH INFO'!O:O, INT((ROW()-2)/10)+2 + 157)</f>
        <v/>
      </c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>
        <f>L65*86400</f>
        <v/>
      </c>
      <c r="N65" s="17">
        <f t="array" ref="N65">INDEX('MATCH INFO'!O:O, INT((ROW()-2)/10)+2 + 157)</f>
        <v/>
      </c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>
        <f>L66*86400</f>
        <v/>
      </c>
      <c r="N66" s="17">
        <f t="array" ref="N66">INDEX('MATCH INFO'!O:O, INT((ROW()-2)/10)+2 + 157)</f>
        <v/>
      </c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>
        <f>L67*86400</f>
        <v/>
      </c>
      <c r="N67" s="17">
        <f t="array" ref="N67">INDEX('MATCH INFO'!O:O, INT((ROW()-2)/10)+2 + 157)</f>
        <v/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>
        <f>L68*86400</f>
        <v/>
      </c>
      <c r="N68" s="17">
        <f t="array" ref="N68">INDEX('MATCH INFO'!O:O, INT((ROW()-2)/10)+2 + 157)</f>
        <v/>
      </c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>
        <f>L69*86400</f>
        <v/>
      </c>
      <c r="N69" s="17">
        <f t="array" ref="N69">INDEX('MATCH INFO'!O:O, INT((ROW()-2)/10)+2 + 157)</f>
        <v/>
      </c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>
        <f>L70*86400</f>
        <v/>
      </c>
      <c r="N70" s="17">
        <f t="array" ref="N70">INDEX('MATCH INFO'!O:O, INT((ROW()-2)/10)+2 + 157)</f>
        <v/>
      </c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>
        <f>L71*86400</f>
        <v/>
      </c>
      <c r="N71" s="17">
        <f t="array" ref="N71">INDEX('MATCH INFO'!O:O, INT((ROW()-2)/10)+2 + 157)</f>
        <v/>
      </c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>
        <f>L72*86400</f>
        <v/>
      </c>
      <c r="N72" s="17">
        <f t="array" ref="N72">INDEX('MATCH INFO'!O:O, INT((ROW()-2)/10)+2 + 157)</f>
        <v/>
      </c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>
        <f>L73*86400</f>
        <v/>
      </c>
      <c r="N73" s="17">
        <f t="array" ref="N73">INDEX('MATCH INFO'!O:O, INT((ROW()-2)/10)+2 + 157)</f>
        <v/>
      </c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>
        <f>L74*86400</f>
        <v/>
      </c>
      <c r="N74" s="17">
        <f t="array" ref="N74">INDEX('MATCH INFO'!O:O, INT((ROW()-2)/10)+2 + 157)</f>
        <v/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>
        <f>L75*86400</f>
        <v/>
      </c>
      <c r="N75" s="17">
        <f t="array" ref="N75">INDEX('MATCH INFO'!O:O, INT((ROW()-2)/10)+2 + 157)</f>
        <v/>
      </c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>
        <f>L76*86400</f>
        <v/>
      </c>
      <c r="N76" s="17">
        <f t="array" ref="N76">INDEX('MATCH INFO'!O:O, INT((ROW()-2)/10)+2 + 157)</f>
        <v/>
      </c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>
        <f>L77*86400</f>
        <v/>
      </c>
      <c r="N77" s="17">
        <f t="array" ref="N77">INDEX('MATCH INFO'!O:O, INT((ROW()-2)/10)+2 + 157)</f>
        <v/>
      </c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>
        <f>L78*86400</f>
        <v/>
      </c>
      <c r="N78" s="17">
        <f t="array" ref="N78">INDEX('MATCH INFO'!O:O, INT((ROW()-2)/10)+2 + 157)</f>
        <v/>
      </c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>
        <f>L79*86400</f>
        <v/>
      </c>
      <c r="N79" s="17">
        <f t="array" ref="N79">INDEX('MATCH INFO'!O:O, INT((ROW()-2)/10)+2 + 157)</f>
        <v/>
      </c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>
        <f>L80*86400</f>
        <v/>
      </c>
      <c r="N80" s="17">
        <f t="array" ref="N80">INDEX('MATCH INFO'!O:O, INT((ROW()-2)/10)+2 + 157)</f>
        <v/>
      </c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>
        <f>L81*86400</f>
        <v/>
      </c>
      <c r="N81" s="17">
        <f t="array" ref="N81">INDEX('MATCH INFO'!O:O, INT((ROW()-2)/10)+2 + 157)</f>
        <v/>
      </c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>
        <f>L82*86400</f>
        <v/>
      </c>
      <c r="N82" s="17">
        <f t="array" ref="N82">INDEX('MATCH INFO'!O:O, INT((ROW()-2)/10)+2 + 157)</f>
        <v/>
      </c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>
        <f>L83*86400</f>
        <v/>
      </c>
      <c r="N83" s="17">
        <f t="array" ref="N83">INDEX('MATCH INFO'!O:O, INT((ROW()-2)/10)+2 + 157)</f>
        <v/>
      </c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>
        <f>L84*86400</f>
        <v/>
      </c>
      <c r="N84" s="17">
        <f t="array" ref="N84">INDEX('MATCH INFO'!O:O, INT((ROW()-2)/10)+2 + 157)</f>
        <v/>
      </c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>
        <f>L85*86400</f>
        <v/>
      </c>
      <c r="N85" s="17">
        <f t="array" ref="N85">INDEX('MATCH INFO'!O:O, INT((ROW()-2)/10)+2 + 157)</f>
        <v/>
      </c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>
        <f>L86*86400</f>
        <v/>
      </c>
      <c r="N86" s="17">
        <f t="array" ref="N86">INDEX('MATCH INFO'!O:O, INT((ROW()-2)/10)+2 + 157)</f>
        <v/>
      </c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>
        <f>L87*86400</f>
        <v/>
      </c>
      <c r="N87" s="17">
        <f t="array" ref="N87">INDEX('MATCH INFO'!O:O, INT((ROW()-2)/10)+2 + 157)</f>
        <v/>
      </c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>
        <f>L88*86400</f>
        <v/>
      </c>
      <c r="N88" s="17">
        <f t="array" ref="N88">INDEX('MATCH INFO'!O:O, INT((ROW()-2)/10)+2 + 157)</f>
        <v/>
      </c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>
        <f>L89*86400</f>
        <v/>
      </c>
      <c r="N89" s="17">
        <f t="array" ref="N89">INDEX('MATCH INFO'!O:O, INT((ROW()-2)/10)+2 + 157)</f>
        <v/>
      </c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>
        <f>L90*86400</f>
        <v/>
      </c>
      <c r="N90" s="17">
        <f t="array" ref="N90">INDEX('MATCH INFO'!O:O, INT((ROW()-2)/10)+2 + 157)</f>
        <v/>
      </c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>
        <f>L91*86400</f>
        <v/>
      </c>
      <c r="N91" s="17">
        <f t="array" ref="N91">INDEX('MATCH INFO'!O:O, INT((ROW()-2)/10)+2 + 157)</f>
        <v/>
      </c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>
        <f>L92*86400</f>
        <v/>
      </c>
      <c r="N92" s="17">
        <f t="array" ref="N92">INDEX('MATCH INFO'!O:O, INT((ROW()-2)/10)+2 + 157)</f>
        <v/>
      </c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>
        <f>L93*86400</f>
        <v/>
      </c>
      <c r="N93" s="17">
        <f t="array" ref="N93">INDEX('MATCH INFO'!O:O, INT((ROW()-2)/10)+2 + 157)</f>
        <v/>
      </c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>
        <f>L94*86400</f>
        <v/>
      </c>
      <c r="N94" s="17">
        <f t="array" ref="N94">INDEX('MATCH INFO'!O:O, INT((ROW()-2)/10)+2 + 157)</f>
        <v/>
      </c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>
        <f>L95*86400</f>
        <v/>
      </c>
      <c r="N95" s="17">
        <f t="array" ref="N95">INDEX('MATCH INFO'!O:O, INT((ROW()-2)/10)+2 + 157)</f>
        <v/>
      </c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>
        <f>L96*86400</f>
        <v/>
      </c>
      <c r="N96" s="17">
        <f t="array" ref="N96">INDEX('MATCH INFO'!O:O, INT((ROW()-2)/10)+2 + 157)</f>
        <v/>
      </c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>
        <f>L97*86400</f>
        <v/>
      </c>
      <c r="N97" s="17">
        <f t="array" ref="N97">INDEX('MATCH INFO'!O:O, INT((ROW()-2)/10)+2 + 157)</f>
        <v/>
      </c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>
        <f>L98*86400</f>
        <v/>
      </c>
      <c r="N98" s="17">
        <f t="array" ref="N98">INDEX('MATCH INFO'!O:O, INT((ROW()-2)/10)+2 + 157)</f>
        <v/>
      </c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>
        <f>L99*86400</f>
        <v/>
      </c>
      <c r="N99" s="17">
        <f t="array" ref="N99">INDEX('MATCH INFO'!O:O, INT((ROW()-2)/10)+2 + 157)</f>
        <v/>
      </c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>
        <f>L100*86400</f>
        <v/>
      </c>
      <c r="N100" s="17">
        <f t="array" ref="N100">INDEX('MATCH INFO'!O:O, INT((ROW()-2)/10)+2 + 157)</f>
        <v/>
      </c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>
        <f>L101*86400</f>
        <v/>
      </c>
      <c r="N101" s="17">
        <f t="array" ref="N101">INDEX('MATCH INFO'!O:O, INT((ROW()-2)/10)+2 + 157)</f>
        <v/>
      </c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>
        <f>L102*86400</f>
        <v/>
      </c>
      <c r="N102" s="17">
        <f t="array" ref="N102">INDEX('MATCH INFO'!O:O, INT((ROW()-2)/10)+2 + 157)</f>
        <v/>
      </c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>
        <f>L103*86400</f>
        <v/>
      </c>
      <c r="N103" s="17">
        <f t="array" ref="N103">INDEX('MATCH INFO'!O:O, INT((ROW()-2)/10)+2 + 157)</f>
        <v/>
      </c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>
        <f>L104*86400</f>
        <v/>
      </c>
      <c r="N104" s="17">
        <f t="array" ref="N104">INDEX('MATCH INFO'!O:O, INT((ROW()-2)/10)+2 + 157)</f>
        <v/>
      </c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>
        <f>L105*86400</f>
        <v/>
      </c>
      <c r="N105" s="17">
        <f t="array" ref="N105">INDEX('MATCH INFO'!O:O, INT((ROW()-2)/10)+2 + 157)</f>
        <v/>
      </c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>
        <f>L106*86400</f>
        <v/>
      </c>
      <c r="N106" s="17">
        <f t="array" ref="N106">INDEX('MATCH INFO'!O:O, INT((ROW()-2)/10)+2 + 157)</f>
        <v/>
      </c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>
        <f>L107*86400</f>
        <v/>
      </c>
      <c r="N107" s="17">
        <f t="array" ref="N107">INDEX('MATCH INFO'!O:O, INT((ROW()-2)/10)+2 + 157)</f>
        <v/>
      </c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>
        <f>L108*86400</f>
        <v/>
      </c>
      <c r="N108" s="17">
        <f t="array" ref="N108">INDEX('MATCH INFO'!O:O, INT((ROW()-2)/10)+2 + 157)</f>
        <v/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>
        <f>L109*86400</f>
        <v/>
      </c>
      <c r="N109" s="17">
        <f t="array" ref="N109">INDEX('MATCH INFO'!O:O, INT((ROW()-2)/10)+2 + 157)</f>
        <v/>
      </c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>
        <f>L110*86400</f>
        <v/>
      </c>
      <c r="N110" s="17">
        <f t="array" ref="N110">INDEX('MATCH INFO'!O:O, INT((ROW()-2)/10)+2 + 157)</f>
        <v/>
      </c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>
        <f>L111*86400</f>
        <v/>
      </c>
      <c r="N111" s="17">
        <f t="array" ref="N111">INDEX('MATCH INFO'!O:O, INT((ROW()-2)/10)+2 + 157)</f>
        <v/>
      </c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>
        <f>L112*86400</f>
        <v/>
      </c>
      <c r="N112" s="17">
        <f t="array" ref="N112">INDEX('MATCH INFO'!O:O, INT((ROW()-2)/10)+2 + 157)</f>
        <v/>
      </c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>
        <f>L113*86400</f>
        <v/>
      </c>
      <c r="N113" s="17">
        <f t="array" ref="N113">INDEX('MATCH INFO'!O:O, INT((ROW()-2)/10)+2 + 157)</f>
        <v/>
      </c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>
        <f>L114*86400</f>
        <v/>
      </c>
      <c r="N114" s="17">
        <f t="array" ref="N114">INDEX('MATCH INFO'!O:O, INT((ROW()-2)/10)+2 + 157)</f>
        <v/>
      </c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>
        <f>L115*86400</f>
        <v/>
      </c>
      <c r="N115" s="17">
        <f t="array" ref="N115">INDEX('MATCH INFO'!O:O, INT((ROW()-2)/10)+2 + 157)</f>
        <v/>
      </c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>
        <f>L116*86400</f>
        <v/>
      </c>
      <c r="N116" s="17">
        <f t="array" ref="N116">INDEX('MATCH INFO'!O:O, INT((ROW()-2)/10)+2 + 157)</f>
        <v/>
      </c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>
        <f>L117*86400</f>
        <v/>
      </c>
      <c r="N117" s="17">
        <f t="array" ref="N117">INDEX('MATCH INFO'!O:O, INT((ROW()-2)/10)+2 + 157)</f>
        <v/>
      </c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>
        <f>L118*86400</f>
        <v/>
      </c>
      <c r="N118" s="17">
        <f t="array" ref="N118">INDEX('MATCH INFO'!O:O, INT((ROW()-2)/10)+2 + 157)</f>
        <v/>
      </c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>
        <f>L119*86400</f>
        <v/>
      </c>
      <c r="N119" s="17">
        <f t="array" ref="N119">INDEX('MATCH INFO'!O:O, INT((ROW()-2)/10)+2 + 157)</f>
        <v/>
      </c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>
        <f>L120*86400</f>
        <v/>
      </c>
      <c r="N120" s="17">
        <f t="array" ref="N120">INDEX('MATCH INFO'!O:O, INT((ROW()-2)/10)+2 + 157)</f>
        <v/>
      </c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>
        <f>L121*86400</f>
        <v/>
      </c>
      <c r="N121" s="17">
        <f t="array" ref="N121">INDEX('MATCH INFO'!O:O, INT((ROW()-2)/10)+2 + 157)</f>
        <v/>
      </c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>
        <f>L122*86400</f>
        <v/>
      </c>
      <c r="N122" s="17">
        <f t="array" ref="N122">INDEX('MATCH INFO'!O:O, INT((ROW()-2)/10)+2 + 157)</f>
        <v/>
      </c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>
        <f>L123*86400</f>
        <v/>
      </c>
      <c r="N123" s="17">
        <f t="array" ref="N123">INDEX('MATCH INFO'!O:O, INT((ROW()-2)/10)+2 + 157)</f>
        <v/>
      </c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>
        <f>L124*86400</f>
        <v/>
      </c>
      <c r="N124" s="17">
        <f t="array" ref="N124">INDEX('MATCH INFO'!O:O, INT((ROW()-2)/10)+2 + 157)</f>
        <v/>
      </c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>
        <f>L125*86400</f>
        <v/>
      </c>
      <c r="N125" s="17">
        <f t="array" ref="N125">INDEX('MATCH INFO'!O:O, INT((ROW()-2)/10)+2 + 157)</f>
        <v/>
      </c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>
        <f>L126*86400</f>
        <v/>
      </c>
      <c r="N126" s="17">
        <f t="array" ref="N126">INDEX('MATCH INFO'!O:O, INT((ROW()-2)/10)+2 + 157)</f>
        <v/>
      </c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>
        <f>L127*86400</f>
        <v/>
      </c>
      <c r="N127" s="17">
        <f t="array" ref="N127">INDEX('MATCH INFO'!O:O, INT((ROW()-2)/10)+2 + 157)</f>
        <v/>
      </c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>
        <f>L128*86400</f>
        <v/>
      </c>
      <c r="N128" s="17">
        <f t="array" ref="N128">INDEX('MATCH INFO'!O:O, INT((ROW()-2)/10)+2 + 157)</f>
        <v/>
      </c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>
        <f>L129*86400</f>
        <v/>
      </c>
      <c r="N129" s="17">
        <f t="array" ref="N129">INDEX('MATCH INFO'!O:O, INT((ROW()-2)/10)+2 + 157)</f>
        <v/>
      </c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>
        <f>L130*86400</f>
        <v/>
      </c>
      <c r="N130" s="17">
        <f t="array" ref="N130">INDEX('MATCH INFO'!O:O, INT((ROW()-2)/10)+2 + 157)</f>
        <v/>
      </c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>
        <f>L131*86400</f>
        <v/>
      </c>
      <c r="N131" s="17">
        <f t="array" ref="N131">INDEX('MATCH INFO'!O:O, INT((ROW()-2)/10)+2 + 157)</f>
        <v/>
      </c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>
        <f>L132*86400</f>
        <v/>
      </c>
      <c r="N132" s="17">
        <f t="array" ref="N132">INDEX('MATCH INFO'!O:O, INT((ROW()-2)/10)+2 + 157)</f>
        <v/>
      </c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>
        <f>L133*86400</f>
        <v/>
      </c>
      <c r="N133" s="17">
        <f t="array" ref="N133">INDEX('MATCH INFO'!O:O, INT((ROW()-2)/10)+2 + 157)</f>
        <v/>
      </c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>
        <f>L134*86400</f>
        <v/>
      </c>
      <c r="N134" s="17">
        <f t="array" ref="N134">INDEX('MATCH INFO'!O:O, INT((ROW()-2)/10)+2 + 157)</f>
        <v/>
      </c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>
        <f>L135*86400</f>
        <v/>
      </c>
      <c r="N135" s="17">
        <f t="array" ref="N135">INDEX('MATCH INFO'!O:O, INT((ROW()-2)/10)+2 + 157)</f>
        <v/>
      </c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>
        <f>L136*86400</f>
        <v/>
      </c>
      <c r="N136" s="17">
        <f t="array" ref="N136">INDEX('MATCH INFO'!O:O, INT((ROW()-2)/10)+2 + 157)</f>
        <v/>
      </c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>
        <f>L137*86400</f>
        <v/>
      </c>
      <c r="N137" s="17">
        <f t="array" ref="N137">INDEX('MATCH INFO'!O:O, INT((ROW()-2)/10)+2 + 157)</f>
        <v/>
      </c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>
        <f>L138*86400</f>
        <v/>
      </c>
      <c r="N138" s="17">
        <f t="array" ref="N138">INDEX('MATCH INFO'!O:O, INT((ROW()-2)/10)+2 + 157)</f>
        <v/>
      </c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>
        <f>L139*86400</f>
        <v/>
      </c>
      <c r="N139" s="17">
        <f t="array" ref="N139">INDEX('MATCH INFO'!O:O, INT((ROW()-2)/10)+2 + 157)</f>
        <v/>
      </c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>
        <f>L140*86400</f>
        <v/>
      </c>
      <c r="N140" s="17">
        <f t="array" ref="N140">INDEX('MATCH INFO'!O:O, INT((ROW()-2)/10)+2 + 157)</f>
        <v/>
      </c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>
        <f>L141*86400</f>
        <v/>
      </c>
      <c r="N141" s="17">
        <f t="array" ref="N141">INDEX('MATCH INFO'!O:O, INT((ROW()-2)/10)+2 + 157)</f>
        <v/>
      </c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>
        <f>L142*86400</f>
        <v/>
      </c>
      <c r="N142" s="17">
        <f t="array" ref="N142">INDEX('MATCH INFO'!O:O, INT((ROW()-2)/10)+2 + 157)</f>
        <v/>
      </c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>
        <f>L143*86400</f>
        <v/>
      </c>
      <c r="N143" s="17">
        <f t="array" ref="N143">INDEX('MATCH INFO'!O:O, INT((ROW()-2)/10)+2 + 157)</f>
        <v/>
      </c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>
        <f>L144*86400</f>
        <v/>
      </c>
      <c r="N144" s="17">
        <f t="array" ref="N144">INDEX('MATCH INFO'!O:O, INT((ROW()-2)/10)+2 + 157)</f>
        <v/>
      </c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>
        <f>L145*86400</f>
        <v/>
      </c>
      <c r="N145" s="17">
        <f t="array" ref="N145">INDEX('MATCH INFO'!O:O, INT((ROW()-2)/10)+2 + 157)</f>
        <v/>
      </c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>
        <f>L146*86400</f>
        <v/>
      </c>
      <c r="N146" s="17">
        <f t="array" ref="N146">INDEX('MATCH INFO'!O:O, INT((ROW()-2)/10)+2 + 157)</f>
        <v/>
      </c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>
        <f>L147*86400</f>
        <v/>
      </c>
      <c r="N147" s="17">
        <f t="array" ref="N147">INDEX('MATCH INFO'!O:O, INT((ROW()-2)/10)+2 + 157)</f>
        <v/>
      </c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>
        <f>L148*86400</f>
        <v/>
      </c>
      <c r="N148" s="17">
        <f t="array" ref="N148">INDEX('MATCH INFO'!O:O, INT((ROW()-2)/10)+2 + 157)</f>
        <v/>
      </c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>
        <f>L149*86400</f>
        <v/>
      </c>
      <c r="N149" s="17">
        <f t="array" ref="N149">INDEX('MATCH INFO'!O:O, INT((ROW()-2)/10)+2 + 157)</f>
        <v/>
      </c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>
        <f>L150*86400</f>
        <v/>
      </c>
      <c r="N150" s="17">
        <f t="array" ref="N150">INDEX('MATCH INFO'!O:O, INT((ROW()-2)/10)+2 + 157)</f>
        <v/>
      </c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>
        <f>L151*86400</f>
        <v/>
      </c>
      <c r="N151" s="17">
        <f t="array" ref="N151">INDEX('MATCH INFO'!O:O, INT((ROW()-2)/10)+2 + 157)</f>
        <v/>
      </c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>
        <f>L152*86400</f>
        <v/>
      </c>
      <c r="N152" s="17">
        <f t="array" ref="N152">INDEX('MATCH INFO'!O:O, INT((ROW()-2)/10)+2 + 157)</f>
        <v/>
      </c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>
        <f>L153*86400</f>
        <v/>
      </c>
      <c r="N153" s="17">
        <f t="array" ref="N153">INDEX('MATCH INFO'!O:O, INT((ROW()-2)/10)+2 + 157)</f>
        <v/>
      </c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>
        <f>L154*86400</f>
        <v/>
      </c>
      <c r="N154" s="17">
        <f t="array" ref="N154">INDEX('MATCH INFO'!O:O, INT((ROW()-2)/10)+2 + 157)</f>
        <v/>
      </c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>
        <f>L155*86400</f>
        <v/>
      </c>
      <c r="N155" s="17">
        <f t="array" ref="N155">INDEX('MATCH INFO'!O:O, INT((ROW()-2)/10)+2 + 157)</f>
        <v/>
      </c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>
        <f>L156*86400</f>
        <v/>
      </c>
      <c r="N156" s="17">
        <f t="array" ref="N156">INDEX('MATCH INFO'!O:O, INT((ROW()-2)/10)+2 + 157)</f>
        <v/>
      </c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>
        <f>L157*86400</f>
        <v/>
      </c>
      <c r="N157" s="17">
        <f t="array" ref="N157">INDEX('MATCH INFO'!O:O, INT((ROW()-2)/10)+2 + 157)</f>
        <v/>
      </c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>
        <f>L158*86400</f>
        <v/>
      </c>
      <c r="N158" s="17">
        <f t="array" ref="N158">INDEX('MATCH INFO'!O:O, INT((ROW()-2)/10)+2 + 157)</f>
        <v/>
      </c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>
        <f>L159*86400</f>
        <v/>
      </c>
      <c r="N159" s="17">
        <f t="array" ref="N159">INDEX('MATCH INFO'!O:O, INT((ROW()-2)/10)+2 + 157)</f>
        <v/>
      </c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>
        <f>L160*86400</f>
        <v/>
      </c>
      <c r="N160" s="17">
        <f t="array" ref="N160">INDEX('MATCH INFO'!O:O, INT((ROW()-2)/10)+2 + 157)</f>
        <v/>
      </c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>
        <f>L161*86400</f>
        <v/>
      </c>
      <c r="N161" s="17">
        <f t="array" ref="N161">INDEX('MATCH INFO'!O:O, INT((ROW()-2)/10)+2 + 157)</f>
        <v/>
      </c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>
        <f>L162*86400</f>
        <v/>
      </c>
      <c r="N162" s="17">
        <f t="array" ref="N162">INDEX('MATCH INFO'!O:O, INT((ROW()-2)/10)+2 + 157)</f>
        <v/>
      </c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>
        <f>L163*86400</f>
        <v/>
      </c>
      <c r="N163" s="17">
        <f t="array" ref="N163">INDEX('MATCH INFO'!O:O, INT((ROW()-2)/10)+2 + 157)</f>
        <v/>
      </c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>
        <f>L164*86400</f>
        <v/>
      </c>
      <c r="N164" s="17">
        <f t="array" ref="N164">INDEX('MATCH INFO'!O:O, INT((ROW()-2)/10)+2 + 157)</f>
        <v/>
      </c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>
        <f>L165*86400</f>
        <v/>
      </c>
      <c r="N165" s="17">
        <f t="array" ref="N165">INDEX('MATCH INFO'!O:O, INT((ROW()-2)/10)+2 + 157)</f>
        <v/>
      </c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>
        <f>L166*86400</f>
        <v/>
      </c>
      <c r="N166" s="17">
        <f t="array" ref="N166">INDEX('MATCH INFO'!O:O, INT((ROW()-2)/10)+2 + 157)</f>
        <v/>
      </c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>
        <f>L167*86400</f>
        <v/>
      </c>
      <c r="N167" s="17">
        <f t="array" ref="N167">INDEX('MATCH INFO'!O:O, INT((ROW()-2)/10)+2 + 157)</f>
        <v/>
      </c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>
        <f>L168*86400</f>
        <v/>
      </c>
      <c r="N168" s="17">
        <f t="array" ref="N168">INDEX('MATCH INFO'!O:O, INT((ROW()-2)/10)+2 + 157)</f>
        <v/>
      </c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>
        <f>L169*86400</f>
        <v/>
      </c>
      <c r="N169" s="17">
        <f t="array" ref="N169">INDEX('MATCH INFO'!O:O, INT((ROW()-2)/10)+2 + 157)</f>
        <v/>
      </c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>
        <f>L170*86400</f>
        <v/>
      </c>
      <c r="N170" s="17">
        <f t="array" ref="N170">INDEX('MATCH INFO'!O:O, INT((ROW()-2)/10)+2 + 157)</f>
        <v/>
      </c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>
        <f>L171*86400</f>
        <v/>
      </c>
      <c r="N171" s="17">
        <f t="array" ref="N171">INDEX('MATCH INFO'!O:O, INT((ROW()-2)/10)+2 + 157)</f>
        <v/>
      </c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>
        <f>L172*86400</f>
        <v/>
      </c>
      <c r="N172" s="17">
        <f t="array" ref="N172">INDEX('MATCH INFO'!O:O, INT((ROW()-2)/10)+2 + 157)</f>
        <v/>
      </c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>
        <f>L173*86400</f>
        <v/>
      </c>
      <c r="N173" s="17">
        <f t="array" ref="N173">INDEX('MATCH INFO'!O:O, INT((ROW()-2)/10)+2 + 157)</f>
        <v/>
      </c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>
        <f>L174*86400</f>
        <v/>
      </c>
      <c r="N174" s="17">
        <f t="array" ref="N174">INDEX('MATCH INFO'!O:O, INT((ROW()-2)/10)+2 + 157)</f>
        <v/>
      </c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>
        <f>L175*86400</f>
        <v/>
      </c>
      <c r="N175" s="17">
        <f t="array" ref="N175">INDEX('MATCH INFO'!O:O, INT((ROW()-2)/10)+2 + 157)</f>
        <v/>
      </c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>
        <f>L176*86400</f>
        <v/>
      </c>
      <c r="N176" s="17">
        <f t="array" ref="N176">INDEX('MATCH INFO'!O:O, INT((ROW()-2)/10)+2 + 157)</f>
        <v/>
      </c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>
        <f>L177*86400</f>
        <v/>
      </c>
      <c r="N177" s="17">
        <f t="array" ref="N177">INDEX('MATCH INFO'!O:O, INT((ROW()-2)/10)+2 + 157)</f>
        <v/>
      </c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>
        <f>L178*86400</f>
        <v/>
      </c>
      <c r="N178" s="17">
        <f t="array" ref="N178">INDEX('MATCH INFO'!O:O, INT((ROW()-2)/10)+2 + 157)</f>
        <v/>
      </c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>
        <f>L179*86400</f>
        <v/>
      </c>
      <c r="N179" s="17">
        <f t="array" ref="N179">INDEX('MATCH INFO'!O:O, INT((ROW()-2)/10)+2 + 157)</f>
        <v/>
      </c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>
        <f>L180*86400</f>
        <v/>
      </c>
      <c r="N180" s="17">
        <f t="array" ref="N180">INDEX('MATCH INFO'!O:O, INT((ROW()-2)/10)+2 + 157)</f>
        <v/>
      </c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>
        <f>L181*86400</f>
        <v/>
      </c>
      <c r="N181" s="17">
        <f t="array" ref="N181">INDEX('MATCH INFO'!O:O, INT((ROW()-2)/10)+2 + 157)</f>
        <v/>
      </c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>
        <f>L182*86400</f>
        <v/>
      </c>
      <c r="N182" s="17">
        <f t="array" ref="N182">INDEX('MATCH INFO'!O:O, INT((ROW()-2)/10)+2 + 157)</f>
        <v/>
      </c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>
        <f>L183*86400</f>
        <v/>
      </c>
      <c r="N183" s="17">
        <f t="array" ref="N183">INDEX('MATCH INFO'!O:O, INT((ROW()-2)/10)+2 + 157)</f>
        <v/>
      </c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>
        <f>L184*86400</f>
        <v/>
      </c>
      <c r="N184" s="17">
        <f t="array" ref="N184">INDEX('MATCH INFO'!O:O, INT((ROW()-2)/10)+2 + 157)</f>
        <v/>
      </c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>
        <f>L185*86400</f>
        <v/>
      </c>
      <c r="N185" s="17">
        <f t="array" ref="N185">INDEX('MATCH INFO'!O:O, INT((ROW()-2)/10)+2 + 157)</f>
        <v/>
      </c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>
        <f>L186*86400</f>
        <v/>
      </c>
      <c r="N186" s="17">
        <f t="array" ref="N186">INDEX('MATCH INFO'!O:O, INT((ROW()-2)/10)+2 + 157)</f>
        <v/>
      </c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>
        <f>L187*86400</f>
        <v/>
      </c>
      <c r="N187" s="17">
        <f t="array" ref="N187">INDEX('MATCH INFO'!O:O, INT((ROW()-2)/10)+2 + 157)</f>
        <v/>
      </c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>
        <f>L188*86400</f>
        <v/>
      </c>
      <c r="N188" s="17">
        <f t="array" ref="N188">INDEX('MATCH INFO'!O:O, INT((ROW()-2)/10)+2 + 157)</f>
        <v/>
      </c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>
        <f>L189*86400</f>
        <v/>
      </c>
      <c r="N189" s="17">
        <f t="array" ref="N189">INDEX('MATCH INFO'!O:O, INT((ROW()-2)/10)+2 + 157)</f>
        <v/>
      </c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>
        <f>L190*86400</f>
        <v/>
      </c>
      <c r="N190" s="17">
        <f t="array" ref="N190">INDEX('MATCH INFO'!O:O, INT((ROW()-2)/10)+2 + 157)</f>
        <v/>
      </c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>
        <f>L191*86400</f>
        <v/>
      </c>
      <c r="N191" s="17">
        <f t="array" ref="N191">INDEX('MATCH INFO'!O:O, INT((ROW()-2)/10)+2 + 157)</f>
        <v/>
      </c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>
        <f>L192*86400</f>
        <v/>
      </c>
      <c r="N192" s="17">
        <f t="array" ref="N192">INDEX('MATCH INFO'!O:O, INT((ROW()-2)/10)+2 + 157)</f>
        <v/>
      </c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>
        <f>L193*86400</f>
        <v/>
      </c>
      <c r="N193" s="17">
        <f t="array" ref="N193">INDEX('MATCH INFO'!O:O, INT((ROW()-2)/10)+2 + 157)</f>
        <v/>
      </c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>
        <f>L194*86400</f>
        <v/>
      </c>
      <c r="N194" s="17">
        <f t="array" ref="N194">INDEX('MATCH INFO'!O:O, INT((ROW()-2)/10)+2 + 157)</f>
        <v/>
      </c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>
        <f>L195*86400</f>
        <v/>
      </c>
      <c r="N195" s="17">
        <f t="array" ref="N195">INDEX('MATCH INFO'!O:O, INT((ROW()-2)/10)+2 + 157)</f>
        <v/>
      </c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>
        <f>L196*86400</f>
        <v/>
      </c>
      <c r="N196" s="17">
        <f t="array" ref="N196">INDEX('MATCH INFO'!O:O, INT((ROW()-2)/10)+2 + 157)</f>
        <v/>
      </c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>
        <f>L197*86400</f>
        <v/>
      </c>
      <c r="N197" s="17">
        <f t="array" ref="N197">INDEX('MATCH INFO'!O:O, INT((ROW()-2)/10)+2 + 157)</f>
        <v/>
      </c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>
        <f>L198*86400</f>
        <v/>
      </c>
      <c r="N198" s="17">
        <f t="array" ref="N198">INDEX('MATCH INFO'!O:O, INT((ROW()-2)/10)+2 + 157)</f>
        <v/>
      </c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>
        <f>L199*86400</f>
        <v/>
      </c>
      <c r="N199" s="17">
        <f t="array" ref="N199">INDEX('MATCH INFO'!O:O, INT((ROW()-2)/10)+2 + 157)</f>
        <v/>
      </c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>
        <f>L200*86400</f>
        <v/>
      </c>
      <c r="N200" s="17">
        <f t="array" ref="N200">INDEX('MATCH INFO'!O:O, INT((ROW()-2)/10)+2 + 157)</f>
        <v/>
      </c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>
        <f>L201*86400</f>
        <v/>
      </c>
      <c r="N201" s="17">
        <f t="array" ref="N201">INDEX('MATCH INFO'!O:O, INT((ROW()-2)/10)+2 + 157)</f>
        <v/>
      </c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>
        <f>L202*86400</f>
        <v/>
      </c>
      <c r="N202" s="17">
        <f t="array" ref="N202">INDEX('MATCH INFO'!O:O, INT((ROW()-2)/10)+2 + 157)</f>
        <v/>
      </c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>
        <f>L203*86400</f>
        <v/>
      </c>
      <c r="N203" s="17">
        <f t="array" ref="N203">INDEX('MATCH INFO'!O:O, INT((ROW()-2)/10)+2 + 157)</f>
        <v/>
      </c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>
        <f>L204*86400</f>
        <v/>
      </c>
      <c r="N204" s="17">
        <f t="array" ref="N204">INDEX('MATCH INFO'!O:O, INT((ROW()-2)/10)+2 + 157)</f>
        <v/>
      </c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>
        <f>L205*86400</f>
        <v/>
      </c>
      <c r="N205" s="17">
        <f t="array" ref="N205">INDEX('MATCH INFO'!O:O, INT((ROW()-2)/10)+2 + 157)</f>
        <v/>
      </c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>
        <f>L206*86400</f>
        <v/>
      </c>
      <c r="N206" s="17">
        <f t="array" ref="N206">INDEX('MATCH INFO'!O:O, INT((ROW()-2)/10)+2 + 157)</f>
        <v/>
      </c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>
        <f>L207*86400</f>
        <v/>
      </c>
      <c r="N207" s="17">
        <f t="array" ref="N207">INDEX('MATCH INFO'!O:O, INT((ROW()-2)/10)+2 + 157)</f>
        <v/>
      </c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>
        <f>L208*86400</f>
        <v/>
      </c>
      <c r="N208" s="17">
        <f t="array" ref="N208">INDEX('MATCH INFO'!O:O, INT((ROW()-2)/10)+2 + 157)</f>
        <v/>
      </c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>
        <f>L209*86400</f>
        <v/>
      </c>
      <c r="N209" s="17">
        <f t="array" ref="N209">INDEX('MATCH INFO'!O:O, INT((ROW()-2)/10)+2 + 157)</f>
        <v/>
      </c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>
        <f>L210*86400</f>
        <v/>
      </c>
      <c r="N210" s="17">
        <f t="array" ref="N210">INDEX('MATCH INFO'!O:O, INT((ROW()-2)/10)+2 + 157)</f>
        <v/>
      </c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>
        <f>L211*86400</f>
        <v/>
      </c>
      <c r="N211" s="17">
        <f t="array" ref="N211">INDEX('MATCH INFO'!O:O, INT((ROW()-2)/10)+2 + 157)</f>
        <v/>
      </c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>
        <f>L212*86400</f>
        <v/>
      </c>
      <c r="N212" s="17">
        <f t="array" ref="N212">INDEX('MATCH INFO'!O:O, INT((ROW()-2)/10)+2 + 157)</f>
        <v/>
      </c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>
        <f>L213*86400</f>
        <v/>
      </c>
      <c r="N213" s="17">
        <f t="array" ref="N213">INDEX('MATCH INFO'!O:O, INT((ROW()-2)/10)+2 + 157)</f>
        <v/>
      </c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>
        <f>L214*86400</f>
        <v/>
      </c>
      <c r="N214" s="17">
        <f t="array" ref="N214">INDEX('MATCH INFO'!O:O, INT((ROW()-2)/10)+2 + 157)</f>
        <v/>
      </c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>
        <f>L215*86400</f>
        <v/>
      </c>
      <c r="N215" s="17">
        <f t="array" ref="N215">INDEX('MATCH INFO'!O:O, INT((ROW()-2)/10)+2 + 157)</f>
        <v/>
      </c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>
        <f>L216*86400</f>
        <v/>
      </c>
      <c r="N216" s="17">
        <f t="array" ref="N216">INDEX('MATCH INFO'!O:O, INT((ROW()-2)/10)+2 + 157)</f>
        <v/>
      </c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>
        <f>L217*86400</f>
        <v/>
      </c>
      <c r="N217" s="17">
        <f t="array" ref="N217">INDEX('MATCH INFO'!O:O, INT((ROW()-2)/10)+2 + 157)</f>
        <v/>
      </c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>
        <f>L218*86400</f>
        <v/>
      </c>
      <c r="N218" s="17">
        <f t="array" ref="N218">INDEX('MATCH INFO'!O:O, INT((ROW()-2)/10)+2 + 157)</f>
        <v/>
      </c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>
        <f>L219*86400</f>
        <v/>
      </c>
      <c r="N219" s="17">
        <f t="array" ref="N219">INDEX('MATCH INFO'!O:O, INT((ROW()-2)/10)+2 + 157)</f>
        <v/>
      </c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>
        <f>L220*86400</f>
        <v/>
      </c>
      <c r="N220" s="17">
        <f t="array" ref="N220">INDEX('MATCH INFO'!O:O, INT((ROW()-2)/10)+2 + 157)</f>
        <v/>
      </c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>
        <f>L221*86400</f>
        <v/>
      </c>
      <c r="N221" s="17">
        <f t="array" ref="N221">INDEX('MATCH INFO'!O:O, INT((ROW()-2)/10)+2 + 157)</f>
        <v/>
      </c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>
        <f>L222*86400</f>
        <v/>
      </c>
      <c r="N222" s="17">
        <f t="array" ref="N222">INDEX('MATCH INFO'!O:O, INT((ROW()-2)/10)+2 + 157)</f>
        <v/>
      </c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>
        <f>L223*86400</f>
        <v/>
      </c>
      <c r="N223" s="17">
        <f t="array" ref="N223">INDEX('MATCH INFO'!O:O, INT((ROW()-2)/10)+2 + 157)</f>
        <v/>
      </c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>
        <f>L224*86400</f>
        <v/>
      </c>
      <c r="N224" s="17">
        <f t="array" ref="N224">INDEX('MATCH INFO'!O:O, INT((ROW()-2)/10)+2 + 157)</f>
        <v/>
      </c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>
        <f>L225*86400</f>
        <v/>
      </c>
      <c r="N225" s="17">
        <f t="array" ref="N225">INDEX('MATCH INFO'!O:O, INT((ROW()-2)/10)+2 + 157)</f>
        <v/>
      </c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>
        <f>L226*86400</f>
        <v/>
      </c>
      <c r="N226" s="17">
        <f t="array" ref="N226">INDEX('MATCH INFO'!O:O, INT((ROW()-2)/10)+2 + 157)</f>
        <v/>
      </c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>
        <f>L227*86400</f>
        <v/>
      </c>
      <c r="N227" s="17">
        <f t="array" ref="N227">INDEX('MATCH INFO'!O:O, INT((ROW()-2)/10)+2 + 157)</f>
        <v/>
      </c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>
        <f>L228*86400</f>
        <v/>
      </c>
      <c r="N228" s="17">
        <f t="array" ref="N228">INDEX('MATCH INFO'!O:O, INT((ROW()-2)/10)+2 + 157)</f>
        <v/>
      </c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>
        <f>L229*86400</f>
        <v/>
      </c>
      <c r="N229" s="17">
        <f t="array" ref="N229">INDEX('MATCH INFO'!O:O, INT((ROW()-2)/10)+2 + 157)</f>
        <v/>
      </c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>
        <f>L230*86400</f>
        <v/>
      </c>
      <c r="N230" s="17">
        <f t="array" ref="N230">INDEX('MATCH INFO'!O:O, INT((ROW()-2)/10)+2 + 157)</f>
        <v/>
      </c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>
        <f>L231*86400</f>
        <v/>
      </c>
      <c r="N231" s="17">
        <f t="array" ref="N231">INDEX('MATCH INFO'!O:O, INT((ROW()-2)/10)+2 + 157)</f>
        <v/>
      </c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>
        <f>L232*86400</f>
        <v/>
      </c>
      <c r="N232" s="17">
        <f t="array" ref="N232">INDEX('MATCH INFO'!O:O, INT((ROW()-2)/10)+2 + 157)</f>
        <v/>
      </c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>
        <f>L233*86400</f>
        <v/>
      </c>
      <c r="N233" s="17">
        <f t="array" ref="N233">INDEX('MATCH INFO'!O:O, INT((ROW()-2)/10)+2 + 157)</f>
        <v/>
      </c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>
        <f>L234*86400</f>
        <v/>
      </c>
      <c r="N234" s="17">
        <f t="array" ref="N234">INDEX('MATCH INFO'!O:O, INT((ROW()-2)/10)+2 + 157)</f>
        <v/>
      </c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>
        <f>L235*86400</f>
        <v/>
      </c>
      <c r="N235" s="17">
        <f t="array" ref="N235">INDEX('MATCH INFO'!O:O, INT((ROW()-2)/10)+2 + 157)</f>
        <v/>
      </c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>
        <f>L236*86400</f>
        <v/>
      </c>
      <c r="N236" s="17">
        <f t="array" ref="N236">INDEX('MATCH INFO'!O:O, INT((ROW()-2)/10)+2 + 157)</f>
        <v/>
      </c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>
        <f>L237*86400</f>
        <v/>
      </c>
      <c r="N237" s="17">
        <f t="array" ref="N237">INDEX('MATCH INFO'!O:O, INT((ROW()-2)/10)+2 + 157)</f>
        <v/>
      </c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>
        <f>L238*86400</f>
        <v/>
      </c>
      <c r="N238" s="17">
        <f t="array" ref="N238">INDEX('MATCH INFO'!O:O, INT((ROW()-2)/10)+2 + 157)</f>
        <v/>
      </c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>
        <f>L239*86400</f>
        <v/>
      </c>
      <c r="N239" s="17">
        <f t="array" ref="N239">INDEX('MATCH INFO'!O:O, INT((ROW()-2)/10)+2 + 157)</f>
        <v/>
      </c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>
        <f>L240*86400</f>
        <v/>
      </c>
      <c r="N240" s="17">
        <f t="array" ref="N240">INDEX('MATCH INFO'!O:O, INT((ROW()-2)/10)+2 + 157)</f>
        <v/>
      </c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>
        <f>L241*86400</f>
        <v/>
      </c>
      <c r="N241" s="17">
        <f t="array" ref="N241">INDEX('MATCH INFO'!O:O, INT((ROW()-2)/10)+2 + 157)</f>
        <v/>
      </c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>
        <f>L242*86400</f>
        <v/>
      </c>
      <c r="N242" s="17">
        <f t="array" ref="N242">INDEX('MATCH INFO'!O:O, INT((ROW()-2)/10)+2 + 157)</f>
        <v/>
      </c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>
        <f>L243*86400</f>
        <v/>
      </c>
      <c r="N243" s="17">
        <f t="array" ref="N243">INDEX('MATCH INFO'!O:O, INT((ROW()-2)/10)+2 + 157)</f>
        <v/>
      </c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>
        <f>L244*86400</f>
        <v/>
      </c>
      <c r="N244" s="17">
        <f t="array" ref="N244">INDEX('MATCH INFO'!O:O, INT((ROW()-2)/10)+2 + 157)</f>
        <v/>
      </c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>
        <f>L245*86400</f>
        <v/>
      </c>
      <c r="N245" s="17">
        <f t="array" ref="N245">INDEX('MATCH INFO'!O:O, INT((ROW()-2)/10)+2 + 157)</f>
        <v/>
      </c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>
        <f>L246*86400</f>
        <v/>
      </c>
      <c r="N246" s="17">
        <f t="array" ref="N246">INDEX('MATCH INFO'!O:O, INT((ROW()-2)/10)+2 + 157)</f>
        <v/>
      </c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>
        <f>L247*86400</f>
        <v/>
      </c>
      <c r="N247" s="17">
        <f t="array" ref="N247">INDEX('MATCH INFO'!O:O, INT((ROW()-2)/10)+2 + 157)</f>
        <v/>
      </c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>
        <f>L248*86400</f>
        <v/>
      </c>
      <c r="N248" s="17">
        <f t="array" ref="N248">INDEX('MATCH INFO'!O:O, INT((ROW()-2)/10)+2 + 157)</f>
        <v/>
      </c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>
        <f>L249*86400</f>
        <v/>
      </c>
      <c r="N249" s="17">
        <f t="array" ref="N249">INDEX('MATCH INFO'!O:O, INT((ROW()-2)/10)+2 + 157)</f>
        <v/>
      </c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>
        <f>L250*86400</f>
        <v/>
      </c>
      <c r="N250" s="17">
        <f t="array" ref="N250">INDEX('MATCH INFO'!O:O, INT((ROW()-2)/10)+2 + 157)</f>
        <v/>
      </c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>
        <f>L251*86400</f>
        <v/>
      </c>
      <c r="N251" s="17">
        <f t="array" ref="N251">INDEX('MATCH INFO'!O:O, INT((ROW()-2)/10)+2 + 157)</f>
        <v/>
      </c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>
        <f>L252*86400</f>
        <v/>
      </c>
      <c r="N252" s="17">
        <f t="array" ref="N252">INDEX('MATCH INFO'!O:O, INT((ROW()-2)/10)+2 + 157)</f>
        <v/>
      </c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>
        <f>L253*86400</f>
        <v/>
      </c>
      <c r="N253" s="17">
        <f t="array" ref="N253">INDEX('MATCH INFO'!O:O, INT((ROW()-2)/10)+2 + 157)</f>
        <v/>
      </c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>
        <f>L254*86400</f>
        <v/>
      </c>
      <c r="N254" s="17">
        <f t="array" ref="N254">INDEX('MATCH INFO'!O:O, INT((ROW()-2)/10)+2 + 157)</f>
        <v/>
      </c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>
        <f>L255*86400</f>
        <v/>
      </c>
      <c r="N255" s="17">
        <f t="array" ref="N255">INDEX('MATCH INFO'!O:O, INT((ROW()-2)/10)+2 + 157)</f>
        <v/>
      </c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>
        <f>L256*86400</f>
        <v/>
      </c>
      <c r="N256" s="17">
        <f t="array" ref="N256">INDEX('MATCH INFO'!O:O, INT((ROW()-2)/10)+2 + 157)</f>
        <v/>
      </c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>
        <f>L257*86400</f>
        <v/>
      </c>
      <c r="N257" s="17">
        <f t="array" ref="N257">INDEX('MATCH INFO'!O:O, INT((ROW()-2)/10)+2 + 157)</f>
        <v/>
      </c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>
        <f>L258*86400</f>
        <v/>
      </c>
      <c r="N258" s="17">
        <f t="array" ref="N258">INDEX('MATCH INFO'!O:O, INT((ROW()-2)/10)+2 + 157)</f>
        <v/>
      </c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>
        <f>L259*86400</f>
        <v/>
      </c>
      <c r="N259" s="17">
        <f t="array" ref="N259">INDEX('MATCH INFO'!O:O, INT((ROW()-2)/10)+2 + 157)</f>
        <v/>
      </c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>
        <f>L260*86400</f>
        <v/>
      </c>
      <c r="N260" s="17">
        <f t="array" ref="N260">INDEX('MATCH INFO'!O:O, INT((ROW()-2)/10)+2 + 157)</f>
        <v/>
      </c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>
        <f>L261*86400</f>
        <v/>
      </c>
      <c r="N261" s="17">
        <f t="array" ref="N261">INDEX('MATCH INFO'!O:O, INT((ROW()-2)/10)+2 + 157)</f>
        <v/>
      </c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>
        <f>L262*86400</f>
        <v/>
      </c>
      <c r="N262" s="17">
        <f t="array" ref="N262">INDEX('MATCH INFO'!O:O, INT((ROW()-2)/10)+2 + 157)</f>
        <v/>
      </c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>
        <f>L263*86400</f>
        <v/>
      </c>
      <c r="N263" s="17">
        <f t="array" ref="N263">INDEX('MATCH INFO'!O:O, INT((ROW()-2)/10)+2 + 157)</f>
        <v/>
      </c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>
        <f>L264*86400</f>
        <v/>
      </c>
      <c r="N264" s="17">
        <f t="array" ref="N264">INDEX('MATCH INFO'!O:O, INT((ROW()-2)/10)+2 + 157)</f>
        <v/>
      </c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>
        <f>L265*86400</f>
        <v/>
      </c>
      <c r="N265" s="17">
        <f t="array" ref="N265">INDEX('MATCH INFO'!O:O, INT((ROW()-2)/10)+2 + 157)</f>
        <v/>
      </c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>
        <f>L266*86400</f>
        <v/>
      </c>
      <c r="N266" s="17">
        <f t="array" ref="N266">INDEX('MATCH INFO'!O:O, INT((ROW()-2)/10)+2 + 157)</f>
        <v/>
      </c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>
        <f>L267*86400</f>
        <v/>
      </c>
      <c r="N267" s="17">
        <f t="array" ref="N267">INDEX('MATCH INFO'!O:O, INT((ROW()-2)/10)+2 + 157)</f>
        <v/>
      </c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>
        <f>L268*86400</f>
        <v/>
      </c>
      <c r="N268" s="17">
        <f t="array" ref="N268">INDEX('MATCH INFO'!O:O, INT((ROW()-2)/10)+2 + 157)</f>
        <v/>
      </c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>
        <f>L269*86400</f>
        <v/>
      </c>
      <c r="N269" s="17">
        <f t="array" ref="N269">INDEX('MATCH INFO'!O:O, INT((ROW()-2)/10)+2 + 157)</f>
        <v/>
      </c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>
        <f>L270*86400</f>
        <v/>
      </c>
      <c r="N270" s="17">
        <f t="array" ref="N270">INDEX('MATCH INFO'!O:O, INT((ROW()-2)/10)+2 + 157)</f>
        <v/>
      </c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>
        <f>L271*86400</f>
        <v/>
      </c>
      <c r="N271" s="17">
        <f t="array" ref="N271">INDEX('MATCH INFO'!O:O, INT((ROW()-2)/10)+2 + 157)</f>
        <v/>
      </c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>
        <f>L272*86400</f>
        <v/>
      </c>
      <c r="N272" s="17">
        <f t="array" ref="N272">INDEX('MATCH INFO'!O:O, INT((ROW()-2)/10)+2 + 157)</f>
        <v/>
      </c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>
        <f>L273*86400</f>
        <v/>
      </c>
      <c r="N273" s="17">
        <f t="array" ref="N273">INDEX('MATCH INFO'!O:O, INT((ROW()-2)/10)+2 + 157)</f>
        <v/>
      </c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>
        <f>L274*86400</f>
        <v/>
      </c>
      <c r="N274" s="17">
        <f t="array" ref="N274">INDEX('MATCH INFO'!O:O, INT((ROW()-2)/10)+2 + 157)</f>
        <v/>
      </c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>
        <f>L275*86400</f>
        <v/>
      </c>
      <c r="N275" s="17">
        <f t="array" ref="N275">INDEX('MATCH INFO'!O:O, INT((ROW()-2)/10)+2 + 157)</f>
        <v/>
      </c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>
        <f>L276*86400</f>
        <v/>
      </c>
      <c r="N276" s="17">
        <f t="array" ref="N276">INDEX('MATCH INFO'!O:O, INT((ROW()-2)/10)+2 + 157)</f>
        <v/>
      </c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>
        <f>L277*86400</f>
        <v/>
      </c>
      <c r="N277" s="17">
        <f t="array" ref="N277">INDEX('MATCH INFO'!O:O, INT((ROW()-2)/10)+2 + 157)</f>
        <v/>
      </c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>
        <f>L278*86400</f>
        <v/>
      </c>
      <c r="N278" s="17">
        <f t="array" ref="N278">INDEX('MATCH INFO'!O:O, INT((ROW()-2)/10)+2 + 157)</f>
        <v/>
      </c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>
        <f>L279*86400</f>
        <v/>
      </c>
      <c r="N279" s="17">
        <f t="array" ref="N279">INDEX('MATCH INFO'!O:O, INT((ROW()-2)/10)+2 + 157)</f>
        <v/>
      </c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>
        <f>L280*86400</f>
        <v/>
      </c>
      <c r="N280" s="17">
        <f t="array" ref="N280">INDEX('MATCH INFO'!O:O, INT((ROW()-2)/10)+2 + 157)</f>
        <v/>
      </c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>
        <f>L281*86400</f>
        <v/>
      </c>
      <c r="N281" s="17">
        <f t="array" ref="N281">INDEX('MATCH INFO'!O:O, INT((ROW()-2)/10)+2 + 157)</f>
        <v/>
      </c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>
        <f>L282*86400</f>
        <v/>
      </c>
      <c r="N282" s="17">
        <f t="array" ref="N282">INDEX('MATCH INFO'!O:O, INT((ROW()-2)/10)+2 + 157)</f>
        <v/>
      </c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>
        <f>L283*86400</f>
        <v/>
      </c>
      <c r="N283" s="17">
        <f t="array" ref="N283">INDEX('MATCH INFO'!O:O, INT((ROW()-2)/10)+2 + 157)</f>
        <v/>
      </c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>
        <f>L284*86400</f>
        <v/>
      </c>
      <c r="N284" s="17">
        <f t="array" ref="N284">INDEX('MATCH INFO'!O:O, INT((ROW()-2)/10)+2 + 157)</f>
        <v/>
      </c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>
        <f>L285*86400</f>
        <v/>
      </c>
      <c r="N285" s="17">
        <f t="array" ref="N285">INDEX('MATCH INFO'!O:O, INT((ROW()-2)/10)+2 + 157)</f>
        <v/>
      </c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>
        <f>L286*86400</f>
        <v/>
      </c>
      <c r="N286" s="17">
        <f t="array" ref="N286">INDEX('MATCH INFO'!O:O, INT((ROW()-2)/10)+2 + 157)</f>
        <v/>
      </c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>
        <f>L287*86400</f>
        <v/>
      </c>
      <c r="N287" s="17">
        <f t="array" ref="N287">INDEX('MATCH INFO'!O:O, INT((ROW()-2)/10)+2 + 157)</f>
        <v/>
      </c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>
        <f>L288*86400</f>
        <v/>
      </c>
      <c r="N288" s="17">
        <f t="array" ref="N288">INDEX('MATCH INFO'!O:O, INT((ROW()-2)/10)+2 + 157)</f>
        <v/>
      </c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>
        <f>L289*86400</f>
        <v/>
      </c>
      <c r="N289" s="17">
        <f t="array" ref="N289">INDEX('MATCH INFO'!O:O, INT((ROW()-2)/10)+2 + 157)</f>
        <v/>
      </c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>
        <f>L290*86400</f>
        <v/>
      </c>
      <c r="N290" s="17">
        <f t="array" ref="N290">INDEX('MATCH INFO'!O:O, INT((ROW()-2)/10)+2 + 157)</f>
        <v/>
      </c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>
        <f>L291*86400</f>
        <v/>
      </c>
      <c r="N291" s="17">
        <f t="array" ref="N291">INDEX('MATCH INFO'!O:O, INT((ROW()-2)/10)+2 + 157)</f>
        <v/>
      </c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>
        <f>L292*86400</f>
        <v/>
      </c>
      <c r="N292" s="17">
        <f t="array" ref="N292">INDEX('MATCH INFO'!O:O, INT((ROW()-2)/10)+2 + 157)</f>
        <v/>
      </c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>
        <f>L293*86400</f>
        <v/>
      </c>
      <c r="N293" s="17">
        <f t="array" ref="N293">INDEX('MATCH INFO'!O:O, INT((ROW()-2)/10)+2 + 157)</f>
        <v/>
      </c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>
        <f>L294*86400</f>
        <v/>
      </c>
      <c r="N294" s="17">
        <f t="array" ref="N294">INDEX('MATCH INFO'!O:O, INT((ROW()-2)/10)+2 + 157)</f>
        <v/>
      </c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>
        <f>L295*86400</f>
        <v/>
      </c>
      <c r="N295" s="17">
        <f t="array" ref="N295">INDEX('MATCH INFO'!O:O, INT((ROW()-2)/10)+2 + 157)</f>
        <v/>
      </c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>
        <f>L296*86400</f>
        <v/>
      </c>
      <c r="N296" s="17">
        <f t="array" ref="N296">INDEX('MATCH INFO'!O:O, INT((ROW()-2)/10)+2 + 157)</f>
        <v/>
      </c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>
        <f>L297*86400</f>
        <v/>
      </c>
      <c r="N297" s="17">
        <f t="array" ref="N297">INDEX('MATCH INFO'!O:O, INT((ROW()-2)/10)+2 + 157)</f>
        <v/>
      </c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>
        <f>L298*86400</f>
        <v/>
      </c>
      <c r="N298" s="17">
        <f t="array" ref="N298">INDEX('MATCH INFO'!O:O, INT((ROW()-2)/10)+2 + 157)</f>
        <v/>
      </c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>
        <f>L299*86400</f>
        <v/>
      </c>
      <c r="N299" s="17">
        <f t="array" ref="N299">INDEX('MATCH INFO'!O:O, INT((ROW()-2)/10)+2 + 157)</f>
        <v/>
      </c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>
        <f>L300*86400</f>
        <v/>
      </c>
      <c r="N300" s="17">
        <f t="array" ref="N300">INDEX('MATCH INFO'!O:O, INT((ROW()-2)/10)+2 + 157)</f>
        <v/>
      </c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>
        <f>L301*86400</f>
        <v/>
      </c>
      <c r="N301" s="17">
        <f t="array" ref="N301">INDEX('MATCH INFO'!O:O, INT((ROW()-2)/10)+2 + 157)</f>
        <v/>
      </c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>
        <f>L302*86400</f>
        <v/>
      </c>
      <c r="N302" s="17">
        <f t="array" ref="N302">INDEX('MATCH INFO'!O:O, INT((ROW()-2)/10)+2 + 157)</f>
        <v/>
      </c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>
        <f>L303*86400</f>
        <v/>
      </c>
      <c r="N303" s="17">
        <f t="array" ref="N303">INDEX('MATCH INFO'!O:O, INT((ROW()-2)/10)+2 + 157)</f>
        <v/>
      </c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>
        <f>L304*86400</f>
        <v/>
      </c>
      <c r="N304" s="17">
        <f t="array" ref="N304">INDEX('MATCH INFO'!O:O, INT((ROW()-2)/10)+2 + 157)</f>
        <v/>
      </c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>
        <f>L305*86400</f>
        <v/>
      </c>
      <c r="N305" s="17">
        <f t="array" ref="N305">INDEX('MATCH INFO'!O:O, INT((ROW()-2)/10)+2 + 157)</f>
        <v/>
      </c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>
        <f>L306*86400</f>
        <v/>
      </c>
      <c r="N306" s="17">
        <f t="array" ref="N306">INDEX('MATCH INFO'!O:O, INT((ROW()-2)/10)+2 + 157)</f>
        <v/>
      </c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>
        <f>L307*86400</f>
        <v/>
      </c>
      <c r="N307" s="17">
        <f t="array" ref="N307">INDEX('MATCH INFO'!O:O, INT((ROW()-2)/10)+2 + 157)</f>
        <v/>
      </c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>
        <f>L308*86400</f>
        <v/>
      </c>
      <c r="N308" s="17">
        <f t="array" ref="N308">INDEX('MATCH INFO'!O:O, INT((ROW()-2)/10)+2 + 157)</f>
        <v/>
      </c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>
        <f>L309*86400</f>
        <v/>
      </c>
      <c r="N309" s="17">
        <f t="array" ref="N309">INDEX('MATCH INFO'!O:O, INT((ROW()-2)/10)+2 + 157)</f>
        <v/>
      </c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>
        <f>L310*86400</f>
        <v/>
      </c>
      <c r="N310" s="17">
        <f t="array" ref="N310">INDEX('MATCH INFO'!O:O, INT((ROW()-2)/10)+2 + 157)</f>
        <v/>
      </c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>
        <f>L311*86400</f>
        <v/>
      </c>
      <c r="N311" s="17">
        <f t="array" ref="N311">INDEX('MATCH INFO'!O:O, INT((ROW()-2)/10)+2 + 157)</f>
        <v/>
      </c>
    </row>
  </sheetData>
  <conditionalFormatting sqref="A2:N31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10" defaultRowHeight="18"/>
  <cols>
    <col width="14.7109375" customWidth="1" style="2" min="4" max="11"/>
  </cols>
  <sheetData>
    <row r="1">
      <c r="A1" s="7" t="inlineStr">
        <is>
          <t>TEAM</t>
        </is>
      </c>
      <c r="B1" s="7" t="inlineStr">
        <is>
          <t>PLAYER</t>
        </is>
      </c>
      <c r="C1" s="7" t="inlineStr">
        <is>
          <t>POSITION</t>
        </is>
      </c>
      <c r="D1" s="7" t="inlineStr">
        <is>
          <t>TOTAL ELIMS</t>
        </is>
      </c>
      <c r="E1" s="7" t="inlineStr">
        <is>
          <t>TOTAL DEATHS</t>
        </is>
      </c>
      <c r="F1" s="7" t="inlineStr">
        <is>
          <t>TOTAL ASSISTS</t>
        </is>
      </c>
      <c r="G1" s="7" t="inlineStr">
        <is>
          <t>TOTAL DAMAGE</t>
        </is>
      </c>
      <c r="H1" s="7" t="inlineStr">
        <is>
          <t>TOTAL HEAL</t>
        </is>
      </c>
      <c r="I1" s="7" t="inlineStr">
        <is>
          <t>TOTAL MITIGATED</t>
        </is>
      </c>
      <c r="J1" s="7" t="inlineStr">
        <is>
          <t>TOTAL E/D</t>
        </is>
      </c>
      <c r="K1" s="7" t="inlineStr">
        <is>
          <t>TOTAL PLAYTIME</t>
        </is>
      </c>
    </row>
    <row r="2">
      <c r="A2" s="8" t="inlineStr">
        <is>
          <t>CR</t>
        </is>
      </c>
      <c r="B2" s="8" t="inlineStr">
        <is>
          <t>JUNBIN</t>
        </is>
      </c>
      <c r="C2" s="8" t="inlineStr">
        <is>
          <t>TANK</t>
        </is>
      </c>
      <c r="D2" s="50">
        <f>SUMIF(MATCH_W1!$B:$B,$B2,MATCH_W1!$F:$F)+SUMIF(MATCH_W2!$B:$B,$B2,MATCH_W2!$F:$F)+SUMIF(MATCH_W3!$B:$B,$B2,MATCH_W3!$F:$F)+SUMIF(MATCH_W4!$B:$B,$B2,MATCH_W4!$F:$F)+SUMIF(MATCH_W5!$B:$B,$B2,MATCH_W5!$F:$F)+SUMIF(MATCH_W6!$B:$B,$B2,MATCH_W6!$F:$F)</f>
        <v/>
      </c>
      <c r="E2" s="50">
        <f>SUMIF(MATCH_W1!$B:$B,$B2,MATCH_W1!$G:$G)+SUMIF(MATCH_W2!$B:$B,$B2,MATCH_W2!$G:$G)+SUMIF(MATCH_W3!$B:$B,$B2,MATCH_W3!$G:$G)+SUMIF(MATCH_W4!$B:$B,$B2,MATCH_W4!$G:$G)+SUMIF(MATCH_W5!$B:$B,$B2,MATCH_W5!$G:$G)+SUMIF(MATCH_W6!$B:$B,$B2,MATCH_W6!$G:$G)</f>
        <v/>
      </c>
      <c r="F2" s="50">
        <f>SUMIF(MATCH_W1!$B:$B,$B2,MATCH_W1!$H:$H)+SUMIF(MATCH_W2!$B:$B,$B2,MATCH_W2!$H:$H)+SUMIF(MATCH_W3!$B:$B,$B2,MATCH_W3!$H:$H)+SUMIF(MATCH_W4!$B:$B,$B2,MATCH_W4!$H:$H)+SUMIF(MATCH_W5!$B:$B,$B2,MATCH_W5!$H:$H)+SUMIF(MATCH_W6!$B:$B,$B2,MATCH_W6!$H:$H)</f>
        <v/>
      </c>
      <c r="G2" s="50">
        <f>SUMIF(MATCH_W1!$B:$B,$B2,MATCH_W1!$I:$I)+SUMIF(MATCH_W2!$B:$B,$B2,MATCH_W2!$I:$I)+SUMIF(MATCH_W3!$B:$B,$B2,MATCH_W3!$I:$I)+SUMIF(MATCH_W4!$B:$B,$B2,MATCH_W4!$I:$I)+SUMIF(MATCH_W5!$B:$B,$B2,MATCH_W5!$I:$I)+SUMIF(MATCH_W6!$B:$B,$B2,MATCH_W6!$I:$I)</f>
        <v/>
      </c>
      <c r="H2" s="50">
        <f>SUMIF(MATCH_W1!$B:$B,$B2,MATCH_W1!$J:$J)+SUMIF(MATCH_W2!$B:$B,$B2,MATCH_W2!$J:$J)+SUMIF(MATCH_W3!$B:$B,$B2,MATCH_W3!$J:$J)+SUMIF(MATCH_W4!$B:$B,$B2,MATCH_W4!$J:$J)+SUMIF(MATCH_W5!$B:$B,$B2,MATCH_W5!$J:$J)+SUMIF(MATCH_W6!$B:$B,$B2,MATCH_W6!$J:$J)</f>
        <v/>
      </c>
      <c r="I2" s="50">
        <f>SUMIF(MATCH_W1!$B:$B,$B2,MATCH_W1!$K:$K)+SUMIF(MATCH_W2!$B:$B,$B2,MATCH_W2!$K:$K)+SUMIF(MATCH_W3!$B:$B,$B2,MATCH_W3!$K:$K)+SUMIF(MATCH_W4!$B:$B,$B2,MATCH_W4!$K:$K)+SUMIF(MATCH_W5!$B:$B,$B2,MATCH_W5!$K:$K)+SUMIF(MATCH_W6!$B:$B,$B2,MATCH_W6!$K:$K)</f>
        <v/>
      </c>
      <c r="J2" s="51">
        <f>IFERROR(D2/E2,0)</f>
        <v/>
      </c>
      <c r="K2" s="52">
        <f>SUMIF(MATCH_W1!$B:$B,$B2,MATCH_W1!$M:$M)+SUMIF(MATCH_W2!$B:$B,$B2,MATCH_W2!$M:$M)+SUMIF(MATCH_W3!$B:$B,$B2,MATCH_W3!$M:$M)+SUMIF(MATCH_W4!$B:$B,$B2,MATCH_W4!$M:$M)+SUMIF(MATCH_W5!$B:$B,$B2,MATCH_W5!$M:$M)+SUMIF(MATCH_W6!$B:$B,$B2,MATCH_W6!$M:$M)</f>
        <v/>
      </c>
    </row>
    <row r="3">
      <c r="A3" s="8" t="inlineStr">
        <is>
          <t>CR</t>
        </is>
      </c>
      <c r="B3" s="8" t="inlineStr">
        <is>
          <t>MAX</t>
        </is>
      </c>
      <c r="C3" s="8" t="inlineStr">
        <is>
          <t>TANK</t>
        </is>
      </c>
      <c r="D3" s="50">
        <f>SUMIF(MATCH_W1!$B:$B,$B3,MATCH_W1!$F:$F)+SUMIF(MATCH_W2!$B:$B,$B3,MATCH_W2!$F:$F)+SUMIF(MATCH_W3!$B:$B,$B3,MATCH_W3!$F:$F)+SUMIF(MATCH_W4!$B:$B,$B3,MATCH_W4!$F:$F)+SUMIF(MATCH_W5!$B:$B,$B3,MATCH_W5!$F:$F)+SUMIF(MATCH_W6!$B:$B,$B3,MATCH_W6!$F:$F)</f>
        <v/>
      </c>
      <c r="E3" s="50">
        <f>SUMIF(MATCH_W1!$B:$B,$B3,MATCH_W1!$G:$G)+SUMIF(MATCH_W2!$B:$B,$B3,MATCH_W2!$G:$G)+SUMIF(MATCH_W3!$B:$B,$B3,MATCH_W3!$G:$G)+SUMIF(MATCH_W4!$B:$B,$B3,MATCH_W4!$G:$G)+SUMIF(MATCH_W5!$B:$B,$B3,MATCH_W5!$G:$G)+SUMIF(MATCH_W6!$B:$B,$B3,MATCH_W6!$G:$G)</f>
        <v/>
      </c>
      <c r="F3" s="50">
        <f>SUMIF(MATCH_W1!$B:$B,$B3,MATCH_W1!$H:$H)+SUMIF(MATCH_W2!$B:$B,$B3,MATCH_W2!$H:$H)+SUMIF(MATCH_W3!$B:$B,$B3,MATCH_W3!$H:$H)+SUMIF(MATCH_W4!$B:$B,$B3,MATCH_W4!$H:$H)+SUMIF(MATCH_W5!$B:$B,$B3,MATCH_W5!$H:$H)+SUMIF(MATCH_W6!$B:$B,$B3,MATCH_W6!$H:$H)</f>
        <v/>
      </c>
      <c r="G3" s="50">
        <f>SUMIF(MATCH_W1!$B:$B,$B3,MATCH_W1!$I:$I)+SUMIF(MATCH_W2!$B:$B,$B3,MATCH_W2!$I:$I)+SUMIF(MATCH_W3!$B:$B,$B3,MATCH_W3!$I:$I)+SUMIF(MATCH_W4!$B:$B,$B3,MATCH_W4!$I:$I)+SUMIF(MATCH_W5!$B:$B,$B3,MATCH_W5!$I:$I)+SUMIF(MATCH_W6!$B:$B,$B3,MATCH_W6!$I:$I)</f>
        <v/>
      </c>
      <c r="H3" s="50">
        <f>SUMIF(MATCH_W1!$B:$B,$B3,MATCH_W1!$J:$J)+SUMIF(MATCH_W2!$B:$B,$B3,MATCH_W2!$J:$J)+SUMIF(MATCH_W3!$B:$B,$B3,MATCH_W3!$J:$J)+SUMIF(MATCH_W4!$B:$B,$B3,MATCH_W4!$J:$J)+SUMIF(MATCH_W5!$B:$B,$B3,MATCH_W5!$J:$J)+SUMIF(MATCH_W6!$B:$B,$B3,MATCH_W6!$J:$J)</f>
        <v/>
      </c>
      <c r="I3" s="50">
        <f>SUMIF(MATCH_W1!$B:$B,$B3,MATCH_W1!$K:$K)+SUMIF(MATCH_W2!$B:$B,$B3,MATCH_W2!$K:$K)+SUMIF(MATCH_W3!$B:$B,$B3,MATCH_W3!$K:$K)+SUMIF(MATCH_W4!$B:$B,$B3,MATCH_W4!$K:$K)+SUMIF(MATCH_W5!$B:$B,$B3,MATCH_W5!$K:$K)+SUMIF(MATCH_W6!$B:$B,$B3,MATCH_W6!$K:$K)</f>
        <v/>
      </c>
      <c r="J3" s="51">
        <f>IFERROR(D3/E3,0)</f>
        <v/>
      </c>
      <c r="K3" s="52">
        <f>SUMIF(MATCH_W1!$B:$B,$B3,MATCH_W1!$M:$M)+SUMIF(MATCH_W2!$B:$B,$B3,MATCH_W2!$M:$M)+SUMIF(MATCH_W3!$B:$B,$B3,MATCH_W3!$M:$M)+SUMIF(MATCH_W4!$B:$B,$B3,MATCH_W4!$M:$M)+SUMIF(MATCH_W5!$B:$B,$B3,MATCH_W5!$M:$M)+SUMIF(MATCH_W6!$B:$B,$B3,MATCH_W6!$M:$M)</f>
        <v/>
      </c>
    </row>
    <row r="4">
      <c r="A4" s="8" t="inlineStr">
        <is>
          <t>CR</t>
        </is>
      </c>
      <c r="B4" s="8" t="inlineStr">
        <is>
          <t>HEESANG</t>
        </is>
      </c>
      <c r="C4" s="8" t="inlineStr">
        <is>
          <t>DPS</t>
        </is>
      </c>
      <c r="D4" s="50">
        <f>SUMIF(MATCH_W1!$B:$B,$B4,MATCH_W1!$F:$F)+SUMIF(MATCH_W2!$B:$B,$B4,MATCH_W2!$F:$F)+SUMIF(MATCH_W3!$B:$B,$B4,MATCH_W3!$F:$F)+SUMIF(MATCH_W4!$B:$B,$B4,MATCH_W4!$F:$F)+SUMIF(MATCH_W5!$B:$B,$B4,MATCH_W5!$F:$F)+SUMIF(MATCH_W6!$B:$B,$B4,MATCH_W6!$F:$F)</f>
        <v/>
      </c>
      <c r="E4" s="50">
        <f>SUMIF(MATCH_W1!$B:$B,$B4,MATCH_W1!$G:$G)+SUMIF(MATCH_W2!$B:$B,$B4,MATCH_W2!$G:$G)+SUMIF(MATCH_W3!$B:$B,$B4,MATCH_W3!$G:$G)+SUMIF(MATCH_W4!$B:$B,$B4,MATCH_W4!$G:$G)+SUMIF(MATCH_W5!$B:$B,$B4,MATCH_W5!$G:$G)+SUMIF(MATCH_W6!$B:$B,$B4,MATCH_W6!$G:$G)</f>
        <v/>
      </c>
      <c r="F4" s="50">
        <f>SUMIF(MATCH_W1!$B:$B,$B4,MATCH_W1!$H:$H)+SUMIF(MATCH_W2!$B:$B,$B4,MATCH_W2!$H:$H)+SUMIF(MATCH_W3!$B:$B,$B4,MATCH_W3!$H:$H)+SUMIF(MATCH_W4!$B:$B,$B4,MATCH_W4!$H:$H)+SUMIF(MATCH_W5!$B:$B,$B4,MATCH_W5!$H:$H)+SUMIF(MATCH_W6!$B:$B,$B4,MATCH_W6!$H:$H)</f>
        <v/>
      </c>
      <c r="G4" s="50">
        <f>SUMIF(MATCH_W1!$B:$B,$B4,MATCH_W1!$I:$I)+SUMIF(MATCH_W2!$B:$B,$B4,MATCH_W2!$I:$I)+SUMIF(MATCH_W3!$B:$B,$B4,MATCH_W3!$I:$I)+SUMIF(MATCH_W4!$B:$B,$B4,MATCH_W4!$I:$I)+SUMIF(MATCH_W5!$B:$B,$B4,MATCH_W5!$I:$I)+SUMIF(MATCH_W6!$B:$B,$B4,MATCH_W6!$I:$I)</f>
        <v/>
      </c>
      <c r="H4" s="50">
        <f>SUMIF(MATCH_W1!$B:$B,$B4,MATCH_W1!$J:$J)+SUMIF(MATCH_W2!$B:$B,$B4,MATCH_W2!$J:$J)+SUMIF(MATCH_W3!$B:$B,$B4,MATCH_W3!$J:$J)+SUMIF(MATCH_W4!$B:$B,$B4,MATCH_W4!$J:$J)+SUMIF(MATCH_W5!$B:$B,$B4,MATCH_W5!$J:$J)+SUMIF(MATCH_W6!$B:$B,$B4,MATCH_W6!$J:$J)</f>
        <v/>
      </c>
      <c r="I4" s="50">
        <f>SUMIF(MATCH_W1!$B:$B,$B4,MATCH_W1!$K:$K)+SUMIF(MATCH_W2!$B:$B,$B4,MATCH_W2!$K:$K)+SUMIF(MATCH_W3!$B:$B,$B4,MATCH_W3!$K:$K)+SUMIF(MATCH_W4!$B:$B,$B4,MATCH_W4!$K:$K)+SUMIF(MATCH_W5!$B:$B,$B4,MATCH_W5!$K:$K)+SUMIF(MATCH_W6!$B:$B,$B4,MATCH_W6!$K:$K)</f>
        <v/>
      </c>
      <c r="J4" s="51">
        <f>IFERROR(D4/E4,0)</f>
        <v/>
      </c>
      <c r="K4" s="52">
        <f>SUMIF(MATCH_W1!$B:$B,$B4,MATCH_W1!$M:$M)+SUMIF(MATCH_W2!$B:$B,$B4,MATCH_W2!$M:$M)+SUMIF(MATCH_W3!$B:$B,$B4,MATCH_W3!$M:$M)+SUMIF(MATCH_W4!$B:$B,$B4,MATCH_W4!$M:$M)+SUMIF(MATCH_W5!$B:$B,$B4,MATCH_W5!$M:$M)+SUMIF(MATCH_W6!$B:$B,$B4,MATCH_W6!$M:$M)</f>
        <v/>
      </c>
    </row>
    <row r="5">
      <c r="A5" s="8" t="inlineStr">
        <is>
          <t>CR</t>
        </is>
      </c>
      <c r="B5" s="8" t="inlineStr">
        <is>
          <t>LIP</t>
        </is>
      </c>
      <c r="C5" s="8" t="inlineStr">
        <is>
          <t>DPS</t>
        </is>
      </c>
      <c r="D5" s="50">
        <f>SUMIF(MATCH_W1!$B:$B,$B5,MATCH_W1!$F:$F)+SUMIF(MATCH_W2!$B:$B,$B5,MATCH_W2!$F:$F)+SUMIF(MATCH_W3!$B:$B,$B5,MATCH_W3!$F:$F)+SUMIF(MATCH_W4!$B:$B,$B5,MATCH_W4!$F:$F)+SUMIF(MATCH_W5!$B:$B,$B5,MATCH_W5!$F:$F)+SUMIF(MATCH_W6!$B:$B,$B5,MATCH_W6!$F:$F)</f>
        <v/>
      </c>
      <c r="E5" s="50">
        <f>SUMIF(MATCH_W1!$B:$B,$B5,MATCH_W1!$G:$G)+SUMIF(MATCH_W2!$B:$B,$B5,MATCH_W2!$G:$G)+SUMIF(MATCH_W3!$B:$B,$B5,MATCH_W3!$G:$G)+SUMIF(MATCH_W4!$B:$B,$B5,MATCH_W4!$G:$G)+SUMIF(MATCH_W5!$B:$B,$B5,MATCH_W5!$G:$G)+SUMIF(MATCH_W6!$B:$B,$B5,MATCH_W6!$G:$G)</f>
        <v/>
      </c>
      <c r="F5" s="50">
        <f>SUMIF(MATCH_W1!$B:$B,$B5,MATCH_W1!$H:$H)+SUMIF(MATCH_W2!$B:$B,$B5,MATCH_W2!$H:$H)+SUMIF(MATCH_W3!$B:$B,$B5,MATCH_W3!$H:$H)+SUMIF(MATCH_W4!$B:$B,$B5,MATCH_W4!$H:$H)+SUMIF(MATCH_W5!$B:$B,$B5,MATCH_W5!$H:$H)+SUMIF(MATCH_W6!$B:$B,$B5,MATCH_W6!$H:$H)</f>
        <v/>
      </c>
      <c r="G5" s="50">
        <f>SUMIF(MATCH_W1!$B:$B,$B5,MATCH_W1!$I:$I)+SUMIF(MATCH_W2!$B:$B,$B5,MATCH_W2!$I:$I)+SUMIF(MATCH_W3!$B:$B,$B5,MATCH_W3!$I:$I)+SUMIF(MATCH_W4!$B:$B,$B5,MATCH_W4!$I:$I)+SUMIF(MATCH_W5!$B:$B,$B5,MATCH_W5!$I:$I)+SUMIF(MATCH_W6!$B:$B,$B5,MATCH_W6!$I:$I)</f>
        <v/>
      </c>
      <c r="H5" s="50">
        <f>SUMIF(MATCH_W1!$B:$B,$B5,MATCH_W1!$J:$J)+SUMIF(MATCH_W2!$B:$B,$B5,MATCH_W2!$J:$J)+SUMIF(MATCH_W3!$B:$B,$B5,MATCH_W3!$J:$J)+SUMIF(MATCH_W4!$B:$B,$B5,MATCH_W4!$J:$J)+SUMIF(MATCH_W5!$B:$B,$B5,MATCH_W5!$J:$J)+SUMIF(MATCH_W6!$B:$B,$B5,MATCH_W6!$J:$J)</f>
        <v/>
      </c>
      <c r="I5" s="50">
        <f>SUMIF(MATCH_W1!$B:$B,$B5,MATCH_W1!$K:$K)+SUMIF(MATCH_W2!$B:$B,$B5,MATCH_W2!$K:$K)+SUMIF(MATCH_W3!$B:$B,$B5,MATCH_W3!$K:$K)+SUMIF(MATCH_W4!$B:$B,$B5,MATCH_W4!$K:$K)+SUMIF(MATCH_W5!$B:$B,$B5,MATCH_W5!$K:$K)+SUMIF(MATCH_W6!$B:$B,$B5,MATCH_W6!$K:$K)</f>
        <v/>
      </c>
      <c r="J5" s="51">
        <f>IFERROR(D5/E5,0)</f>
        <v/>
      </c>
      <c r="K5" s="52">
        <f>SUMIF(MATCH_W1!$B:$B,$B5,MATCH_W1!$M:$M)+SUMIF(MATCH_W2!$B:$B,$B5,MATCH_W2!$M:$M)+SUMIF(MATCH_W3!$B:$B,$B5,MATCH_W3!$M:$M)+SUMIF(MATCH_W4!$B:$B,$B5,MATCH_W4!$M:$M)+SUMIF(MATCH_W5!$B:$B,$B5,MATCH_W5!$M:$M)+SUMIF(MATCH_W6!$B:$B,$B5,MATCH_W6!$M:$M)</f>
        <v/>
      </c>
    </row>
    <row r="6">
      <c r="A6" s="8" t="inlineStr">
        <is>
          <t>CR</t>
        </is>
      </c>
      <c r="B6" s="8" t="inlineStr">
        <is>
          <t>STALK3R</t>
        </is>
      </c>
      <c r="C6" s="8" t="inlineStr">
        <is>
          <t>DPS</t>
        </is>
      </c>
      <c r="D6" s="50">
        <f>SUMIF(MATCH_W1!$B:$B,$B6,MATCH_W1!$F:$F)+SUMIF(MATCH_W2!$B:$B,$B6,MATCH_W2!$F:$F)+SUMIF(MATCH_W3!$B:$B,$B6,MATCH_W3!$F:$F)+SUMIF(MATCH_W4!$B:$B,$B6,MATCH_W4!$F:$F)+SUMIF(MATCH_W5!$B:$B,$B6,MATCH_W5!$F:$F)+SUMIF(MATCH_W6!$B:$B,$B6,MATCH_W6!$F:$F)</f>
        <v/>
      </c>
      <c r="E6" s="50">
        <f>SUMIF(MATCH_W1!$B:$B,$B6,MATCH_W1!$G:$G)+SUMIF(MATCH_W2!$B:$B,$B6,MATCH_W2!$G:$G)+SUMIF(MATCH_W3!$B:$B,$B6,MATCH_W3!$G:$G)+SUMIF(MATCH_W4!$B:$B,$B6,MATCH_W4!$G:$G)+SUMIF(MATCH_W5!$B:$B,$B6,MATCH_W5!$G:$G)+SUMIF(MATCH_W6!$B:$B,$B6,MATCH_W6!$G:$G)</f>
        <v/>
      </c>
      <c r="F6" s="50">
        <f>SUMIF(MATCH_W1!$B:$B,$B6,MATCH_W1!$H:$H)+SUMIF(MATCH_W2!$B:$B,$B6,MATCH_W2!$H:$H)+SUMIF(MATCH_W3!$B:$B,$B6,MATCH_W3!$H:$H)+SUMIF(MATCH_W4!$B:$B,$B6,MATCH_W4!$H:$H)+SUMIF(MATCH_W5!$B:$B,$B6,MATCH_W5!$H:$H)+SUMIF(MATCH_W6!$B:$B,$B6,MATCH_W6!$H:$H)</f>
        <v/>
      </c>
      <c r="G6" s="50">
        <f>SUMIF(MATCH_W1!$B:$B,$B6,MATCH_W1!$I:$I)+SUMIF(MATCH_W2!$B:$B,$B6,MATCH_W2!$I:$I)+SUMIF(MATCH_W3!$B:$B,$B6,MATCH_W3!$I:$I)+SUMIF(MATCH_W4!$B:$B,$B6,MATCH_W4!$I:$I)+SUMIF(MATCH_W5!$B:$B,$B6,MATCH_W5!$I:$I)+SUMIF(MATCH_W6!$B:$B,$B6,MATCH_W6!$I:$I)</f>
        <v/>
      </c>
      <c r="H6" s="50">
        <f>SUMIF(MATCH_W1!$B:$B,$B6,MATCH_W1!$J:$J)+SUMIF(MATCH_W2!$B:$B,$B6,MATCH_W2!$J:$J)+SUMIF(MATCH_W3!$B:$B,$B6,MATCH_W3!$J:$J)+SUMIF(MATCH_W4!$B:$B,$B6,MATCH_W4!$J:$J)+SUMIF(MATCH_W5!$B:$B,$B6,MATCH_W5!$J:$J)+SUMIF(MATCH_W6!$B:$B,$B6,MATCH_W6!$J:$J)</f>
        <v/>
      </c>
      <c r="I6" s="50">
        <f>SUMIF(MATCH_W1!$B:$B,$B6,MATCH_W1!$K:$K)+SUMIF(MATCH_W2!$B:$B,$B6,MATCH_W2!$K:$K)+SUMIF(MATCH_W3!$B:$B,$B6,MATCH_W3!$K:$K)+SUMIF(MATCH_W4!$B:$B,$B6,MATCH_W4!$K:$K)+SUMIF(MATCH_W5!$B:$B,$B6,MATCH_W5!$K:$K)+SUMIF(MATCH_W6!$B:$B,$B6,MATCH_W6!$K:$K)</f>
        <v/>
      </c>
      <c r="J6" s="51">
        <f>IFERROR(D6/E6,0)</f>
        <v/>
      </c>
      <c r="K6" s="52">
        <f>SUMIF(MATCH_W1!$B:$B,$B6,MATCH_W1!$M:$M)+SUMIF(MATCH_W2!$B:$B,$B6,MATCH_W2!$M:$M)+SUMIF(MATCH_W3!$B:$B,$B6,MATCH_W3!$M:$M)+SUMIF(MATCH_W4!$B:$B,$B6,MATCH_W4!$M:$M)+SUMIF(MATCH_W5!$B:$B,$B6,MATCH_W5!$M:$M)+SUMIF(MATCH_W6!$B:$B,$B6,MATCH_W6!$M:$M)</f>
        <v/>
      </c>
    </row>
    <row r="7">
      <c r="A7" s="8" t="inlineStr">
        <is>
          <t>CR</t>
        </is>
      </c>
      <c r="B7" s="8" t="inlineStr">
        <is>
          <t>CH0R0NG</t>
        </is>
      </c>
      <c r="C7" s="8" t="inlineStr">
        <is>
          <t>SPT</t>
        </is>
      </c>
      <c r="D7" s="50">
        <f>SUMIF(MATCH_W1!$B:$B,$B7,MATCH_W1!$F:$F)+SUMIF(MATCH_W2!$B:$B,$B7,MATCH_W2!$F:$F)+SUMIF(MATCH_W3!$B:$B,$B7,MATCH_W3!$F:$F)+SUMIF(MATCH_W4!$B:$B,$B7,MATCH_W4!$F:$F)+SUMIF(MATCH_W5!$B:$B,$B7,MATCH_W5!$F:$F)+SUMIF(MATCH_W6!$B:$B,$B7,MATCH_W6!$F:$F)</f>
        <v/>
      </c>
      <c r="E7" s="50">
        <f>SUMIF(MATCH_W1!$B:$B,$B7,MATCH_W1!$G:$G)+SUMIF(MATCH_W2!$B:$B,$B7,MATCH_W2!$G:$G)+SUMIF(MATCH_W3!$B:$B,$B7,MATCH_W3!$G:$G)+SUMIF(MATCH_W4!$B:$B,$B7,MATCH_W4!$G:$G)+SUMIF(MATCH_W5!$B:$B,$B7,MATCH_W5!$G:$G)+SUMIF(MATCH_W6!$B:$B,$B7,MATCH_W6!$G:$G)</f>
        <v/>
      </c>
      <c r="F7" s="50">
        <f>SUMIF(MATCH_W1!$B:$B,$B7,MATCH_W1!$H:$H)+SUMIF(MATCH_W2!$B:$B,$B7,MATCH_W2!$H:$H)+SUMIF(MATCH_W3!$B:$B,$B7,MATCH_W3!$H:$H)+SUMIF(MATCH_W4!$B:$B,$B7,MATCH_W4!$H:$H)+SUMIF(MATCH_W5!$B:$B,$B7,MATCH_W5!$H:$H)+SUMIF(MATCH_W6!$B:$B,$B7,MATCH_W6!$H:$H)</f>
        <v/>
      </c>
      <c r="G7" s="50">
        <f>SUMIF(MATCH_W1!$B:$B,$B7,MATCH_W1!$I:$I)+SUMIF(MATCH_W2!$B:$B,$B7,MATCH_W2!$I:$I)+SUMIF(MATCH_W3!$B:$B,$B7,MATCH_W3!$I:$I)+SUMIF(MATCH_W4!$B:$B,$B7,MATCH_W4!$I:$I)+SUMIF(MATCH_W5!$B:$B,$B7,MATCH_W5!$I:$I)+SUMIF(MATCH_W6!$B:$B,$B7,MATCH_W6!$I:$I)</f>
        <v/>
      </c>
      <c r="H7" s="50">
        <f>SUMIF(MATCH_W1!$B:$B,$B7,MATCH_W1!$J:$J)+SUMIF(MATCH_W2!$B:$B,$B7,MATCH_W2!$J:$J)+SUMIF(MATCH_W3!$B:$B,$B7,MATCH_W3!$J:$J)+SUMIF(MATCH_W4!$B:$B,$B7,MATCH_W4!$J:$J)+SUMIF(MATCH_W5!$B:$B,$B7,MATCH_W5!$J:$J)+SUMIF(MATCH_W6!$B:$B,$B7,MATCH_W6!$J:$J)</f>
        <v/>
      </c>
      <c r="I7" s="50">
        <f>SUMIF(MATCH_W1!$B:$B,$B7,MATCH_W1!$K:$K)+SUMIF(MATCH_W2!$B:$B,$B7,MATCH_W2!$K:$K)+SUMIF(MATCH_W3!$B:$B,$B7,MATCH_W3!$K:$K)+SUMIF(MATCH_W4!$B:$B,$B7,MATCH_W4!$K:$K)+SUMIF(MATCH_W5!$B:$B,$B7,MATCH_W5!$K:$K)+SUMIF(MATCH_W6!$B:$B,$B7,MATCH_W6!$K:$K)</f>
        <v/>
      </c>
      <c r="J7" s="51">
        <f>IFERROR(D7/E7,0)</f>
        <v/>
      </c>
      <c r="K7" s="52">
        <f>SUMIF(MATCH_W1!$B:$B,$B7,MATCH_W1!$M:$M)+SUMIF(MATCH_W2!$B:$B,$B7,MATCH_W2!$M:$M)+SUMIF(MATCH_W3!$B:$B,$B7,MATCH_W3!$M:$M)+SUMIF(MATCH_W4!$B:$B,$B7,MATCH_W4!$M:$M)+SUMIF(MATCH_W5!$B:$B,$B7,MATCH_W5!$M:$M)+SUMIF(MATCH_W6!$B:$B,$B7,MATCH_W6!$M:$M)</f>
        <v/>
      </c>
    </row>
    <row r="8">
      <c r="A8" s="7" t="inlineStr">
        <is>
          <t>CR</t>
        </is>
      </c>
      <c r="B8" s="8" t="inlineStr">
        <is>
          <t>VIGILANTE</t>
        </is>
      </c>
      <c r="C8" s="8" t="inlineStr">
        <is>
          <t>SPT</t>
        </is>
      </c>
      <c r="D8" s="50">
        <f>SUMIF(MATCH_W1!$B:$B,$B8,MATCH_W1!$F:$F)+SUMIF(MATCH_W2!$B:$B,$B8,MATCH_W2!$F:$F)+SUMIF(MATCH_W3!$B:$B,$B8,MATCH_W3!$F:$F)+SUMIF(MATCH_W4!$B:$B,$B8,MATCH_W4!$F:$F)+SUMIF(MATCH_W5!$B:$B,$B8,MATCH_W5!$F:$F)+SUMIF(MATCH_W6!$B:$B,$B8,MATCH_W6!$F:$F)</f>
        <v/>
      </c>
      <c r="E8" s="50">
        <f>SUMIF(MATCH_W1!$B:$B,$B8,MATCH_W1!$G:$G)+SUMIF(MATCH_W2!$B:$B,$B8,MATCH_W2!$G:$G)+SUMIF(MATCH_W3!$B:$B,$B8,MATCH_W3!$G:$G)+SUMIF(MATCH_W4!$B:$B,$B8,MATCH_W4!$G:$G)+SUMIF(MATCH_W5!$B:$B,$B8,MATCH_W5!$G:$G)+SUMIF(MATCH_W6!$B:$B,$B8,MATCH_W6!$G:$G)</f>
        <v/>
      </c>
      <c r="F8" s="50">
        <f>SUMIF(MATCH_W1!$B:$B,$B8,MATCH_W1!$H:$H)+SUMIF(MATCH_W2!$B:$B,$B8,MATCH_W2!$H:$H)+SUMIF(MATCH_W3!$B:$B,$B8,MATCH_W3!$H:$H)+SUMIF(MATCH_W4!$B:$B,$B8,MATCH_W4!$H:$H)+SUMIF(MATCH_W5!$B:$B,$B8,MATCH_W5!$H:$H)+SUMIF(MATCH_W6!$B:$B,$B8,MATCH_W6!$H:$H)</f>
        <v/>
      </c>
      <c r="G8" s="50">
        <f>SUMIF(MATCH_W1!$B:$B,$B8,MATCH_W1!$I:$I)+SUMIF(MATCH_W2!$B:$B,$B8,MATCH_W2!$I:$I)+SUMIF(MATCH_W3!$B:$B,$B8,MATCH_W3!$I:$I)+SUMIF(MATCH_W4!$B:$B,$B8,MATCH_W4!$I:$I)+SUMIF(MATCH_W5!$B:$B,$B8,MATCH_W5!$I:$I)+SUMIF(MATCH_W6!$B:$B,$B8,MATCH_W6!$I:$I)</f>
        <v/>
      </c>
      <c r="H8" s="50">
        <f>SUMIF(MATCH_W1!$B:$B,$B8,MATCH_W1!$J:$J)+SUMIF(MATCH_W2!$B:$B,$B8,MATCH_W2!$J:$J)+SUMIF(MATCH_W3!$B:$B,$B8,MATCH_W3!$J:$J)+SUMIF(MATCH_W4!$B:$B,$B8,MATCH_W4!$J:$J)+SUMIF(MATCH_W5!$B:$B,$B8,MATCH_W5!$J:$J)+SUMIF(MATCH_W6!$B:$B,$B8,MATCH_W6!$J:$J)</f>
        <v/>
      </c>
      <c r="I8" s="50">
        <f>SUMIF(MATCH_W1!$B:$B,$B8,MATCH_W1!$K:$K)+SUMIF(MATCH_W2!$B:$B,$B8,MATCH_W2!$K:$K)+SUMIF(MATCH_W3!$B:$B,$B8,MATCH_W3!$K:$K)+SUMIF(MATCH_W4!$B:$B,$B8,MATCH_W4!$K:$K)+SUMIF(MATCH_W5!$B:$B,$B8,MATCH_W5!$K:$K)+SUMIF(MATCH_W6!$B:$B,$B8,MATCH_W6!$K:$K)</f>
        <v/>
      </c>
      <c r="J8" s="51">
        <f>IFERROR(D8/E8,0)</f>
        <v/>
      </c>
      <c r="K8" s="52">
        <f>SUMIF(MATCH_W1!$B:$B,$B8,MATCH_W1!$M:$M)+SUMIF(MATCH_W2!$B:$B,$B8,MATCH_W2!$M:$M)+SUMIF(MATCH_W3!$B:$B,$B8,MATCH_W3!$M:$M)+SUMIF(MATCH_W4!$B:$B,$B8,MATCH_W4!$M:$M)+SUMIF(MATCH_W5!$B:$B,$B8,MATCH_W5!$M:$M)+SUMIF(MATCH_W6!$B:$B,$B8,MATCH_W6!$M:$M)</f>
        <v/>
      </c>
    </row>
    <row r="9">
      <c r="A9" s="7" t="inlineStr">
        <is>
          <t>FLC</t>
        </is>
      </c>
      <c r="B9" s="7" t="inlineStr">
        <is>
          <t>SOMEONE</t>
        </is>
      </c>
      <c r="C9" s="7" t="inlineStr">
        <is>
          <t>TANK</t>
        </is>
      </c>
      <c r="D9" s="50">
        <f>SUMIF(MATCH_W1!$B:$B,$B9,MATCH_W1!$F:$F)+SUMIF(MATCH_W2!$B:$B,$B9,MATCH_W2!$F:$F)+SUMIF(MATCH_W3!$B:$B,$B9,MATCH_W3!$F:$F)+SUMIF(MATCH_W4!$B:$B,$B9,MATCH_W4!$F:$F)+SUMIF(MATCH_W5!$B:$B,$B9,MATCH_W5!$F:$F)+SUMIF(MATCH_W6!$B:$B,$B9,MATCH_W6!$F:$F)</f>
        <v/>
      </c>
      <c r="E9" s="50">
        <f>SUMIF(MATCH_W1!$B:$B,$B9,MATCH_W1!$G:$G)+SUMIF(MATCH_W2!$B:$B,$B9,MATCH_W2!$G:$G)+SUMIF(MATCH_W3!$B:$B,$B9,MATCH_W3!$G:$G)+SUMIF(MATCH_W4!$B:$B,$B9,MATCH_W4!$G:$G)+SUMIF(MATCH_W5!$B:$B,$B9,MATCH_W5!$G:$G)+SUMIF(MATCH_W6!$B:$B,$B9,MATCH_W6!$G:$G)</f>
        <v/>
      </c>
      <c r="F9" s="50">
        <f>SUMIF(MATCH_W1!$B:$B,$B9,MATCH_W1!$H:$H)+SUMIF(MATCH_W2!$B:$B,$B9,MATCH_W2!$H:$H)+SUMIF(MATCH_W3!$B:$B,$B9,MATCH_W3!$H:$H)+SUMIF(MATCH_W4!$B:$B,$B9,MATCH_W4!$H:$H)+SUMIF(MATCH_W5!$B:$B,$B9,MATCH_W5!$H:$H)+SUMIF(MATCH_W6!$B:$B,$B9,MATCH_W6!$H:$H)</f>
        <v/>
      </c>
      <c r="G9" s="50">
        <f>SUMIF(MATCH_W1!$B:$B,$B9,MATCH_W1!$I:$I)+SUMIF(MATCH_W2!$B:$B,$B9,MATCH_W2!$I:$I)+SUMIF(MATCH_W3!$B:$B,$B9,MATCH_W3!$I:$I)+SUMIF(MATCH_W4!$B:$B,$B9,MATCH_W4!$I:$I)+SUMIF(MATCH_W5!$B:$B,$B9,MATCH_W5!$I:$I)+SUMIF(MATCH_W6!$B:$B,$B9,MATCH_W6!$I:$I)</f>
        <v/>
      </c>
      <c r="H9" s="50">
        <f>SUMIF(MATCH_W1!$B:$B,$B9,MATCH_W1!$J:$J)+SUMIF(MATCH_W2!$B:$B,$B9,MATCH_W2!$J:$J)+SUMIF(MATCH_W3!$B:$B,$B9,MATCH_W3!$J:$J)+SUMIF(MATCH_W4!$B:$B,$B9,MATCH_W4!$J:$J)+SUMIF(MATCH_W5!$B:$B,$B9,MATCH_W5!$J:$J)+SUMIF(MATCH_W6!$B:$B,$B9,MATCH_W6!$J:$J)</f>
        <v/>
      </c>
      <c r="I9" s="50">
        <f>SUMIF(MATCH_W1!$B:$B,$B9,MATCH_W1!$K:$K)+SUMIF(MATCH_W2!$B:$B,$B9,MATCH_W2!$K:$K)+SUMIF(MATCH_W3!$B:$B,$B9,MATCH_W3!$K:$K)+SUMIF(MATCH_W4!$B:$B,$B9,MATCH_W4!$K:$K)+SUMIF(MATCH_W5!$B:$B,$B9,MATCH_W5!$K:$K)+SUMIF(MATCH_W6!$B:$B,$B9,MATCH_W6!$K:$K)</f>
        <v/>
      </c>
      <c r="J9" s="51">
        <f>IFERROR(D9/E9,0)</f>
        <v/>
      </c>
      <c r="K9" s="52">
        <f>SUMIF(MATCH_W1!$B:$B,$B9,MATCH_W1!$M:$M)+SUMIF(MATCH_W2!$B:$B,$B9,MATCH_W2!$M:$M)+SUMIF(MATCH_W3!$B:$B,$B9,MATCH_W3!$M:$M)+SUMIF(MATCH_W4!$B:$B,$B9,MATCH_W4!$M:$M)+SUMIF(MATCH_W5!$B:$B,$B9,MATCH_W5!$M:$M)+SUMIF(MATCH_W6!$B:$B,$B9,MATCH_W6!$M:$M)</f>
        <v/>
      </c>
    </row>
    <row r="10">
      <c r="A10" s="7" t="inlineStr">
        <is>
          <t>FLC</t>
        </is>
      </c>
      <c r="B10" s="7" t="inlineStr">
        <is>
          <t>HANBIN</t>
        </is>
      </c>
      <c r="C10" s="7" t="inlineStr">
        <is>
          <t>TANK</t>
        </is>
      </c>
      <c r="D10" s="50">
        <f>SUMIF(MATCH_W1!$B:$B,$B10,MATCH_W1!$F:$F)+SUMIF(MATCH_W2!$B:$B,$B10,MATCH_W2!$F:$F)+SUMIF(MATCH_W3!$B:$B,$B10,MATCH_W3!$F:$F)+SUMIF(MATCH_W4!$B:$B,$B10,MATCH_W4!$F:$F)+SUMIF(MATCH_W5!$B:$B,$B10,MATCH_W5!$F:$F)+SUMIF(MATCH_W6!$B:$B,$B10,MATCH_W6!$F:$F)</f>
        <v/>
      </c>
      <c r="E10" s="50">
        <f>SUMIF(MATCH_W1!$B:$B,$B10,MATCH_W1!$G:$G)+SUMIF(MATCH_W2!$B:$B,$B10,MATCH_W2!$G:$G)+SUMIF(MATCH_W3!$B:$B,$B10,MATCH_W3!$G:$G)+SUMIF(MATCH_W4!$B:$B,$B10,MATCH_W4!$G:$G)+SUMIF(MATCH_W5!$B:$B,$B10,MATCH_W5!$G:$G)+SUMIF(MATCH_W6!$B:$B,$B10,MATCH_W6!$G:$G)</f>
        <v/>
      </c>
      <c r="F10" s="50">
        <f>SUMIF(MATCH_W1!$B:$B,$B10,MATCH_W1!$H:$H)+SUMIF(MATCH_W2!$B:$B,$B10,MATCH_W2!$H:$H)+SUMIF(MATCH_W3!$B:$B,$B10,MATCH_W3!$H:$H)+SUMIF(MATCH_W4!$B:$B,$B10,MATCH_W4!$H:$H)+SUMIF(MATCH_W5!$B:$B,$B10,MATCH_W5!$H:$H)+SUMIF(MATCH_W6!$B:$B,$B10,MATCH_W6!$H:$H)</f>
        <v/>
      </c>
      <c r="G10" s="50">
        <f>SUMIF(MATCH_W1!$B:$B,$B10,MATCH_W1!$I:$I)+SUMIF(MATCH_W2!$B:$B,$B10,MATCH_W2!$I:$I)+SUMIF(MATCH_W3!$B:$B,$B10,MATCH_W3!$I:$I)+SUMIF(MATCH_W4!$B:$B,$B10,MATCH_W4!$I:$I)+SUMIF(MATCH_W5!$B:$B,$B10,MATCH_W5!$I:$I)+SUMIF(MATCH_W6!$B:$B,$B10,MATCH_W6!$I:$I)</f>
        <v/>
      </c>
      <c r="H10" s="50">
        <f>SUMIF(MATCH_W1!$B:$B,$B10,MATCH_W1!$J:$J)+SUMIF(MATCH_W2!$B:$B,$B10,MATCH_W2!$J:$J)+SUMIF(MATCH_W3!$B:$B,$B10,MATCH_W3!$J:$J)+SUMIF(MATCH_W4!$B:$B,$B10,MATCH_W4!$J:$J)+SUMIF(MATCH_W5!$B:$B,$B10,MATCH_W5!$J:$J)+SUMIF(MATCH_W6!$B:$B,$B10,MATCH_W6!$J:$J)</f>
        <v/>
      </c>
      <c r="I10" s="50">
        <f>SUMIF(MATCH_W1!$B:$B,$B10,MATCH_W1!$K:$K)+SUMIF(MATCH_W2!$B:$B,$B10,MATCH_W2!$K:$K)+SUMIF(MATCH_W3!$B:$B,$B10,MATCH_W3!$K:$K)+SUMIF(MATCH_W4!$B:$B,$B10,MATCH_W4!$K:$K)+SUMIF(MATCH_W5!$B:$B,$B10,MATCH_W5!$K:$K)+SUMIF(MATCH_W6!$B:$B,$B10,MATCH_W6!$K:$K)</f>
        <v/>
      </c>
      <c r="J10" s="51">
        <f>IFERROR(D10/E10,0)</f>
        <v/>
      </c>
      <c r="K10" s="52">
        <f>SUMIF(MATCH_W1!$B:$B,$B10,MATCH_W1!$M:$M)+SUMIF(MATCH_W2!$B:$B,$B10,MATCH_W2!$M:$M)+SUMIF(MATCH_W3!$B:$B,$B10,MATCH_W3!$M:$M)+SUMIF(MATCH_W4!$B:$B,$B10,MATCH_W4!$M:$M)+SUMIF(MATCH_W5!$B:$B,$B10,MATCH_W5!$M:$M)+SUMIF(MATCH_W6!$B:$B,$B10,MATCH_W6!$M:$M)</f>
        <v/>
      </c>
    </row>
    <row r="11">
      <c r="A11" s="7" t="inlineStr">
        <is>
          <t>FLC</t>
        </is>
      </c>
      <c r="B11" s="7" t="inlineStr">
        <is>
          <t>CHECKMATE</t>
        </is>
      </c>
      <c r="C11" s="7" t="inlineStr">
        <is>
          <t>DPS</t>
        </is>
      </c>
      <c r="D11" s="50">
        <f>SUMIF(MATCH_W1!$B:$B,$B11,MATCH_W1!$F:$F)+SUMIF(MATCH_W2!$B:$B,$B11,MATCH_W2!$F:$F)+SUMIF(MATCH_W3!$B:$B,$B11,MATCH_W3!$F:$F)+SUMIF(MATCH_W4!$B:$B,$B11,MATCH_W4!$F:$F)+SUMIF(MATCH_W5!$B:$B,$B11,MATCH_W5!$F:$F)+SUMIF(MATCH_W6!$B:$B,$B11,MATCH_W6!$F:$F)</f>
        <v/>
      </c>
      <c r="E11" s="50">
        <f>SUMIF(MATCH_W1!$B:$B,$B11,MATCH_W1!$G:$G)+SUMIF(MATCH_W2!$B:$B,$B11,MATCH_W2!$G:$G)+SUMIF(MATCH_W3!$B:$B,$B11,MATCH_W3!$G:$G)+SUMIF(MATCH_W4!$B:$B,$B11,MATCH_W4!$G:$G)+SUMIF(MATCH_W5!$B:$B,$B11,MATCH_W5!$G:$G)+SUMIF(MATCH_W6!$B:$B,$B11,MATCH_W6!$G:$G)</f>
        <v/>
      </c>
      <c r="F11" s="50">
        <f>SUMIF(MATCH_W1!$B:$B,$B11,MATCH_W1!$H:$H)+SUMIF(MATCH_W2!$B:$B,$B11,MATCH_W2!$H:$H)+SUMIF(MATCH_W3!$B:$B,$B11,MATCH_W3!$H:$H)+SUMIF(MATCH_W4!$B:$B,$B11,MATCH_W4!$H:$H)+SUMIF(MATCH_W5!$B:$B,$B11,MATCH_W5!$H:$H)+SUMIF(MATCH_W6!$B:$B,$B11,MATCH_W6!$H:$H)</f>
        <v/>
      </c>
      <c r="G11" s="50">
        <f>SUMIF(MATCH_W1!$B:$B,$B11,MATCH_W1!$I:$I)+SUMIF(MATCH_W2!$B:$B,$B11,MATCH_W2!$I:$I)+SUMIF(MATCH_W3!$B:$B,$B11,MATCH_W3!$I:$I)+SUMIF(MATCH_W4!$B:$B,$B11,MATCH_W4!$I:$I)+SUMIF(MATCH_W5!$B:$B,$B11,MATCH_W5!$I:$I)+SUMIF(MATCH_W6!$B:$B,$B11,MATCH_W6!$I:$I)</f>
        <v/>
      </c>
      <c r="H11" s="50">
        <f>SUMIF(MATCH_W1!$B:$B,$B11,MATCH_W1!$J:$J)+SUMIF(MATCH_W2!$B:$B,$B11,MATCH_W2!$J:$J)+SUMIF(MATCH_W3!$B:$B,$B11,MATCH_W3!$J:$J)+SUMIF(MATCH_W4!$B:$B,$B11,MATCH_W4!$J:$J)+SUMIF(MATCH_W5!$B:$B,$B11,MATCH_W5!$J:$J)+SUMIF(MATCH_W6!$B:$B,$B11,MATCH_W6!$J:$J)</f>
        <v/>
      </c>
      <c r="I11" s="50">
        <f>SUMIF(MATCH_W1!$B:$B,$B11,MATCH_W1!$K:$K)+SUMIF(MATCH_W2!$B:$B,$B11,MATCH_W2!$K:$K)+SUMIF(MATCH_W3!$B:$B,$B11,MATCH_W3!$K:$K)+SUMIF(MATCH_W4!$B:$B,$B11,MATCH_W4!$K:$K)+SUMIF(MATCH_W5!$B:$B,$B11,MATCH_W5!$K:$K)+SUMIF(MATCH_W6!$B:$B,$B11,MATCH_W6!$K:$K)</f>
        <v/>
      </c>
      <c r="J11" s="51">
        <f>IFERROR(D11/E11,0)</f>
        <v/>
      </c>
      <c r="K11" s="52">
        <f>SUMIF(MATCH_W1!$B:$B,$B11,MATCH_W1!$M:$M)+SUMIF(MATCH_W2!$B:$B,$B11,MATCH_W2!$M:$M)+SUMIF(MATCH_W3!$B:$B,$B11,MATCH_W3!$M:$M)+SUMIF(MATCH_W4!$B:$B,$B11,MATCH_W4!$M:$M)+SUMIF(MATCH_W5!$B:$B,$B11,MATCH_W5!$M:$M)+SUMIF(MATCH_W6!$B:$B,$B11,MATCH_W6!$M:$M)</f>
        <v/>
      </c>
    </row>
    <row r="12">
      <c r="A12" s="7" t="inlineStr">
        <is>
          <t>FLC</t>
        </is>
      </c>
      <c r="B12" s="7" t="inlineStr">
        <is>
          <t>MER1T</t>
        </is>
      </c>
      <c r="C12" s="7" t="inlineStr">
        <is>
          <t>DPS</t>
        </is>
      </c>
      <c r="D12" s="50">
        <f>SUMIF(MATCH_W1!$B:$B,$B12,MATCH_W1!$F:$F)+SUMIF(MATCH_W2!$B:$B,$B12,MATCH_W2!$F:$F)+SUMIF(MATCH_W3!$B:$B,$B12,MATCH_W3!$F:$F)+SUMIF(MATCH_W4!$B:$B,$B12,MATCH_W4!$F:$F)+SUMIF(MATCH_W5!$B:$B,$B12,MATCH_W5!$F:$F)+SUMIF(MATCH_W6!$B:$B,$B12,MATCH_W6!$F:$F)</f>
        <v/>
      </c>
      <c r="E12" s="50">
        <f>SUMIF(MATCH_W1!$B:$B,$B12,MATCH_W1!$G:$G)+SUMIF(MATCH_W2!$B:$B,$B12,MATCH_W2!$G:$G)+SUMIF(MATCH_W3!$B:$B,$B12,MATCH_W3!$G:$G)+SUMIF(MATCH_W4!$B:$B,$B12,MATCH_W4!$G:$G)+SUMIF(MATCH_W5!$B:$B,$B12,MATCH_W5!$G:$G)+SUMIF(MATCH_W6!$B:$B,$B12,MATCH_W6!$G:$G)</f>
        <v/>
      </c>
      <c r="F12" s="50">
        <f>SUMIF(MATCH_W1!$B:$B,$B12,MATCH_W1!$H:$H)+SUMIF(MATCH_W2!$B:$B,$B12,MATCH_W2!$H:$H)+SUMIF(MATCH_W3!$B:$B,$B12,MATCH_W3!$H:$H)+SUMIF(MATCH_W4!$B:$B,$B12,MATCH_W4!$H:$H)+SUMIF(MATCH_W5!$B:$B,$B12,MATCH_W5!$H:$H)+SUMIF(MATCH_W6!$B:$B,$B12,MATCH_W6!$H:$H)</f>
        <v/>
      </c>
      <c r="G12" s="50">
        <f>SUMIF(MATCH_W1!$B:$B,$B12,MATCH_W1!$I:$I)+SUMIF(MATCH_W2!$B:$B,$B12,MATCH_W2!$I:$I)+SUMIF(MATCH_W3!$B:$B,$B12,MATCH_W3!$I:$I)+SUMIF(MATCH_W4!$B:$B,$B12,MATCH_W4!$I:$I)+SUMIF(MATCH_W5!$B:$B,$B12,MATCH_W5!$I:$I)+SUMIF(MATCH_W6!$B:$B,$B12,MATCH_W6!$I:$I)</f>
        <v/>
      </c>
      <c r="H12" s="50">
        <f>SUMIF(MATCH_W1!$B:$B,$B12,MATCH_W1!$J:$J)+SUMIF(MATCH_W2!$B:$B,$B12,MATCH_W2!$J:$J)+SUMIF(MATCH_W3!$B:$B,$B12,MATCH_W3!$J:$J)+SUMIF(MATCH_W4!$B:$B,$B12,MATCH_W4!$J:$J)+SUMIF(MATCH_W5!$B:$B,$B12,MATCH_W5!$J:$J)+SUMIF(MATCH_W6!$B:$B,$B12,MATCH_W6!$J:$J)</f>
        <v/>
      </c>
      <c r="I12" s="50">
        <f>SUMIF(MATCH_W1!$B:$B,$B12,MATCH_W1!$K:$K)+SUMIF(MATCH_W2!$B:$B,$B12,MATCH_W2!$K:$K)+SUMIF(MATCH_W3!$B:$B,$B12,MATCH_W3!$K:$K)+SUMIF(MATCH_W4!$B:$B,$B12,MATCH_W4!$K:$K)+SUMIF(MATCH_W5!$B:$B,$B12,MATCH_W5!$K:$K)+SUMIF(MATCH_W6!$B:$B,$B12,MATCH_W6!$K:$K)</f>
        <v/>
      </c>
      <c r="J12" s="51">
        <f>IFERROR(D12/E12,0)</f>
        <v/>
      </c>
      <c r="K12" s="52">
        <f>SUMIF(MATCH_W1!$B:$B,$B12,MATCH_W1!$M:$M)+SUMIF(MATCH_W2!$B:$B,$B12,MATCH_W2!$M:$M)+SUMIF(MATCH_W3!$B:$B,$B12,MATCH_W3!$M:$M)+SUMIF(MATCH_W4!$B:$B,$B12,MATCH_W4!$M:$M)+SUMIF(MATCH_W5!$B:$B,$B12,MATCH_W5!$M:$M)+SUMIF(MATCH_W6!$B:$B,$B12,MATCH_W6!$M:$M)</f>
        <v/>
      </c>
    </row>
    <row r="13">
      <c r="A13" s="7" t="inlineStr">
        <is>
          <t>FLC</t>
        </is>
      </c>
      <c r="B13" s="7" t="inlineStr">
        <is>
          <t>CHIYO</t>
        </is>
      </c>
      <c r="C13" s="7" t="inlineStr">
        <is>
          <t>SPT</t>
        </is>
      </c>
      <c r="D13" s="50">
        <f>SUMIF(MATCH_W1!$B:$B,$B13,MATCH_W1!$F:$F)+SUMIF(MATCH_W2!$B:$B,$B13,MATCH_W2!$F:$F)+SUMIF(MATCH_W3!$B:$B,$B13,MATCH_W3!$F:$F)+SUMIF(MATCH_W4!$B:$B,$B13,MATCH_W4!$F:$F)+SUMIF(MATCH_W5!$B:$B,$B13,MATCH_W5!$F:$F)+SUMIF(MATCH_W6!$B:$B,$B13,MATCH_W6!$F:$F)</f>
        <v/>
      </c>
      <c r="E13" s="50">
        <f>SUMIF(MATCH_W1!$B:$B,$B13,MATCH_W1!$G:$G)+SUMIF(MATCH_W2!$B:$B,$B13,MATCH_W2!$G:$G)+SUMIF(MATCH_W3!$B:$B,$B13,MATCH_W3!$G:$G)+SUMIF(MATCH_W4!$B:$B,$B13,MATCH_W4!$G:$G)+SUMIF(MATCH_W5!$B:$B,$B13,MATCH_W5!$G:$G)+SUMIF(MATCH_W6!$B:$B,$B13,MATCH_W6!$G:$G)</f>
        <v/>
      </c>
      <c r="F13" s="50">
        <f>SUMIF(MATCH_W1!$B:$B,$B13,MATCH_W1!$H:$H)+SUMIF(MATCH_W2!$B:$B,$B13,MATCH_W2!$H:$H)+SUMIF(MATCH_W3!$B:$B,$B13,MATCH_W3!$H:$H)+SUMIF(MATCH_W4!$B:$B,$B13,MATCH_W4!$H:$H)+SUMIF(MATCH_W5!$B:$B,$B13,MATCH_W5!$H:$H)+SUMIF(MATCH_W6!$B:$B,$B13,MATCH_W6!$H:$H)</f>
        <v/>
      </c>
      <c r="G13" s="50">
        <f>SUMIF(MATCH_W1!$B:$B,$B13,MATCH_W1!$I:$I)+SUMIF(MATCH_W2!$B:$B,$B13,MATCH_W2!$I:$I)+SUMIF(MATCH_W3!$B:$B,$B13,MATCH_W3!$I:$I)+SUMIF(MATCH_W4!$B:$B,$B13,MATCH_W4!$I:$I)+SUMIF(MATCH_W5!$B:$B,$B13,MATCH_W5!$I:$I)+SUMIF(MATCH_W6!$B:$B,$B13,MATCH_W6!$I:$I)</f>
        <v/>
      </c>
      <c r="H13" s="50">
        <f>SUMIF(MATCH_W1!$B:$B,$B13,MATCH_W1!$J:$J)+SUMIF(MATCH_W2!$B:$B,$B13,MATCH_W2!$J:$J)+SUMIF(MATCH_W3!$B:$B,$B13,MATCH_W3!$J:$J)+SUMIF(MATCH_W4!$B:$B,$B13,MATCH_W4!$J:$J)+SUMIF(MATCH_W5!$B:$B,$B13,MATCH_W5!$J:$J)+SUMIF(MATCH_W6!$B:$B,$B13,MATCH_W6!$J:$J)</f>
        <v/>
      </c>
      <c r="I13" s="50">
        <f>SUMIF(MATCH_W1!$B:$B,$B13,MATCH_W1!$K:$K)+SUMIF(MATCH_W2!$B:$B,$B13,MATCH_W2!$K:$K)+SUMIF(MATCH_W3!$B:$B,$B13,MATCH_W3!$K:$K)+SUMIF(MATCH_W4!$B:$B,$B13,MATCH_W4!$K:$K)+SUMIF(MATCH_W5!$B:$B,$B13,MATCH_W5!$K:$K)+SUMIF(MATCH_W6!$B:$B,$B13,MATCH_W6!$K:$K)</f>
        <v/>
      </c>
      <c r="J13" s="51">
        <f>IFERROR(D13/E13,0)</f>
        <v/>
      </c>
      <c r="K13" s="52">
        <f>SUMIF(MATCH_W1!$B:$B,$B13,MATCH_W1!$M:$M)+SUMIF(MATCH_W2!$B:$B,$B13,MATCH_W2!$M:$M)+SUMIF(MATCH_W3!$B:$B,$B13,MATCH_W3!$M:$M)+SUMIF(MATCH_W4!$B:$B,$B13,MATCH_W4!$M:$M)+SUMIF(MATCH_W5!$B:$B,$B13,MATCH_W5!$M:$M)+SUMIF(MATCH_W6!$B:$B,$B13,MATCH_W6!$M:$M)</f>
        <v/>
      </c>
    </row>
    <row r="14">
      <c r="A14" s="7" t="inlineStr">
        <is>
          <t>FLC</t>
        </is>
      </c>
      <c r="B14" s="7" t="inlineStr">
        <is>
          <t>FIELDER</t>
        </is>
      </c>
      <c r="C14" s="7" t="inlineStr">
        <is>
          <t>SPT</t>
        </is>
      </c>
      <c r="D14" s="50">
        <f>SUMIF(MATCH_W1!$B:$B,$B14,MATCH_W1!$F:$F)+SUMIF(MATCH_W2!$B:$B,$B14,MATCH_W2!$F:$F)+SUMIF(MATCH_W3!$B:$B,$B14,MATCH_W3!$F:$F)+SUMIF(MATCH_W4!$B:$B,$B14,MATCH_W4!$F:$F)+SUMIF(MATCH_W5!$B:$B,$B14,MATCH_W5!$F:$F)+SUMIF(MATCH_W6!$B:$B,$B14,MATCH_W6!$F:$F)</f>
        <v/>
      </c>
      <c r="E14" s="50">
        <f>SUMIF(MATCH_W1!$B:$B,$B14,MATCH_W1!$G:$G)+SUMIF(MATCH_W2!$B:$B,$B14,MATCH_W2!$G:$G)+SUMIF(MATCH_W3!$B:$B,$B14,MATCH_W3!$G:$G)+SUMIF(MATCH_W4!$B:$B,$B14,MATCH_W4!$G:$G)+SUMIF(MATCH_W5!$B:$B,$B14,MATCH_W5!$G:$G)+SUMIF(MATCH_W6!$B:$B,$B14,MATCH_W6!$G:$G)</f>
        <v/>
      </c>
      <c r="F14" s="50">
        <f>SUMIF(MATCH_W1!$B:$B,$B14,MATCH_W1!$H:$H)+SUMIF(MATCH_W2!$B:$B,$B14,MATCH_W2!$H:$H)+SUMIF(MATCH_W3!$B:$B,$B14,MATCH_W3!$H:$H)+SUMIF(MATCH_W4!$B:$B,$B14,MATCH_W4!$H:$H)+SUMIF(MATCH_W5!$B:$B,$B14,MATCH_W5!$H:$H)+SUMIF(MATCH_W6!$B:$B,$B14,MATCH_W6!$H:$H)</f>
        <v/>
      </c>
      <c r="G14" s="50">
        <f>SUMIF(MATCH_W1!$B:$B,$B14,MATCH_W1!$I:$I)+SUMIF(MATCH_W2!$B:$B,$B14,MATCH_W2!$I:$I)+SUMIF(MATCH_W3!$B:$B,$B14,MATCH_W3!$I:$I)+SUMIF(MATCH_W4!$B:$B,$B14,MATCH_W4!$I:$I)+SUMIF(MATCH_W5!$B:$B,$B14,MATCH_W5!$I:$I)+SUMIF(MATCH_W6!$B:$B,$B14,MATCH_W6!$I:$I)</f>
        <v/>
      </c>
      <c r="H14" s="50">
        <f>SUMIF(MATCH_W1!$B:$B,$B14,MATCH_W1!$J:$J)+SUMIF(MATCH_W2!$B:$B,$B14,MATCH_W2!$J:$J)+SUMIF(MATCH_W3!$B:$B,$B14,MATCH_W3!$J:$J)+SUMIF(MATCH_W4!$B:$B,$B14,MATCH_W4!$J:$J)+SUMIF(MATCH_W5!$B:$B,$B14,MATCH_W5!$J:$J)+SUMIF(MATCH_W6!$B:$B,$B14,MATCH_W6!$J:$J)</f>
        <v/>
      </c>
      <c r="I14" s="50">
        <f>SUMIF(MATCH_W1!$B:$B,$B14,MATCH_W1!$K:$K)+SUMIF(MATCH_W2!$B:$B,$B14,MATCH_W2!$K:$K)+SUMIF(MATCH_W3!$B:$B,$B14,MATCH_W3!$K:$K)+SUMIF(MATCH_W4!$B:$B,$B14,MATCH_W4!$K:$K)+SUMIF(MATCH_W5!$B:$B,$B14,MATCH_W5!$K:$K)+SUMIF(MATCH_W6!$B:$B,$B14,MATCH_W6!$K:$K)</f>
        <v/>
      </c>
      <c r="J14" s="51">
        <f>IFERROR(D14/E14,0)</f>
        <v/>
      </c>
      <c r="K14" s="52">
        <f>SUMIF(MATCH_W1!$B:$B,$B14,MATCH_W1!$M:$M)+SUMIF(MATCH_W2!$B:$B,$B14,MATCH_W2!$M:$M)+SUMIF(MATCH_W3!$B:$B,$B14,MATCH_W3!$M:$M)+SUMIF(MATCH_W4!$B:$B,$B14,MATCH_W4!$M:$M)+SUMIF(MATCH_W5!$B:$B,$B14,MATCH_W5!$M:$M)+SUMIF(MATCH_W6!$B:$B,$B14,MATCH_W6!$M:$M)</f>
        <v/>
      </c>
    </row>
    <row r="15">
      <c r="A15" s="7" t="inlineStr">
        <is>
          <t>T1</t>
        </is>
      </c>
      <c r="B15" s="7" t="inlineStr">
        <is>
          <t>DONGHAK</t>
        </is>
      </c>
      <c r="C15" s="7" t="inlineStr">
        <is>
          <t>TANK</t>
        </is>
      </c>
      <c r="D15" s="50">
        <f>SUMIF(MATCH_W1!$B:$B,$B15,MATCH_W1!$F:$F)+SUMIF(MATCH_W2!$B:$B,$B15,MATCH_W2!$F:$F)+SUMIF(MATCH_W3!$B:$B,$B15,MATCH_W3!$F:$F)+SUMIF(MATCH_W4!$B:$B,$B15,MATCH_W4!$F:$F)+SUMIF(MATCH_W5!$B:$B,$B15,MATCH_W5!$F:$F)+SUMIF(MATCH_W6!$B:$B,$B15,MATCH_W6!$F:$F)</f>
        <v/>
      </c>
      <c r="E15" s="50">
        <f>SUMIF(MATCH_W1!$B:$B,$B15,MATCH_W1!$G:$G)+SUMIF(MATCH_W2!$B:$B,$B15,MATCH_W2!$G:$G)+SUMIF(MATCH_W3!$B:$B,$B15,MATCH_W3!$G:$G)+SUMIF(MATCH_W4!$B:$B,$B15,MATCH_W4!$G:$G)+SUMIF(MATCH_W5!$B:$B,$B15,MATCH_W5!$G:$G)+SUMIF(MATCH_W6!$B:$B,$B15,MATCH_W6!$G:$G)</f>
        <v/>
      </c>
      <c r="F15" s="50">
        <f>SUMIF(MATCH_W1!$B:$B,$B15,MATCH_W1!$H:$H)+SUMIF(MATCH_W2!$B:$B,$B15,MATCH_W2!$H:$H)+SUMIF(MATCH_W3!$B:$B,$B15,MATCH_W3!$H:$H)+SUMIF(MATCH_W4!$B:$B,$B15,MATCH_W4!$H:$H)+SUMIF(MATCH_W5!$B:$B,$B15,MATCH_W5!$H:$H)+SUMIF(MATCH_W6!$B:$B,$B15,MATCH_W6!$H:$H)</f>
        <v/>
      </c>
      <c r="G15" s="50">
        <f>SUMIF(MATCH_W1!$B:$B,$B15,MATCH_W1!$I:$I)+SUMIF(MATCH_W2!$B:$B,$B15,MATCH_W2!$I:$I)+SUMIF(MATCH_W3!$B:$B,$B15,MATCH_W3!$I:$I)+SUMIF(MATCH_W4!$B:$B,$B15,MATCH_W4!$I:$I)+SUMIF(MATCH_W5!$B:$B,$B15,MATCH_W5!$I:$I)+SUMIF(MATCH_W6!$B:$B,$B15,MATCH_W6!$I:$I)</f>
        <v/>
      </c>
      <c r="H15" s="50">
        <f>SUMIF(MATCH_W1!$B:$B,$B15,MATCH_W1!$J:$J)+SUMIF(MATCH_W2!$B:$B,$B15,MATCH_W2!$J:$J)+SUMIF(MATCH_W3!$B:$B,$B15,MATCH_W3!$J:$J)+SUMIF(MATCH_W4!$B:$B,$B15,MATCH_W4!$J:$J)+SUMIF(MATCH_W5!$B:$B,$B15,MATCH_W5!$J:$J)+SUMIF(MATCH_W6!$B:$B,$B15,MATCH_W6!$J:$J)</f>
        <v/>
      </c>
      <c r="I15" s="50">
        <f>SUMIF(MATCH_W1!$B:$B,$B15,MATCH_W1!$K:$K)+SUMIF(MATCH_W2!$B:$B,$B15,MATCH_W2!$K:$K)+SUMIF(MATCH_W3!$B:$B,$B15,MATCH_W3!$K:$K)+SUMIF(MATCH_W4!$B:$B,$B15,MATCH_W4!$K:$K)+SUMIF(MATCH_W5!$B:$B,$B15,MATCH_W5!$K:$K)+SUMIF(MATCH_W6!$B:$B,$B15,MATCH_W6!$K:$K)</f>
        <v/>
      </c>
      <c r="J15" s="51">
        <f>IFERROR(D15/E15,0)</f>
        <v/>
      </c>
      <c r="K15" s="52">
        <f>SUMIF(MATCH_W1!$B:$B,$B15,MATCH_W1!$M:$M)+SUMIF(MATCH_W2!$B:$B,$B15,MATCH_W2!$M:$M)+SUMIF(MATCH_W3!$B:$B,$B15,MATCH_W3!$M:$M)+SUMIF(MATCH_W4!$B:$B,$B15,MATCH_W4!$M:$M)+SUMIF(MATCH_W5!$B:$B,$B15,MATCH_W5!$M:$M)+SUMIF(MATCH_W6!$B:$B,$B15,MATCH_W6!$M:$M)</f>
        <v/>
      </c>
    </row>
    <row r="16">
      <c r="A16" s="7" t="inlineStr">
        <is>
          <t>T1</t>
        </is>
      </c>
      <c r="B16" s="7" t="inlineStr">
        <is>
          <t>JASM1NE</t>
        </is>
      </c>
      <c r="C16" s="7" t="inlineStr">
        <is>
          <t>TANK</t>
        </is>
      </c>
      <c r="D16" s="50">
        <f>SUMIF(MATCH_W1!$B:$B,$B16,MATCH_W1!$F:$F)+SUMIF(MATCH_W2!$B:$B,$B16,MATCH_W2!$F:$F)+SUMIF(MATCH_W3!$B:$B,$B16,MATCH_W3!$F:$F)+SUMIF(MATCH_W4!$B:$B,$B16,MATCH_W4!$F:$F)+SUMIF(MATCH_W5!$B:$B,$B16,MATCH_W5!$F:$F)+SUMIF(MATCH_W6!$B:$B,$B16,MATCH_W6!$F:$F)</f>
        <v/>
      </c>
      <c r="E16" s="50">
        <f>SUMIF(MATCH_W1!$B:$B,$B16,MATCH_W1!$G:$G)+SUMIF(MATCH_W2!$B:$B,$B16,MATCH_W2!$G:$G)+SUMIF(MATCH_W3!$B:$B,$B16,MATCH_W3!$G:$G)+SUMIF(MATCH_W4!$B:$B,$B16,MATCH_W4!$G:$G)+SUMIF(MATCH_W5!$B:$B,$B16,MATCH_W5!$G:$G)+SUMIF(MATCH_W6!$B:$B,$B16,MATCH_W6!$G:$G)</f>
        <v/>
      </c>
      <c r="F16" s="50">
        <f>SUMIF(MATCH_W1!$B:$B,$B16,MATCH_W1!$H:$H)+SUMIF(MATCH_W2!$B:$B,$B16,MATCH_W2!$H:$H)+SUMIF(MATCH_W3!$B:$B,$B16,MATCH_W3!$H:$H)+SUMIF(MATCH_W4!$B:$B,$B16,MATCH_W4!$H:$H)+SUMIF(MATCH_W5!$B:$B,$B16,MATCH_W5!$H:$H)+SUMIF(MATCH_W6!$B:$B,$B16,MATCH_W6!$H:$H)</f>
        <v/>
      </c>
      <c r="G16" s="50">
        <f>SUMIF(MATCH_W1!$B:$B,$B16,MATCH_W1!$I:$I)+SUMIF(MATCH_W2!$B:$B,$B16,MATCH_W2!$I:$I)+SUMIF(MATCH_W3!$B:$B,$B16,MATCH_W3!$I:$I)+SUMIF(MATCH_W4!$B:$B,$B16,MATCH_W4!$I:$I)+SUMIF(MATCH_W5!$B:$B,$B16,MATCH_W5!$I:$I)+SUMIF(MATCH_W6!$B:$B,$B16,MATCH_W6!$I:$I)</f>
        <v/>
      </c>
      <c r="H16" s="50">
        <f>SUMIF(MATCH_W1!$B:$B,$B16,MATCH_W1!$J:$J)+SUMIF(MATCH_W2!$B:$B,$B16,MATCH_W2!$J:$J)+SUMIF(MATCH_W3!$B:$B,$B16,MATCH_W3!$J:$J)+SUMIF(MATCH_W4!$B:$B,$B16,MATCH_W4!$J:$J)+SUMIF(MATCH_W5!$B:$B,$B16,MATCH_W5!$J:$J)+SUMIF(MATCH_W6!$B:$B,$B16,MATCH_W6!$J:$J)</f>
        <v/>
      </c>
      <c r="I16" s="50">
        <f>SUMIF(MATCH_W1!$B:$B,$B16,MATCH_W1!$K:$K)+SUMIF(MATCH_W2!$B:$B,$B16,MATCH_W2!$K:$K)+SUMIF(MATCH_W3!$B:$B,$B16,MATCH_W3!$K:$K)+SUMIF(MATCH_W4!$B:$B,$B16,MATCH_W4!$K:$K)+SUMIF(MATCH_W5!$B:$B,$B16,MATCH_W5!$K:$K)+SUMIF(MATCH_W6!$B:$B,$B16,MATCH_W6!$K:$K)</f>
        <v/>
      </c>
      <c r="J16" s="51">
        <f>IFERROR(D16/E16,0)</f>
        <v/>
      </c>
      <c r="K16" s="52">
        <f>SUMIF(MATCH_W1!$B:$B,$B16,MATCH_W1!$M:$M)+SUMIF(MATCH_W2!$B:$B,$B16,MATCH_W2!$M:$M)+SUMIF(MATCH_W3!$B:$B,$B16,MATCH_W3!$M:$M)+SUMIF(MATCH_W4!$B:$B,$B16,MATCH_W4!$M:$M)+SUMIF(MATCH_W5!$B:$B,$B16,MATCH_W5!$M:$M)+SUMIF(MATCH_W6!$B:$B,$B16,MATCH_W6!$M:$M)</f>
        <v/>
      </c>
    </row>
    <row r="17">
      <c r="A17" s="7" t="inlineStr">
        <is>
          <t>T1</t>
        </is>
      </c>
      <c r="B17" s="7" t="inlineStr">
        <is>
          <t>ZEST</t>
        </is>
      </c>
      <c r="C17" s="7" t="inlineStr">
        <is>
          <t>DPS</t>
        </is>
      </c>
      <c r="D17" s="50">
        <f>SUMIF(MATCH_W1!$B:$B,$B17,MATCH_W1!$F:$F)+SUMIF(MATCH_W2!$B:$B,$B17,MATCH_W2!$F:$F)+SUMIF(MATCH_W3!$B:$B,$B17,MATCH_W3!$F:$F)+SUMIF(MATCH_W4!$B:$B,$B17,MATCH_W4!$F:$F)+SUMIF(MATCH_W5!$B:$B,$B17,MATCH_W5!$F:$F)+SUMIF(MATCH_W6!$B:$B,$B17,MATCH_W6!$F:$F)</f>
        <v/>
      </c>
      <c r="E17" s="50">
        <f>SUMIF(MATCH_W1!$B:$B,$B17,MATCH_W1!$G:$G)+SUMIF(MATCH_W2!$B:$B,$B17,MATCH_W2!$G:$G)+SUMIF(MATCH_W3!$B:$B,$B17,MATCH_W3!$G:$G)+SUMIF(MATCH_W4!$B:$B,$B17,MATCH_W4!$G:$G)+SUMIF(MATCH_W5!$B:$B,$B17,MATCH_W5!$G:$G)+SUMIF(MATCH_W6!$B:$B,$B17,MATCH_W6!$G:$G)</f>
        <v/>
      </c>
      <c r="F17" s="50">
        <f>SUMIF(MATCH_W1!$B:$B,$B17,MATCH_W1!$H:$H)+SUMIF(MATCH_W2!$B:$B,$B17,MATCH_W2!$H:$H)+SUMIF(MATCH_W3!$B:$B,$B17,MATCH_W3!$H:$H)+SUMIF(MATCH_W4!$B:$B,$B17,MATCH_W4!$H:$H)+SUMIF(MATCH_W5!$B:$B,$B17,MATCH_W5!$H:$H)+SUMIF(MATCH_W6!$B:$B,$B17,MATCH_W6!$H:$H)</f>
        <v/>
      </c>
      <c r="G17" s="50">
        <f>SUMIF(MATCH_W1!$B:$B,$B17,MATCH_W1!$I:$I)+SUMIF(MATCH_W2!$B:$B,$B17,MATCH_W2!$I:$I)+SUMIF(MATCH_W3!$B:$B,$B17,MATCH_W3!$I:$I)+SUMIF(MATCH_W4!$B:$B,$B17,MATCH_W4!$I:$I)+SUMIF(MATCH_W5!$B:$B,$B17,MATCH_W5!$I:$I)+SUMIF(MATCH_W6!$B:$B,$B17,MATCH_W6!$I:$I)</f>
        <v/>
      </c>
      <c r="H17" s="50">
        <f>SUMIF(MATCH_W1!$B:$B,$B17,MATCH_W1!$J:$J)+SUMIF(MATCH_W2!$B:$B,$B17,MATCH_W2!$J:$J)+SUMIF(MATCH_W3!$B:$B,$B17,MATCH_W3!$J:$J)+SUMIF(MATCH_W4!$B:$B,$B17,MATCH_W4!$J:$J)+SUMIF(MATCH_W5!$B:$B,$B17,MATCH_W5!$J:$J)+SUMIF(MATCH_W6!$B:$B,$B17,MATCH_W6!$J:$J)</f>
        <v/>
      </c>
      <c r="I17" s="50">
        <f>SUMIF(MATCH_W1!$B:$B,$B17,MATCH_W1!$K:$K)+SUMIF(MATCH_W2!$B:$B,$B17,MATCH_W2!$K:$K)+SUMIF(MATCH_W3!$B:$B,$B17,MATCH_W3!$K:$K)+SUMIF(MATCH_W4!$B:$B,$B17,MATCH_W4!$K:$K)+SUMIF(MATCH_W5!$B:$B,$B17,MATCH_W5!$K:$K)+SUMIF(MATCH_W6!$B:$B,$B17,MATCH_W6!$K:$K)</f>
        <v/>
      </c>
      <c r="J17" s="51">
        <f>IFERROR(D17/E17,0)</f>
        <v/>
      </c>
      <c r="K17" s="52">
        <f>SUMIF(MATCH_W1!$B:$B,$B17,MATCH_W1!$M:$M)+SUMIF(MATCH_W2!$B:$B,$B17,MATCH_W2!$M:$M)+SUMIF(MATCH_W3!$B:$B,$B17,MATCH_W3!$M:$M)+SUMIF(MATCH_W4!$B:$B,$B17,MATCH_W4!$M:$M)+SUMIF(MATCH_W5!$B:$B,$B17,MATCH_W5!$M:$M)+SUMIF(MATCH_W6!$B:$B,$B17,MATCH_W6!$M:$M)</f>
        <v/>
      </c>
    </row>
    <row r="18">
      <c r="A18" s="7" t="inlineStr">
        <is>
          <t>T1</t>
        </is>
      </c>
      <c r="B18" s="7" t="inlineStr">
        <is>
          <t>PROUD</t>
        </is>
      </c>
      <c r="C18" s="7" t="inlineStr">
        <is>
          <t>DPS</t>
        </is>
      </c>
      <c r="D18" s="50">
        <f>SUMIF(MATCH_W1!$B:$B,$B18,MATCH_W1!$F:$F)+SUMIF(MATCH_W2!$B:$B,$B18,MATCH_W2!$F:$F)+SUMIF(MATCH_W3!$B:$B,$B18,MATCH_W3!$F:$F)+SUMIF(MATCH_W4!$B:$B,$B18,MATCH_W4!$F:$F)+SUMIF(MATCH_W5!$B:$B,$B18,MATCH_W5!$F:$F)+SUMIF(MATCH_W6!$B:$B,$B18,MATCH_W6!$F:$F)</f>
        <v/>
      </c>
      <c r="E18" s="50">
        <f>SUMIF(MATCH_W1!$B:$B,$B18,MATCH_W1!$G:$G)+SUMIF(MATCH_W2!$B:$B,$B18,MATCH_W2!$G:$G)+SUMIF(MATCH_W3!$B:$B,$B18,MATCH_W3!$G:$G)+SUMIF(MATCH_W4!$B:$B,$B18,MATCH_W4!$G:$G)+SUMIF(MATCH_W5!$B:$B,$B18,MATCH_W5!$G:$G)+SUMIF(MATCH_W6!$B:$B,$B18,MATCH_W6!$G:$G)</f>
        <v/>
      </c>
      <c r="F18" s="50">
        <f>SUMIF(MATCH_W1!$B:$B,$B18,MATCH_W1!$H:$H)+SUMIF(MATCH_W2!$B:$B,$B18,MATCH_W2!$H:$H)+SUMIF(MATCH_W3!$B:$B,$B18,MATCH_W3!$H:$H)+SUMIF(MATCH_W4!$B:$B,$B18,MATCH_W4!$H:$H)+SUMIF(MATCH_W5!$B:$B,$B18,MATCH_W5!$H:$H)+SUMIF(MATCH_W6!$B:$B,$B18,MATCH_W6!$H:$H)</f>
        <v/>
      </c>
      <c r="G18" s="50">
        <f>SUMIF(MATCH_W1!$B:$B,$B18,MATCH_W1!$I:$I)+SUMIF(MATCH_W2!$B:$B,$B18,MATCH_W2!$I:$I)+SUMIF(MATCH_W3!$B:$B,$B18,MATCH_W3!$I:$I)+SUMIF(MATCH_W4!$B:$B,$B18,MATCH_W4!$I:$I)+SUMIF(MATCH_W5!$B:$B,$B18,MATCH_W5!$I:$I)+SUMIF(MATCH_W6!$B:$B,$B18,MATCH_W6!$I:$I)</f>
        <v/>
      </c>
      <c r="H18" s="50">
        <f>SUMIF(MATCH_W1!$B:$B,$B18,MATCH_W1!$J:$J)+SUMIF(MATCH_W2!$B:$B,$B18,MATCH_W2!$J:$J)+SUMIF(MATCH_W3!$B:$B,$B18,MATCH_W3!$J:$J)+SUMIF(MATCH_W4!$B:$B,$B18,MATCH_W4!$J:$J)+SUMIF(MATCH_W5!$B:$B,$B18,MATCH_W5!$J:$J)+SUMIF(MATCH_W6!$B:$B,$B18,MATCH_W6!$J:$J)</f>
        <v/>
      </c>
      <c r="I18" s="50">
        <f>SUMIF(MATCH_W1!$B:$B,$B18,MATCH_W1!$K:$K)+SUMIF(MATCH_W2!$B:$B,$B18,MATCH_W2!$K:$K)+SUMIF(MATCH_W3!$B:$B,$B18,MATCH_W3!$K:$K)+SUMIF(MATCH_W4!$B:$B,$B18,MATCH_W4!$K:$K)+SUMIF(MATCH_W5!$B:$B,$B18,MATCH_W5!$K:$K)+SUMIF(MATCH_W6!$B:$B,$B18,MATCH_W6!$K:$K)</f>
        <v/>
      </c>
      <c r="J18" s="51">
        <f>IFERROR(D18/E18,0)</f>
        <v/>
      </c>
      <c r="K18" s="52">
        <f>SUMIF(MATCH_W1!$B:$B,$B18,MATCH_W1!$M:$M)+SUMIF(MATCH_W2!$B:$B,$B18,MATCH_W2!$M:$M)+SUMIF(MATCH_W3!$B:$B,$B18,MATCH_W3!$M:$M)+SUMIF(MATCH_W4!$B:$B,$B18,MATCH_W4!$M:$M)+SUMIF(MATCH_W5!$B:$B,$B18,MATCH_W5!$M:$M)+SUMIF(MATCH_W6!$B:$B,$B18,MATCH_W6!$M:$M)</f>
        <v/>
      </c>
    </row>
    <row r="19">
      <c r="A19" s="7" t="inlineStr">
        <is>
          <t>T1</t>
        </is>
      </c>
      <c r="B19" s="7" t="inlineStr">
        <is>
          <t>BLISS</t>
        </is>
      </c>
      <c r="C19" s="7" t="inlineStr">
        <is>
          <t>SPT</t>
        </is>
      </c>
      <c r="D19" s="50">
        <f>SUMIF(MATCH_W1!$B:$B,$B19,MATCH_W1!$F:$F)+SUMIF(MATCH_W2!$B:$B,$B19,MATCH_W2!$F:$F)+SUMIF(MATCH_W3!$B:$B,$B19,MATCH_W3!$F:$F)+SUMIF(MATCH_W4!$B:$B,$B19,MATCH_W4!$F:$F)+SUMIF(MATCH_W5!$B:$B,$B19,MATCH_W5!$F:$F)+SUMIF(MATCH_W6!$B:$B,$B19,MATCH_W6!$F:$F)</f>
        <v/>
      </c>
      <c r="E19" s="50">
        <f>SUMIF(MATCH_W1!$B:$B,$B19,MATCH_W1!$G:$G)+SUMIF(MATCH_W2!$B:$B,$B19,MATCH_W2!$G:$G)+SUMIF(MATCH_W3!$B:$B,$B19,MATCH_W3!$G:$G)+SUMIF(MATCH_W4!$B:$B,$B19,MATCH_W4!$G:$G)+SUMIF(MATCH_W5!$B:$B,$B19,MATCH_W5!$G:$G)+SUMIF(MATCH_W6!$B:$B,$B19,MATCH_W6!$G:$G)</f>
        <v/>
      </c>
      <c r="F19" s="50">
        <f>SUMIF(MATCH_W1!$B:$B,$B19,MATCH_W1!$H:$H)+SUMIF(MATCH_W2!$B:$B,$B19,MATCH_W2!$H:$H)+SUMIF(MATCH_W3!$B:$B,$B19,MATCH_W3!$H:$H)+SUMIF(MATCH_W4!$B:$B,$B19,MATCH_W4!$H:$H)+SUMIF(MATCH_W5!$B:$B,$B19,MATCH_W5!$H:$H)+SUMIF(MATCH_W6!$B:$B,$B19,MATCH_W6!$H:$H)</f>
        <v/>
      </c>
      <c r="G19" s="50">
        <f>SUMIF(MATCH_W1!$B:$B,$B19,MATCH_W1!$I:$I)+SUMIF(MATCH_W2!$B:$B,$B19,MATCH_W2!$I:$I)+SUMIF(MATCH_W3!$B:$B,$B19,MATCH_W3!$I:$I)+SUMIF(MATCH_W4!$B:$B,$B19,MATCH_W4!$I:$I)+SUMIF(MATCH_W5!$B:$B,$B19,MATCH_W5!$I:$I)+SUMIF(MATCH_W6!$B:$B,$B19,MATCH_W6!$I:$I)</f>
        <v/>
      </c>
      <c r="H19" s="50">
        <f>SUMIF(MATCH_W1!$B:$B,$B19,MATCH_W1!$J:$J)+SUMIF(MATCH_W2!$B:$B,$B19,MATCH_W2!$J:$J)+SUMIF(MATCH_W3!$B:$B,$B19,MATCH_W3!$J:$J)+SUMIF(MATCH_W4!$B:$B,$B19,MATCH_W4!$J:$J)+SUMIF(MATCH_W5!$B:$B,$B19,MATCH_W5!$J:$J)+SUMIF(MATCH_W6!$B:$B,$B19,MATCH_W6!$J:$J)</f>
        <v/>
      </c>
      <c r="I19" s="50">
        <f>SUMIF(MATCH_W1!$B:$B,$B19,MATCH_W1!$K:$K)+SUMIF(MATCH_W2!$B:$B,$B19,MATCH_W2!$K:$K)+SUMIF(MATCH_W3!$B:$B,$B19,MATCH_W3!$K:$K)+SUMIF(MATCH_W4!$B:$B,$B19,MATCH_W4!$K:$K)+SUMIF(MATCH_W5!$B:$B,$B19,MATCH_W5!$K:$K)+SUMIF(MATCH_W6!$B:$B,$B19,MATCH_W6!$K:$K)</f>
        <v/>
      </c>
      <c r="J19" s="51">
        <f>IFERROR(D19/E19,0)</f>
        <v/>
      </c>
      <c r="K19" s="52">
        <f>SUMIF(MATCH_W1!$B:$B,$B19,MATCH_W1!$M:$M)+SUMIF(MATCH_W2!$B:$B,$B19,MATCH_W2!$M:$M)+SUMIF(MATCH_W3!$B:$B,$B19,MATCH_W3!$M:$M)+SUMIF(MATCH_W4!$B:$B,$B19,MATCH_W4!$M:$M)+SUMIF(MATCH_W5!$B:$B,$B19,MATCH_W5!$M:$M)+SUMIF(MATCH_W6!$B:$B,$B19,MATCH_W6!$M:$M)</f>
        <v/>
      </c>
    </row>
    <row r="20">
      <c r="A20" s="7" t="inlineStr">
        <is>
          <t>T1</t>
        </is>
      </c>
      <c r="B20" s="7" t="inlineStr">
        <is>
          <t>SKEWED</t>
        </is>
      </c>
      <c r="C20" s="7" t="inlineStr">
        <is>
          <t>SPT</t>
        </is>
      </c>
      <c r="D20" s="50">
        <f>SUMIF(MATCH_W1!$B:$B,$B20,MATCH_W1!$F:$F)+SUMIF(MATCH_W2!$B:$B,$B20,MATCH_W2!$F:$F)+SUMIF(MATCH_W3!$B:$B,$B20,MATCH_W3!$F:$F)+SUMIF(MATCH_W4!$B:$B,$B20,MATCH_W4!$F:$F)+SUMIF(MATCH_W5!$B:$B,$B20,MATCH_W5!$F:$F)+SUMIF(MATCH_W6!$B:$B,$B20,MATCH_W6!$F:$F)</f>
        <v/>
      </c>
      <c r="E20" s="50">
        <f>SUMIF(MATCH_W1!$B:$B,$B20,MATCH_W1!$G:$G)+SUMIF(MATCH_W2!$B:$B,$B20,MATCH_W2!$G:$G)+SUMIF(MATCH_W3!$B:$B,$B20,MATCH_W3!$G:$G)+SUMIF(MATCH_W4!$B:$B,$B20,MATCH_W4!$G:$G)+SUMIF(MATCH_W5!$B:$B,$B20,MATCH_W5!$G:$G)+SUMIF(MATCH_W6!$B:$B,$B20,MATCH_W6!$G:$G)</f>
        <v/>
      </c>
      <c r="F20" s="50">
        <f>SUMIF(MATCH_W1!$B:$B,$B20,MATCH_W1!$H:$H)+SUMIF(MATCH_W2!$B:$B,$B20,MATCH_W2!$H:$H)+SUMIF(MATCH_W3!$B:$B,$B20,MATCH_W3!$H:$H)+SUMIF(MATCH_W4!$B:$B,$B20,MATCH_W4!$H:$H)+SUMIF(MATCH_W5!$B:$B,$B20,MATCH_W5!$H:$H)+SUMIF(MATCH_W6!$B:$B,$B20,MATCH_W6!$H:$H)</f>
        <v/>
      </c>
      <c r="G20" s="50">
        <f>SUMIF(MATCH_W1!$B:$B,$B20,MATCH_W1!$I:$I)+SUMIF(MATCH_W2!$B:$B,$B20,MATCH_W2!$I:$I)+SUMIF(MATCH_W3!$B:$B,$B20,MATCH_W3!$I:$I)+SUMIF(MATCH_W4!$B:$B,$B20,MATCH_W4!$I:$I)+SUMIF(MATCH_W5!$B:$B,$B20,MATCH_W5!$I:$I)+SUMIF(MATCH_W6!$B:$B,$B20,MATCH_W6!$I:$I)</f>
        <v/>
      </c>
      <c r="H20" s="50">
        <f>SUMIF(MATCH_W1!$B:$B,$B20,MATCH_W1!$J:$J)+SUMIF(MATCH_W2!$B:$B,$B20,MATCH_W2!$J:$J)+SUMIF(MATCH_W3!$B:$B,$B20,MATCH_W3!$J:$J)+SUMIF(MATCH_W4!$B:$B,$B20,MATCH_W4!$J:$J)+SUMIF(MATCH_W5!$B:$B,$B20,MATCH_W5!$J:$J)+SUMIF(MATCH_W6!$B:$B,$B20,MATCH_W6!$J:$J)</f>
        <v/>
      </c>
      <c r="I20" s="50">
        <f>SUMIF(MATCH_W1!$B:$B,$B20,MATCH_W1!$K:$K)+SUMIF(MATCH_W2!$B:$B,$B20,MATCH_W2!$K:$K)+SUMIF(MATCH_W3!$B:$B,$B20,MATCH_W3!$K:$K)+SUMIF(MATCH_W4!$B:$B,$B20,MATCH_W4!$K:$K)+SUMIF(MATCH_W5!$B:$B,$B20,MATCH_W5!$K:$K)+SUMIF(MATCH_W6!$B:$B,$B20,MATCH_W6!$K:$K)</f>
        <v/>
      </c>
      <c r="J20" s="51">
        <f>IFERROR(D20/E20,0)</f>
        <v/>
      </c>
      <c r="K20" s="52">
        <f>SUMIF(MATCH_W1!$B:$B,$B20,MATCH_W1!$M:$M)+SUMIF(MATCH_W2!$B:$B,$B20,MATCH_W2!$M:$M)+SUMIF(MATCH_W3!$B:$B,$B20,MATCH_W3!$M:$M)+SUMIF(MATCH_W4!$B:$B,$B20,MATCH_W4!$M:$M)+SUMIF(MATCH_W5!$B:$B,$B20,MATCH_W5!$M:$M)+SUMIF(MATCH_W6!$B:$B,$B20,MATCH_W6!$M:$M)</f>
        <v/>
      </c>
    </row>
    <row r="21">
      <c r="A21" s="7" t="inlineStr">
        <is>
          <t>ZETA</t>
        </is>
      </c>
      <c r="B21" s="7" t="inlineStr">
        <is>
          <t>BERNAR</t>
        </is>
      </c>
      <c r="C21" s="7" t="inlineStr">
        <is>
          <t>TANK</t>
        </is>
      </c>
      <c r="D21" s="50">
        <f>SUMIF(MATCH_W1!$B:$B,$B21,MATCH_W1!$F:$F)+SUMIF(MATCH_W2!$B:$B,$B21,MATCH_W2!$F:$F)+SUMIF(MATCH_W3!$B:$B,$B21,MATCH_W3!$F:$F)+SUMIF(MATCH_W4!$B:$B,$B21,MATCH_W4!$F:$F)+SUMIF(MATCH_W5!$B:$B,$B21,MATCH_W5!$F:$F)+SUMIF(MATCH_W6!$B:$B,$B21,MATCH_W6!$F:$F)</f>
        <v/>
      </c>
      <c r="E21" s="50">
        <f>SUMIF(MATCH_W1!$B:$B,$B21,MATCH_W1!$G:$G)+SUMIF(MATCH_W2!$B:$B,$B21,MATCH_W2!$G:$G)+SUMIF(MATCH_W3!$B:$B,$B21,MATCH_W3!$G:$G)+SUMIF(MATCH_W4!$B:$B,$B21,MATCH_W4!$G:$G)+SUMIF(MATCH_W5!$B:$B,$B21,MATCH_W5!$G:$G)+SUMIF(MATCH_W6!$B:$B,$B21,MATCH_W6!$G:$G)</f>
        <v/>
      </c>
      <c r="F21" s="50">
        <f>SUMIF(MATCH_W1!$B:$B,$B21,MATCH_W1!$H:$H)+SUMIF(MATCH_W2!$B:$B,$B21,MATCH_W2!$H:$H)+SUMIF(MATCH_W3!$B:$B,$B21,MATCH_W3!$H:$H)+SUMIF(MATCH_W4!$B:$B,$B21,MATCH_W4!$H:$H)+SUMIF(MATCH_W5!$B:$B,$B21,MATCH_W5!$H:$H)+SUMIF(MATCH_W6!$B:$B,$B21,MATCH_W6!$H:$H)</f>
        <v/>
      </c>
      <c r="G21" s="50">
        <f>SUMIF(MATCH_W1!$B:$B,$B21,MATCH_W1!$I:$I)+SUMIF(MATCH_W2!$B:$B,$B21,MATCH_W2!$I:$I)+SUMIF(MATCH_W3!$B:$B,$B21,MATCH_W3!$I:$I)+SUMIF(MATCH_W4!$B:$B,$B21,MATCH_W4!$I:$I)+SUMIF(MATCH_W5!$B:$B,$B21,MATCH_W5!$I:$I)+SUMIF(MATCH_W6!$B:$B,$B21,MATCH_W6!$I:$I)</f>
        <v/>
      </c>
      <c r="H21" s="50">
        <f>SUMIF(MATCH_W1!$B:$B,$B21,MATCH_W1!$J:$J)+SUMIF(MATCH_W2!$B:$B,$B21,MATCH_W2!$J:$J)+SUMIF(MATCH_W3!$B:$B,$B21,MATCH_W3!$J:$J)+SUMIF(MATCH_W4!$B:$B,$B21,MATCH_W4!$J:$J)+SUMIF(MATCH_W5!$B:$B,$B21,MATCH_W5!$J:$J)+SUMIF(MATCH_W6!$B:$B,$B21,MATCH_W6!$J:$J)</f>
        <v/>
      </c>
      <c r="I21" s="50">
        <f>SUMIF(MATCH_W1!$B:$B,$B21,MATCH_W1!$K:$K)+SUMIF(MATCH_W2!$B:$B,$B21,MATCH_W2!$K:$K)+SUMIF(MATCH_W3!$B:$B,$B21,MATCH_W3!$K:$K)+SUMIF(MATCH_W4!$B:$B,$B21,MATCH_W4!$K:$K)+SUMIF(MATCH_W5!$B:$B,$B21,MATCH_W5!$K:$K)+SUMIF(MATCH_W6!$B:$B,$B21,MATCH_W6!$K:$K)</f>
        <v/>
      </c>
      <c r="J21" s="51">
        <f>IFERROR(D21/E21,0)</f>
        <v/>
      </c>
      <c r="K21" s="52">
        <f>SUMIF(MATCH_W1!$B:$B,$B21,MATCH_W1!$M:$M)+SUMIF(MATCH_W2!$B:$B,$B21,MATCH_W2!$M:$M)+SUMIF(MATCH_W3!$B:$B,$B21,MATCH_W3!$M:$M)+SUMIF(MATCH_W4!$B:$B,$B21,MATCH_W4!$M:$M)+SUMIF(MATCH_W5!$B:$B,$B21,MATCH_W5!$M:$M)+SUMIF(MATCH_W6!$B:$B,$B21,MATCH_W6!$M:$M)</f>
        <v/>
      </c>
    </row>
    <row r="22">
      <c r="A22" s="7" t="inlineStr">
        <is>
          <t>ZETA</t>
        </is>
      </c>
      <c r="B22" s="7" t="inlineStr">
        <is>
          <t>MEALGARU</t>
        </is>
      </c>
      <c r="C22" s="7" t="inlineStr">
        <is>
          <t>TANK</t>
        </is>
      </c>
      <c r="D22" s="50">
        <f>SUMIF(MATCH_W1!$B:$B,$B22,MATCH_W1!$F:$F)+SUMIF(MATCH_W2!$B:$B,$B22,MATCH_W2!$F:$F)+SUMIF(MATCH_W3!$B:$B,$B22,MATCH_W3!$F:$F)+SUMIF(MATCH_W4!$B:$B,$B22,MATCH_W4!$F:$F)+SUMIF(MATCH_W5!$B:$B,$B22,MATCH_W5!$F:$F)+SUMIF(MATCH_W6!$B:$B,$B22,MATCH_W6!$F:$F)</f>
        <v/>
      </c>
      <c r="E22" s="50">
        <f>SUMIF(MATCH_W1!$B:$B,$B22,MATCH_W1!$G:$G)+SUMIF(MATCH_W2!$B:$B,$B22,MATCH_W2!$G:$G)+SUMIF(MATCH_W3!$B:$B,$B22,MATCH_W3!$G:$G)+SUMIF(MATCH_W4!$B:$B,$B22,MATCH_W4!$G:$G)+SUMIF(MATCH_W5!$B:$B,$B22,MATCH_W5!$G:$G)+SUMIF(MATCH_W6!$B:$B,$B22,MATCH_W6!$G:$G)</f>
        <v/>
      </c>
      <c r="F22" s="50">
        <f>SUMIF(MATCH_W1!$B:$B,$B22,MATCH_W1!$H:$H)+SUMIF(MATCH_W2!$B:$B,$B22,MATCH_W2!$H:$H)+SUMIF(MATCH_W3!$B:$B,$B22,MATCH_W3!$H:$H)+SUMIF(MATCH_W4!$B:$B,$B22,MATCH_W4!$H:$H)+SUMIF(MATCH_W5!$B:$B,$B22,MATCH_W5!$H:$H)+SUMIF(MATCH_W6!$B:$B,$B22,MATCH_W6!$H:$H)</f>
        <v/>
      </c>
      <c r="G22" s="50">
        <f>SUMIF(MATCH_W1!$B:$B,$B22,MATCH_W1!$I:$I)+SUMIF(MATCH_W2!$B:$B,$B22,MATCH_W2!$I:$I)+SUMIF(MATCH_W3!$B:$B,$B22,MATCH_W3!$I:$I)+SUMIF(MATCH_W4!$B:$B,$B22,MATCH_W4!$I:$I)+SUMIF(MATCH_W5!$B:$B,$B22,MATCH_W5!$I:$I)+SUMIF(MATCH_W6!$B:$B,$B22,MATCH_W6!$I:$I)</f>
        <v/>
      </c>
      <c r="H22" s="50">
        <f>SUMIF(MATCH_W1!$B:$B,$B22,MATCH_W1!$J:$J)+SUMIF(MATCH_W2!$B:$B,$B22,MATCH_W2!$J:$J)+SUMIF(MATCH_W3!$B:$B,$B22,MATCH_W3!$J:$J)+SUMIF(MATCH_W4!$B:$B,$B22,MATCH_W4!$J:$J)+SUMIF(MATCH_W5!$B:$B,$B22,MATCH_W5!$J:$J)+SUMIF(MATCH_W6!$B:$B,$B22,MATCH_W6!$J:$J)</f>
        <v/>
      </c>
      <c r="I22" s="50">
        <f>SUMIF(MATCH_W1!$B:$B,$B22,MATCH_W1!$K:$K)+SUMIF(MATCH_W2!$B:$B,$B22,MATCH_W2!$K:$K)+SUMIF(MATCH_W3!$B:$B,$B22,MATCH_W3!$K:$K)+SUMIF(MATCH_W4!$B:$B,$B22,MATCH_W4!$K:$K)+SUMIF(MATCH_W5!$B:$B,$B22,MATCH_W5!$K:$K)+SUMIF(MATCH_W6!$B:$B,$B22,MATCH_W6!$K:$K)</f>
        <v/>
      </c>
      <c r="J22" s="51">
        <f>IFERROR(D22/E22,0)</f>
        <v/>
      </c>
      <c r="K22" s="52">
        <f>SUMIF(MATCH_W1!$B:$B,$B22,MATCH_W1!$M:$M)+SUMIF(MATCH_W2!$B:$B,$B22,MATCH_W2!$M:$M)+SUMIF(MATCH_W3!$B:$B,$B22,MATCH_W3!$M:$M)+SUMIF(MATCH_W4!$B:$B,$B22,MATCH_W4!$M:$M)+SUMIF(MATCH_W5!$B:$B,$B22,MATCH_W5!$M:$M)+SUMIF(MATCH_W6!$B:$B,$B22,MATCH_W6!$M:$M)</f>
        <v/>
      </c>
    </row>
    <row r="23">
      <c r="A23" s="7" t="inlineStr">
        <is>
          <t>ZETA</t>
        </is>
      </c>
      <c r="B23" s="7" t="inlineStr">
        <is>
          <t>PROPER</t>
        </is>
      </c>
      <c r="C23" s="7" t="inlineStr">
        <is>
          <t>DPS</t>
        </is>
      </c>
      <c r="D23" s="50">
        <f>SUMIF(MATCH_W1!$B:$B,$B23,MATCH_W1!$F:$F)+SUMIF(MATCH_W2!$B:$B,$B23,MATCH_W2!$F:$F)+SUMIF(MATCH_W3!$B:$B,$B23,MATCH_W3!$F:$F)+SUMIF(MATCH_W4!$B:$B,$B23,MATCH_W4!$F:$F)+SUMIF(MATCH_W5!$B:$B,$B23,MATCH_W5!$F:$F)+SUMIF(MATCH_W6!$B:$B,$B23,MATCH_W6!$F:$F)</f>
        <v/>
      </c>
      <c r="E23" s="50">
        <f>SUMIF(MATCH_W1!$B:$B,$B23,MATCH_W1!$G:$G)+SUMIF(MATCH_W2!$B:$B,$B23,MATCH_W2!$G:$G)+SUMIF(MATCH_W3!$B:$B,$B23,MATCH_W3!$G:$G)+SUMIF(MATCH_W4!$B:$B,$B23,MATCH_W4!$G:$G)+SUMIF(MATCH_W5!$B:$B,$B23,MATCH_W5!$G:$G)+SUMIF(MATCH_W6!$B:$B,$B23,MATCH_W6!$G:$G)</f>
        <v/>
      </c>
      <c r="F23" s="50">
        <f>SUMIF(MATCH_W1!$B:$B,$B23,MATCH_W1!$H:$H)+SUMIF(MATCH_W2!$B:$B,$B23,MATCH_W2!$H:$H)+SUMIF(MATCH_W3!$B:$B,$B23,MATCH_W3!$H:$H)+SUMIF(MATCH_W4!$B:$B,$B23,MATCH_W4!$H:$H)+SUMIF(MATCH_W5!$B:$B,$B23,MATCH_W5!$H:$H)+SUMIF(MATCH_W6!$B:$B,$B23,MATCH_W6!$H:$H)</f>
        <v/>
      </c>
      <c r="G23" s="50">
        <f>SUMIF(MATCH_W1!$B:$B,$B23,MATCH_W1!$I:$I)+SUMIF(MATCH_W2!$B:$B,$B23,MATCH_W2!$I:$I)+SUMIF(MATCH_W3!$B:$B,$B23,MATCH_W3!$I:$I)+SUMIF(MATCH_W4!$B:$B,$B23,MATCH_W4!$I:$I)+SUMIF(MATCH_W5!$B:$B,$B23,MATCH_W5!$I:$I)+SUMIF(MATCH_W6!$B:$B,$B23,MATCH_W6!$I:$I)</f>
        <v/>
      </c>
      <c r="H23" s="50">
        <f>SUMIF(MATCH_W1!$B:$B,$B23,MATCH_W1!$J:$J)+SUMIF(MATCH_W2!$B:$B,$B23,MATCH_W2!$J:$J)+SUMIF(MATCH_W3!$B:$B,$B23,MATCH_W3!$J:$J)+SUMIF(MATCH_W4!$B:$B,$B23,MATCH_W4!$J:$J)+SUMIF(MATCH_W5!$B:$B,$B23,MATCH_W5!$J:$J)+SUMIF(MATCH_W6!$B:$B,$B23,MATCH_W6!$J:$J)</f>
        <v/>
      </c>
      <c r="I23" s="50">
        <f>SUMIF(MATCH_W1!$B:$B,$B23,MATCH_W1!$K:$K)+SUMIF(MATCH_W2!$B:$B,$B23,MATCH_W2!$K:$K)+SUMIF(MATCH_W3!$B:$B,$B23,MATCH_W3!$K:$K)+SUMIF(MATCH_W4!$B:$B,$B23,MATCH_W4!$K:$K)+SUMIF(MATCH_W5!$B:$B,$B23,MATCH_W5!$K:$K)+SUMIF(MATCH_W6!$B:$B,$B23,MATCH_W6!$K:$K)</f>
        <v/>
      </c>
      <c r="J23" s="51">
        <f>IFERROR(D23/E23,0)</f>
        <v/>
      </c>
      <c r="K23" s="52">
        <f>SUMIF(MATCH_W1!$B:$B,$B23,MATCH_W1!$M:$M)+SUMIF(MATCH_W2!$B:$B,$B23,MATCH_W2!$M:$M)+SUMIF(MATCH_W3!$B:$B,$B23,MATCH_W3!$M:$M)+SUMIF(MATCH_W4!$B:$B,$B23,MATCH_W4!$M:$M)+SUMIF(MATCH_W5!$B:$B,$B23,MATCH_W5!$M:$M)+SUMIF(MATCH_W6!$B:$B,$B23,MATCH_W6!$M:$M)</f>
        <v/>
      </c>
    </row>
    <row r="24">
      <c r="A24" s="7" t="inlineStr">
        <is>
          <t>ZETA</t>
        </is>
      </c>
      <c r="B24" s="7" t="inlineStr">
        <is>
          <t>KNIFE</t>
        </is>
      </c>
      <c r="C24" s="7" t="inlineStr">
        <is>
          <t>DPS</t>
        </is>
      </c>
      <c r="D24" s="50">
        <f>SUMIF(MATCH_W1!$B:$B,$B24,MATCH_W1!$F:$F)+SUMIF(MATCH_W2!$B:$B,$B24,MATCH_W2!$F:$F)+SUMIF(MATCH_W3!$B:$B,$B24,MATCH_W3!$F:$F)+SUMIF(MATCH_W4!$B:$B,$B24,MATCH_W4!$F:$F)+SUMIF(MATCH_W5!$B:$B,$B24,MATCH_W5!$F:$F)+SUMIF(MATCH_W6!$B:$B,$B24,MATCH_W6!$F:$F)</f>
        <v/>
      </c>
      <c r="E24" s="50">
        <f>SUMIF(MATCH_W1!$B:$B,$B24,MATCH_W1!$G:$G)+SUMIF(MATCH_W2!$B:$B,$B24,MATCH_W2!$G:$G)+SUMIF(MATCH_W3!$B:$B,$B24,MATCH_W3!$G:$G)+SUMIF(MATCH_W4!$B:$B,$B24,MATCH_W4!$G:$G)+SUMIF(MATCH_W5!$B:$B,$B24,MATCH_W5!$G:$G)+SUMIF(MATCH_W6!$B:$B,$B24,MATCH_W6!$G:$G)</f>
        <v/>
      </c>
      <c r="F24" s="50">
        <f>SUMIF(MATCH_W1!$B:$B,$B24,MATCH_W1!$H:$H)+SUMIF(MATCH_W2!$B:$B,$B24,MATCH_W2!$H:$H)+SUMIF(MATCH_W3!$B:$B,$B24,MATCH_W3!$H:$H)+SUMIF(MATCH_W4!$B:$B,$B24,MATCH_W4!$H:$H)+SUMIF(MATCH_W5!$B:$B,$B24,MATCH_W5!$H:$H)+SUMIF(MATCH_W6!$B:$B,$B24,MATCH_W6!$H:$H)</f>
        <v/>
      </c>
      <c r="G24" s="50">
        <f>SUMIF(MATCH_W1!$B:$B,$B24,MATCH_W1!$I:$I)+SUMIF(MATCH_W2!$B:$B,$B24,MATCH_W2!$I:$I)+SUMIF(MATCH_W3!$B:$B,$B24,MATCH_W3!$I:$I)+SUMIF(MATCH_W4!$B:$B,$B24,MATCH_W4!$I:$I)+SUMIF(MATCH_W5!$B:$B,$B24,MATCH_W5!$I:$I)+SUMIF(MATCH_W6!$B:$B,$B24,MATCH_W6!$I:$I)</f>
        <v/>
      </c>
      <c r="H24" s="50">
        <f>SUMIF(MATCH_W1!$B:$B,$B24,MATCH_W1!$J:$J)+SUMIF(MATCH_W2!$B:$B,$B24,MATCH_W2!$J:$J)+SUMIF(MATCH_W3!$B:$B,$B24,MATCH_W3!$J:$J)+SUMIF(MATCH_W4!$B:$B,$B24,MATCH_W4!$J:$J)+SUMIF(MATCH_W5!$B:$B,$B24,MATCH_W5!$J:$J)+SUMIF(MATCH_W6!$B:$B,$B24,MATCH_W6!$J:$J)</f>
        <v/>
      </c>
      <c r="I24" s="50">
        <f>SUMIF(MATCH_W1!$B:$B,$B24,MATCH_W1!$K:$K)+SUMIF(MATCH_W2!$B:$B,$B24,MATCH_W2!$K:$K)+SUMIF(MATCH_W3!$B:$B,$B24,MATCH_W3!$K:$K)+SUMIF(MATCH_W4!$B:$B,$B24,MATCH_W4!$K:$K)+SUMIF(MATCH_W5!$B:$B,$B24,MATCH_W5!$K:$K)+SUMIF(MATCH_W6!$B:$B,$B24,MATCH_W6!$K:$K)</f>
        <v/>
      </c>
      <c r="J24" s="51">
        <f>IFERROR(D24/E24,0)</f>
        <v/>
      </c>
      <c r="K24" s="52">
        <f>SUMIF(MATCH_W1!$B:$B,$B24,MATCH_W1!$M:$M)+SUMIF(MATCH_W2!$B:$B,$B24,MATCH_W2!$M:$M)+SUMIF(MATCH_W3!$B:$B,$B24,MATCH_W3!$M:$M)+SUMIF(MATCH_W4!$B:$B,$B24,MATCH_W4!$M:$M)+SUMIF(MATCH_W5!$B:$B,$B24,MATCH_W5!$M:$M)+SUMIF(MATCH_W6!$B:$B,$B24,MATCH_W6!$M:$M)</f>
        <v/>
      </c>
    </row>
    <row r="25">
      <c r="A25" s="7" t="inlineStr">
        <is>
          <t>ZETA</t>
        </is>
      </c>
      <c r="B25" s="7" t="inlineStr">
        <is>
          <t>VIOL2T</t>
        </is>
      </c>
      <c r="C25" s="7" t="inlineStr">
        <is>
          <t>SPT</t>
        </is>
      </c>
      <c r="D25" s="50">
        <f>SUMIF(MATCH_W1!$B:$B,$B25,MATCH_W1!$F:$F)+SUMIF(MATCH_W2!$B:$B,$B25,MATCH_W2!$F:$F)+SUMIF(MATCH_W3!$B:$B,$B25,MATCH_W3!$F:$F)+SUMIF(MATCH_W4!$B:$B,$B25,MATCH_W4!$F:$F)+SUMIF(MATCH_W5!$B:$B,$B25,MATCH_W5!$F:$F)+SUMIF(MATCH_W6!$B:$B,$B25,MATCH_W6!$F:$F)</f>
        <v/>
      </c>
      <c r="E25" s="50">
        <f>SUMIF(MATCH_W1!$B:$B,$B25,MATCH_W1!$G:$G)+SUMIF(MATCH_W2!$B:$B,$B25,MATCH_W2!$G:$G)+SUMIF(MATCH_W3!$B:$B,$B25,MATCH_W3!$G:$G)+SUMIF(MATCH_W4!$B:$B,$B25,MATCH_W4!$G:$G)+SUMIF(MATCH_W5!$B:$B,$B25,MATCH_W5!$G:$G)+SUMIF(MATCH_W6!$B:$B,$B25,MATCH_W6!$G:$G)</f>
        <v/>
      </c>
      <c r="F25" s="50">
        <f>SUMIF(MATCH_W1!$B:$B,$B25,MATCH_W1!$H:$H)+SUMIF(MATCH_W2!$B:$B,$B25,MATCH_W2!$H:$H)+SUMIF(MATCH_W3!$B:$B,$B25,MATCH_W3!$H:$H)+SUMIF(MATCH_W4!$B:$B,$B25,MATCH_W4!$H:$H)+SUMIF(MATCH_W5!$B:$B,$B25,MATCH_W5!$H:$H)+SUMIF(MATCH_W6!$B:$B,$B25,MATCH_W6!$H:$H)</f>
        <v/>
      </c>
      <c r="G25" s="50">
        <f>SUMIF(MATCH_W1!$B:$B,$B25,MATCH_W1!$I:$I)+SUMIF(MATCH_W2!$B:$B,$B25,MATCH_W2!$I:$I)+SUMIF(MATCH_W3!$B:$B,$B25,MATCH_W3!$I:$I)+SUMIF(MATCH_W4!$B:$B,$B25,MATCH_W4!$I:$I)+SUMIF(MATCH_W5!$B:$B,$B25,MATCH_W5!$I:$I)+SUMIF(MATCH_W6!$B:$B,$B25,MATCH_W6!$I:$I)</f>
        <v/>
      </c>
      <c r="H25" s="50">
        <f>SUMIF(MATCH_W1!$B:$B,$B25,MATCH_W1!$J:$J)+SUMIF(MATCH_W2!$B:$B,$B25,MATCH_W2!$J:$J)+SUMIF(MATCH_W3!$B:$B,$B25,MATCH_W3!$J:$J)+SUMIF(MATCH_W4!$B:$B,$B25,MATCH_W4!$J:$J)+SUMIF(MATCH_W5!$B:$B,$B25,MATCH_W5!$J:$J)+SUMIF(MATCH_W6!$B:$B,$B25,MATCH_W6!$J:$J)</f>
        <v/>
      </c>
      <c r="I25" s="50">
        <f>SUMIF(MATCH_W1!$B:$B,$B25,MATCH_W1!$K:$K)+SUMIF(MATCH_W2!$B:$B,$B25,MATCH_W2!$K:$K)+SUMIF(MATCH_W3!$B:$B,$B25,MATCH_W3!$K:$K)+SUMIF(MATCH_W4!$B:$B,$B25,MATCH_W4!$K:$K)+SUMIF(MATCH_W5!$B:$B,$B25,MATCH_W5!$K:$K)+SUMIF(MATCH_W6!$B:$B,$B25,MATCH_W6!$K:$K)</f>
        <v/>
      </c>
      <c r="J25" s="51">
        <f>IFERROR(D25/E25,0)</f>
        <v/>
      </c>
      <c r="K25" s="52">
        <f>SUMIF(MATCH_W1!$B:$B,$B25,MATCH_W1!$M:$M)+SUMIF(MATCH_W2!$B:$B,$B25,MATCH_W2!$M:$M)+SUMIF(MATCH_W3!$B:$B,$B25,MATCH_W3!$M:$M)+SUMIF(MATCH_W4!$B:$B,$B25,MATCH_W4!$M:$M)+SUMIF(MATCH_W5!$B:$B,$B25,MATCH_W5!$M:$M)+SUMIF(MATCH_W6!$B:$B,$B25,MATCH_W6!$M:$M)</f>
        <v/>
      </c>
    </row>
    <row r="26">
      <c r="A26" s="7" t="inlineStr">
        <is>
          <t>ZETA</t>
        </is>
      </c>
      <c r="B26" s="7" t="inlineStr">
        <is>
          <t>SHU</t>
        </is>
      </c>
      <c r="C26" s="7" t="inlineStr">
        <is>
          <t>SPT</t>
        </is>
      </c>
      <c r="D26" s="50">
        <f>SUMIF(MATCH_W1!$B:$B,$B26,MATCH_W1!$F:$F)+SUMIF(MATCH_W2!$B:$B,$B26,MATCH_W2!$F:$F)+SUMIF(MATCH_W3!$B:$B,$B26,MATCH_W3!$F:$F)+SUMIF(MATCH_W4!$B:$B,$B26,MATCH_W4!$F:$F)+SUMIF(MATCH_W5!$B:$B,$B26,MATCH_W5!$F:$F)+SUMIF(MATCH_W6!$B:$B,$B26,MATCH_W6!$F:$F)</f>
        <v/>
      </c>
      <c r="E26" s="50">
        <f>SUMIF(MATCH_W1!$B:$B,$B26,MATCH_W1!$G:$G)+SUMIF(MATCH_W2!$B:$B,$B26,MATCH_W2!$G:$G)+SUMIF(MATCH_W3!$B:$B,$B26,MATCH_W3!$G:$G)+SUMIF(MATCH_W4!$B:$B,$B26,MATCH_W4!$G:$G)+SUMIF(MATCH_W5!$B:$B,$B26,MATCH_W5!$G:$G)+SUMIF(MATCH_W6!$B:$B,$B26,MATCH_W6!$G:$G)</f>
        <v/>
      </c>
      <c r="F26" s="50">
        <f>SUMIF(MATCH_W1!$B:$B,$B26,MATCH_W1!$H:$H)+SUMIF(MATCH_W2!$B:$B,$B26,MATCH_W2!$H:$H)+SUMIF(MATCH_W3!$B:$B,$B26,MATCH_W3!$H:$H)+SUMIF(MATCH_W4!$B:$B,$B26,MATCH_W4!$H:$H)+SUMIF(MATCH_W5!$B:$B,$B26,MATCH_W5!$H:$H)+SUMIF(MATCH_W6!$B:$B,$B26,MATCH_W6!$H:$H)</f>
        <v/>
      </c>
      <c r="G26" s="50">
        <f>SUMIF(MATCH_W1!$B:$B,$B26,MATCH_W1!$I:$I)+SUMIF(MATCH_W2!$B:$B,$B26,MATCH_W2!$I:$I)+SUMIF(MATCH_W3!$B:$B,$B26,MATCH_W3!$I:$I)+SUMIF(MATCH_W4!$B:$B,$B26,MATCH_W4!$I:$I)+SUMIF(MATCH_W5!$B:$B,$B26,MATCH_W5!$I:$I)+SUMIF(MATCH_W6!$B:$B,$B26,MATCH_W6!$I:$I)</f>
        <v/>
      </c>
      <c r="H26" s="50">
        <f>SUMIF(MATCH_W1!$B:$B,$B26,MATCH_W1!$J:$J)+SUMIF(MATCH_W2!$B:$B,$B26,MATCH_W2!$J:$J)+SUMIF(MATCH_W3!$B:$B,$B26,MATCH_W3!$J:$J)+SUMIF(MATCH_W4!$B:$B,$B26,MATCH_W4!$J:$J)+SUMIF(MATCH_W5!$B:$B,$B26,MATCH_W5!$J:$J)+SUMIF(MATCH_W6!$B:$B,$B26,MATCH_W6!$J:$J)</f>
        <v/>
      </c>
      <c r="I26" s="50">
        <f>SUMIF(MATCH_W1!$B:$B,$B26,MATCH_W1!$K:$K)+SUMIF(MATCH_W2!$B:$B,$B26,MATCH_W2!$K:$K)+SUMIF(MATCH_W3!$B:$B,$B26,MATCH_W3!$K:$K)+SUMIF(MATCH_W4!$B:$B,$B26,MATCH_W4!$K:$K)+SUMIF(MATCH_W5!$B:$B,$B26,MATCH_W5!$K:$K)+SUMIF(MATCH_W6!$B:$B,$B26,MATCH_W6!$K:$K)</f>
        <v/>
      </c>
      <c r="J26" s="51">
        <f>IFERROR(D26/E26,0)</f>
        <v/>
      </c>
      <c r="K26" s="52">
        <f>SUMIF(MATCH_W1!$B:$B,$B26,MATCH_W1!$M:$M)+SUMIF(MATCH_W2!$B:$B,$B26,MATCH_W2!$M:$M)+SUMIF(MATCH_W3!$B:$B,$B26,MATCH_W3!$M:$M)+SUMIF(MATCH_W4!$B:$B,$B26,MATCH_W4!$M:$M)+SUMIF(MATCH_W5!$B:$B,$B26,MATCH_W5!$M:$M)+SUMIF(MATCH_W6!$B:$B,$B26,MATCH_W6!$M:$M)</f>
        <v/>
      </c>
    </row>
    <row r="27">
      <c r="A27" s="7" t="inlineStr">
        <is>
          <t>ERA</t>
        </is>
      </c>
      <c r="B27" s="7" t="inlineStr">
        <is>
          <t>SOLA</t>
        </is>
      </c>
      <c r="C27" s="7" t="inlineStr">
        <is>
          <t>TANK</t>
        </is>
      </c>
      <c r="D27" s="50">
        <f>SUMIF(MATCH_W1!$B:$B,$B27,MATCH_W1!$F:$F)+SUMIF(MATCH_W2!$B:$B,$B27,MATCH_W2!$F:$F)+SUMIF(MATCH_W3!$B:$B,$B27,MATCH_W3!$F:$F)+SUMIF(MATCH_W4!$B:$B,$B27,MATCH_W4!$F:$F)+SUMIF(MATCH_W5!$B:$B,$B27,MATCH_W5!$F:$F)+SUMIF(MATCH_W6!$B:$B,$B27,MATCH_W6!$F:$F)</f>
        <v/>
      </c>
      <c r="E27" s="50">
        <f>SUMIF(MATCH_W1!$B:$B,$B27,MATCH_W1!$G:$G)+SUMIF(MATCH_W2!$B:$B,$B27,MATCH_W2!$G:$G)+SUMIF(MATCH_W3!$B:$B,$B27,MATCH_W3!$G:$G)+SUMIF(MATCH_W4!$B:$B,$B27,MATCH_W4!$G:$G)+SUMIF(MATCH_W5!$B:$B,$B27,MATCH_W5!$G:$G)+SUMIF(MATCH_W6!$B:$B,$B27,MATCH_W6!$G:$G)</f>
        <v/>
      </c>
      <c r="F27" s="50">
        <f>SUMIF(MATCH_W1!$B:$B,$B27,MATCH_W1!$H:$H)+SUMIF(MATCH_W2!$B:$B,$B27,MATCH_W2!$H:$H)+SUMIF(MATCH_W3!$B:$B,$B27,MATCH_W3!$H:$H)+SUMIF(MATCH_W4!$B:$B,$B27,MATCH_W4!$H:$H)+SUMIF(MATCH_W5!$B:$B,$B27,MATCH_W5!$H:$H)+SUMIF(MATCH_W6!$B:$B,$B27,MATCH_W6!$H:$H)</f>
        <v/>
      </c>
      <c r="G27" s="50">
        <f>SUMIF(MATCH_W1!$B:$B,$B27,MATCH_W1!$I:$I)+SUMIF(MATCH_W2!$B:$B,$B27,MATCH_W2!$I:$I)+SUMIF(MATCH_W3!$B:$B,$B27,MATCH_W3!$I:$I)+SUMIF(MATCH_W4!$B:$B,$B27,MATCH_W4!$I:$I)+SUMIF(MATCH_W5!$B:$B,$B27,MATCH_W5!$I:$I)+SUMIF(MATCH_W6!$B:$B,$B27,MATCH_W6!$I:$I)</f>
        <v/>
      </c>
      <c r="H27" s="50">
        <f>SUMIF(MATCH_W1!$B:$B,$B27,MATCH_W1!$J:$J)+SUMIF(MATCH_W2!$B:$B,$B27,MATCH_W2!$J:$J)+SUMIF(MATCH_W3!$B:$B,$B27,MATCH_W3!$J:$J)+SUMIF(MATCH_W4!$B:$B,$B27,MATCH_W4!$J:$J)+SUMIF(MATCH_W5!$B:$B,$B27,MATCH_W5!$J:$J)+SUMIF(MATCH_W6!$B:$B,$B27,MATCH_W6!$J:$J)</f>
        <v/>
      </c>
      <c r="I27" s="50">
        <f>SUMIF(MATCH_W1!$B:$B,$B27,MATCH_W1!$K:$K)+SUMIF(MATCH_W2!$B:$B,$B27,MATCH_W2!$K:$K)+SUMIF(MATCH_W3!$B:$B,$B27,MATCH_W3!$K:$K)+SUMIF(MATCH_W4!$B:$B,$B27,MATCH_W4!$K:$K)+SUMIF(MATCH_W5!$B:$B,$B27,MATCH_W5!$K:$K)+SUMIF(MATCH_W6!$B:$B,$B27,MATCH_W6!$K:$K)</f>
        <v/>
      </c>
      <c r="J27" s="51">
        <f>IFERROR(D27/E27,0)</f>
        <v/>
      </c>
      <c r="K27" s="52">
        <f>SUMIF(MATCH_W1!$B:$B,$B27,MATCH_W1!$M:$M)+SUMIF(MATCH_W2!$B:$B,$B27,MATCH_W2!$M:$M)+SUMIF(MATCH_W3!$B:$B,$B27,MATCH_W3!$M:$M)+SUMIF(MATCH_W4!$B:$B,$B27,MATCH_W4!$M:$M)+SUMIF(MATCH_W5!$B:$B,$B27,MATCH_W5!$M:$M)+SUMIF(MATCH_W6!$B:$B,$B27,MATCH_W6!$M:$M)</f>
        <v/>
      </c>
    </row>
    <row r="28">
      <c r="A28" s="7" t="inlineStr">
        <is>
          <t>ERA</t>
        </is>
      </c>
      <c r="B28" s="7" t="inlineStr">
        <is>
          <t>YATE</t>
        </is>
      </c>
      <c r="C28" s="7" t="inlineStr">
        <is>
          <t>TANK</t>
        </is>
      </c>
      <c r="D28" s="50">
        <f>SUMIF(MATCH_W1!$B:$B,$B28,MATCH_W1!$F:$F)+SUMIF(MATCH_W2!$B:$B,$B28,MATCH_W2!$F:$F)+SUMIF(MATCH_W3!$B:$B,$B28,MATCH_W3!$F:$F)+SUMIF(MATCH_W4!$B:$B,$B28,MATCH_W4!$F:$F)+SUMIF(MATCH_W5!$B:$B,$B28,MATCH_W5!$F:$F)+SUMIF(MATCH_W6!$B:$B,$B28,MATCH_W6!$F:$F)</f>
        <v/>
      </c>
      <c r="E28" s="50">
        <f>SUMIF(MATCH_W1!$B:$B,$B28,MATCH_W1!$G:$G)+SUMIF(MATCH_W2!$B:$B,$B28,MATCH_W2!$G:$G)+SUMIF(MATCH_W3!$B:$B,$B28,MATCH_W3!$G:$G)+SUMIF(MATCH_W4!$B:$B,$B28,MATCH_W4!$G:$G)+SUMIF(MATCH_W5!$B:$B,$B28,MATCH_W5!$G:$G)+SUMIF(MATCH_W6!$B:$B,$B28,MATCH_W6!$G:$G)</f>
        <v/>
      </c>
      <c r="F28" s="50">
        <f>SUMIF(MATCH_W1!$B:$B,$B28,MATCH_W1!$H:$H)+SUMIF(MATCH_W2!$B:$B,$B28,MATCH_W2!$H:$H)+SUMIF(MATCH_W3!$B:$B,$B28,MATCH_W3!$H:$H)+SUMIF(MATCH_W4!$B:$B,$B28,MATCH_W4!$H:$H)+SUMIF(MATCH_W5!$B:$B,$B28,MATCH_W5!$H:$H)+SUMIF(MATCH_W6!$B:$B,$B28,MATCH_W6!$H:$H)</f>
        <v/>
      </c>
      <c r="G28" s="50">
        <f>SUMIF(MATCH_W1!$B:$B,$B28,MATCH_W1!$I:$I)+SUMIF(MATCH_W2!$B:$B,$B28,MATCH_W2!$I:$I)+SUMIF(MATCH_W3!$B:$B,$B28,MATCH_W3!$I:$I)+SUMIF(MATCH_W4!$B:$B,$B28,MATCH_W4!$I:$I)+SUMIF(MATCH_W5!$B:$B,$B28,MATCH_W5!$I:$I)+SUMIF(MATCH_W6!$B:$B,$B28,MATCH_W6!$I:$I)</f>
        <v/>
      </c>
      <c r="H28" s="50">
        <f>SUMIF(MATCH_W1!$B:$B,$B28,MATCH_W1!$J:$J)+SUMIF(MATCH_W2!$B:$B,$B28,MATCH_W2!$J:$J)+SUMIF(MATCH_W3!$B:$B,$B28,MATCH_W3!$J:$J)+SUMIF(MATCH_W4!$B:$B,$B28,MATCH_W4!$J:$J)+SUMIF(MATCH_W5!$B:$B,$B28,MATCH_W5!$J:$J)+SUMIF(MATCH_W6!$B:$B,$B28,MATCH_W6!$J:$J)</f>
        <v/>
      </c>
      <c r="I28" s="50">
        <f>SUMIF(MATCH_W1!$B:$B,$B28,MATCH_W1!$K:$K)+SUMIF(MATCH_W2!$B:$B,$B28,MATCH_W2!$K:$K)+SUMIF(MATCH_W3!$B:$B,$B28,MATCH_W3!$K:$K)+SUMIF(MATCH_W4!$B:$B,$B28,MATCH_W4!$K:$K)+SUMIF(MATCH_W5!$B:$B,$B28,MATCH_W5!$K:$K)+SUMIF(MATCH_W6!$B:$B,$B28,MATCH_W6!$K:$K)</f>
        <v/>
      </c>
      <c r="J28" s="51">
        <f>IFERROR(D28/E28,0)</f>
        <v/>
      </c>
      <c r="K28" s="52">
        <f>SUMIF(MATCH_W1!$B:$B,$B28,MATCH_W1!$M:$M)+SUMIF(MATCH_W2!$B:$B,$B28,MATCH_W2!$M:$M)+SUMIF(MATCH_W3!$B:$B,$B28,MATCH_W3!$M:$M)+SUMIF(MATCH_W4!$B:$B,$B28,MATCH_W4!$M:$M)+SUMIF(MATCH_W5!$B:$B,$B28,MATCH_W5!$M:$M)+SUMIF(MATCH_W6!$B:$B,$B28,MATCH_W6!$M:$M)</f>
        <v/>
      </c>
    </row>
    <row r="29">
      <c r="A29" s="7" t="inlineStr">
        <is>
          <t>ERA</t>
        </is>
      </c>
      <c r="B29" s="7" t="inlineStr">
        <is>
          <t>D0DO</t>
        </is>
      </c>
      <c r="C29" s="7" t="inlineStr">
        <is>
          <t>DPS</t>
        </is>
      </c>
      <c r="D29" s="50">
        <f>SUMIF(MATCH_W1!$B:$B,$B29,MATCH_W1!$F:$F)+SUMIF(MATCH_W2!$B:$B,$B29,MATCH_W2!$F:$F)+SUMIF(MATCH_W3!$B:$B,$B29,MATCH_W3!$F:$F)+SUMIF(MATCH_W4!$B:$B,$B29,MATCH_W4!$F:$F)+SUMIF(MATCH_W5!$B:$B,$B29,MATCH_W5!$F:$F)+SUMIF(MATCH_W6!$B:$B,$B29,MATCH_W6!$F:$F)</f>
        <v/>
      </c>
      <c r="E29" s="50">
        <f>SUMIF(MATCH_W1!$B:$B,$B29,MATCH_W1!$G:$G)+SUMIF(MATCH_W2!$B:$B,$B29,MATCH_W2!$G:$G)+SUMIF(MATCH_W3!$B:$B,$B29,MATCH_W3!$G:$G)+SUMIF(MATCH_W4!$B:$B,$B29,MATCH_W4!$G:$G)+SUMIF(MATCH_W5!$B:$B,$B29,MATCH_W5!$G:$G)+SUMIF(MATCH_W6!$B:$B,$B29,MATCH_W6!$G:$G)</f>
        <v/>
      </c>
      <c r="F29" s="50">
        <f>SUMIF(MATCH_W1!$B:$B,$B29,MATCH_W1!$H:$H)+SUMIF(MATCH_W2!$B:$B,$B29,MATCH_W2!$H:$H)+SUMIF(MATCH_W3!$B:$B,$B29,MATCH_W3!$H:$H)+SUMIF(MATCH_W4!$B:$B,$B29,MATCH_W4!$H:$H)+SUMIF(MATCH_W5!$B:$B,$B29,MATCH_W5!$H:$H)+SUMIF(MATCH_W6!$B:$B,$B29,MATCH_W6!$H:$H)</f>
        <v/>
      </c>
      <c r="G29" s="50">
        <f>SUMIF(MATCH_W1!$B:$B,$B29,MATCH_W1!$I:$I)+SUMIF(MATCH_W2!$B:$B,$B29,MATCH_W2!$I:$I)+SUMIF(MATCH_W3!$B:$B,$B29,MATCH_W3!$I:$I)+SUMIF(MATCH_W4!$B:$B,$B29,MATCH_W4!$I:$I)+SUMIF(MATCH_W5!$B:$B,$B29,MATCH_W5!$I:$I)+SUMIF(MATCH_W6!$B:$B,$B29,MATCH_W6!$I:$I)</f>
        <v/>
      </c>
      <c r="H29" s="50">
        <f>SUMIF(MATCH_W1!$B:$B,$B29,MATCH_W1!$J:$J)+SUMIF(MATCH_W2!$B:$B,$B29,MATCH_W2!$J:$J)+SUMIF(MATCH_W3!$B:$B,$B29,MATCH_W3!$J:$J)+SUMIF(MATCH_W4!$B:$B,$B29,MATCH_W4!$J:$J)+SUMIF(MATCH_W5!$B:$B,$B29,MATCH_W5!$J:$J)+SUMIF(MATCH_W6!$B:$B,$B29,MATCH_W6!$J:$J)</f>
        <v/>
      </c>
      <c r="I29" s="50">
        <f>SUMIF(MATCH_W1!$B:$B,$B29,MATCH_W1!$K:$K)+SUMIF(MATCH_W2!$B:$B,$B29,MATCH_W2!$K:$K)+SUMIF(MATCH_W3!$B:$B,$B29,MATCH_W3!$K:$K)+SUMIF(MATCH_W4!$B:$B,$B29,MATCH_W4!$K:$K)+SUMIF(MATCH_W5!$B:$B,$B29,MATCH_W5!$K:$K)+SUMIF(MATCH_W6!$B:$B,$B29,MATCH_W6!$K:$K)</f>
        <v/>
      </c>
      <c r="J29" s="51">
        <f>IFERROR(D29/E29,0)</f>
        <v/>
      </c>
      <c r="K29" s="52">
        <f>SUMIF(MATCH_W1!$B:$B,$B29,MATCH_W1!$M:$M)+SUMIF(MATCH_W2!$B:$B,$B29,MATCH_W2!$M:$M)+SUMIF(MATCH_W3!$B:$B,$B29,MATCH_W3!$M:$M)+SUMIF(MATCH_W4!$B:$B,$B29,MATCH_W4!$M:$M)+SUMIF(MATCH_W5!$B:$B,$B29,MATCH_W5!$M:$M)+SUMIF(MATCH_W6!$B:$B,$B29,MATCH_W6!$M:$M)</f>
        <v/>
      </c>
    </row>
    <row r="30">
      <c r="A30" s="7" t="inlineStr">
        <is>
          <t>ERA</t>
        </is>
      </c>
      <c r="B30" s="7" t="inlineStr">
        <is>
          <t>PERR</t>
        </is>
      </c>
      <c r="C30" s="7" t="inlineStr">
        <is>
          <t>DPS</t>
        </is>
      </c>
      <c r="D30" s="50">
        <f>SUMIF(MATCH_W1!$B:$B,$B30,MATCH_W1!$F:$F)+SUMIF(MATCH_W2!$B:$B,$B30,MATCH_W2!$F:$F)+SUMIF(MATCH_W3!$B:$B,$B30,MATCH_W3!$F:$F)+SUMIF(MATCH_W4!$B:$B,$B30,MATCH_W4!$F:$F)+SUMIF(MATCH_W5!$B:$B,$B30,MATCH_W5!$F:$F)+SUMIF(MATCH_W6!$B:$B,$B30,MATCH_W6!$F:$F)</f>
        <v/>
      </c>
      <c r="E30" s="50">
        <f>SUMIF(MATCH_W1!$B:$B,$B30,MATCH_W1!$G:$G)+SUMIF(MATCH_W2!$B:$B,$B30,MATCH_W2!$G:$G)+SUMIF(MATCH_W3!$B:$B,$B30,MATCH_W3!$G:$G)+SUMIF(MATCH_W4!$B:$B,$B30,MATCH_W4!$G:$G)+SUMIF(MATCH_W5!$B:$B,$B30,MATCH_W5!$G:$G)+SUMIF(MATCH_W6!$B:$B,$B30,MATCH_W6!$G:$G)</f>
        <v/>
      </c>
      <c r="F30" s="50">
        <f>SUMIF(MATCH_W1!$B:$B,$B30,MATCH_W1!$H:$H)+SUMIF(MATCH_W2!$B:$B,$B30,MATCH_W2!$H:$H)+SUMIF(MATCH_W3!$B:$B,$B30,MATCH_W3!$H:$H)+SUMIF(MATCH_W4!$B:$B,$B30,MATCH_W4!$H:$H)+SUMIF(MATCH_W5!$B:$B,$B30,MATCH_W5!$H:$H)+SUMIF(MATCH_W6!$B:$B,$B30,MATCH_W6!$H:$H)</f>
        <v/>
      </c>
      <c r="G30" s="50">
        <f>SUMIF(MATCH_W1!$B:$B,$B30,MATCH_W1!$I:$I)+SUMIF(MATCH_W2!$B:$B,$B30,MATCH_W2!$I:$I)+SUMIF(MATCH_W3!$B:$B,$B30,MATCH_W3!$I:$I)+SUMIF(MATCH_W4!$B:$B,$B30,MATCH_W4!$I:$I)+SUMIF(MATCH_W5!$B:$B,$B30,MATCH_W5!$I:$I)+SUMIF(MATCH_W6!$B:$B,$B30,MATCH_W6!$I:$I)</f>
        <v/>
      </c>
      <c r="H30" s="50">
        <f>SUMIF(MATCH_W1!$B:$B,$B30,MATCH_W1!$J:$J)+SUMIF(MATCH_W2!$B:$B,$B30,MATCH_W2!$J:$J)+SUMIF(MATCH_W3!$B:$B,$B30,MATCH_W3!$J:$J)+SUMIF(MATCH_W4!$B:$B,$B30,MATCH_W4!$J:$J)+SUMIF(MATCH_W5!$B:$B,$B30,MATCH_W5!$J:$J)+SUMIF(MATCH_W6!$B:$B,$B30,MATCH_W6!$J:$J)</f>
        <v/>
      </c>
      <c r="I30" s="50">
        <f>SUMIF(MATCH_W1!$B:$B,$B30,MATCH_W1!$K:$K)+SUMIF(MATCH_W2!$B:$B,$B30,MATCH_W2!$K:$K)+SUMIF(MATCH_W3!$B:$B,$B30,MATCH_W3!$K:$K)+SUMIF(MATCH_W4!$B:$B,$B30,MATCH_W4!$K:$K)+SUMIF(MATCH_W5!$B:$B,$B30,MATCH_W5!$K:$K)+SUMIF(MATCH_W6!$B:$B,$B30,MATCH_W6!$K:$K)</f>
        <v/>
      </c>
      <c r="J30" s="51">
        <f>IFERROR(D30/E30,0)</f>
        <v/>
      </c>
      <c r="K30" s="52">
        <f>SUMIF(MATCH_W1!$B:$B,$B30,MATCH_W1!$M:$M)+SUMIF(MATCH_W2!$B:$B,$B30,MATCH_W2!$M:$M)+SUMIF(MATCH_W3!$B:$B,$B30,MATCH_W3!$M:$M)+SUMIF(MATCH_W4!$B:$B,$B30,MATCH_W4!$M:$M)+SUMIF(MATCH_W5!$B:$B,$B30,MATCH_W5!$M:$M)+SUMIF(MATCH_W6!$B:$B,$B30,MATCH_W6!$M:$M)</f>
        <v/>
      </c>
    </row>
    <row r="31">
      <c r="A31" s="7" t="inlineStr">
        <is>
          <t>ERA</t>
        </is>
      </c>
      <c r="B31" s="7" t="inlineStr">
        <is>
          <t>SECRET</t>
        </is>
      </c>
      <c r="C31" s="7" t="inlineStr">
        <is>
          <t>SPT</t>
        </is>
      </c>
      <c r="D31" s="50">
        <f>SUMIF(MATCH_W1!$B:$B,$B31,MATCH_W1!$F:$F)+SUMIF(MATCH_W2!$B:$B,$B31,MATCH_W2!$F:$F)+SUMIF(MATCH_W3!$B:$B,$B31,MATCH_W3!$F:$F)+SUMIF(MATCH_W4!$B:$B,$B31,MATCH_W4!$F:$F)+SUMIF(MATCH_W5!$B:$B,$B31,MATCH_W5!$F:$F)+SUMIF(MATCH_W6!$B:$B,$B31,MATCH_W6!$F:$F)</f>
        <v/>
      </c>
      <c r="E31" s="50">
        <f>SUMIF(MATCH_W1!$B:$B,$B31,MATCH_W1!$G:$G)+SUMIF(MATCH_W2!$B:$B,$B31,MATCH_W2!$G:$G)+SUMIF(MATCH_W3!$B:$B,$B31,MATCH_W3!$G:$G)+SUMIF(MATCH_W4!$B:$B,$B31,MATCH_W4!$G:$G)+SUMIF(MATCH_W5!$B:$B,$B31,MATCH_W5!$G:$G)+SUMIF(MATCH_W6!$B:$B,$B31,MATCH_W6!$G:$G)</f>
        <v/>
      </c>
      <c r="F31" s="50">
        <f>SUMIF(MATCH_W1!$B:$B,$B31,MATCH_W1!$H:$H)+SUMIF(MATCH_W2!$B:$B,$B31,MATCH_W2!$H:$H)+SUMIF(MATCH_W3!$B:$B,$B31,MATCH_W3!$H:$H)+SUMIF(MATCH_W4!$B:$B,$B31,MATCH_W4!$H:$H)+SUMIF(MATCH_W5!$B:$B,$B31,MATCH_W5!$H:$H)+SUMIF(MATCH_W6!$B:$B,$B31,MATCH_W6!$H:$H)</f>
        <v/>
      </c>
      <c r="G31" s="50">
        <f>SUMIF(MATCH_W1!$B:$B,$B31,MATCH_W1!$I:$I)+SUMIF(MATCH_W2!$B:$B,$B31,MATCH_W2!$I:$I)+SUMIF(MATCH_W3!$B:$B,$B31,MATCH_W3!$I:$I)+SUMIF(MATCH_W4!$B:$B,$B31,MATCH_W4!$I:$I)+SUMIF(MATCH_W5!$B:$B,$B31,MATCH_W5!$I:$I)+SUMIF(MATCH_W6!$B:$B,$B31,MATCH_W6!$I:$I)</f>
        <v/>
      </c>
      <c r="H31" s="50">
        <f>SUMIF(MATCH_W1!$B:$B,$B31,MATCH_W1!$J:$J)+SUMIF(MATCH_W2!$B:$B,$B31,MATCH_W2!$J:$J)+SUMIF(MATCH_W3!$B:$B,$B31,MATCH_W3!$J:$J)+SUMIF(MATCH_W4!$B:$B,$B31,MATCH_W4!$J:$J)+SUMIF(MATCH_W5!$B:$B,$B31,MATCH_W5!$J:$J)+SUMIF(MATCH_W6!$B:$B,$B31,MATCH_W6!$J:$J)</f>
        <v/>
      </c>
      <c r="I31" s="50">
        <f>SUMIF(MATCH_W1!$B:$B,$B31,MATCH_W1!$K:$K)+SUMIF(MATCH_W2!$B:$B,$B31,MATCH_W2!$K:$K)+SUMIF(MATCH_W3!$B:$B,$B31,MATCH_W3!$K:$K)+SUMIF(MATCH_W4!$B:$B,$B31,MATCH_W4!$K:$K)+SUMIF(MATCH_W5!$B:$B,$B31,MATCH_W5!$K:$K)+SUMIF(MATCH_W6!$B:$B,$B31,MATCH_W6!$K:$K)</f>
        <v/>
      </c>
      <c r="J31" s="51">
        <f>IFERROR(D31/E31,0)</f>
        <v/>
      </c>
      <c r="K31" s="52">
        <f>SUMIF(MATCH_W1!$B:$B,$B31,MATCH_W1!$M:$M)+SUMIF(MATCH_W2!$B:$B,$B31,MATCH_W2!$M:$M)+SUMIF(MATCH_W3!$B:$B,$B31,MATCH_W3!$M:$M)+SUMIF(MATCH_W4!$B:$B,$B31,MATCH_W4!$M:$M)+SUMIF(MATCH_W5!$B:$B,$B31,MATCH_W5!$M:$M)+SUMIF(MATCH_W6!$B:$B,$B31,MATCH_W6!$M:$M)</f>
        <v/>
      </c>
    </row>
    <row r="32">
      <c r="A32" s="7" t="inlineStr">
        <is>
          <t>ERA</t>
        </is>
      </c>
      <c r="B32" s="7" t="inlineStr">
        <is>
          <t>MCD</t>
        </is>
      </c>
      <c r="C32" s="7" t="inlineStr">
        <is>
          <t>SPT</t>
        </is>
      </c>
      <c r="D32" s="50">
        <f>SUMIF(MATCH_W1!$B:$B,$B32,MATCH_W1!$F:$F)+SUMIF(MATCH_W2!$B:$B,$B32,MATCH_W2!$F:$F)+SUMIF(MATCH_W3!$B:$B,$B32,MATCH_W3!$F:$F)+SUMIF(MATCH_W4!$B:$B,$B32,MATCH_W4!$F:$F)+SUMIF(MATCH_W5!$B:$B,$B32,MATCH_W5!$F:$F)+SUMIF(MATCH_W6!$B:$B,$B32,MATCH_W6!$F:$F)</f>
        <v/>
      </c>
      <c r="E32" s="50">
        <f>SUMIF(MATCH_W1!$B:$B,$B32,MATCH_W1!$G:$G)+SUMIF(MATCH_W2!$B:$B,$B32,MATCH_W2!$G:$G)+SUMIF(MATCH_W3!$B:$B,$B32,MATCH_W3!$G:$G)+SUMIF(MATCH_W4!$B:$B,$B32,MATCH_W4!$G:$G)+SUMIF(MATCH_W5!$B:$B,$B32,MATCH_W5!$G:$G)+SUMIF(MATCH_W6!$B:$B,$B32,MATCH_W6!$G:$G)</f>
        <v/>
      </c>
      <c r="F32" s="50">
        <f>SUMIF(MATCH_W1!$B:$B,$B32,MATCH_W1!$H:$H)+SUMIF(MATCH_W2!$B:$B,$B32,MATCH_W2!$H:$H)+SUMIF(MATCH_W3!$B:$B,$B32,MATCH_W3!$H:$H)+SUMIF(MATCH_W4!$B:$B,$B32,MATCH_W4!$H:$H)+SUMIF(MATCH_W5!$B:$B,$B32,MATCH_W5!$H:$H)+SUMIF(MATCH_W6!$B:$B,$B32,MATCH_W6!$H:$H)</f>
        <v/>
      </c>
      <c r="G32" s="50">
        <f>SUMIF(MATCH_W1!$B:$B,$B32,MATCH_W1!$I:$I)+SUMIF(MATCH_W2!$B:$B,$B32,MATCH_W2!$I:$I)+SUMIF(MATCH_W3!$B:$B,$B32,MATCH_W3!$I:$I)+SUMIF(MATCH_W4!$B:$B,$B32,MATCH_W4!$I:$I)+SUMIF(MATCH_W5!$B:$B,$B32,MATCH_W5!$I:$I)+SUMIF(MATCH_W6!$B:$B,$B32,MATCH_W6!$I:$I)</f>
        <v/>
      </c>
      <c r="H32" s="50">
        <f>SUMIF(MATCH_W1!$B:$B,$B32,MATCH_W1!$J:$J)+SUMIF(MATCH_W2!$B:$B,$B32,MATCH_W2!$J:$J)+SUMIF(MATCH_W3!$B:$B,$B32,MATCH_W3!$J:$J)+SUMIF(MATCH_W4!$B:$B,$B32,MATCH_W4!$J:$J)+SUMIF(MATCH_W5!$B:$B,$B32,MATCH_W5!$J:$J)+SUMIF(MATCH_W6!$B:$B,$B32,MATCH_W6!$J:$J)</f>
        <v/>
      </c>
      <c r="I32" s="50">
        <f>SUMIF(MATCH_W1!$B:$B,$B32,MATCH_W1!$K:$K)+SUMIF(MATCH_W2!$B:$B,$B32,MATCH_W2!$K:$K)+SUMIF(MATCH_W3!$B:$B,$B32,MATCH_W3!$K:$K)+SUMIF(MATCH_W4!$B:$B,$B32,MATCH_W4!$K:$K)+SUMIF(MATCH_W5!$B:$B,$B32,MATCH_W5!$K:$K)+SUMIF(MATCH_W6!$B:$B,$B32,MATCH_W6!$K:$K)</f>
        <v/>
      </c>
      <c r="J32" s="51">
        <f>IFERROR(D32/E32,0)</f>
        <v/>
      </c>
      <c r="K32" s="52">
        <f>SUMIF(MATCH_W1!$B:$B,$B32,MATCH_W1!$M:$M)+SUMIF(MATCH_W2!$B:$B,$B32,MATCH_W2!$M:$M)+SUMIF(MATCH_W3!$B:$B,$B32,MATCH_W3!$M:$M)+SUMIF(MATCH_W4!$B:$B,$B32,MATCH_W4!$M:$M)+SUMIF(MATCH_W5!$B:$B,$B32,MATCH_W5!$M:$M)+SUMIF(MATCH_W6!$B:$B,$B32,MATCH_W6!$M:$M)</f>
        <v/>
      </c>
    </row>
    <row r="33">
      <c r="A33" s="7" t="inlineStr">
        <is>
          <t>OSG</t>
        </is>
      </c>
      <c r="B33" s="7" t="inlineStr">
        <is>
          <t>ATTACK</t>
        </is>
      </c>
      <c r="C33" s="7" t="inlineStr">
        <is>
          <t>TANK</t>
        </is>
      </c>
      <c r="D33" s="50">
        <f>SUMIF(MATCH_W1!$B:$B,$B33,MATCH_W1!$F:$F)+SUMIF(MATCH_W2!$B:$B,$B33,MATCH_W2!$F:$F)+SUMIF(MATCH_W3!$B:$B,$B33,MATCH_W3!$F:$F)+SUMIF(MATCH_W4!$B:$B,$B33,MATCH_W4!$F:$F)+SUMIF(MATCH_W5!$B:$B,$B33,MATCH_W5!$F:$F)+SUMIF(MATCH_W6!$B:$B,$B33,MATCH_W6!$F:$F)</f>
        <v/>
      </c>
      <c r="E33" s="50">
        <f>SUMIF(MATCH_W1!$B:$B,$B33,MATCH_W1!$G:$G)+SUMIF(MATCH_W2!$B:$B,$B33,MATCH_W2!$G:$G)+SUMIF(MATCH_W3!$B:$B,$B33,MATCH_W3!$G:$G)+SUMIF(MATCH_W4!$B:$B,$B33,MATCH_W4!$G:$G)+SUMIF(MATCH_W5!$B:$B,$B33,MATCH_W5!$G:$G)+SUMIF(MATCH_W6!$B:$B,$B33,MATCH_W6!$G:$G)</f>
        <v/>
      </c>
      <c r="F33" s="50">
        <f>SUMIF(MATCH_W1!$B:$B,$B33,MATCH_W1!$H:$H)+SUMIF(MATCH_W2!$B:$B,$B33,MATCH_W2!$H:$H)+SUMIF(MATCH_W3!$B:$B,$B33,MATCH_W3!$H:$H)+SUMIF(MATCH_W4!$B:$B,$B33,MATCH_W4!$H:$H)+SUMIF(MATCH_W5!$B:$B,$B33,MATCH_W5!$H:$H)+SUMIF(MATCH_W6!$B:$B,$B33,MATCH_W6!$H:$H)</f>
        <v/>
      </c>
      <c r="G33" s="50">
        <f>SUMIF(MATCH_W1!$B:$B,$B33,MATCH_W1!$I:$I)+SUMIF(MATCH_W2!$B:$B,$B33,MATCH_W2!$I:$I)+SUMIF(MATCH_W3!$B:$B,$B33,MATCH_W3!$I:$I)+SUMIF(MATCH_W4!$B:$B,$B33,MATCH_W4!$I:$I)+SUMIF(MATCH_W5!$B:$B,$B33,MATCH_W5!$I:$I)+SUMIF(MATCH_W6!$B:$B,$B33,MATCH_W6!$I:$I)</f>
        <v/>
      </c>
      <c r="H33" s="50">
        <f>SUMIF(MATCH_W1!$B:$B,$B33,MATCH_W1!$J:$J)+SUMIF(MATCH_W2!$B:$B,$B33,MATCH_W2!$J:$J)+SUMIF(MATCH_W3!$B:$B,$B33,MATCH_W3!$J:$J)+SUMIF(MATCH_W4!$B:$B,$B33,MATCH_W4!$J:$J)+SUMIF(MATCH_W5!$B:$B,$B33,MATCH_W5!$J:$J)+SUMIF(MATCH_W6!$B:$B,$B33,MATCH_W6!$J:$J)</f>
        <v/>
      </c>
      <c r="I33" s="50">
        <f>SUMIF(MATCH_W1!$B:$B,$B33,MATCH_W1!$K:$K)+SUMIF(MATCH_W2!$B:$B,$B33,MATCH_W2!$K:$K)+SUMIF(MATCH_W3!$B:$B,$B33,MATCH_W3!$K:$K)+SUMIF(MATCH_W4!$B:$B,$B33,MATCH_W4!$K:$K)+SUMIF(MATCH_W5!$B:$B,$B33,MATCH_W5!$K:$K)+SUMIF(MATCH_W6!$B:$B,$B33,MATCH_W6!$K:$K)</f>
        <v/>
      </c>
      <c r="J33" s="51">
        <f>IFERROR(D33/E33,0)</f>
        <v/>
      </c>
      <c r="K33" s="52">
        <f>SUMIF(MATCH_W1!$B:$B,$B33,MATCH_W1!$M:$M)+SUMIF(MATCH_W2!$B:$B,$B33,MATCH_W2!$M:$M)+SUMIF(MATCH_W3!$B:$B,$B33,MATCH_W3!$M:$M)+SUMIF(MATCH_W4!$B:$B,$B33,MATCH_W4!$M:$M)+SUMIF(MATCH_W5!$B:$B,$B33,MATCH_W5!$M:$M)+SUMIF(MATCH_W6!$B:$B,$B33,MATCH_W6!$M:$M)</f>
        <v/>
      </c>
    </row>
    <row r="34">
      <c r="A34" s="7" t="inlineStr">
        <is>
          <t>OSG</t>
        </is>
      </c>
      <c r="B34" s="7" t="inlineStr">
        <is>
          <t>SP1NT</t>
        </is>
      </c>
      <c r="C34" s="7" t="inlineStr">
        <is>
          <t>DPS</t>
        </is>
      </c>
      <c r="D34" s="50">
        <f>SUMIF(MATCH_W1!$B:$B,$B34,MATCH_W1!$F:$F)+SUMIF(MATCH_W2!$B:$B,$B34,MATCH_W2!$F:$F)+SUMIF(MATCH_W3!$B:$B,$B34,MATCH_W3!$F:$F)+SUMIF(MATCH_W4!$B:$B,$B34,MATCH_W4!$F:$F)+SUMIF(MATCH_W5!$B:$B,$B34,MATCH_W5!$F:$F)+SUMIF(MATCH_W6!$B:$B,$B34,MATCH_W6!$F:$F)</f>
        <v/>
      </c>
      <c r="E34" s="50">
        <f>SUMIF(MATCH_W1!$B:$B,$B34,MATCH_W1!$G:$G)+SUMIF(MATCH_W2!$B:$B,$B34,MATCH_W2!$G:$G)+SUMIF(MATCH_W3!$B:$B,$B34,MATCH_W3!$G:$G)+SUMIF(MATCH_W4!$B:$B,$B34,MATCH_W4!$G:$G)+SUMIF(MATCH_W5!$B:$B,$B34,MATCH_W5!$G:$G)+SUMIF(MATCH_W6!$B:$B,$B34,MATCH_W6!$G:$G)</f>
        <v/>
      </c>
      <c r="F34" s="50">
        <f>SUMIF(MATCH_W1!$B:$B,$B34,MATCH_W1!$H:$H)+SUMIF(MATCH_W2!$B:$B,$B34,MATCH_W2!$H:$H)+SUMIF(MATCH_W3!$B:$B,$B34,MATCH_W3!$H:$H)+SUMIF(MATCH_W4!$B:$B,$B34,MATCH_W4!$H:$H)+SUMIF(MATCH_W5!$B:$B,$B34,MATCH_W5!$H:$H)+SUMIF(MATCH_W6!$B:$B,$B34,MATCH_W6!$H:$H)</f>
        <v/>
      </c>
      <c r="G34" s="50">
        <f>SUMIF(MATCH_W1!$B:$B,$B34,MATCH_W1!$I:$I)+SUMIF(MATCH_W2!$B:$B,$B34,MATCH_W2!$I:$I)+SUMIF(MATCH_W3!$B:$B,$B34,MATCH_W3!$I:$I)+SUMIF(MATCH_W4!$B:$B,$B34,MATCH_W4!$I:$I)+SUMIF(MATCH_W5!$B:$B,$B34,MATCH_W5!$I:$I)+SUMIF(MATCH_W6!$B:$B,$B34,MATCH_W6!$I:$I)</f>
        <v/>
      </c>
      <c r="H34" s="50">
        <f>SUMIF(MATCH_W1!$B:$B,$B34,MATCH_W1!$J:$J)+SUMIF(MATCH_W2!$B:$B,$B34,MATCH_W2!$J:$J)+SUMIF(MATCH_W3!$B:$B,$B34,MATCH_W3!$J:$J)+SUMIF(MATCH_W4!$B:$B,$B34,MATCH_W4!$J:$J)+SUMIF(MATCH_W5!$B:$B,$B34,MATCH_W5!$J:$J)+SUMIF(MATCH_W6!$B:$B,$B34,MATCH_W6!$J:$J)</f>
        <v/>
      </c>
      <c r="I34" s="50">
        <f>SUMIF(MATCH_W1!$B:$B,$B34,MATCH_W1!$K:$K)+SUMIF(MATCH_W2!$B:$B,$B34,MATCH_W2!$K:$K)+SUMIF(MATCH_W3!$B:$B,$B34,MATCH_W3!$K:$K)+SUMIF(MATCH_W4!$B:$B,$B34,MATCH_W4!$K:$K)+SUMIF(MATCH_W5!$B:$B,$B34,MATCH_W5!$K:$K)+SUMIF(MATCH_W6!$B:$B,$B34,MATCH_W6!$K:$K)</f>
        <v/>
      </c>
      <c r="J34" s="51">
        <f>IFERROR(D34/E34,0)</f>
        <v/>
      </c>
      <c r="K34" s="52">
        <f>SUMIF(MATCH_W1!$B:$B,$B34,MATCH_W1!$M:$M)+SUMIF(MATCH_W2!$B:$B,$B34,MATCH_W2!$M:$M)+SUMIF(MATCH_W3!$B:$B,$B34,MATCH_W3!$M:$M)+SUMIF(MATCH_W4!$B:$B,$B34,MATCH_W4!$M:$M)+SUMIF(MATCH_W5!$B:$B,$B34,MATCH_W5!$M:$M)+SUMIF(MATCH_W6!$B:$B,$B34,MATCH_W6!$M:$M)</f>
        <v/>
      </c>
    </row>
    <row r="35">
      <c r="A35" s="7" t="inlineStr">
        <is>
          <t>OSG</t>
        </is>
      </c>
      <c r="B35" s="7" t="inlineStr">
        <is>
          <t>KILO</t>
        </is>
      </c>
      <c r="C35" s="7" t="inlineStr">
        <is>
          <t>DPS</t>
        </is>
      </c>
      <c r="D35" s="50">
        <f>SUMIF(MATCH_W1!$B:$B,$B35,MATCH_W1!$F:$F)+SUMIF(MATCH_W2!$B:$B,$B35,MATCH_W2!$F:$F)+SUMIF(MATCH_W3!$B:$B,$B35,MATCH_W3!$F:$F)+SUMIF(MATCH_W4!$B:$B,$B35,MATCH_W4!$F:$F)+SUMIF(MATCH_W5!$B:$B,$B35,MATCH_W5!$F:$F)+SUMIF(MATCH_W6!$B:$B,$B35,MATCH_W6!$F:$F)</f>
        <v/>
      </c>
      <c r="E35" s="50">
        <f>SUMIF(MATCH_W1!$B:$B,$B35,MATCH_W1!$G:$G)+SUMIF(MATCH_W2!$B:$B,$B35,MATCH_W2!$G:$G)+SUMIF(MATCH_W3!$B:$B,$B35,MATCH_W3!$G:$G)+SUMIF(MATCH_W4!$B:$B,$B35,MATCH_W4!$G:$G)+SUMIF(MATCH_W5!$B:$B,$B35,MATCH_W5!$G:$G)+SUMIF(MATCH_W6!$B:$B,$B35,MATCH_W6!$G:$G)</f>
        <v/>
      </c>
      <c r="F35" s="50">
        <f>SUMIF(MATCH_W1!$B:$B,$B35,MATCH_W1!$H:$H)+SUMIF(MATCH_W2!$B:$B,$B35,MATCH_W2!$H:$H)+SUMIF(MATCH_W3!$B:$B,$B35,MATCH_W3!$H:$H)+SUMIF(MATCH_W4!$B:$B,$B35,MATCH_W4!$H:$H)+SUMIF(MATCH_W5!$B:$B,$B35,MATCH_W5!$H:$H)+SUMIF(MATCH_W6!$B:$B,$B35,MATCH_W6!$H:$H)</f>
        <v/>
      </c>
      <c r="G35" s="50">
        <f>SUMIF(MATCH_W1!$B:$B,$B35,MATCH_W1!$I:$I)+SUMIF(MATCH_W2!$B:$B,$B35,MATCH_W2!$I:$I)+SUMIF(MATCH_W3!$B:$B,$B35,MATCH_W3!$I:$I)+SUMIF(MATCH_W4!$B:$B,$B35,MATCH_W4!$I:$I)+SUMIF(MATCH_W5!$B:$B,$B35,MATCH_W5!$I:$I)+SUMIF(MATCH_W6!$B:$B,$B35,MATCH_W6!$I:$I)</f>
        <v/>
      </c>
      <c r="H35" s="50">
        <f>SUMIF(MATCH_W1!$B:$B,$B35,MATCH_W1!$J:$J)+SUMIF(MATCH_W2!$B:$B,$B35,MATCH_W2!$J:$J)+SUMIF(MATCH_W3!$B:$B,$B35,MATCH_W3!$J:$J)+SUMIF(MATCH_W4!$B:$B,$B35,MATCH_W4!$J:$J)+SUMIF(MATCH_W5!$B:$B,$B35,MATCH_W5!$J:$J)+SUMIF(MATCH_W6!$B:$B,$B35,MATCH_W6!$J:$J)</f>
        <v/>
      </c>
      <c r="I35" s="50">
        <f>SUMIF(MATCH_W1!$B:$B,$B35,MATCH_W1!$K:$K)+SUMIF(MATCH_W2!$B:$B,$B35,MATCH_W2!$K:$K)+SUMIF(MATCH_W3!$B:$B,$B35,MATCH_W3!$K:$K)+SUMIF(MATCH_W4!$B:$B,$B35,MATCH_W4!$K:$K)+SUMIF(MATCH_W5!$B:$B,$B35,MATCH_W5!$K:$K)+SUMIF(MATCH_W6!$B:$B,$B35,MATCH_W6!$K:$K)</f>
        <v/>
      </c>
      <c r="J35" s="51">
        <f>IFERROR(D35/E35,0)</f>
        <v/>
      </c>
      <c r="K35" s="52">
        <f>SUMIF(MATCH_W1!$B:$B,$B35,MATCH_W1!$M:$M)+SUMIF(MATCH_W2!$B:$B,$B35,MATCH_W2!$M:$M)+SUMIF(MATCH_W3!$B:$B,$B35,MATCH_W3!$M:$M)+SUMIF(MATCH_W4!$B:$B,$B35,MATCH_W4!$M:$M)+SUMIF(MATCH_W5!$B:$B,$B35,MATCH_W5!$M:$M)+SUMIF(MATCH_W6!$B:$B,$B35,MATCH_W6!$M:$M)</f>
        <v/>
      </c>
    </row>
    <row r="36">
      <c r="A36" s="7" t="inlineStr">
        <is>
          <t>OSG</t>
        </is>
      </c>
      <c r="B36" s="7" t="inlineStr">
        <is>
          <t>HAKSAL</t>
        </is>
      </c>
      <c r="C36" s="7" t="inlineStr">
        <is>
          <t>DPS</t>
        </is>
      </c>
      <c r="D36" s="50">
        <f>SUMIF(MATCH_W1!$B:$B,$B36,MATCH_W1!$F:$F)+SUMIF(MATCH_W2!$B:$B,$B36,MATCH_W2!$F:$F)+SUMIF(MATCH_W3!$B:$B,$B36,MATCH_W3!$F:$F)+SUMIF(MATCH_W4!$B:$B,$B36,MATCH_W4!$F:$F)+SUMIF(MATCH_W5!$B:$B,$B36,MATCH_W5!$F:$F)+SUMIF(MATCH_W6!$B:$B,$B36,MATCH_W6!$F:$F)</f>
        <v/>
      </c>
      <c r="E36" s="50">
        <f>SUMIF(MATCH_W1!$B:$B,$B36,MATCH_W1!$G:$G)+SUMIF(MATCH_W2!$B:$B,$B36,MATCH_W2!$G:$G)+SUMIF(MATCH_W3!$B:$B,$B36,MATCH_W3!$G:$G)+SUMIF(MATCH_W4!$B:$B,$B36,MATCH_W4!$G:$G)+SUMIF(MATCH_W5!$B:$B,$B36,MATCH_W5!$G:$G)+SUMIF(MATCH_W6!$B:$B,$B36,MATCH_W6!$G:$G)</f>
        <v/>
      </c>
      <c r="F36" s="50">
        <f>SUMIF(MATCH_W1!$B:$B,$B36,MATCH_W1!$H:$H)+SUMIF(MATCH_W2!$B:$B,$B36,MATCH_W2!$H:$H)+SUMIF(MATCH_W3!$B:$B,$B36,MATCH_W3!$H:$H)+SUMIF(MATCH_W4!$B:$B,$B36,MATCH_W4!$H:$H)+SUMIF(MATCH_W5!$B:$B,$B36,MATCH_W5!$H:$H)+SUMIF(MATCH_W6!$B:$B,$B36,MATCH_W6!$H:$H)</f>
        <v/>
      </c>
      <c r="G36" s="50">
        <f>SUMIF(MATCH_W1!$B:$B,$B36,MATCH_W1!$I:$I)+SUMIF(MATCH_W2!$B:$B,$B36,MATCH_W2!$I:$I)+SUMIF(MATCH_W3!$B:$B,$B36,MATCH_W3!$I:$I)+SUMIF(MATCH_W4!$B:$B,$B36,MATCH_W4!$I:$I)+SUMIF(MATCH_W5!$B:$B,$B36,MATCH_W5!$I:$I)+SUMIF(MATCH_W6!$B:$B,$B36,MATCH_W6!$I:$I)</f>
        <v/>
      </c>
      <c r="H36" s="50">
        <f>SUMIF(MATCH_W1!$B:$B,$B36,MATCH_W1!$J:$J)+SUMIF(MATCH_W2!$B:$B,$B36,MATCH_W2!$J:$J)+SUMIF(MATCH_W3!$B:$B,$B36,MATCH_W3!$J:$J)+SUMIF(MATCH_W4!$B:$B,$B36,MATCH_W4!$J:$J)+SUMIF(MATCH_W5!$B:$B,$B36,MATCH_W5!$J:$J)+SUMIF(MATCH_W6!$B:$B,$B36,MATCH_W6!$J:$J)</f>
        <v/>
      </c>
      <c r="I36" s="50">
        <f>SUMIF(MATCH_W1!$B:$B,$B36,MATCH_W1!$K:$K)+SUMIF(MATCH_W2!$B:$B,$B36,MATCH_W2!$K:$K)+SUMIF(MATCH_W3!$B:$B,$B36,MATCH_W3!$K:$K)+SUMIF(MATCH_W4!$B:$B,$B36,MATCH_W4!$K:$K)+SUMIF(MATCH_W5!$B:$B,$B36,MATCH_W5!$K:$K)+SUMIF(MATCH_W6!$B:$B,$B36,MATCH_W6!$K:$K)</f>
        <v/>
      </c>
      <c r="J36" s="51">
        <f>IFERROR(D36/E36,0)</f>
        <v/>
      </c>
      <c r="K36" s="52">
        <f>SUMIF(MATCH_W1!$B:$B,$B36,MATCH_W1!$M:$M)+SUMIF(MATCH_W2!$B:$B,$B36,MATCH_W2!$M:$M)+SUMIF(MATCH_W3!$B:$B,$B36,MATCH_W3!$M:$M)+SUMIF(MATCH_W4!$B:$B,$B36,MATCH_W4!$M:$M)+SUMIF(MATCH_W5!$B:$B,$B36,MATCH_W5!$M:$M)+SUMIF(MATCH_W6!$B:$B,$B36,MATCH_W6!$M:$M)</f>
        <v/>
      </c>
    </row>
    <row r="37">
      <c r="A37" s="7" t="inlineStr">
        <is>
          <t>OSG</t>
        </is>
      </c>
      <c r="B37" s="7" t="inlineStr">
        <is>
          <t>OPENER</t>
        </is>
      </c>
      <c r="C37" s="7" t="inlineStr">
        <is>
          <t>SPT</t>
        </is>
      </c>
      <c r="D37" s="50">
        <f>SUMIF(MATCH_W1!$B:$B,$B37,MATCH_W1!$F:$F)+SUMIF(MATCH_W2!$B:$B,$B37,MATCH_W2!$F:$F)+SUMIF(MATCH_W3!$B:$B,$B37,MATCH_W3!$F:$F)+SUMIF(MATCH_W4!$B:$B,$B37,MATCH_W4!$F:$F)+SUMIF(MATCH_W5!$B:$B,$B37,MATCH_W5!$F:$F)+SUMIF(MATCH_W6!$B:$B,$B37,MATCH_W6!$F:$F)</f>
        <v/>
      </c>
      <c r="E37" s="50">
        <f>SUMIF(MATCH_W1!$B:$B,$B37,MATCH_W1!$G:$G)+SUMIF(MATCH_W2!$B:$B,$B37,MATCH_W2!$G:$G)+SUMIF(MATCH_W3!$B:$B,$B37,MATCH_W3!$G:$G)+SUMIF(MATCH_W4!$B:$B,$B37,MATCH_W4!$G:$G)+SUMIF(MATCH_W5!$B:$B,$B37,MATCH_W5!$G:$G)+SUMIF(MATCH_W6!$B:$B,$B37,MATCH_W6!$G:$G)</f>
        <v/>
      </c>
      <c r="F37" s="50">
        <f>SUMIF(MATCH_W1!$B:$B,$B37,MATCH_W1!$H:$H)+SUMIF(MATCH_W2!$B:$B,$B37,MATCH_W2!$H:$H)+SUMIF(MATCH_W3!$B:$B,$B37,MATCH_W3!$H:$H)+SUMIF(MATCH_W4!$B:$B,$B37,MATCH_W4!$H:$H)+SUMIF(MATCH_W5!$B:$B,$B37,MATCH_W5!$H:$H)+SUMIF(MATCH_W6!$B:$B,$B37,MATCH_W6!$H:$H)</f>
        <v/>
      </c>
      <c r="G37" s="50">
        <f>SUMIF(MATCH_W1!$B:$B,$B37,MATCH_W1!$I:$I)+SUMIF(MATCH_W2!$B:$B,$B37,MATCH_W2!$I:$I)+SUMIF(MATCH_W3!$B:$B,$B37,MATCH_W3!$I:$I)+SUMIF(MATCH_W4!$B:$B,$B37,MATCH_W4!$I:$I)+SUMIF(MATCH_W5!$B:$B,$B37,MATCH_W5!$I:$I)+SUMIF(MATCH_W6!$B:$B,$B37,MATCH_W6!$I:$I)</f>
        <v/>
      </c>
      <c r="H37" s="50">
        <f>SUMIF(MATCH_W1!$B:$B,$B37,MATCH_W1!$J:$J)+SUMIF(MATCH_W2!$B:$B,$B37,MATCH_W2!$J:$J)+SUMIF(MATCH_W3!$B:$B,$B37,MATCH_W3!$J:$J)+SUMIF(MATCH_W4!$B:$B,$B37,MATCH_W4!$J:$J)+SUMIF(MATCH_W5!$B:$B,$B37,MATCH_W5!$J:$J)+SUMIF(MATCH_W6!$B:$B,$B37,MATCH_W6!$J:$J)</f>
        <v/>
      </c>
      <c r="I37" s="50">
        <f>SUMIF(MATCH_W1!$B:$B,$B37,MATCH_W1!$K:$K)+SUMIF(MATCH_W2!$B:$B,$B37,MATCH_W2!$K:$K)+SUMIF(MATCH_W3!$B:$B,$B37,MATCH_W3!$K:$K)+SUMIF(MATCH_W4!$B:$B,$B37,MATCH_W4!$K:$K)+SUMIF(MATCH_W5!$B:$B,$B37,MATCH_W5!$K:$K)+SUMIF(MATCH_W6!$B:$B,$B37,MATCH_W6!$K:$K)</f>
        <v/>
      </c>
      <c r="J37" s="51">
        <f>IFERROR(D37/E37,0)</f>
        <v/>
      </c>
      <c r="K37" s="52">
        <f>SUMIF(MATCH_W1!$B:$B,$B37,MATCH_W1!$M:$M)+SUMIF(MATCH_W2!$B:$B,$B37,MATCH_W2!$M:$M)+SUMIF(MATCH_W3!$B:$B,$B37,MATCH_W3!$M:$M)+SUMIF(MATCH_W4!$B:$B,$B37,MATCH_W4!$M:$M)+SUMIF(MATCH_W5!$B:$B,$B37,MATCH_W5!$M:$M)+SUMIF(MATCH_W6!$B:$B,$B37,MATCH_W6!$M:$M)</f>
        <v/>
      </c>
    </row>
    <row r="38">
      <c r="A38" s="7" t="inlineStr">
        <is>
          <t>OSG</t>
        </is>
      </c>
      <c r="B38" s="7" t="inlineStr">
        <is>
          <t>IRONY</t>
        </is>
      </c>
      <c r="C38" s="7" t="inlineStr">
        <is>
          <t>SPT</t>
        </is>
      </c>
      <c r="D38" s="50">
        <f>SUMIF(MATCH_W1!$B:$B,$B38,MATCH_W1!$F:$F)+SUMIF(MATCH_W2!$B:$B,$B38,MATCH_W2!$F:$F)+SUMIF(MATCH_W3!$B:$B,$B38,MATCH_W3!$F:$F)+SUMIF(MATCH_W4!$B:$B,$B38,MATCH_W4!$F:$F)+SUMIF(MATCH_W5!$B:$B,$B38,MATCH_W5!$F:$F)+SUMIF(MATCH_W6!$B:$B,$B38,MATCH_W6!$F:$F)</f>
        <v/>
      </c>
      <c r="E38" s="50">
        <f>SUMIF(MATCH_W1!$B:$B,$B38,MATCH_W1!$G:$G)+SUMIF(MATCH_W2!$B:$B,$B38,MATCH_W2!$G:$G)+SUMIF(MATCH_W3!$B:$B,$B38,MATCH_W3!$G:$G)+SUMIF(MATCH_W4!$B:$B,$B38,MATCH_W4!$G:$G)+SUMIF(MATCH_W5!$B:$B,$B38,MATCH_W5!$G:$G)+SUMIF(MATCH_W6!$B:$B,$B38,MATCH_W6!$G:$G)</f>
        <v/>
      </c>
      <c r="F38" s="50">
        <f>SUMIF(MATCH_W1!$B:$B,$B38,MATCH_W1!$H:$H)+SUMIF(MATCH_W2!$B:$B,$B38,MATCH_W2!$H:$H)+SUMIF(MATCH_W3!$B:$B,$B38,MATCH_W3!$H:$H)+SUMIF(MATCH_W4!$B:$B,$B38,MATCH_W4!$H:$H)+SUMIF(MATCH_W5!$B:$B,$B38,MATCH_W5!$H:$H)+SUMIF(MATCH_W6!$B:$B,$B38,MATCH_W6!$H:$H)</f>
        <v/>
      </c>
      <c r="G38" s="50">
        <f>SUMIF(MATCH_W1!$B:$B,$B38,MATCH_W1!$I:$I)+SUMIF(MATCH_W2!$B:$B,$B38,MATCH_W2!$I:$I)+SUMIF(MATCH_W3!$B:$B,$B38,MATCH_W3!$I:$I)+SUMIF(MATCH_W4!$B:$B,$B38,MATCH_W4!$I:$I)+SUMIF(MATCH_W5!$B:$B,$B38,MATCH_W5!$I:$I)+SUMIF(MATCH_W6!$B:$B,$B38,MATCH_W6!$I:$I)</f>
        <v/>
      </c>
      <c r="H38" s="50">
        <f>SUMIF(MATCH_W1!$B:$B,$B38,MATCH_W1!$J:$J)+SUMIF(MATCH_W2!$B:$B,$B38,MATCH_W2!$J:$J)+SUMIF(MATCH_W3!$B:$B,$B38,MATCH_W3!$J:$J)+SUMIF(MATCH_W4!$B:$B,$B38,MATCH_W4!$J:$J)+SUMIF(MATCH_W5!$B:$B,$B38,MATCH_W5!$J:$J)+SUMIF(MATCH_W6!$B:$B,$B38,MATCH_W6!$J:$J)</f>
        <v/>
      </c>
      <c r="I38" s="50">
        <f>SUMIF(MATCH_W1!$B:$B,$B38,MATCH_W1!$K:$K)+SUMIF(MATCH_W2!$B:$B,$B38,MATCH_W2!$K:$K)+SUMIF(MATCH_W3!$B:$B,$B38,MATCH_W3!$K:$K)+SUMIF(MATCH_W4!$B:$B,$B38,MATCH_W4!$K:$K)+SUMIF(MATCH_W5!$B:$B,$B38,MATCH_W5!$K:$K)+SUMIF(MATCH_W6!$B:$B,$B38,MATCH_W6!$K:$K)</f>
        <v/>
      </c>
      <c r="J38" s="51">
        <f>IFERROR(D38/E38,0)</f>
        <v/>
      </c>
      <c r="K38" s="52">
        <f>SUMIF(MATCH_W1!$B:$B,$B38,MATCH_W1!$M:$M)+SUMIF(MATCH_W2!$B:$B,$B38,MATCH_W2!$M:$M)+SUMIF(MATCH_W3!$B:$B,$B38,MATCH_W3!$M:$M)+SUMIF(MATCH_W4!$B:$B,$B38,MATCH_W4!$M:$M)+SUMIF(MATCH_W5!$B:$B,$B38,MATCH_W5!$M:$M)+SUMIF(MATCH_W6!$B:$B,$B38,MATCH_W6!$M:$M)</f>
        <v/>
      </c>
    </row>
    <row r="39">
      <c r="A39" s="7" t="inlineStr">
        <is>
          <t>ZAN</t>
        </is>
      </c>
      <c r="B39" s="7" t="inlineStr">
        <is>
          <t>HEISER</t>
        </is>
      </c>
      <c r="C39" s="7" t="inlineStr">
        <is>
          <t>TANK</t>
        </is>
      </c>
      <c r="D39" s="50">
        <f>SUMIF(MATCH_W1!$B:$B,$B39,MATCH_W1!$F:$F)+SUMIF(MATCH_W2!$B:$B,$B39,MATCH_W2!$F:$F)+SUMIF(MATCH_W3!$B:$B,$B39,MATCH_W3!$F:$F)+SUMIF(MATCH_W4!$B:$B,$B39,MATCH_W4!$F:$F)+SUMIF(MATCH_W5!$B:$B,$B39,MATCH_W5!$F:$F)+SUMIF(MATCH_W6!$B:$B,$B39,MATCH_W6!$F:$F)</f>
        <v/>
      </c>
      <c r="E39" s="50">
        <f>SUMIF(MATCH_W1!$B:$B,$B39,MATCH_W1!$G:$G)+SUMIF(MATCH_W2!$B:$B,$B39,MATCH_W2!$G:$G)+SUMIF(MATCH_W3!$B:$B,$B39,MATCH_W3!$G:$G)+SUMIF(MATCH_W4!$B:$B,$B39,MATCH_W4!$G:$G)+SUMIF(MATCH_W5!$B:$B,$B39,MATCH_W5!$G:$G)+SUMIF(MATCH_W6!$B:$B,$B39,MATCH_W6!$G:$G)</f>
        <v/>
      </c>
      <c r="F39" s="50">
        <f>SUMIF(MATCH_W1!$B:$B,$B39,MATCH_W1!$H:$H)+SUMIF(MATCH_W2!$B:$B,$B39,MATCH_W2!$H:$H)+SUMIF(MATCH_W3!$B:$B,$B39,MATCH_W3!$H:$H)+SUMIF(MATCH_W4!$B:$B,$B39,MATCH_W4!$H:$H)+SUMIF(MATCH_W5!$B:$B,$B39,MATCH_W5!$H:$H)+SUMIF(MATCH_W6!$B:$B,$B39,MATCH_W6!$H:$H)</f>
        <v/>
      </c>
      <c r="G39" s="50">
        <f>SUMIF(MATCH_W1!$B:$B,$B39,MATCH_W1!$I:$I)+SUMIF(MATCH_W2!$B:$B,$B39,MATCH_W2!$I:$I)+SUMIF(MATCH_W3!$B:$B,$B39,MATCH_W3!$I:$I)+SUMIF(MATCH_W4!$B:$B,$B39,MATCH_W4!$I:$I)+SUMIF(MATCH_W5!$B:$B,$B39,MATCH_W5!$I:$I)+SUMIF(MATCH_W6!$B:$B,$B39,MATCH_W6!$I:$I)</f>
        <v/>
      </c>
      <c r="H39" s="50">
        <f>SUMIF(MATCH_W1!$B:$B,$B39,MATCH_W1!$J:$J)+SUMIF(MATCH_W2!$B:$B,$B39,MATCH_W2!$J:$J)+SUMIF(MATCH_W3!$B:$B,$B39,MATCH_W3!$J:$J)+SUMIF(MATCH_W4!$B:$B,$B39,MATCH_W4!$J:$J)+SUMIF(MATCH_W5!$B:$B,$B39,MATCH_W5!$J:$J)+SUMIF(MATCH_W6!$B:$B,$B39,MATCH_W6!$J:$J)</f>
        <v/>
      </c>
      <c r="I39" s="50">
        <f>SUMIF(MATCH_W1!$B:$B,$B39,MATCH_W1!$K:$K)+SUMIF(MATCH_W2!$B:$B,$B39,MATCH_W2!$K:$K)+SUMIF(MATCH_W3!$B:$B,$B39,MATCH_W3!$K:$K)+SUMIF(MATCH_W4!$B:$B,$B39,MATCH_W4!$K:$K)+SUMIF(MATCH_W5!$B:$B,$B39,MATCH_W5!$K:$K)+SUMIF(MATCH_W6!$B:$B,$B39,MATCH_W6!$K:$K)</f>
        <v/>
      </c>
      <c r="J39" s="51">
        <f>IFERROR(D39/E39,0)</f>
        <v/>
      </c>
      <c r="K39" s="52">
        <f>SUMIF(MATCH_W1!$B:$B,$B39,MATCH_W1!$M:$M)+SUMIF(MATCH_W2!$B:$B,$B39,MATCH_W2!$M:$M)+SUMIF(MATCH_W3!$B:$B,$B39,MATCH_W3!$M:$M)+SUMIF(MATCH_W4!$B:$B,$B39,MATCH_W4!$M:$M)+SUMIF(MATCH_W5!$B:$B,$B39,MATCH_W5!$M:$M)+SUMIF(MATCH_W6!$B:$B,$B39,MATCH_W6!$M:$M)</f>
        <v/>
      </c>
    </row>
    <row r="40">
      <c r="A40" s="7" t="inlineStr">
        <is>
          <t>ZAN</t>
        </is>
      </c>
      <c r="B40" s="7" t="inlineStr">
        <is>
          <t>A1IEN</t>
        </is>
      </c>
      <c r="C40" s="7" t="inlineStr">
        <is>
          <t>DPS</t>
        </is>
      </c>
      <c r="D40" s="50">
        <f>SUMIF(MATCH_W1!$B:$B,$B40,MATCH_W1!$F:$F)+SUMIF(MATCH_W2!$B:$B,$B40,MATCH_W2!$F:$F)+SUMIF(MATCH_W3!$B:$B,$B40,MATCH_W3!$F:$F)+SUMIF(MATCH_W4!$B:$B,$B40,MATCH_W4!$F:$F)+SUMIF(MATCH_W5!$B:$B,$B40,MATCH_W5!$F:$F)+SUMIF(MATCH_W6!$B:$B,$B40,MATCH_W6!$F:$F)</f>
        <v/>
      </c>
      <c r="E40" s="50">
        <f>SUMIF(MATCH_W1!$B:$B,$B40,MATCH_W1!$G:$G)+SUMIF(MATCH_W2!$B:$B,$B40,MATCH_W2!$G:$G)+SUMIF(MATCH_W3!$B:$B,$B40,MATCH_W3!$G:$G)+SUMIF(MATCH_W4!$B:$B,$B40,MATCH_W4!$G:$G)+SUMIF(MATCH_W5!$B:$B,$B40,MATCH_W5!$G:$G)+SUMIF(MATCH_W6!$B:$B,$B40,MATCH_W6!$G:$G)</f>
        <v/>
      </c>
      <c r="F40" s="50">
        <f>SUMIF(MATCH_W1!$B:$B,$B40,MATCH_W1!$H:$H)+SUMIF(MATCH_W2!$B:$B,$B40,MATCH_W2!$H:$H)+SUMIF(MATCH_W3!$B:$B,$B40,MATCH_W3!$H:$H)+SUMIF(MATCH_W4!$B:$B,$B40,MATCH_W4!$H:$H)+SUMIF(MATCH_W5!$B:$B,$B40,MATCH_W5!$H:$H)+SUMIF(MATCH_W6!$B:$B,$B40,MATCH_W6!$H:$H)</f>
        <v/>
      </c>
      <c r="G40" s="50">
        <f>SUMIF(MATCH_W1!$B:$B,$B40,MATCH_W1!$I:$I)+SUMIF(MATCH_W2!$B:$B,$B40,MATCH_W2!$I:$I)+SUMIF(MATCH_W3!$B:$B,$B40,MATCH_W3!$I:$I)+SUMIF(MATCH_W4!$B:$B,$B40,MATCH_W4!$I:$I)+SUMIF(MATCH_W5!$B:$B,$B40,MATCH_W5!$I:$I)+SUMIF(MATCH_W6!$B:$B,$B40,MATCH_W6!$I:$I)</f>
        <v/>
      </c>
      <c r="H40" s="50">
        <f>SUMIF(MATCH_W1!$B:$B,$B40,MATCH_W1!$J:$J)+SUMIF(MATCH_W2!$B:$B,$B40,MATCH_W2!$J:$J)+SUMIF(MATCH_W3!$B:$B,$B40,MATCH_W3!$J:$J)+SUMIF(MATCH_W4!$B:$B,$B40,MATCH_W4!$J:$J)+SUMIF(MATCH_W5!$B:$B,$B40,MATCH_W5!$J:$J)+SUMIF(MATCH_W6!$B:$B,$B40,MATCH_W6!$J:$J)</f>
        <v/>
      </c>
      <c r="I40" s="50">
        <f>SUMIF(MATCH_W1!$B:$B,$B40,MATCH_W1!$K:$K)+SUMIF(MATCH_W2!$B:$B,$B40,MATCH_W2!$K:$K)+SUMIF(MATCH_W3!$B:$B,$B40,MATCH_W3!$K:$K)+SUMIF(MATCH_W4!$B:$B,$B40,MATCH_W4!$K:$K)+SUMIF(MATCH_W5!$B:$B,$B40,MATCH_W5!$K:$K)+SUMIF(MATCH_W6!$B:$B,$B40,MATCH_W6!$K:$K)</f>
        <v/>
      </c>
      <c r="J40" s="51">
        <f>IFERROR(D40/E40,0)</f>
        <v/>
      </c>
      <c r="K40" s="52">
        <f>SUMIF(MATCH_W1!$B:$B,$B40,MATCH_W1!$M:$M)+SUMIF(MATCH_W2!$B:$B,$B40,MATCH_W2!$M:$M)+SUMIF(MATCH_W3!$B:$B,$B40,MATCH_W3!$M:$M)+SUMIF(MATCH_W4!$B:$B,$B40,MATCH_W4!$M:$M)+SUMIF(MATCH_W5!$B:$B,$B40,MATCH_W5!$M:$M)+SUMIF(MATCH_W6!$B:$B,$B40,MATCH_W6!$M:$M)</f>
        <v/>
      </c>
    </row>
    <row r="41">
      <c r="A41" s="7" t="inlineStr">
        <is>
          <t>ZAN</t>
        </is>
      </c>
      <c r="B41" s="7" t="inlineStr">
        <is>
          <t>PROBE</t>
        </is>
      </c>
      <c r="C41" s="7" t="inlineStr">
        <is>
          <t>DPS</t>
        </is>
      </c>
      <c r="D41" s="50">
        <f>SUMIF(MATCH_W1!$B:$B,$B41,MATCH_W1!$F:$F)+SUMIF(MATCH_W2!$B:$B,$B41,MATCH_W2!$F:$F)+SUMIF(MATCH_W3!$B:$B,$B41,MATCH_W3!$F:$F)+SUMIF(MATCH_W4!$B:$B,$B41,MATCH_W4!$F:$F)+SUMIF(MATCH_W5!$B:$B,$B41,MATCH_W5!$F:$F)+SUMIF(MATCH_W6!$B:$B,$B41,MATCH_W6!$F:$F)</f>
        <v/>
      </c>
      <c r="E41" s="50">
        <f>SUMIF(MATCH_W1!$B:$B,$B41,MATCH_W1!$G:$G)+SUMIF(MATCH_W2!$B:$B,$B41,MATCH_W2!$G:$G)+SUMIF(MATCH_W3!$B:$B,$B41,MATCH_W3!$G:$G)+SUMIF(MATCH_W4!$B:$B,$B41,MATCH_W4!$G:$G)+SUMIF(MATCH_W5!$B:$B,$B41,MATCH_W5!$G:$G)+SUMIF(MATCH_W6!$B:$B,$B41,MATCH_W6!$G:$G)</f>
        <v/>
      </c>
      <c r="F41" s="50">
        <f>SUMIF(MATCH_W1!$B:$B,$B41,MATCH_W1!$H:$H)+SUMIF(MATCH_W2!$B:$B,$B41,MATCH_W2!$H:$H)+SUMIF(MATCH_W3!$B:$B,$B41,MATCH_W3!$H:$H)+SUMIF(MATCH_W4!$B:$B,$B41,MATCH_W4!$H:$H)+SUMIF(MATCH_W5!$B:$B,$B41,MATCH_W5!$H:$H)+SUMIF(MATCH_W6!$B:$B,$B41,MATCH_W6!$H:$H)</f>
        <v/>
      </c>
      <c r="G41" s="50">
        <f>SUMIF(MATCH_W1!$B:$B,$B41,MATCH_W1!$I:$I)+SUMIF(MATCH_W2!$B:$B,$B41,MATCH_W2!$I:$I)+SUMIF(MATCH_W3!$B:$B,$B41,MATCH_W3!$I:$I)+SUMIF(MATCH_W4!$B:$B,$B41,MATCH_W4!$I:$I)+SUMIF(MATCH_W5!$B:$B,$B41,MATCH_W5!$I:$I)+SUMIF(MATCH_W6!$B:$B,$B41,MATCH_W6!$I:$I)</f>
        <v/>
      </c>
      <c r="H41" s="50">
        <f>SUMIF(MATCH_W1!$B:$B,$B41,MATCH_W1!$J:$J)+SUMIF(MATCH_W2!$B:$B,$B41,MATCH_W2!$J:$J)+SUMIF(MATCH_W3!$B:$B,$B41,MATCH_W3!$J:$J)+SUMIF(MATCH_W4!$B:$B,$B41,MATCH_W4!$J:$J)+SUMIF(MATCH_W5!$B:$B,$B41,MATCH_W5!$J:$J)+SUMIF(MATCH_W6!$B:$B,$B41,MATCH_W6!$J:$J)</f>
        <v/>
      </c>
      <c r="I41" s="50">
        <f>SUMIF(MATCH_W1!$B:$B,$B41,MATCH_W1!$K:$K)+SUMIF(MATCH_W2!$B:$B,$B41,MATCH_W2!$K:$K)+SUMIF(MATCH_W3!$B:$B,$B41,MATCH_W3!$K:$K)+SUMIF(MATCH_W4!$B:$B,$B41,MATCH_W4!$K:$K)+SUMIF(MATCH_W5!$B:$B,$B41,MATCH_W5!$K:$K)+SUMIF(MATCH_W6!$B:$B,$B41,MATCH_W6!$K:$K)</f>
        <v/>
      </c>
      <c r="J41" s="51">
        <f>IFERROR(D41/E41,0)</f>
        <v/>
      </c>
      <c r="K41" s="52">
        <f>SUMIF(MATCH_W1!$B:$B,$B41,MATCH_W1!$M:$M)+SUMIF(MATCH_W2!$B:$B,$B41,MATCH_W2!$M:$M)+SUMIF(MATCH_W3!$B:$B,$B41,MATCH_W3!$M:$M)+SUMIF(MATCH_W4!$B:$B,$B41,MATCH_W4!$M:$M)+SUMIF(MATCH_W5!$B:$B,$B41,MATCH_W5!$M:$M)+SUMIF(MATCH_W6!$B:$B,$B41,MATCH_W6!$M:$M)</f>
        <v/>
      </c>
    </row>
    <row r="42">
      <c r="A42" s="7" t="inlineStr">
        <is>
          <t>ZAN</t>
        </is>
      </c>
      <c r="B42" s="7" t="inlineStr">
        <is>
          <t>BECKY</t>
        </is>
      </c>
      <c r="C42" s="7" t="inlineStr">
        <is>
          <t>DPS</t>
        </is>
      </c>
      <c r="D42" s="50">
        <f>SUMIF(MATCH_W1!$B:$B,$B42,MATCH_W1!$F:$F)+SUMIF(MATCH_W2!$B:$B,$B42,MATCH_W2!$F:$F)+SUMIF(MATCH_W3!$B:$B,$B42,MATCH_W3!$F:$F)+SUMIF(MATCH_W4!$B:$B,$B42,MATCH_W4!$F:$F)+SUMIF(MATCH_W5!$B:$B,$B42,MATCH_W5!$F:$F)+SUMIF(MATCH_W6!$B:$B,$B42,MATCH_W6!$F:$F)</f>
        <v/>
      </c>
      <c r="E42" s="50">
        <f>SUMIF(MATCH_W1!$B:$B,$B42,MATCH_W1!$G:$G)+SUMIF(MATCH_W2!$B:$B,$B42,MATCH_W2!$G:$G)+SUMIF(MATCH_W3!$B:$B,$B42,MATCH_W3!$G:$G)+SUMIF(MATCH_W4!$B:$B,$B42,MATCH_W4!$G:$G)+SUMIF(MATCH_W5!$B:$B,$B42,MATCH_W5!$G:$G)+SUMIF(MATCH_W6!$B:$B,$B42,MATCH_W6!$G:$G)</f>
        <v/>
      </c>
      <c r="F42" s="50">
        <f>SUMIF(MATCH_W1!$B:$B,$B42,MATCH_W1!$H:$H)+SUMIF(MATCH_W2!$B:$B,$B42,MATCH_W2!$H:$H)+SUMIF(MATCH_W3!$B:$B,$B42,MATCH_W3!$H:$H)+SUMIF(MATCH_W4!$B:$B,$B42,MATCH_W4!$H:$H)+SUMIF(MATCH_W5!$B:$B,$B42,MATCH_W5!$H:$H)+SUMIF(MATCH_W6!$B:$B,$B42,MATCH_W6!$H:$H)</f>
        <v/>
      </c>
      <c r="G42" s="50">
        <f>SUMIF(MATCH_W1!$B:$B,$B42,MATCH_W1!$I:$I)+SUMIF(MATCH_W2!$B:$B,$B42,MATCH_W2!$I:$I)+SUMIF(MATCH_W3!$B:$B,$B42,MATCH_W3!$I:$I)+SUMIF(MATCH_W4!$B:$B,$B42,MATCH_W4!$I:$I)+SUMIF(MATCH_W5!$B:$B,$B42,MATCH_W5!$I:$I)+SUMIF(MATCH_W6!$B:$B,$B42,MATCH_W6!$I:$I)</f>
        <v/>
      </c>
      <c r="H42" s="50">
        <f>SUMIF(MATCH_W1!$B:$B,$B42,MATCH_W1!$J:$J)+SUMIF(MATCH_W2!$B:$B,$B42,MATCH_W2!$J:$J)+SUMIF(MATCH_W3!$B:$B,$B42,MATCH_W3!$J:$J)+SUMIF(MATCH_W4!$B:$B,$B42,MATCH_W4!$J:$J)+SUMIF(MATCH_W5!$B:$B,$B42,MATCH_W5!$J:$J)+SUMIF(MATCH_W6!$B:$B,$B42,MATCH_W6!$J:$J)</f>
        <v/>
      </c>
      <c r="I42" s="50">
        <f>SUMIF(MATCH_W1!$B:$B,$B42,MATCH_W1!$K:$K)+SUMIF(MATCH_W2!$B:$B,$B42,MATCH_W2!$K:$K)+SUMIF(MATCH_W3!$B:$B,$B42,MATCH_W3!$K:$K)+SUMIF(MATCH_W4!$B:$B,$B42,MATCH_W4!$K:$K)+SUMIF(MATCH_W5!$B:$B,$B42,MATCH_W5!$K:$K)+SUMIF(MATCH_W6!$B:$B,$B42,MATCH_W6!$K:$K)</f>
        <v/>
      </c>
      <c r="J42" s="51">
        <f>IFERROR(D42/E42,0)</f>
        <v/>
      </c>
      <c r="K42" s="52">
        <f>SUMIF(MATCH_W1!$B:$B,$B42,MATCH_W1!$M:$M)+SUMIF(MATCH_W2!$B:$B,$B42,MATCH_W2!$M:$M)+SUMIF(MATCH_W3!$B:$B,$B42,MATCH_W3!$M:$M)+SUMIF(MATCH_W4!$B:$B,$B42,MATCH_W4!$M:$M)+SUMIF(MATCH_W5!$B:$B,$B42,MATCH_W5!$M:$M)+SUMIF(MATCH_W6!$B:$B,$B42,MATCH_W6!$M:$M)</f>
        <v/>
      </c>
    </row>
    <row r="43">
      <c r="A43" s="7" t="inlineStr">
        <is>
          <t>ZAN</t>
        </is>
      </c>
      <c r="B43" s="7" t="inlineStr">
        <is>
          <t>HAVIRA</t>
        </is>
      </c>
      <c r="C43" s="7" t="inlineStr">
        <is>
          <t>SPT</t>
        </is>
      </c>
      <c r="D43" s="50">
        <f>SUMIF(MATCH_W1!$B:$B,$B43,MATCH_W1!$F:$F)+SUMIF(MATCH_W2!$B:$B,$B43,MATCH_W2!$F:$F)+SUMIF(MATCH_W3!$B:$B,$B43,MATCH_W3!$F:$F)+SUMIF(MATCH_W4!$B:$B,$B43,MATCH_W4!$F:$F)+SUMIF(MATCH_W5!$B:$B,$B43,MATCH_W5!$F:$F)+SUMIF(MATCH_W6!$B:$B,$B43,MATCH_W6!$F:$F)</f>
        <v/>
      </c>
      <c r="E43" s="50">
        <f>SUMIF(MATCH_W1!$B:$B,$B43,MATCH_W1!$G:$G)+SUMIF(MATCH_W2!$B:$B,$B43,MATCH_W2!$G:$G)+SUMIF(MATCH_W3!$B:$B,$B43,MATCH_W3!$G:$G)+SUMIF(MATCH_W4!$B:$B,$B43,MATCH_W4!$G:$G)+SUMIF(MATCH_W5!$B:$B,$B43,MATCH_W5!$G:$G)+SUMIF(MATCH_W6!$B:$B,$B43,MATCH_W6!$G:$G)</f>
        <v/>
      </c>
      <c r="F43" s="50">
        <f>SUMIF(MATCH_W1!$B:$B,$B43,MATCH_W1!$H:$H)+SUMIF(MATCH_W2!$B:$B,$B43,MATCH_W2!$H:$H)+SUMIF(MATCH_W3!$B:$B,$B43,MATCH_W3!$H:$H)+SUMIF(MATCH_W4!$B:$B,$B43,MATCH_W4!$H:$H)+SUMIF(MATCH_W5!$B:$B,$B43,MATCH_W5!$H:$H)+SUMIF(MATCH_W6!$B:$B,$B43,MATCH_W6!$H:$H)</f>
        <v/>
      </c>
      <c r="G43" s="50">
        <f>SUMIF(MATCH_W1!$B:$B,$B43,MATCH_W1!$I:$I)+SUMIF(MATCH_W2!$B:$B,$B43,MATCH_W2!$I:$I)+SUMIF(MATCH_W3!$B:$B,$B43,MATCH_W3!$I:$I)+SUMIF(MATCH_W4!$B:$B,$B43,MATCH_W4!$I:$I)+SUMIF(MATCH_W5!$B:$B,$B43,MATCH_W5!$I:$I)+SUMIF(MATCH_W6!$B:$B,$B43,MATCH_W6!$I:$I)</f>
        <v/>
      </c>
      <c r="H43" s="50">
        <f>SUMIF(MATCH_W1!$B:$B,$B43,MATCH_W1!$J:$J)+SUMIF(MATCH_W2!$B:$B,$B43,MATCH_W2!$J:$J)+SUMIF(MATCH_W3!$B:$B,$B43,MATCH_W3!$J:$J)+SUMIF(MATCH_W4!$B:$B,$B43,MATCH_W4!$J:$J)+SUMIF(MATCH_W5!$B:$B,$B43,MATCH_W5!$J:$J)+SUMIF(MATCH_W6!$B:$B,$B43,MATCH_W6!$J:$J)</f>
        <v/>
      </c>
      <c r="I43" s="50">
        <f>SUMIF(MATCH_W1!$B:$B,$B43,MATCH_W1!$K:$K)+SUMIF(MATCH_W2!$B:$B,$B43,MATCH_W2!$K:$K)+SUMIF(MATCH_W3!$B:$B,$B43,MATCH_W3!$K:$K)+SUMIF(MATCH_W4!$B:$B,$B43,MATCH_W4!$K:$K)+SUMIF(MATCH_W5!$B:$B,$B43,MATCH_W5!$K:$K)+SUMIF(MATCH_W6!$B:$B,$B43,MATCH_W6!$K:$K)</f>
        <v/>
      </c>
      <c r="J43" s="51">
        <f>IFERROR(D43/E43,0)</f>
        <v/>
      </c>
      <c r="K43" s="52">
        <f>SUMIF(MATCH_W1!$B:$B,$B43,MATCH_W1!$M:$M)+SUMIF(MATCH_W2!$B:$B,$B43,MATCH_W2!$M:$M)+SUMIF(MATCH_W3!$B:$B,$B43,MATCH_W3!$M:$M)+SUMIF(MATCH_W4!$B:$B,$B43,MATCH_W4!$M:$M)+SUMIF(MATCH_W5!$B:$B,$B43,MATCH_W5!$M:$M)+SUMIF(MATCH_W6!$B:$B,$B43,MATCH_W6!$M:$M)</f>
        <v/>
      </c>
    </row>
    <row r="44">
      <c r="A44" s="7" t="inlineStr">
        <is>
          <t>ZAN</t>
        </is>
      </c>
      <c r="B44" s="7" t="inlineStr">
        <is>
          <t>YANGIUN</t>
        </is>
      </c>
      <c r="C44" s="7" t="inlineStr">
        <is>
          <t>SPT</t>
        </is>
      </c>
      <c r="D44" s="50">
        <f>SUMIF(MATCH_W1!$B:$B,$B44,MATCH_W1!$F:$F)+SUMIF(MATCH_W2!$B:$B,$B44,MATCH_W2!$F:$F)+SUMIF(MATCH_W3!$B:$B,$B44,MATCH_W3!$F:$F)+SUMIF(MATCH_W4!$B:$B,$B44,MATCH_W4!$F:$F)+SUMIF(MATCH_W5!$B:$B,$B44,MATCH_W5!$F:$F)+SUMIF(MATCH_W6!$B:$B,$B44,MATCH_W6!$F:$F)</f>
        <v/>
      </c>
      <c r="E44" s="50">
        <f>SUMIF(MATCH_W1!$B:$B,$B44,MATCH_W1!$G:$G)+SUMIF(MATCH_W2!$B:$B,$B44,MATCH_W2!$G:$G)+SUMIF(MATCH_W3!$B:$B,$B44,MATCH_W3!$G:$G)+SUMIF(MATCH_W4!$B:$B,$B44,MATCH_W4!$G:$G)+SUMIF(MATCH_W5!$B:$B,$B44,MATCH_W5!$G:$G)+SUMIF(MATCH_W6!$B:$B,$B44,MATCH_W6!$G:$G)</f>
        <v/>
      </c>
      <c r="F44" s="50">
        <f>SUMIF(MATCH_W1!$B:$B,$B44,MATCH_W1!$H:$H)+SUMIF(MATCH_W2!$B:$B,$B44,MATCH_W2!$H:$H)+SUMIF(MATCH_W3!$B:$B,$B44,MATCH_W3!$H:$H)+SUMIF(MATCH_W4!$B:$B,$B44,MATCH_W4!$H:$H)+SUMIF(MATCH_W5!$B:$B,$B44,MATCH_W5!$H:$H)+SUMIF(MATCH_W6!$B:$B,$B44,MATCH_W6!$H:$H)</f>
        <v/>
      </c>
      <c r="G44" s="50">
        <f>SUMIF(MATCH_W1!$B:$B,$B44,MATCH_W1!$I:$I)+SUMIF(MATCH_W2!$B:$B,$B44,MATCH_W2!$I:$I)+SUMIF(MATCH_W3!$B:$B,$B44,MATCH_W3!$I:$I)+SUMIF(MATCH_W4!$B:$B,$B44,MATCH_W4!$I:$I)+SUMIF(MATCH_W5!$B:$B,$B44,MATCH_W5!$I:$I)+SUMIF(MATCH_W6!$B:$B,$B44,MATCH_W6!$I:$I)</f>
        <v/>
      </c>
      <c r="H44" s="50">
        <f>SUMIF(MATCH_W1!$B:$B,$B44,MATCH_W1!$J:$J)+SUMIF(MATCH_W2!$B:$B,$B44,MATCH_W2!$J:$J)+SUMIF(MATCH_W3!$B:$B,$B44,MATCH_W3!$J:$J)+SUMIF(MATCH_W4!$B:$B,$B44,MATCH_W4!$J:$J)+SUMIF(MATCH_W5!$B:$B,$B44,MATCH_W5!$J:$J)+SUMIF(MATCH_W6!$B:$B,$B44,MATCH_W6!$J:$J)</f>
        <v/>
      </c>
      <c r="I44" s="50">
        <f>SUMIF(MATCH_W1!$B:$B,$B44,MATCH_W1!$K:$K)+SUMIF(MATCH_W2!$B:$B,$B44,MATCH_W2!$K:$K)+SUMIF(MATCH_W3!$B:$B,$B44,MATCH_W3!$K:$K)+SUMIF(MATCH_W4!$B:$B,$B44,MATCH_W4!$K:$K)+SUMIF(MATCH_W5!$B:$B,$B44,MATCH_W5!$K:$K)+SUMIF(MATCH_W6!$B:$B,$B44,MATCH_W6!$K:$K)</f>
        <v/>
      </c>
      <c r="J44" s="51">
        <f>IFERROR(D44/E44,0)</f>
        <v/>
      </c>
      <c r="K44" s="52">
        <f>SUMIF(MATCH_W1!$B:$B,$B44,MATCH_W1!$M:$M)+SUMIF(MATCH_W2!$B:$B,$B44,MATCH_W2!$M:$M)+SUMIF(MATCH_W3!$B:$B,$B44,MATCH_W3!$M:$M)+SUMIF(MATCH_W4!$B:$B,$B44,MATCH_W4!$M:$M)+SUMIF(MATCH_W5!$B:$B,$B44,MATCH_W5!$M:$M)+SUMIF(MATCH_W6!$B:$B,$B44,MATCH_W6!$M:$M)</f>
        <v/>
      </c>
    </row>
    <row r="45">
      <c r="A45" s="7" t="inlineStr">
        <is>
          <t>ZAN</t>
        </is>
      </c>
      <c r="B45" s="7" t="inlineStr">
        <is>
          <t>KIVIS</t>
        </is>
      </c>
      <c r="C45" s="7" t="inlineStr">
        <is>
          <t>SPT</t>
        </is>
      </c>
      <c r="D45" s="50">
        <f>SUMIF(MATCH_W1!$B:$B,$B45,MATCH_W1!$F:$F)+SUMIF(MATCH_W2!$B:$B,$B45,MATCH_W2!$F:$F)+SUMIF(MATCH_W3!$B:$B,$B45,MATCH_W3!$F:$F)+SUMIF(MATCH_W4!$B:$B,$B45,MATCH_W4!$F:$F)+SUMIF(MATCH_W5!$B:$B,$B45,MATCH_W5!$F:$F)+SUMIF(MATCH_W6!$B:$B,$B45,MATCH_W6!$F:$F)</f>
        <v/>
      </c>
      <c r="E45" s="50">
        <f>SUMIF(MATCH_W1!$B:$B,$B45,MATCH_W1!$G:$G)+SUMIF(MATCH_W2!$B:$B,$B45,MATCH_W2!$G:$G)+SUMIF(MATCH_W3!$B:$B,$B45,MATCH_W3!$G:$G)+SUMIF(MATCH_W4!$B:$B,$B45,MATCH_W4!$G:$G)+SUMIF(MATCH_W5!$B:$B,$B45,MATCH_W5!$G:$G)+SUMIF(MATCH_W6!$B:$B,$B45,MATCH_W6!$G:$G)</f>
        <v/>
      </c>
      <c r="F45" s="50">
        <f>SUMIF(MATCH_W1!$B:$B,$B45,MATCH_W1!$H:$H)+SUMIF(MATCH_W2!$B:$B,$B45,MATCH_W2!$H:$H)+SUMIF(MATCH_W3!$B:$B,$B45,MATCH_W3!$H:$H)+SUMIF(MATCH_W4!$B:$B,$B45,MATCH_W4!$H:$H)+SUMIF(MATCH_W5!$B:$B,$B45,MATCH_W5!$H:$H)+SUMIF(MATCH_W6!$B:$B,$B45,MATCH_W6!$H:$H)</f>
        <v/>
      </c>
      <c r="G45" s="50">
        <f>SUMIF(MATCH_W1!$B:$B,$B45,MATCH_W1!$I:$I)+SUMIF(MATCH_W2!$B:$B,$B45,MATCH_W2!$I:$I)+SUMIF(MATCH_W3!$B:$B,$B45,MATCH_W3!$I:$I)+SUMIF(MATCH_W4!$B:$B,$B45,MATCH_W4!$I:$I)+SUMIF(MATCH_W5!$B:$B,$B45,MATCH_W5!$I:$I)+SUMIF(MATCH_W6!$B:$B,$B45,MATCH_W6!$I:$I)</f>
        <v/>
      </c>
      <c r="H45" s="50">
        <f>SUMIF(MATCH_W1!$B:$B,$B45,MATCH_W1!$J:$J)+SUMIF(MATCH_W2!$B:$B,$B45,MATCH_W2!$J:$J)+SUMIF(MATCH_W3!$B:$B,$B45,MATCH_W3!$J:$J)+SUMIF(MATCH_W4!$B:$B,$B45,MATCH_W4!$J:$J)+SUMIF(MATCH_W5!$B:$B,$B45,MATCH_W5!$J:$J)+SUMIF(MATCH_W6!$B:$B,$B45,MATCH_W6!$J:$J)</f>
        <v/>
      </c>
      <c r="I45" s="50">
        <f>SUMIF(MATCH_W1!$B:$B,$B45,MATCH_W1!$K:$K)+SUMIF(MATCH_W2!$B:$B,$B45,MATCH_W2!$K:$K)+SUMIF(MATCH_W3!$B:$B,$B45,MATCH_W3!$K:$K)+SUMIF(MATCH_W4!$B:$B,$B45,MATCH_W4!$K:$K)+SUMIF(MATCH_W5!$B:$B,$B45,MATCH_W5!$K:$K)+SUMIF(MATCH_W6!$B:$B,$B45,MATCH_W6!$K:$K)</f>
        <v/>
      </c>
      <c r="J45" s="51">
        <f>IFERROR(D45/E45,0)</f>
        <v/>
      </c>
      <c r="K45" s="52">
        <f>SUMIF(MATCH_W1!$B:$B,$B45,MATCH_W1!$M:$M)+SUMIF(MATCH_W2!$B:$B,$B45,MATCH_W2!$M:$M)+SUMIF(MATCH_W3!$B:$B,$B45,MATCH_W3!$M:$M)+SUMIF(MATCH_W4!$B:$B,$B45,MATCH_W4!$M:$M)+SUMIF(MATCH_W5!$B:$B,$B45,MATCH_W5!$M:$M)+SUMIF(MATCH_W6!$B:$B,$B45,MATCH_W6!$M:$M)</f>
        <v/>
      </c>
    </row>
    <row r="46">
      <c r="A46" s="7" t="inlineStr">
        <is>
          <t>CB</t>
        </is>
      </c>
      <c r="B46" s="7" t="inlineStr">
        <is>
          <t>FARMER</t>
        </is>
      </c>
      <c r="C46" s="7" t="inlineStr">
        <is>
          <t>TANK</t>
        </is>
      </c>
      <c r="D46" s="50">
        <f>SUMIF(MATCH_W1!$B:$B,$B46,MATCH_W1!$F:$F)+SUMIF(MATCH_W2!$B:$B,$B46,MATCH_W2!$F:$F)+SUMIF(MATCH_W3!$B:$B,$B46,MATCH_W3!$F:$F)+SUMIF(MATCH_W4!$B:$B,$B46,MATCH_W4!$F:$F)+SUMIF(MATCH_W5!$B:$B,$B46,MATCH_W5!$F:$F)+SUMIF(MATCH_W6!$B:$B,$B46,MATCH_W6!$F:$F)</f>
        <v/>
      </c>
      <c r="E46" s="50">
        <f>SUMIF(MATCH_W1!$B:$B,$B46,MATCH_W1!$G:$G)+SUMIF(MATCH_W2!$B:$B,$B46,MATCH_W2!$G:$G)+SUMIF(MATCH_W3!$B:$B,$B46,MATCH_W3!$G:$G)+SUMIF(MATCH_W4!$B:$B,$B46,MATCH_W4!$G:$G)+SUMIF(MATCH_W5!$B:$B,$B46,MATCH_W5!$G:$G)+SUMIF(MATCH_W6!$B:$B,$B46,MATCH_W6!$G:$G)</f>
        <v/>
      </c>
      <c r="F46" s="50">
        <f>SUMIF(MATCH_W1!$B:$B,$B46,MATCH_W1!$H:$H)+SUMIF(MATCH_W2!$B:$B,$B46,MATCH_W2!$H:$H)+SUMIF(MATCH_W3!$B:$B,$B46,MATCH_W3!$H:$H)+SUMIF(MATCH_W4!$B:$B,$B46,MATCH_W4!$H:$H)+SUMIF(MATCH_W5!$B:$B,$B46,MATCH_W5!$H:$H)+SUMIF(MATCH_W6!$B:$B,$B46,MATCH_W6!$H:$H)</f>
        <v/>
      </c>
      <c r="G46" s="50">
        <f>SUMIF(MATCH_W1!$B:$B,$B46,MATCH_W1!$I:$I)+SUMIF(MATCH_W2!$B:$B,$B46,MATCH_W2!$I:$I)+SUMIF(MATCH_W3!$B:$B,$B46,MATCH_W3!$I:$I)+SUMIF(MATCH_W4!$B:$B,$B46,MATCH_W4!$I:$I)+SUMIF(MATCH_W5!$B:$B,$B46,MATCH_W5!$I:$I)+SUMIF(MATCH_W6!$B:$B,$B46,MATCH_W6!$I:$I)</f>
        <v/>
      </c>
      <c r="H46" s="50">
        <f>SUMIF(MATCH_W1!$B:$B,$B46,MATCH_W1!$J:$J)+SUMIF(MATCH_W2!$B:$B,$B46,MATCH_W2!$J:$J)+SUMIF(MATCH_W3!$B:$B,$B46,MATCH_W3!$J:$J)+SUMIF(MATCH_W4!$B:$B,$B46,MATCH_W4!$J:$J)+SUMIF(MATCH_W5!$B:$B,$B46,MATCH_W5!$J:$J)+SUMIF(MATCH_W6!$B:$B,$B46,MATCH_W6!$J:$J)</f>
        <v/>
      </c>
      <c r="I46" s="50">
        <f>SUMIF(MATCH_W1!$B:$B,$B46,MATCH_W1!$K:$K)+SUMIF(MATCH_W2!$B:$B,$B46,MATCH_W2!$K:$K)+SUMIF(MATCH_W3!$B:$B,$B46,MATCH_W3!$K:$K)+SUMIF(MATCH_W4!$B:$B,$B46,MATCH_W4!$K:$K)+SUMIF(MATCH_W5!$B:$B,$B46,MATCH_W5!$K:$K)+SUMIF(MATCH_W6!$B:$B,$B46,MATCH_W6!$K:$K)</f>
        <v/>
      </c>
      <c r="J46" s="51">
        <f>IFERROR(D46/E46,0)</f>
        <v/>
      </c>
      <c r="K46" s="52">
        <f>SUMIF(MATCH_W1!$B:$B,$B46,MATCH_W1!$M:$M)+SUMIF(MATCH_W2!$B:$B,$B46,MATCH_W2!$M:$M)+SUMIF(MATCH_W3!$B:$B,$B46,MATCH_W3!$M:$M)+SUMIF(MATCH_W4!$B:$B,$B46,MATCH_W4!$M:$M)+SUMIF(MATCH_W5!$B:$B,$B46,MATCH_W5!$M:$M)+SUMIF(MATCH_W6!$B:$B,$B46,MATCH_W6!$M:$M)</f>
        <v/>
      </c>
    </row>
    <row r="47">
      <c r="A47" s="7" t="inlineStr">
        <is>
          <t>CB</t>
        </is>
      </c>
      <c r="B47" s="7" t="inlineStr">
        <is>
          <t>SEUNGAN</t>
        </is>
      </c>
      <c r="C47" s="7" t="inlineStr">
        <is>
          <t>TANK</t>
        </is>
      </c>
      <c r="D47" s="50">
        <f>SUMIF(MATCH_W1!$B:$B,$B47,MATCH_W1!$F:$F)+SUMIF(MATCH_W2!$B:$B,$B47,MATCH_W2!$F:$F)+SUMIF(MATCH_W3!$B:$B,$B47,MATCH_W3!$F:$F)+SUMIF(MATCH_W4!$B:$B,$B47,MATCH_W4!$F:$F)+SUMIF(MATCH_W5!$B:$B,$B47,MATCH_W5!$F:$F)+SUMIF(MATCH_W6!$B:$B,$B47,MATCH_W6!$F:$F)</f>
        <v/>
      </c>
      <c r="E47" s="50">
        <f>SUMIF(MATCH_W1!$B:$B,$B47,MATCH_W1!$G:$G)+SUMIF(MATCH_W2!$B:$B,$B47,MATCH_W2!$G:$G)+SUMIF(MATCH_W3!$B:$B,$B47,MATCH_W3!$G:$G)+SUMIF(MATCH_W4!$B:$B,$B47,MATCH_W4!$G:$G)+SUMIF(MATCH_W5!$B:$B,$B47,MATCH_W5!$G:$G)+SUMIF(MATCH_W6!$B:$B,$B47,MATCH_W6!$G:$G)</f>
        <v/>
      </c>
      <c r="F47" s="50">
        <f>SUMIF(MATCH_W1!$B:$B,$B47,MATCH_W1!$H:$H)+SUMIF(MATCH_W2!$B:$B,$B47,MATCH_W2!$H:$H)+SUMIF(MATCH_W3!$B:$B,$B47,MATCH_W3!$H:$H)+SUMIF(MATCH_W4!$B:$B,$B47,MATCH_W4!$H:$H)+SUMIF(MATCH_W5!$B:$B,$B47,MATCH_W5!$H:$H)+SUMIF(MATCH_W6!$B:$B,$B47,MATCH_W6!$H:$H)</f>
        <v/>
      </c>
      <c r="G47" s="50">
        <f>SUMIF(MATCH_W1!$B:$B,$B47,MATCH_W1!$I:$I)+SUMIF(MATCH_W2!$B:$B,$B47,MATCH_W2!$I:$I)+SUMIF(MATCH_W3!$B:$B,$B47,MATCH_W3!$I:$I)+SUMIF(MATCH_W4!$B:$B,$B47,MATCH_W4!$I:$I)+SUMIF(MATCH_W5!$B:$B,$B47,MATCH_W5!$I:$I)+SUMIF(MATCH_W6!$B:$B,$B47,MATCH_W6!$I:$I)</f>
        <v/>
      </c>
      <c r="H47" s="50">
        <f>SUMIF(MATCH_W1!$B:$B,$B47,MATCH_W1!$J:$J)+SUMIF(MATCH_W2!$B:$B,$B47,MATCH_W2!$J:$J)+SUMIF(MATCH_W3!$B:$B,$B47,MATCH_W3!$J:$J)+SUMIF(MATCH_W4!$B:$B,$B47,MATCH_W4!$J:$J)+SUMIF(MATCH_W5!$B:$B,$B47,MATCH_W5!$J:$J)+SUMIF(MATCH_W6!$B:$B,$B47,MATCH_W6!$J:$J)</f>
        <v/>
      </c>
      <c r="I47" s="50">
        <f>SUMIF(MATCH_W1!$B:$B,$B47,MATCH_W1!$K:$K)+SUMIF(MATCH_W2!$B:$B,$B47,MATCH_W2!$K:$K)+SUMIF(MATCH_W3!$B:$B,$B47,MATCH_W3!$K:$K)+SUMIF(MATCH_W4!$B:$B,$B47,MATCH_W4!$K:$K)+SUMIF(MATCH_W5!$B:$B,$B47,MATCH_W5!$K:$K)+SUMIF(MATCH_W6!$B:$B,$B47,MATCH_W6!$K:$K)</f>
        <v/>
      </c>
      <c r="J47" s="51">
        <f>IFERROR(D47/E47,0)</f>
        <v/>
      </c>
      <c r="K47" s="52">
        <f>SUMIF(MATCH_W1!$B:$B,$B47,MATCH_W1!$M:$M)+SUMIF(MATCH_W2!$B:$B,$B47,MATCH_W2!$M:$M)+SUMIF(MATCH_W3!$B:$B,$B47,MATCH_W3!$M:$M)+SUMIF(MATCH_W4!$B:$B,$B47,MATCH_W4!$M:$M)+SUMIF(MATCH_W5!$B:$B,$B47,MATCH_W5!$M:$M)+SUMIF(MATCH_W6!$B:$B,$B47,MATCH_W6!$M:$M)</f>
        <v/>
      </c>
    </row>
    <row r="48">
      <c r="A48" s="7" t="inlineStr">
        <is>
          <t>CB</t>
        </is>
      </c>
      <c r="B48" s="7" t="inlineStr">
        <is>
          <t>ARGON</t>
        </is>
      </c>
      <c r="C48" s="7" t="inlineStr">
        <is>
          <t>DPS</t>
        </is>
      </c>
      <c r="D48" s="50">
        <f>SUMIF(MATCH_W1!$B:$B,$B48,MATCH_W1!$F:$F)+SUMIF(MATCH_W2!$B:$B,$B48,MATCH_W2!$F:$F)+SUMIF(MATCH_W3!$B:$B,$B48,MATCH_W3!$F:$F)+SUMIF(MATCH_W4!$B:$B,$B48,MATCH_W4!$F:$F)+SUMIF(MATCH_W5!$B:$B,$B48,MATCH_W5!$F:$F)+SUMIF(MATCH_W6!$B:$B,$B48,MATCH_W6!$F:$F)</f>
        <v/>
      </c>
      <c r="E48" s="50">
        <f>SUMIF(MATCH_W1!$B:$B,$B48,MATCH_W1!$G:$G)+SUMIF(MATCH_W2!$B:$B,$B48,MATCH_W2!$G:$G)+SUMIF(MATCH_W3!$B:$B,$B48,MATCH_W3!$G:$G)+SUMIF(MATCH_W4!$B:$B,$B48,MATCH_W4!$G:$G)+SUMIF(MATCH_W5!$B:$B,$B48,MATCH_W5!$G:$G)+SUMIF(MATCH_W6!$B:$B,$B48,MATCH_W6!$G:$G)</f>
        <v/>
      </c>
      <c r="F48" s="50">
        <f>SUMIF(MATCH_W1!$B:$B,$B48,MATCH_W1!$H:$H)+SUMIF(MATCH_W2!$B:$B,$B48,MATCH_W2!$H:$H)+SUMIF(MATCH_W3!$B:$B,$B48,MATCH_W3!$H:$H)+SUMIF(MATCH_W4!$B:$B,$B48,MATCH_W4!$H:$H)+SUMIF(MATCH_W5!$B:$B,$B48,MATCH_W5!$H:$H)+SUMIF(MATCH_W6!$B:$B,$B48,MATCH_W6!$H:$H)</f>
        <v/>
      </c>
      <c r="G48" s="50">
        <f>SUMIF(MATCH_W1!$B:$B,$B48,MATCH_W1!$I:$I)+SUMIF(MATCH_W2!$B:$B,$B48,MATCH_W2!$I:$I)+SUMIF(MATCH_W3!$B:$B,$B48,MATCH_W3!$I:$I)+SUMIF(MATCH_W4!$B:$B,$B48,MATCH_W4!$I:$I)+SUMIF(MATCH_W5!$B:$B,$B48,MATCH_W5!$I:$I)+SUMIF(MATCH_W6!$B:$B,$B48,MATCH_W6!$I:$I)</f>
        <v/>
      </c>
      <c r="H48" s="50">
        <f>SUMIF(MATCH_W1!$B:$B,$B48,MATCH_W1!$J:$J)+SUMIF(MATCH_W2!$B:$B,$B48,MATCH_W2!$J:$J)+SUMIF(MATCH_W3!$B:$B,$B48,MATCH_W3!$J:$J)+SUMIF(MATCH_W4!$B:$B,$B48,MATCH_W4!$J:$J)+SUMIF(MATCH_W5!$B:$B,$B48,MATCH_W5!$J:$J)+SUMIF(MATCH_W6!$B:$B,$B48,MATCH_W6!$J:$J)</f>
        <v/>
      </c>
      <c r="I48" s="50">
        <f>SUMIF(MATCH_W1!$B:$B,$B48,MATCH_W1!$K:$K)+SUMIF(MATCH_W2!$B:$B,$B48,MATCH_W2!$K:$K)+SUMIF(MATCH_W3!$B:$B,$B48,MATCH_W3!$K:$K)+SUMIF(MATCH_W4!$B:$B,$B48,MATCH_W4!$K:$K)+SUMIF(MATCH_W5!$B:$B,$B48,MATCH_W5!$K:$K)+SUMIF(MATCH_W6!$B:$B,$B48,MATCH_W6!$K:$K)</f>
        <v/>
      </c>
      <c r="J48" s="51">
        <f>IFERROR(D48/E48,0)</f>
        <v/>
      </c>
      <c r="K48" s="52">
        <f>SUMIF(MATCH_W1!$B:$B,$B48,MATCH_W1!$M:$M)+SUMIF(MATCH_W2!$B:$B,$B48,MATCH_W2!$M:$M)+SUMIF(MATCH_W3!$B:$B,$B48,MATCH_W3!$M:$M)+SUMIF(MATCH_W4!$B:$B,$B48,MATCH_W4!$M:$M)+SUMIF(MATCH_W5!$B:$B,$B48,MATCH_W5!$M:$M)+SUMIF(MATCH_W6!$B:$B,$B48,MATCH_W6!$M:$M)</f>
        <v/>
      </c>
    </row>
    <row r="49">
      <c r="A49" s="7" t="inlineStr">
        <is>
          <t>CB</t>
        </is>
      </c>
      <c r="B49" s="7" t="inlineStr">
        <is>
          <t>ZESIN</t>
        </is>
      </c>
      <c r="C49" s="7" t="inlineStr">
        <is>
          <t>DPS</t>
        </is>
      </c>
      <c r="D49" s="50">
        <f>SUMIF(MATCH_W1!$B:$B,$B49,MATCH_W1!$F:$F)+SUMIF(MATCH_W2!$B:$B,$B49,MATCH_W2!$F:$F)+SUMIF(MATCH_W3!$B:$B,$B49,MATCH_W3!$F:$F)+SUMIF(MATCH_W4!$B:$B,$B49,MATCH_W4!$F:$F)+SUMIF(MATCH_W5!$B:$B,$B49,MATCH_W5!$F:$F)+SUMIF(MATCH_W6!$B:$B,$B49,MATCH_W6!$F:$F)</f>
        <v/>
      </c>
      <c r="E49" s="50">
        <f>SUMIF(MATCH_W1!$B:$B,$B49,MATCH_W1!$G:$G)+SUMIF(MATCH_W2!$B:$B,$B49,MATCH_W2!$G:$G)+SUMIF(MATCH_W3!$B:$B,$B49,MATCH_W3!$G:$G)+SUMIF(MATCH_W4!$B:$B,$B49,MATCH_W4!$G:$G)+SUMIF(MATCH_W5!$B:$B,$B49,MATCH_W5!$G:$G)+SUMIF(MATCH_W6!$B:$B,$B49,MATCH_W6!$G:$G)</f>
        <v/>
      </c>
      <c r="F49" s="50">
        <f>SUMIF(MATCH_W1!$B:$B,$B49,MATCH_W1!$H:$H)+SUMIF(MATCH_W2!$B:$B,$B49,MATCH_W2!$H:$H)+SUMIF(MATCH_W3!$B:$B,$B49,MATCH_W3!$H:$H)+SUMIF(MATCH_W4!$B:$B,$B49,MATCH_W4!$H:$H)+SUMIF(MATCH_W5!$B:$B,$B49,MATCH_W5!$H:$H)+SUMIF(MATCH_W6!$B:$B,$B49,MATCH_W6!$H:$H)</f>
        <v/>
      </c>
      <c r="G49" s="50">
        <f>SUMIF(MATCH_W1!$B:$B,$B49,MATCH_W1!$I:$I)+SUMIF(MATCH_W2!$B:$B,$B49,MATCH_W2!$I:$I)+SUMIF(MATCH_W3!$B:$B,$B49,MATCH_W3!$I:$I)+SUMIF(MATCH_W4!$B:$B,$B49,MATCH_W4!$I:$I)+SUMIF(MATCH_W5!$B:$B,$B49,MATCH_W5!$I:$I)+SUMIF(MATCH_W6!$B:$B,$B49,MATCH_W6!$I:$I)</f>
        <v/>
      </c>
      <c r="H49" s="50">
        <f>SUMIF(MATCH_W1!$B:$B,$B49,MATCH_W1!$J:$J)+SUMIF(MATCH_W2!$B:$B,$B49,MATCH_W2!$J:$J)+SUMIF(MATCH_W3!$B:$B,$B49,MATCH_W3!$J:$J)+SUMIF(MATCH_W4!$B:$B,$B49,MATCH_W4!$J:$J)+SUMIF(MATCH_W5!$B:$B,$B49,MATCH_W5!$J:$J)+SUMIF(MATCH_W6!$B:$B,$B49,MATCH_W6!$J:$J)</f>
        <v/>
      </c>
      <c r="I49" s="50">
        <f>SUMIF(MATCH_W1!$B:$B,$B49,MATCH_W1!$K:$K)+SUMIF(MATCH_W2!$B:$B,$B49,MATCH_W2!$K:$K)+SUMIF(MATCH_W3!$B:$B,$B49,MATCH_W3!$K:$K)+SUMIF(MATCH_W4!$B:$B,$B49,MATCH_W4!$K:$K)+SUMIF(MATCH_W5!$B:$B,$B49,MATCH_W5!$K:$K)+SUMIF(MATCH_W6!$B:$B,$B49,MATCH_W6!$K:$K)</f>
        <v/>
      </c>
      <c r="J49" s="51">
        <f>IFERROR(D49/E49,0)</f>
        <v/>
      </c>
      <c r="K49" s="52">
        <f>SUMIF(MATCH_W1!$B:$B,$B49,MATCH_W1!$M:$M)+SUMIF(MATCH_W2!$B:$B,$B49,MATCH_W2!$M:$M)+SUMIF(MATCH_W3!$B:$B,$B49,MATCH_W3!$M:$M)+SUMIF(MATCH_W4!$B:$B,$B49,MATCH_W4!$M:$M)+SUMIF(MATCH_W5!$B:$B,$B49,MATCH_W5!$M:$M)+SUMIF(MATCH_W6!$B:$B,$B49,MATCH_W6!$M:$M)</f>
        <v/>
      </c>
    </row>
    <row r="50">
      <c r="A50" s="7" t="inlineStr">
        <is>
          <t>CB</t>
        </is>
      </c>
      <c r="B50" s="7" t="inlineStr">
        <is>
          <t>JAMELGONG</t>
        </is>
      </c>
      <c r="C50" s="7" t="inlineStr">
        <is>
          <t>DPS</t>
        </is>
      </c>
      <c r="D50" s="50">
        <f>SUMIF(MATCH_W1!$B:$B,$B50,MATCH_W1!$F:$F)+SUMIF(MATCH_W2!$B:$B,$B50,MATCH_W2!$F:$F)+SUMIF(MATCH_W3!$B:$B,$B50,MATCH_W3!$F:$F)+SUMIF(MATCH_W4!$B:$B,$B50,MATCH_W4!$F:$F)+SUMIF(MATCH_W5!$B:$B,$B50,MATCH_W5!$F:$F)+SUMIF(MATCH_W6!$B:$B,$B50,MATCH_W6!$F:$F)</f>
        <v/>
      </c>
      <c r="E50" s="50">
        <f>SUMIF(MATCH_W1!$B:$B,$B50,MATCH_W1!$G:$G)+SUMIF(MATCH_W2!$B:$B,$B50,MATCH_W2!$G:$G)+SUMIF(MATCH_W3!$B:$B,$B50,MATCH_W3!$G:$G)+SUMIF(MATCH_W4!$B:$B,$B50,MATCH_W4!$G:$G)+SUMIF(MATCH_W5!$B:$B,$B50,MATCH_W5!$G:$G)+SUMIF(MATCH_W6!$B:$B,$B50,MATCH_W6!$G:$G)</f>
        <v/>
      </c>
      <c r="F50" s="50">
        <f>SUMIF(MATCH_W1!$B:$B,$B50,MATCH_W1!$H:$H)+SUMIF(MATCH_W2!$B:$B,$B50,MATCH_W2!$H:$H)+SUMIF(MATCH_W3!$B:$B,$B50,MATCH_W3!$H:$H)+SUMIF(MATCH_W4!$B:$B,$B50,MATCH_W4!$H:$H)+SUMIF(MATCH_W5!$B:$B,$B50,MATCH_W5!$H:$H)+SUMIF(MATCH_W6!$B:$B,$B50,MATCH_W6!$H:$H)</f>
        <v/>
      </c>
      <c r="G50" s="50">
        <f>SUMIF(MATCH_W1!$B:$B,$B50,MATCH_W1!$I:$I)+SUMIF(MATCH_W2!$B:$B,$B50,MATCH_W2!$I:$I)+SUMIF(MATCH_W3!$B:$B,$B50,MATCH_W3!$I:$I)+SUMIF(MATCH_W4!$B:$B,$B50,MATCH_W4!$I:$I)+SUMIF(MATCH_W5!$B:$B,$B50,MATCH_W5!$I:$I)+SUMIF(MATCH_W6!$B:$B,$B50,MATCH_W6!$I:$I)</f>
        <v/>
      </c>
      <c r="H50" s="50">
        <f>SUMIF(MATCH_W1!$B:$B,$B50,MATCH_W1!$J:$J)+SUMIF(MATCH_W2!$B:$B,$B50,MATCH_W2!$J:$J)+SUMIF(MATCH_W3!$B:$B,$B50,MATCH_W3!$J:$J)+SUMIF(MATCH_W4!$B:$B,$B50,MATCH_W4!$J:$J)+SUMIF(MATCH_W5!$B:$B,$B50,MATCH_W5!$J:$J)+SUMIF(MATCH_W6!$B:$B,$B50,MATCH_W6!$J:$J)</f>
        <v/>
      </c>
      <c r="I50" s="50">
        <f>SUMIF(MATCH_W1!$B:$B,$B50,MATCH_W1!$K:$K)+SUMIF(MATCH_W2!$B:$B,$B50,MATCH_W2!$K:$K)+SUMIF(MATCH_W3!$B:$B,$B50,MATCH_W3!$K:$K)+SUMIF(MATCH_W4!$B:$B,$B50,MATCH_W4!$K:$K)+SUMIF(MATCH_W5!$B:$B,$B50,MATCH_W5!$K:$K)+SUMIF(MATCH_W6!$B:$B,$B50,MATCH_W6!$K:$K)</f>
        <v/>
      </c>
      <c r="J50" s="51">
        <f>IFERROR(D50/E50,0)</f>
        <v/>
      </c>
      <c r="K50" s="52">
        <f>SUMIF(MATCH_W1!$B:$B,$B50,MATCH_W1!$M:$M)+SUMIF(MATCH_W2!$B:$B,$B50,MATCH_W2!$M:$M)+SUMIF(MATCH_W3!$B:$B,$B50,MATCH_W3!$M:$M)+SUMIF(MATCH_W4!$B:$B,$B50,MATCH_W4!$M:$M)+SUMIF(MATCH_W5!$B:$B,$B50,MATCH_W5!$M:$M)+SUMIF(MATCH_W6!$B:$B,$B50,MATCH_W6!$M:$M)</f>
        <v/>
      </c>
    </row>
    <row r="51">
      <c r="A51" s="7" t="inlineStr">
        <is>
          <t>CB</t>
        </is>
      </c>
      <c r="B51" s="7" t="inlineStr">
        <is>
          <t>WOOCHAN</t>
        </is>
      </c>
      <c r="C51" s="7" t="inlineStr">
        <is>
          <t>SPT</t>
        </is>
      </c>
      <c r="D51" s="50">
        <f>SUMIF(MATCH_W1!$B:$B,$B51,MATCH_W1!$F:$F)+SUMIF(MATCH_W2!$B:$B,$B51,MATCH_W2!$F:$F)+SUMIF(MATCH_W3!$B:$B,$B51,MATCH_W3!$F:$F)+SUMIF(MATCH_W4!$B:$B,$B51,MATCH_W4!$F:$F)+SUMIF(MATCH_W5!$B:$B,$B51,MATCH_W5!$F:$F)+SUMIF(MATCH_W6!$B:$B,$B51,MATCH_W6!$F:$F)</f>
        <v/>
      </c>
      <c r="E51" s="50">
        <f>SUMIF(MATCH_W1!$B:$B,$B51,MATCH_W1!$G:$G)+SUMIF(MATCH_W2!$B:$B,$B51,MATCH_W2!$G:$G)+SUMIF(MATCH_W3!$B:$B,$B51,MATCH_W3!$G:$G)+SUMIF(MATCH_W4!$B:$B,$B51,MATCH_W4!$G:$G)+SUMIF(MATCH_W5!$B:$B,$B51,MATCH_W5!$G:$G)+SUMIF(MATCH_W6!$B:$B,$B51,MATCH_W6!$G:$G)</f>
        <v/>
      </c>
      <c r="F51" s="50">
        <f>SUMIF(MATCH_W1!$B:$B,$B51,MATCH_W1!$H:$H)+SUMIF(MATCH_W2!$B:$B,$B51,MATCH_W2!$H:$H)+SUMIF(MATCH_W3!$B:$B,$B51,MATCH_W3!$H:$H)+SUMIF(MATCH_W4!$B:$B,$B51,MATCH_W4!$H:$H)+SUMIF(MATCH_W5!$B:$B,$B51,MATCH_W5!$H:$H)+SUMIF(MATCH_W6!$B:$B,$B51,MATCH_W6!$H:$H)</f>
        <v/>
      </c>
      <c r="G51" s="50">
        <f>SUMIF(MATCH_W1!$B:$B,$B51,MATCH_W1!$I:$I)+SUMIF(MATCH_W2!$B:$B,$B51,MATCH_W2!$I:$I)+SUMIF(MATCH_W3!$B:$B,$B51,MATCH_W3!$I:$I)+SUMIF(MATCH_W4!$B:$B,$B51,MATCH_W4!$I:$I)+SUMIF(MATCH_W5!$B:$B,$B51,MATCH_W5!$I:$I)+SUMIF(MATCH_W6!$B:$B,$B51,MATCH_W6!$I:$I)</f>
        <v/>
      </c>
      <c r="H51" s="50">
        <f>SUMIF(MATCH_W1!$B:$B,$B51,MATCH_W1!$J:$J)+SUMIF(MATCH_W2!$B:$B,$B51,MATCH_W2!$J:$J)+SUMIF(MATCH_W3!$B:$B,$B51,MATCH_W3!$J:$J)+SUMIF(MATCH_W4!$B:$B,$B51,MATCH_W4!$J:$J)+SUMIF(MATCH_W5!$B:$B,$B51,MATCH_W5!$J:$J)+SUMIF(MATCH_W6!$B:$B,$B51,MATCH_W6!$J:$J)</f>
        <v/>
      </c>
      <c r="I51" s="50">
        <f>SUMIF(MATCH_W1!$B:$B,$B51,MATCH_W1!$K:$K)+SUMIF(MATCH_W2!$B:$B,$B51,MATCH_W2!$K:$K)+SUMIF(MATCH_W3!$B:$B,$B51,MATCH_W3!$K:$K)+SUMIF(MATCH_W4!$B:$B,$B51,MATCH_W4!$K:$K)+SUMIF(MATCH_W5!$B:$B,$B51,MATCH_W5!$K:$K)+SUMIF(MATCH_W6!$B:$B,$B51,MATCH_W6!$K:$K)</f>
        <v/>
      </c>
      <c r="J51" s="51">
        <f>IFERROR(D51/E51,0)</f>
        <v/>
      </c>
      <c r="K51" s="52">
        <f>SUMIF(MATCH_W1!$B:$B,$B51,MATCH_W1!$M:$M)+SUMIF(MATCH_W2!$B:$B,$B51,MATCH_W2!$M:$M)+SUMIF(MATCH_W3!$B:$B,$B51,MATCH_W3!$M:$M)+SUMIF(MATCH_W4!$B:$B,$B51,MATCH_W4!$M:$M)+SUMIF(MATCH_W5!$B:$B,$B51,MATCH_W5!$M:$M)+SUMIF(MATCH_W6!$B:$B,$B51,MATCH_W6!$M:$M)</f>
        <v/>
      </c>
    </row>
    <row r="52">
      <c r="A52" s="7" t="inlineStr">
        <is>
          <t>CB</t>
        </is>
      </c>
      <c r="B52" s="7" t="inlineStr">
        <is>
          <t>FAITH</t>
        </is>
      </c>
      <c r="C52" s="7" t="inlineStr">
        <is>
          <t>SPT</t>
        </is>
      </c>
      <c r="D52" s="50">
        <f>SUMIF(MATCH_W1!$B:$B,$B52,MATCH_W1!$F:$F)+SUMIF(MATCH_W2!$B:$B,$B52,MATCH_W2!$F:$F)+SUMIF(MATCH_W3!$B:$B,$B52,MATCH_W3!$F:$F)+SUMIF(MATCH_W4!$B:$B,$B52,MATCH_W4!$F:$F)+SUMIF(MATCH_W5!$B:$B,$B52,MATCH_W5!$F:$F)+SUMIF(MATCH_W6!$B:$B,$B52,MATCH_W6!$F:$F)</f>
        <v/>
      </c>
      <c r="E52" s="50">
        <f>SUMIF(MATCH_W1!$B:$B,$B52,MATCH_W1!$G:$G)+SUMIF(MATCH_W2!$B:$B,$B52,MATCH_W2!$G:$G)+SUMIF(MATCH_W3!$B:$B,$B52,MATCH_W3!$G:$G)+SUMIF(MATCH_W4!$B:$B,$B52,MATCH_W4!$G:$G)+SUMIF(MATCH_W5!$B:$B,$B52,MATCH_W5!$G:$G)+SUMIF(MATCH_W6!$B:$B,$B52,MATCH_W6!$G:$G)</f>
        <v/>
      </c>
      <c r="F52" s="50">
        <f>SUMIF(MATCH_W1!$B:$B,$B52,MATCH_W1!$H:$H)+SUMIF(MATCH_W2!$B:$B,$B52,MATCH_W2!$H:$H)+SUMIF(MATCH_W3!$B:$B,$B52,MATCH_W3!$H:$H)+SUMIF(MATCH_W4!$B:$B,$B52,MATCH_W4!$H:$H)+SUMIF(MATCH_W5!$B:$B,$B52,MATCH_W5!$H:$H)+SUMIF(MATCH_W6!$B:$B,$B52,MATCH_W6!$H:$H)</f>
        <v/>
      </c>
      <c r="G52" s="50">
        <f>SUMIF(MATCH_W1!$B:$B,$B52,MATCH_W1!$I:$I)+SUMIF(MATCH_W2!$B:$B,$B52,MATCH_W2!$I:$I)+SUMIF(MATCH_W3!$B:$B,$B52,MATCH_W3!$I:$I)+SUMIF(MATCH_W4!$B:$B,$B52,MATCH_W4!$I:$I)+SUMIF(MATCH_W5!$B:$B,$B52,MATCH_W5!$I:$I)+SUMIF(MATCH_W6!$B:$B,$B52,MATCH_W6!$I:$I)</f>
        <v/>
      </c>
      <c r="H52" s="50">
        <f>SUMIF(MATCH_W1!$B:$B,$B52,MATCH_W1!$J:$J)+SUMIF(MATCH_W2!$B:$B,$B52,MATCH_W2!$J:$J)+SUMIF(MATCH_W3!$B:$B,$B52,MATCH_W3!$J:$J)+SUMIF(MATCH_W4!$B:$B,$B52,MATCH_W4!$J:$J)+SUMIF(MATCH_W5!$B:$B,$B52,MATCH_W5!$J:$J)+SUMIF(MATCH_W6!$B:$B,$B52,MATCH_W6!$J:$J)</f>
        <v/>
      </c>
      <c r="I52" s="50">
        <f>SUMIF(MATCH_W1!$B:$B,$B52,MATCH_W1!$K:$K)+SUMIF(MATCH_W2!$B:$B,$B52,MATCH_W2!$K:$K)+SUMIF(MATCH_W3!$B:$B,$B52,MATCH_W3!$K:$K)+SUMIF(MATCH_W4!$B:$B,$B52,MATCH_W4!$K:$K)+SUMIF(MATCH_W5!$B:$B,$B52,MATCH_W5!$K:$K)+SUMIF(MATCH_W6!$B:$B,$B52,MATCH_W6!$K:$K)</f>
        <v/>
      </c>
      <c r="J52" s="51">
        <f>IFERROR(D52/E52,0)</f>
        <v/>
      </c>
      <c r="K52" s="52">
        <f>SUMIF(MATCH_W1!$B:$B,$B52,MATCH_W1!$M:$M)+SUMIF(MATCH_W2!$B:$B,$B52,MATCH_W2!$M:$M)+SUMIF(MATCH_W3!$B:$B,$B52,MATCH_W3!$M:$M)+SUMIF(MATCH_W4!$B:$B,$B52,MATCH_W4!$M:$M)+SUMIF(MATCH_W5!$B:$B,$B52,MATCH_W5!$M:$M)+SUMIF(MATCH_W6!$B:$B,$B52,MATCH_W6!$M:$M)</f>
        <v/>
      </c>
    </row>
    <row r="53">
      <c r="A53" s="7" t="inlineStr">
        <is>
          <t>PF</t>
        </is>
      </c>
      <c r="B53" s="7" t="inlineStr">
        <is>
          <t>FEARFUL</t>
        </is>
      </c>
      <c r="C53" s="7" t="inlineStr">
        <is>
          <t>TANK</t>
        </is>
      </c>
      <c r="D53" s="50">
        <f>SUMIF(MATCH_W1!$B:$B,$B53,MATCH_W1!$F:$F)+SUMIF(MATCH_W2!$B:$B,$B53,MATCH_W2!$F:$F)+SUMIF(MATCH_W3!$B:$B,$B53,MATCH_W3!$F:$F)+SUMIF(MATCH_W4!$B:$B,$B53,MATCH_W4!$F:$F)+SUMIF(MATCH_W5!$B:$B,$B53,MATCH_W5!$F:$F)+SUMIF(MATCH_W6!$B:$B,$B53,MATCH_W6!$F:$F)</f>
        <v/>
      </c>
      <c r="E53" s="50">
        <f>SUMIF(MATCH_W1!$B:$B,$B53,MATCH_W1!$G:$G)+SUMIF(MATCH_W2!$B:$B,$B53,MATCH_W2!$G:$G)+SUMIF(MATCH_W3!$B:$B,$B53,MATCH_W3!$G:$G)+SUMIF(MATCH_W4!$B:$B,$B53,MATCH_W4!$G:$G)+SUMIF(MATCH_W5!$B:$B,$B53,MATCH_W5!$G:$G)+SUMIF(MATCH_W6!$B:$B,$B53,MATCH_W6!$G:$G)</f>
        <v/>
      </c>
      <c r="F53" s="50">
        <f>SUMIF(MATCH_W1!$B:$B,$B53,MATCH_W1!$H:$H)+SUMIF(MATCH_W2!$B:$B,$B53,MATCH_W2!$H:$H)+SUMIF(MATCH_W3!$B:$B,$B53,MATCH_W3!$H:$H)+SUMIF(MATCH_W4!$B:$B,$B53,MATCH_W4!$H:$H)+SUMIF(MATCH_W5!$B:$B,$B53,MATCH_W5!$H:$H)+SUMIF(MATCH_W6!$B:$B,$B53,MATCH_W6!$H:$H)</f>
        <v/>
      </c>
      <c r="G53" s="50">
        <f>SUMIF(MATCH_W1!$B:$B,$B53,MATCH_W1!$I:$I)+SUMIF(MATCH_W2!$B:$B,$B53,MATCH_W2!$I:$I)+SUMIF(MATCH_W3!$B:$B,$B53,MATCH_W3!$I:$I)+SUMIF(MATCH_W4!$B:$B,$B53,MATCH_W4!$I:$I)+SUMIF(MATCH_W5!$B:$B,$B53,MATCH_W5!$I:$I)+SUMIF(MATCH_W6!$B:$B,$B53,MATCH_W6!$I:$I)</f>
        <v/>
      </c>
      <c r="H53" s="50">
        <f>SUMIF(MATCH_W1!$B:$B,$B53,MATCH_W1!$J:$J)+SUMIF(MATCH_W2!$B:$B,$B53,MATCH_W2!$J:$J)+SUMIF(MATCH_W3!$B:$B,$B53,MATCH_W3!$J:$J)+SUMIF(MATCH_W4!$B:$B,$B53,MATCH_W4!$J:$J)+SUMIF(MATCH_W5!$B:$B,$B53,MATCH_W5!$J:$J)+SUMIF(MATCH_W6!$B:$B,$B53,MATCH_W6!$J:$J)</f>
        <v/>
      </c>
      <c r="I53" s="50">
        <f>SUMIF(MATCH_W1!$B:$B,$B53,MATCH_W1!$K:$K)+SUMIF(MATCH_W2!$B:$B,$B53,MATCH_W2!$K:$K)+SUMIF(MATCH_W3!$B:$B,$B53,MATCH_W3!$K:$K)+SUMIF(MATCH_W4!$B:$B,$B53,MATCH_W4!$K:$K)+SUMIF(MATCH_W5!$B:$B,$B53,MATCH_W5!$K:$K)+SUMIF(MATCH_W6!$B:$B,$B53,MATCH_W6!$K:$K)</f>
        <v/>
      </c>
      <c r="J53" s="51">
        <f>IFERROR(D53/E53,0)</f>
        <v/>
      </c>
      <c r="K53" s="52">
        <f>SUMIF(MATCH_W1!$B:$B,$B53,MATCH_W1!$M:$M)+SUMIF(MATCH_W2!$B:$B,$B53,MATCH_W2!$M:$M)+SUMIF(MATCH_W3!$B:$B,$B53,MATCH_W3!$M:$M)+SUMIF(MATCH_W4!$B:$B,$B53,MATCH_W4!$M:$M)+SUMIF(MATCH_W5!$B:$B,$B53,MATCH_W5!$M:$M)+SUMIF(MATCH_W6!$B:$B,$B53,MATCH_W6!$M:$M)</f>
        <v/>
      </c>
    </row>
    <row r="54">
      <c r="A54" s="7" t="inlineStr">
        <is>
          <t>PF</t>
        </is>
      </c>
      <c r="B54" s="7" t="inlineStr">
        <is>
          <t>GUR3UM</t>
        </is>
      </c>
      <c r="C54" s="7" t="inlineStr">
        <is>
          <t>TANK</t>
        </is>
      </c>
      <c r="D54" s="50">
        <f>SUMIF(MATCH_W1!$B:$B,$B54,MATCH_W1!$F:$F)+SUMIF(MATCH_W2!$B:$B,$B54,MATCH_W2!$F:$F)+SUMIF(MATCH_W3!$B:$B,$B54,MATCH_W3!$F:$F)+SUMIF(MATCH_W4!$B:$B,$B54,MATCH_W4!$F:$F)+SUMIF(MATCH_W5!$B:$B,$B54,MATCH_W5!$F:$F)+SUMIF(MATCH_W6!$B:$B,$B54,MATCH_W6!$F:$F)</f>
        <v/>
      </c>
      <c r="E54" s="50">
        <f>SUMIF(MATCH_W1!$B:$B,$B54,MATCH_W1!$G:$G)+SUMIF(MATCH_W2!$B:$B,$B54,MATCH_W2!$G:$G)+SUMIF(MATCH_W3!$B:$B,$B54,MATCH_W3!$G:$G)+SUMIF(MATCH_W4!$B:$B,$B54,MATCH_W4!$G:$G)+SUMIF(MATCH_W5!$B:$B,$B54,MATCH_W5!$G:$G)+SUMIF(MATCH_W6!$B:$B,$B54,MATCH_W6!$G:$G)</f>
        <v/>
      </c>
      <c r="F54" s="50">
        <f>SUMIF(MATCH_W1!$B:$B,$B54,MATCH_W1!$H:$H)+SUMIF(MATCH_W2!$B:$B,$B54,MATCH_W2!$H:$H)+SUMIF(MATCH_W3!$B:$B,$B54,MATCH_W3!$H:$H)+SUMIF(MATCH_W4!$B:$B,$B54,MATCH_W4!$H:$H)+SUMIF(MATCH_W5!$B:$B,$B54,MATCH_W5!$H:$H)+SUMIF(MATCH_W6!$B:$B,$B54,MATCH_W6!$H:$H)</f>
        <v/>
      </c>
      <c r="G54" s="50">
        <f>SUMIF(MATCH_W1!$B:$B,$B54,MATCH_W1!$I:$I)+SUMIF(MATCH_W2!$B:$B,$B54,MATCH_W2!$I:$I)+SUMIF(MATCH_W3!$B:$B,$B54,MATCH_W3!$I:$I)+SUMIF(MATCH_W4!$B:$B,$B54,MATCH_W4!$I:$I)+SUMIF(MATCH_W5!$B:$B,$B54,MATCH_W5!$I:$I)+SUMIF(MATCH_W6!$B:$B,$B54,MATCH_W6!$I:$I)</f>
        <v/>
      </c>
      <c r="H54" s="50">
        <f>SUMIF(MATCH_W1!$B:$B,$B54,MATCH_W1!$J:$J)+SUMIF(MATCH_W2!$B:$B,$B54,MATCH_W2!$J:$J)+SUMIF(MATCH_W3!$B:$B,$B54,MATCH_W3!$J:$J)+SUMIF(MATCH_W4!$B:$B,$B54,MATCH_W4!$J:$J)+SUMIF(MATCH_W5!$B:$B,$B54,MATCH_W5!$J:$J)+SUMIF(MATCH_W6!$B:$B,$B54,MATCH_W6!$J:$J)</f>
        <v/>
      </c>
      <c r="I54" s="50">
        <f>SUMIF(MATCH_W1!$B:$B,$B54,MATCH_W1!$K:$K)+SUMIF(MATCH_W2!$B:$B,$B54,MATCH_W2!$K:$K)+SUMIF(MATCH_W3!$B:$B,$B54,MATCH_W3!$K:$K)+SUMIF(MATCH_W4!$B:$B,$B54,MATCH_W4!$K:$K)+SUMIF(MATCH_W5!$B:$B,$B54,MATCH_W5!$K:$K)+SUMIF(MATCH_W6!$B:$B,$B54,MATCH_W6!$K:$K)</f>
        <v/>
      </c>
      <c r="J54" s="51">
        <f>IFERROR(D54/E54,0)</f>
        <v/>
      </c>
      <c r="K54" s="52">
        <f>SUMIF(MATCH_W1!$B:$B,$B54,MATCH_W1!$M:$M)+SUMIF(MATCH_W2!$B:$B,$B54,MATCH_W2!$M:$M)+SUMIF(MATCH_W3!$B:$B,$B54,MATCH_W3!$M:$M)+SUMIF(MATCH_W4!$B:$B,$B54,MATCH_W4!$M:$M)+SUMIF(MATCH_W5!$B:$B,$B54,MATCH_W5!$M:$M)+SUMIF(MATCH_W6!$B:$B,$B54,MATCH_W6!$M:$M)</f>
        <v/>
      </c>
    </row>
    <row r="55">
      <c r="A55" s="7" t="inlineStr">
        <is>
          <t>PF</t>
        </is>
      </c>
      <c r="B55" s="7" t="inlineStr">
        <is>
          <t>M1NUT2</t>
        </is>
      </c>
      <c r="C55" s="7" t="inlineStr">
        <is>
          <t>DPS</t>
        </is>
      </c>
      <c r="D55" s="50">
        <f>SUMIF(MATCH_W1!$B:$B,$B55,MATCH_W1!$F:$F)+SUMIF(MATCH_W2!$B:$B,$B55,MATCH_W2!$F:$F)+SUMIF(MATCH_W3!$B:$B,$B55,MATCH_W3!$F:$F)+SUMIF(MATCH_W4!$B:$B,$B55,MATCH_W4!$F:$F)+SUMIF(MATCH_W5!$B:$B,$B55,MATCH_W5!$F:$F)+SUMIF(MATCH_W6!$B:$B,$B55,MATCH_W6!$F:$F)</f>
        <v/>
      </c>
      <c r="E55" s="50">
        <f>SUMIF(MATCH_W1!$B:$B,$B55,MATCH_W1!$G:$G)+SUMIF(MATCH_W2!$B:$B,$B55,MATCH_W2!$G:$G)+SUMIF(MATCH_W3!$B:$B,$B55,MATCH_W3!$G:$G)+SUMIF(MATCH_W4!$B:$B,$B55,MATCH_W4!$G:$G)+SUMIF(MATCH_W5!$B:$B,$B55,MATCH_W5!$G:$G)+SUMIF(MATCH_W6!$B:$B,$B55,MATCH_W6!$G:$G)</f>
        <v/>
      </c>
      <c r="F55" s="50">
        <f>SUMIF(MATCH_W1!$B:$B,$B55,MATCH_W1!$H:$H)+SUMIF(MATCH_W2!$B:$B,$B55,MATCH_W2!$H:$H)+SUMIF(MATCH_W3!$B:$B,$B55,MATCH_W3!$H:$H)+SUMIF(MATCH_W4!$B:$B,$B55,MATCH_W4!$H:$H)+SUMIF(MATCH_W5!$B:$B,$B55,MATCH_W5!$H:$H)+SUMIF(MATCH_W6!$B:$B,$B55,MATCH_W6!$H:$H)</f>
        <v/>
      </c>
      <c r="G55" s="50">
        <f>SUMIF(MATCH_W1!$B:$B,$B55,MATCH_W1!$I:$I)+SUMIF(MATCH_W2!$B:$B,$B55,MATCH_W2!$I:$I)+SUMIF(MATCH_W3!$B:$B,$B55,MATCH_W3!$I:$I)+SUMIF(MATCH_W4!$B:$B,$B55,MATCH_W4!$I:$I)+SUMIF(MATCH_W5!$B:$B,$B55,MATCH_W5!$I:$I)+SUMIF(MATCH_W6!$B:$B,$B55,MATCH_W6!$I:$I)</f>
        <v/>
      </c>
      <c r="H55" s="50">
        <f>SUMIF(MATCH_W1!$B:$B,$B55,MATCH_W1!$J:$J)+SUMIF(MATCH_W2!$B:$B,$B55,MATCH_W2!$J:$J)+SUMIF(MATCH_W3!$B:$B,$B55,MATCH_W3!$J:$J)+SUMIF(MATCH_W4!$B:$B,$B55,MATCH_W4!$J:$J)+SUMIF(MATCH_W5!$B:$B,$B55,MATCH_W5!$J:$J)+SUMIF(MATCH_W6!$B:$B,$B55,MATCH_W6!$J:$J)</f>
        <v/>
      </c>
      <c r="I55" s="50">
        <f>SUMIF(MATCH_W1!$B:$B,$B55,MATCH_W1!$K:$K)+SUMIF(MATCH_W2!$B:$B,$B55,MATCH_W2!$K:$K)+SUMIF(MATCH_W3!$B:$B,$B55,MATCH_W3!$K:$K)+SUMIF(MATCH_W4!$B:$B,$B55,MATCH_W4!$K:$K)+SUMIF(MATCH_W5!$B:$B,$B55,MATCH_W5!$K:$K)+SUMIF(MATCH_W6!$B:$B,$B55,MATCH_W6!$K:$K)</f>
        <v/>
      </c>
      <c r="J55" s="51">
        <f>IFERROR(D55/E55,0)</f>
        <v/>
      </c>
      <c r="K55" s="52">
        <f>SUMIF(MATCH_W1!$B:$B,$B55,MATCH_W1!$M:$M)+SUMIF(MATCH_W2!$B:$B,$B55,MATCH_W2!$M:$M)+SUMIF(MATCH_W3!$B:$B,$B55,MATCH_W3!$M:$M)+SUMIF(MATCH_W4!$B:$B,$B55,MATCH_W4!$M:$M)+SUMIF(MATCH_W5!$B:$B,$B55,MATCH_W5!$M:$M)+SUMIF(MATCH_W6!$B:$B,$B55,MATCH_W6!$M:$M)</f>
        <v/>
      </c>
    </row>
    <row r="56">
      <c r="A56" s="7" t="inlineStr">
        <is>
          <t>PF</t>
        </is>
      </c>
      <c r="B56" s="7" t="inlineStr">
        <is>
          <t>D4RT</t>
        </is>
      </c>
      <c r="C56" s="7" t="inlineStr">
        <is>
          <t>DPS</t>
        </is>
      </c>
      <c r="D56" s="50">
        <f>SUMIF(MATCH_W1!$B:$B,$B56,MATCH_W1!$F:$F)+SUMIF(MATCH_W2!$B:$B,$B56,MATCH_W2!$F:$F)+SUMIF(MATCH_W3!$B:$B,$B56,MATCH_W3!$F:$F)+SUMIF(MATCH_W4!$B:$B,$B56,MATCH_W4!$F:$F)+SUMIF(MATCH_W5!$B:$B,$B56,MATCH_W5!$F:$F)+SUMIF(MATCH_W6!$B:$B,$B56,MATCH_W6!$F:$F)</f>
        <v/>
      </c>
      <c r="E56" s="50">
        <f>SUMIF(MATCH_W1!$B:$B,$B56,MATCH_W1!$G:$G)+SUMIF(MATCH_W2!$B:$B,$B56,MATCH_W2!$G:$G)+SUMIF(MATCH_W3!$B:$B,$B56,MATCH_W3!$G:$G)+SUMIF(MATCH_W4!$B:$B,$B56,MATCH_W4!$G:$G)+SUMIF(MATCH_W5!$B:$B,$B56,MATCH_W5!$G:$G)+SUMIF(MATCH_W6!$B:$B,$B56,MATCH_W6!$G:$G)</f>
        <v/>
      </c>
      <c r="F56" s="50">
        <f>SUMIF(MATCH_W1!$B:$B,$B56,MATCH_W1!$H:$H)+SUMIF(MATCH_W2!$B:$B,$B56,MATCH_W2!$H:$H)+SUMIF(MATCH_W3!$B:$B,$B56,MATCH_W3!$H:$H)+SUMIF(MATCH_W4!$B:$B,$B56,MATCH_W4!$H:$H)+SUMIF(MATCH_W5!$B:$B,$B56,MATCH_W5!$H:$H)+SUMIF(MATCH_W6!$B:$B,$B56,MATCH_W6!$H:$H)</f>
        <v/>
      </c>
      <c r="G56" s="50">
        <f>SUMIF(MATCH_W1!$B:$B,$B56,MATCH_W1!$I:$I)+SUMIF(MATCH_W2!$B:$B,$B56,MATCH_W2!$I:$I)+SUMIF(MATCH_W3!$B:$B,$B56,MATCH_W3!$I:$I)+SUMIF(MATCH_W4!$B:$B,$B56,MATCH_W4!$I:$I)+SUMIF(MATCH_W5!$B:$B,$B56,MATCH_W5!$I:$I)+SUMIF(MATCH_W6!$B:$B,$B56,MATCH_W6!$I:$I)</f>
        <v/>
      </c>
      <c r="H56" s="50">
        <f>SUMIF(MATCH_W1!$B:$B,$B56,MATCH_W1!$J:$J)+SUMIF(MATCH_W2!$B:$B,$B56,MATCH_W2!$J:$J)+SUMIF(MATCH_W3!$B:$B,$B56,MATCH_W3!$J:$J)+SUMIF(MATCH_W4!$B:$B,$B56,MATCH_W4!$J:$J)+SUMIF(MATCH_W5!$B:$B,$B56,MATCH_W5!$J:$J)+SUMIF(MATCH_W6!$B:$B,$B56,MATCH_W6!$J:$J)</f>
        <v/>
      </c>
      <c r="I56" s="50">
        <f>SUMIF(MATCH_W1!$B:$B,$B56,MATCH_W1!$K:$K)+SUMIF(MATCH_W2!$B:$B,$B56,MATCH_W2!$K:$K)+SUMIF(MATCH_W3!$B:$B,$B56,MATCH_W3!$K:$K)+SUMIF(MATCH_W4!$B:$B,$B56,MATCH_W4!$K:$K)+SUMIF(MATCH_W5!$B:$B,$B56,MATCH_W5!$K:$K)+SUMIF(MATCH_W6!$B:$B,$B56,MATCH_W6!$K:$K)</f>
        <v/>
      </c>
      <c r="J56" s="51">
        <f>IFERROR(D56/E56,0)</f>
        <v/>
      </c>
      <c r="K56" s="52">
        <f>SUMIF(MATCH_W1!$B:$B,$B56,MATCH_W1!$M:$M)+SUMIF(MATCH_W2!$B:$B,$B56,MATCH_W2!$M:$M)+SUMIF(MATCH_W3!$B:$B,$B56,MATCH_W3!$M:$M)+SUMIF(MATCH_W4!$B:$B,$B56,MATCH_W4!$M:$M)+SUMIF(MATCH_W5!$B:$B,$B56,MATCH_W5!$M:$M)+SUMIF(MATCH_W6!$B:$B,$B56,MATCH_W6!$M:$M)</f>
        <v/>
      </c>
    </row>
    <row r="57">
      <c r="A57" s="7" t="inlineStr">
        <is>
          <t>PF</t>
        </is>
      </c>
      <c r="B57" s="7" t="inlineStr">
        <is>
          <t>TENTEN</t>
        </is>
      </c>
      <c r="C57" s="7" t="inlineStr">
        <is>
          <t>SPT</t>
        </is>
      </c>
      <c r="D57" s="50">
        <f>SUMIF(MATCH_W1!$B:$B,$B57,MATCH_W1!$F:$F)+SUMIF(MATCH_W2!$B:$B,$B57,MATCH_W2!$F:$F)+SUMIF(MATCH_W3!$B:$B,$B57,MATCH_W3!$F:$F)+SUMIF(MATCH_W4!$B:$B,$B57,MATCH_W4!$F:$F)+SUMIF(MATCH_W5!$B:$B,$B57,MATCH_W5!$F:$F)+SUMIF(MATCH_W6!$B:$B,$B57,MATCH_W6!$F:$F)</f>
        <v/>
      </c>
      <c r="E57" s="50">
        <f>SUMIF(MATCH_W1!$B:$B,$B57,MATCH_W1!$G:$G)+SUMIF(MATCH_W2!$B:$B,$B57,MATCH_W2!$G:$G)+SUMIF(MATCH_W3!$B:$B,$B57,MATCH_W3!$G:$G)+SUMIF(MATCH_W4!$B:$B,$B57,MATCH_W4!$G:$G)+SUMIF(MATCH_W5!$B:$B,$B57,MATCH_W5!$G:$G)+SUMIF(MATCH_W6!$B:$B,$B57,MATCH_W6!$G:$G)</f>
        <v/>
      </c>
      <c r="F57" s="50">
        <f>SUMIF(MATCH_W1!$B:$B,$B57,MATCH_W1!$H:$H)+SUMIF(MATCH_W2!$B:$B,$B57,MATCH_W2!$H:$H)+SUMIF(MATCH_W3!$B:$B,$B57,MATCH_W3!$H:$H)+SUMIF(MATCH_W4!$B:$B,$B57,MATCH_W4!$H:$H)+SUMIF(MATCH_W5!$B:$B,$B57,MATCH_W5!$H:$H)+SUMIF(MATCH_W6!$B:$B,$B57,MATCH_W6!$H:$H)</f>
        <v/>
      </c>
      <c r="G57" s="50">
        <f>SUMIF(MATCH_W1!$B:$B,$B57,MATCH_W1!$I:$I)+SUMIF(MATCH_W2!$B:$B,$B57,MATCH_W2!$I:$I)+SUMIF(MATCH_W3!$B:$B,$B57,MATCH_W3!$I:$I)+SUMIF(MATCH_W4!$B:$B,$B57,MATCH_W4!$I:$I)+SUMIF(MATCH_W5!$B:$B,$B57,MATCH_W5!$I:$I)+SUMIF(MATCH_W6!$B:$B,$B57,MATCH_W6!$I:$I)</f>
        <v/>
      </c>
      <c r="H57" s="50">
        <f>SUMIF(MATCH_W1!$B:$B,$B57,MATCH_W1!$J:$J)+SUMIF(MATCH_W2!$B:$B,$B57,MATCH_W2!$J:$J)+SUMIF(MATCH_W3!$B:$B,$B57,MATCH_W3!$J:$J)+SUMIF(MATCH_W4!$B:$B,$B57,MATCH_W4!$J:$J)+SUMIF(MATCH_W5!$B:$B,$B57,MATCH_W5!$J:$J)+SUMIF(MATCH_W6!$B:$B,$B57,MATCH_W6!$J:$J)</f>
        <v/>
      </c>
      <c r="I57" s="50">
        <f>SUMIF(MATCH_W1!$B:$B,$B57,MATCH_W1!$K:$K)+SUMIF(MATCH_W2!$B:$B,$B57,MATCH_W2!$K:$K)+SUMIF(MATCH_W3!$B:$B,$B57,MATCH_W3!$K:$K)+SUMIF(MATCH_W4!$B:$B,$B57,MATCH_W4!$K:$K)+SUMIF(MATCH_W5!$B:$B,$B57,MATCH_W5!$K:$K)+SUMIF(MATCH_W6!$B:$B,$B57,MATCH_W6!$K:$K)</f>
        <v/>
      </c>
      <c r="J57" s="51">
        <f>IFERROR(D57/E57,0)</f>
        <v/>
      </c>
      <c r="K57" s="52">
        <f>SUMIF(MATCH_W1!$B:$B,$B57,MATCH_W1!$M:$M)+SUMIF(MATCH_W2!$B:$B,$B57,MATCH_W2!$M:$M)+SUMIF(MATCH_W3!$B:$B,$B57,MATCH_W3!$M:$M)+SUMIF(MATCH_W4!$B:$B,$B57,MATCH_W4!$M:$M)+SUMIF(MATCH_W5!$B:$B,$B57,MATCH_W5!$M:$M)+SUMIF(MATCH_W6!$B:$B,$B57,MATCH_W6!$M:$M)</f>
        <v/>
      </c>
    </row>
    <row r="58">
      <c r="A58" s="7" t="inlineStr">
        <is>
          <t>PF</t>
        </is>
      </c>
      <c r="B58" s="7" t="inlineStr">
        <is>
          <t>CARU</t>
        </is>
      </c>
      <c r="C58" s="7" t="inlineStr">
        <is>
          <t>SPT</t>
        </is>
      </c>
      <c r="D58" s="50">
        <f>SUMIF(MATCH_W1!$B:$B,$B58,MATCH_W1!$F:$F)+SUMIF(MATCH_W2!$B:$B,$B58,MATCH_W2!$F:$F)+SUMIF(MATCH_W3!$B:$B,$B58,MATCH_W3!$F:$F)+SUMIF(MATCH_W4!$B:$B,$B58,MATCH_W4!$F:$F)+SUMIF(MATCH_W5!$B:$B,$B58,MATCH_W5!$F:$F)+SUMIF(MATCH_W6!$B:$B,$B58,MATCH_W6!$F:$F)</f>
        <v/>
      </c>
      <c r="E58" s="50">
        <f>SUMIF(MATCH_W1!$B:$B,$B58,MATCH_W1!$G:$G)+SUMIF(MATCH_W2!$B:$B,$B58,MATCH_W2!$G:$G)+SUMIF(MATCH_W3!$B:$B,$B58,MATCH_W3!$G:$G)+SUMIF(MATCH_W4!$B:$B,$B58,MATCH_W4!$G:$G)+SUMIF(MATCH_W5!$B:$B,$B58,MATCH_W5!$G:$G)+SUMIF(MATCH_W6!$B:$B,$B58,MATCH_W6!$G:$G)</f>
        <v/>
      </c>
      <c r="F58" s="50">
        <f>SUMIF(MATCH_W1!$B:$B,$B58,MATCH_W1!$H:$H)+SUMIF(MATCH_W2!$B:$B,$B58,MATCH_W2!$H:$H)+SUMIF(MATCH_W3!$B:$B,$B58,MATCH_W3!$H:$H)+SUMIF(MATCH_W4!$B:$B,$B58,MATCH_W4!$H:$H)+SUMIF(MATCH_W5!$B:$B,$B58,MATCH_W5!$H:$H)+SUMIF(MATCH_W6!$B:$B,$B58,MATCH_W6!$H:$H)</f>
        <v/>
      </c>
      <c r="G58" s="50">
        <f>SUMIF(MATCH_W1!$B:$B,$B58,MATCH_W1!$I:$I)+SUMIF(MATCH_W2!$B:$B,$B58,MATCH_W2!$I:$I)+SUMIF(MATCH_W3!$B:$B,$B58,MATCH_W3!$I:$I)+SUMIF(MATCH_W4!$B:$B,$B58,MATCH_W4!$I:$I)+SUMIF(MATCH_W5!$B:$B,$B58,MATCH_W5!$I:$I)+SUMIF(MATCH_W6!$B:$B,$B58,MATCH_W6!$I:$I)</f>
        <v/>
      </c>
      <c r="H58" s="50">
        <f>SUMIF(MATCH_W1!$B:$B,$B58,MATCH_W1!$J:$J)+SUMIF(MATCH_W2!$B:$B,$B58,MATCH_W2!$J:$J)+SUMIF(MATCH_W3!$B:$B,$B58,MATCH_W3!$J:$J)+SUMIF(MATCH_W4!$B:$B,$B58,MATCH_W4!$J:$J)+SUMIF(MATCH_W5!$B:$B,$B58,MATCH_W5!$J:$J)+SUMIF(MATCH_W6!$B:$B,$B58,MATCH_W6!$J:$J)</f>
        <v/>
      </c>
      <c r="I58" s="50">
        <f>SUMIF(MATCH_W1!$B:$B,$B58,MATCH_W1!$K:$K)+SUMIF(MATCH_W2!$B:$B,$B58,MATCH_W2!$K:$K)+SUMIF(MATCH_W3!$B:$B,$B58,MATCH_W3!$K:$K)+SUMIF(MATCH_W4!$B:$B,$B58,MATCH_W4!$K:$K)+SUMIF(MATCH_W5!$B:$B,$B58,MATCH_W5!$K:$K)+SUMIF(MATCH_W6!$B:$B,$B58,MATCH_W6!$K:$K)</f>
        <v/>
      </c>
      <c r="J58" s="51">
        <f>IFERROR(D58/E58,0)</f>
        <v/>
      </c>
      <c r="K58" s="52">
        <f>SUMIF(MATCH_W1!$B:$B,$B58,MATCH_W1!$M:$M)+SUMIF(MATCH_W2!$B:$B,$B58,MATCH_W2!$M:$M)+SUMIF(MATCH_W3!$B:$B,$B58,MATCH_W3!$M:$M)+SUMIF(MATCH_W4!$B:$B,$B58,MATCH_W4!$M:$M)+SUMIF(MATCH_W5!$B:$B,$B58,MATCH_W5!$M:$M)+SUMIF(MATCH_W6!$B:$B,$B58,MATCH_W6!$M:$M)</f>
        <v/>
      </c>
    </row>
    <row r="59">
      <c r="A59" s="7" t="inlineStr">
        <is>
          <t>PF</t>
        </is>
      </c>
      <c r="B59" s="7" t="inlineStr">
        <is>
          <t>SP1NEL</t>
        </is>
      </c>
      <c r="C59" s="7" t="inlineStr">
        <is>
          <t>SPT</t>
        </is>
      </c>
      <c r="D59" s="50">
        <f>SUMIF(MATCH_W1!$B:$B,$B59,MATCH_W1!$F:$F)+SUMIF(MATCH_W2!$B:$B,$B59,MATCH_W2!$F:$F)+SUMIF(MATCH_W3!$B:$B,$B59,MATCH_W3!$F:$F)+SUMIF(MATCH_W4!$B:$B,$B59,MATCH_W4!$F:$F)+SUMIF(MATCH_W5!$B:$B,$B59,MATCH_W5!$F:$F)+SUMIF(MATCH_W6!$B:$B,$B59,MATCH_W6!$F:$F)</f>
        <v/>
      </c>
      <c r="E59" s="50">
        <f>SUMIF(MATCH_W1!$B:$B,$B59,MATCH_W1!$G:$G)+SUMIF(MATCH_W2!$B:$B,$B59,MATCH_W2!$G:$G)+SUMIF(MATCH_W3!$B:$B,$B59,MATCH_W3!$G:$G)+SUMIF(MATCH_W4!$B:$B,$B59,MATCH_W4!$G:$G)+SUMIF(MATCH_W5!$B:$B,$B59,MATCH_W5!$G:$G)+SUMIF(MATCH_W6!$B:$B,$B59,MATCH_W6!$G:$G)</f>
        <v/>
      </c>
      <c r="F59" s="50">
        <f>SUMIF(MATCH_W1!$B:$B,$B59,MATCH_W1!$H:$H)+SUMIF(MATCH_W2!$B:$B,$B59,MATCH_W2!$H:$H)+SUMIF(MATCH_W3!$B:$B,$B59,MATCH_W3!$H:$H)+SUMIF(MATCH_W4!$B:$B,$B59,MATCH_W4!$H:$H)+SUMIF(MATCH_W5!$B:$B,$B59,MATCH_W5!$H:$H)+SUMIF(MATCH_W6!$B:$B,$B59,MATCH_W6!$H:$H)</f>
        <v/>
      </c>
      <c r="G59" s="50">
        <f>SUMIF(MATCH_W1!$B:$B,$B59,MATCH_W1!$I:$I)+SUMIF(MATCH_W2!$B:$B,$B59,MATCH_W2!$I:$I)+SUMIF(MATCH_W3!$B:$B,$B59,MATCH_W3!$I:$I)+SUMIF(MATCH_W4!$B:$B,$B59,MATCH_W4!$I:$I)+SUMIF(MATCH_W5!$B:$B,$B59,MATCH_W5!$I:$I)+SUMIF(MATCH_W6!$B:$B,$B59,MATCH_W6!$I:$I)</f>
        <v/>
      </c>
      <c r="H59" s="50">
        <f>SUMIF(MATCH_W1!$B:$B,$B59,MATCH_W1!$J:$J)+SUMIF(MATCH_W2!$B:$B,$B59,MATCH_W2!$J:$J)+SUMIF(MATCH_W3!$B:$B,$B59,MATCH_W3!$J:$J)+SUMIF(MATCH_W4!$B:$B,$B59,MATCH_W4!$J:$J)+SUMIF(MATCH_W5!$B:$B,$B59,MATCH_W5!$J:$J)+SUMIF(MATCH_W6!$B:$B,$B59,MATCH_W6!$J:$J)</f>
        <v/>
      </c>
      <c r="I59" s="50">
        <f>SUMIF(MATCH_W1!$B:$B,$B59,MATCH_W1!$K:$K)+SUMIF(MATCH_W2!$B:$B,$B59,MATCH_W2!$K:$K)+SUMIF(MATCH_W3!$B:$B,$B59,MATCH_W3!$K:$K)+SUMIF(MATCH_W4!$B:$B,$B59,MATCH_W4!$K:$K)+SUMIF(MATCH_W5!$B:$B,$B59,MATCH_W5!$K:$K)+SUMIF(MATCH_W6!$B:$B,$B59,MATCH_W6!$K:$K)</f>
        <v/>
      </c>
      <c r="J59" s="51">
        <f>IFERROR(D59/E59,0)</f>
        <v/>
      </c>
      <c r="K59" s="52">
        <f>SUMIF(MATCH_W1!$B:$B,$B59,MATCH_W1!$M:$M)+SUMIF(MATCH_W2!$B:$B,$B59,MATCH_W2!$M:$M)+SUMIF(MATCH_W3!$B:$B,$B59,MATCH_W3!$M:$M)+SUMIF(MATCH_W4!$B:$B,$B59,MATCH_W4!$M:$M)+SUMIF(MATCH_W5!$B:$B,$B59,MATCH_W5!$M:$M)+SUMIF(MATCH_W6!$B:$B,$B59,MATCH_W6!$M:$M)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10" defaultRowHeight="18"/>
  <cols>
    <col width="14.7109375" customWidth="1" style="2" min="4" max="10"/>
  </cols>
  <sheetData>
    <row r="1">
      <c r="A1" s="15" t="inlineStr">
        <is>
          <t>Team</t>
        </is>
      </c>
      <c r="B1" s="15" t="inlineStr">
        <is>
          <t>Player</t>
        </is>
      </c>
      <c r="C1" s="15" t="inlineStr">
        <is>
          <t>Position</t>
        </is>
      </c>
      <c r="D1" s="15" t="inlineStr">
        <is>
          <t>Playtime_Min</t>
        </is>
      </c>
      <c r="E1" s="15" t="inlineStr">
        <is>
          <t>Elim / 10</t>
        </is>
      </c>
      <c r="F1" s="15" t="inlineStr">
        <is>
          <t>Death / 10</t>
        </is>
      </c>
      <c r="G1" s="15" t="inlineStr">
        <is>
          <t>Assists / 10</t>
        </is>
      </c>
      <c r="H1" s="15" t="inlineStr">
        <is>
          <t>Damage / 10</t>
        </is>
      </c>
      <c r="I1" s="15" t="inlineStr">
        <is>
          <t>Heal / 10</t>
        </is>
      </c>
      <c r="J1" s="15" t="inlineStr">
        <is>
          <t>Mitigated / 10</t>
        </is>
      </c>
    </row>
    <row r="2">
      <c r="A2" s="0" t="inlineStr">
        <is>
          <t>CR</t>
        </is>
      </c>
      <c r="B2" s="0" t="inlineStr">
        <is>
          <t>JUNBIN</t>
        </is>
      </c>
      <c r="C2" s="0" t="inlineStr">
        <is>
          <t>TANK</t>
        </is>
      </c>
      <c r="D2" s="29">
        <f>'TOTAL STATISTICS'!K2/60</f>
        <v/>
      </c>
      <c r="E2" s="29">
        <f>IFERROR('TOTAL STATISTICS'!D2/'TOTAL STATISTICS'!K2*600,0)</f>
        <v/>
      </c>
      <c r="F2" s="29">
        <f>IFERROR('TOTAL STATISTICS'!E2/'TOTAL STATISTICS'!K2*600,0)</f>
        <v/>
      </c>
      <c r="G2" s="29">
        <f>IFERROR('TOTAL STATISTICS'!F2/'TOTAL STATISTICS'!K2*600,0)</f>
        <v/>
      </c>
      <c r="H2" s="29">
        <f>IFERROR('TOTAL STATISTICS'!G2/'TOTAL STATISTICS'!K2*600,0)</f>
        <v/>
      </c>
      <c r="I2" s="29">
        <f>IFERROR('TOTAL STATISTICS'!H2/'TOTAL STATISTICS'!K2*600,0)</f>
        <v/>
      </c>
      <c r="J2" s="29">
        <f>IFERROR('TOTAL STATISTICS'!I2/'TOTAL STATISTICS'!K2*600,0)</f>
        <v/>
      </c>
    </row>
    <row r="3">
      <c r="A3" s="0" t="inlineStr">
        <is>
          <t>CR</t>
        </is>
      </c>
      <c r="B3" s="0" t="inlineStr">
        <is>
          <t>MAX</t>
        </is>
      </c>
      <c r="C3" s="0" t="inlineStr">
        <is>
          <t>TANK</t>
        </is>
      </c>
      <c r="D3" s="29">
        <f>'TOTAL STATISTICS'!K3/60</f>
        <v/>
      </c>
      <c r="E3" s="29">
        <f>IFERROR('TOTAL STATISTICS'!D3/'TOTAL STATISTICS'!K3*600,0)</f>
        <v/>
      </c>
      <c r="F3" s="29">
        <f>IFERROR('TOTAL STATISTICS'!E3/'TOTAL STATISTICS'!K3*600,0)</f>
        <v/>
      </c>
      <c r="G3" s="29">
        <f>IFERROR('TOTAL STATISTICS'!F3/'TOTAL STATISTICS'!K3*600,0)</f>
        <v/>
      </c>
      <c r="H3" s="29">
        <f>IFERROR('TOTAL STATISTICS'!G3/'TOTAL STATISTICS'!K3*600,0)</f>
        <v/>
      </c>
      <c r="I3" s="29">
        <f>IFERROR('TOTAL STATISTICS'!H3/'TOTAL STATISTICS'!K3*600,0)</f>
        <v/>
      </c>
      <c r="J3" s="29">
        <f>IFERROR('TOTAL STATISTICS'!I3/'TOTAL STATISTICS'!K3*600,0)</f>
        <v/>
      </c>
    </row>
    <row r="4">
      <c r="A4" s="0" t="inlineStr">
        <is>
          <t>CR</t>
        </is>
      </c>
      <c r="B4" s="0" t="inlineStr">
        <is>
          <t>HEESANG</t>
        </is>
      </c>
      <c r="C4" s="0" t="inlineStr">
        <is>
          <t>DPS</t>
        </is>
      </c>
      <c r="D4" s="29">
        <f>'TOTAL STATISTICS'!K4/60</f>
        <v/>
      </c>
      <c r="E4" s="29">
        <f>IFERROR('TOTAL STATISTICS'!D4/'TOTAL STATISTICS'!K4*600,0)</f>
        <v/>
      </c>
      <c r="F4" s="29">
        <f>IFERROR('TOTAL STATISTICS'!E4/'TOTAL STATISTICS'!K4*600,0)</f>
        <v/>
      </c>
      <c r="G4" s="29">
        <f>IFERROR('TOTAL STATISTICS'!F4/'TOTAL STATISTICS'!K4*600,0)</f>
        <v/>
      </c>
      <c r="H4" s="29">
        <f>IFERROR('TOTAL STATISTICS'!G4/'TOTAL STATISTICS'!K4*600,0)</f>
        <v/>
      </c>
      <c r="I4" s="29">
        <f>IFERROR('TOTAL STATISTICS'!H4/'TOTAL STATISTICS'!K4*600,0)</f>
        <v/>
      </c>
      <c r="J4" s="29">
        <f>IFERROR('TOTAL STATISTICS'!I4/'TOTAL STATISTICS'!K4*600,0)</f>
        <v/>
      </c>
    </row>
    <row r="5">
      <c r="A5" s="0" t="inlineStr">
        <is>
          <t>CR</t>
        </is>
      </c>
      <c r="B5" s="0" t="inlineStr">
        <is>
          <t>LIP</t>
        </is>
      </c>
      <c r="C5" s="0" t="inlineStr">
        <is>
          <t>DPS</t>
        </is>
      </c>
      <c r="D5" s="29">
        <f>'TOTAL STATISTICS'!K5/60</f>
        <v/>
      </c>
      <c r="E5" s="29">
        <f>IFERROR('TOTAL STATISTICS'!D5/'TOTAL STATISTICS'!K5*600,0)</f>
        <v/>
      </c>
      <c r="F5" s="29">
        <f>IFERROR('TOTAL STATISTICS'!E5/'TOTAL STATISTICS'!K5*600,0)</f>
        <v/>
      </c>
      <c r="G5" s="29">
        <f>IFERROR('TOTAL STATISTICS'!F5/'TOTAL STATISTICS'!K5*600,0)</f>
        <v/>
      </c>
      <c r="H5" s="29">
        <f>IFERROR('TOTAL STATISTICS'!G5/'TOTAL STATISTICS'!K5*600,0)</f>
        <v/>
      </c>
      <c r="I5" s="29">
        <f>IFERROR('TOTAL STATISTICS'!H5/'TOTAL STATISTICS'!K5*600,0)</f>
        <v/>
      </c>
      <c r="J5" s="29">
        <f>IFERROR('TOTAL STATISTICS'!I5/'TOTAL STATISTICS'!K5*600,0)</f>
        <v/>
      </c>
    </row>
    <row r="6">
      <c r="A6" s="0" t="inlineStr">
        <is>
          <t>CR</t>
        </is>
      </c>
      <c r="B6" s="0" t="inlineStr">
        <is>
          <t>STALK3R</t>
        </is>
      </c>
      <c r="C6" s="0" t="inlineStr">
        <is>
          <t>DPS</t>
        </is>
      </c>
      <c r="D6" s="29">
        <f>'TOTAL STATISTICS'!K6/60</f>
        <v/>
      </c>
      <c r="E6" s="29">
        <f>IFERROR('TOTAL STATISTICS'!D6/'TOTAL STATISTICS'!K6*600,0)</f>
        <v/>
      </c>
      <c r="F6" s="29">
        <f>IFERROR('TOTAL STATISTICS'!E6/'TOTAL STATISTICS'!K6*600,0)</f>
        <v/>
      </c>
      <c r="G6" s="29">
        <f>IFERROR('TOTAL STATISTICS'!F6/'TOTAL STATISTICS'!K6*600,0)</f>
        <v/>
      </c>
      <c r="H6" s="29">
        <f>IFERROR('TOTAL STATISTICS'!G6/'TOTAL STATISTICS'!K6*600,0)</f>
        <v/>
      </c>
      <c r="I6" s="29">
        <f>IFERROR('TOTAL STATISTICS'!H6/'TOTAL STATISTICS'!K6*600,0)</f>
        <v/>
      </c>
      <c r="J6" s="29">
        <f>IFERROR('TOTAL STATISTICS'!I6/'TOTAL STATISTICS'!K6*600,0)</f>
        <v/>
      </c>
    </row>
    <row r="7">
      <c r="A7" s="0" t="inlineStr">
        <is>
          <t>CR</t>
        </is>
      </c>
      <c r="B7" s="0" t="inlineStr">
        <is>
          <t>CH0R0NG</t>
        </is>
      </c>
      <c r="C7" s="0" t="inlineStr">
        <is>
          <t>SPT</t>
        </is>
      </c>
      <c r="D7" s="29">
        <f>'TOTAL STATISTICS'!K7/60</f>
        <v/>
      </c>
      <c r="E7" s="29">
        <f>IFERROR('TOTAL STATISTICS'!D7/'TOTAL STATISTICS'!K7*600,0)</f>
        <v/>
      </c>
      <c r="F7" s="29">
        <f>IFERROR('TOTAL STATISTICS'!E7/'TOTAL STATISTICS'!K7*600,0)</f>
        <v/>
      </c>
      <c r="G7" s="29">
        <f>IFERROR('TOTAL STATISTICS'!F7/'TOTAL STATISTICS'!K7*600,0)</f>
        <v/>
      </c>
      <c r="H7" s="29">
        <f>IFERROR('TOTAL STATISTICS'!G7/'TOTAL STATISTICS'!K7*600,0)</f>
        <v/>
      </c>
      <c r="I7" s="29">
        <f>IFERROR('TOTAL STATISTICS'!H7/'TOTAL STATISTICS'!K7*600,0)</f>
        <v/>
      </c>
      <c r="J7" s="29">
        <f>IFERROR('TOTAL STATISTICS'!I7/'TOTAL STATISTICS'!K7*600,0)</f>
        <v/>
      </c>
    </row>
    <row r="8">
      <c r="A8" s="0" t="inlineStr">
        <is>
          <t>CR</t>
        </is>
      </c>
      <c r="B8" s="0" t="inlineStr">
        <is>
          <t>VIGILANTE</t>
        </is>
      </c>
      <c r="C8" s="0" t="inlineStr">
        <is>
          <t>SPT</t>
        </is>
      </c>
      <c r="D8" s="29">
        <f>'TOTAL STATISTICS'!K8/60</f>
        <v/>
      </c>
      <c r="E8" s="29">
        <f>IFERROR('TOTAL STATISTICS'!D8/'TOTAL STATISTICS'!K8*600,0)</f>
        <v/>
      </c>
      <c r="F8" s="29">
        <f>IFERROR('TOTAL STATISTICS'!E8/'TOTAL STATISTICS'!K8*600,0)</f>
        <v/>
      </c>
      <c r="G8" s="29">
        <f>IFERROR('TOTAL STATISTICS'!F8/'TOTAL STATISTICS'!K8*600,0)</f>
        <v/>
      </c>
      <c r="H8" s="29">
        <f>IFERROR('TOTAL STATISTICS'!G8/'TOTAL STATISTICS'!K8*600,0)</f>
        <v/>
      </c>
      <c r="I8" s="29">
        <f>IFERROR('TOTAL STATISTICS'!H8/'TOTAL STATISTICS'!K8*600,0)</f>
        <v/>
      </c>
      <c r="J8" s="29">
        <f>IFERROR('TOTAL STATISTICS'!I8/'TOTAL STATISTICS'!K8*600,0)</f>
        <v/>
      </c>
    </row>
    <row r="9">
      <c r="A9" s="0" t="inlineStr">
        <is>
          <t>FLC</t>
        </is>
      </c>
      <c r="B9" s="0" t="inlineStr">
        <is>
          <t>SOMEONE</t>
        </is>
      </c>
      <c r="C9" s="0" t="inlineStr">
        <is>
          <t>TANK</t>
        </is>
      </c>
      <c r="D9" s="29">
        <f>'TOTAL STATISTICS'!K9/60</f>
        <v/>
      </c>
      <c r="E9" s="29">
        <f>IFERROR('TOTAL STATISTICS'!D9/'TOTAL STATISTICS'!K9*600,0)</f>
        <v/>
      </c>
      <c r="F9" s="29">
        <f>IFERROR('TOTAL STATISTICS'!E9/'TOTAL STATISTICS'!K9*600,0)</f>
        <v/>
      </c>
      <c r="G9" s="29">
        <f>IFERROR('TOTAL STATISTICS'!F9/'TOTAL STATISTICS'!K9*600,0)</f>
        <v/>
      </c>
      <c r="H9" s="29">
        <f>IFERROR('TOTAL STATISTICS'!G9/'TOTAL STATISTICS'!K9*600,0)</f>
        <v/>
      </c>
      <c r="I9" s="29">
        <f>IFERROR('TOTAL STATISTICS'!H9/'TOTAL STATISTICS'!K9*600,0)</f>
        <v/>
      </c>
      <c r="J9" s="29">
        <f>IFERROR('TOTAL STATISTICS'!I9/'TOTAL STATISTICS'!K9*600,0)</f>
        <v/>
      </c>
    </row>
    <row r="10">
      <c r="A10" s="0" t="inlineStr">
        <is>
          <t>FLC</t>
        </is>
      </c>
      <c r="B10" s="0" t="inlineStr">
        <is>
          <t>HANBIN</t>
        </is>
      </c>
      <c r="C10" s="0" t="inlineStr">
        <is>
          <t>TANK</t>
        </is>
      </c>
      <c r="D10" s="29">
        <f>'TOTAL STATISTICS'!K10/60</f>
        <v/>
      </c>
      <c r="E10" s="29">
        <f>IFERROR('TOTAL STATISTICS'!D10/'TOTAL STATISTICS'!K10*600,0)</f>
        <v/>
      </c>
      <c r="F10" s="29">
        <f>IFERROR('TOTAL STATISTICS'!E10/'TOTAL STATISTICS'!K10*600,0)</f>
        <v/>
      </c>
      <c r="G10" s="29">
        <f>IFERROR('TOTAL STATISTICS'!F10/'TOTAL STATISTICS'!K10*600,0)</f>
        <v/>
      </c>
      <c r="H10" s="29">
        <f>IFERROR('TOTAL STATISTICS'!G10/'TOTAL STATISTICS'!K10*600,0)</f>
        <v/>
      </c>
      <c r="I10" s="29">
        <f>IFERROR('TOTAL STATISTICS'!H10/'TOTAL STATISTICS'!K10*600,0)</f>
        <v/>
      </c>
      <c r="J10" s="29">
        <f>IFERROR('TOTAL STATISTICS'!I10/'TOTAL STATISTICS'!K10*600,0)</f>
        <v/>
      </c>
    </row>
    <row r="11">
      <c r="A11" s="0" t="inlineStr">
        <is>
          <t>FLC</t>
        </is>
      </c>
      <c r="B11" s="0" t="inlineStr">
        <is>
          <t>CHECKMATE</t>
        </is>
      </c>
      <c r="C11" s="0" t="inlineStr">
        <is>
          <t>DPS</t>
        </is>
      </c>
      <c r="D11" s="29">
        <f>'TOTAL STATISTICS'!K11/60</f>
        <v/>
      </c>
      <c r="E11" s="29">
        <f>IFERROR('TOTAL STATISTICS'!D11/'TOTAL STATISTICS'!K11*600,0)</f>
        <v/>
      </c>
      <c r="F11" s="29">
        <f>IFERROR('TOTAL STATISTICS'!E11/'TOTAL STATISTICS'!K11*600,0)</f>
        <v/>
      </c>
      <c r="G11" s="29">
        <f>IFERROR('TOTAL STATISTICS'!F11/'TOTAL STATISTICS'!K11*600,0)</f>
        <v/>
      </c>
      <c r="H11" s="29">
        <f>IFERROR('TOTAL STATISTICS'!G11/'TOTAL STATISTICS'!K11*600,0)</f>
        <v/>
      </c>
      <c r="I11" s="29">
        <f>IFERROR('TOTAL STATISTICS'!H11/'TOTAL STATISTICS'!K11*600,0)</f>
        <v/>
      </c>
      <c r="J11" s="29">
        <f>IFERROR('TOTAL STATISTICS'!I11/'TOTAL STATISTICS'!K11*600,0)</f>
        <v/>
      </c>
    </row>
    <row r="12">
      <c r="A12" s="0" t="inlineStr">
        <is>
          <t>FLC</t>
        </is>
      </c>
      <c r="B12" s="0" t="inlineStr">
        <is>
          <t>MER1T</t>
        </is>
      </c>
      <c r="C12" s="0" t="inlineStr">
        <is>
          <t>DPS</t>
        </is>
      </c>
      <c r="D12" s="29">
        <f>'TOTAL STATISTICS'!K12/60</f>
        <v/>
      </c>
      <c r="E12" s="29">
        <f>IFERROR('TOTAL STATISTICS'!D12/'TOTAL STATISTICS'!K12*600,0)</f>
        <v/>
      </c>
      <c r="F12" s="29">
        <f>IFERROR('TOTAL STATISTICS'!E12/'TOTAL STATISTICS'!K12*600,0)</f>
        <v/>
      </c>
      <c r="G12" s="29">
        <f>IFERROR('TOTAL STATISTICS'!F12/'TOTAL STATISTICS'!K12*600,0)</f>
        <v/>
      </c>
      <c r="H12" s="29">
        <f>IFERROR('TOTAL STATISTICS'!G12/'TOTAL STATISTICS'!K12*600,0)</f>
        <v/>
      </c>
      <c r="I12" s="29">
        <f>IFERROR('TOTAL STATISTICS'!H12/'TOTAL STATISTICS'!K12*600,0)</f>
        <v/>
      </c>
      <c r="J12" s="29">
        <f>IFERROR('TOTAL STATISTICS'!I12/'TOTAL STATISTICS'!K12*600,0)</f>
        <v/>
      </c>
    </row>
    <row r="13">
      <c r="A13" s="0" t="inlineStr">
        <is>
          <t>FLC</t>
        </is>
      </c>
      <c r="B13" s="0" t="inlineStr">
        <is>
          <t>CHIYO</t>
        </is>
      </c>
      <c r="C13" s="0" t="inlineStr">
        <is>
          <t>SPT</t>
        </is>
      </c>
      <c r="D13" s="29">
        <f>'TOTAL STATISTICS'!K13/60</f>
        <v/>
      </c>
      <c r="E13" s="29">
        <f>IFERROR('TOTAL STATISTICS'!D13/'TOTAL STATISTICS'!K13*600,0)</f>
        <v/>
      </c>
      <c r="F13" s="29">
        <f>IFERROR('TOTAL STATISTICS'!E13/'TOTAL STATISTICS'!K13*600,0)</f>
        <v/>
      </c>
      <c r="G13" s="29">
        <f>IFERROR('TOTAL STATISTICS'!F13/'TOTAL STATISTICS'!K13*600,0)</f>
        <v/>
      </c>
      <c r="H13" s="29">
        <f>IFERROR('TOTAL STATISTICS'!G13/'TOTAL STATISTICS'!K13*600,0)</f>
        <v/>
      </c>
      <c r="I13" s="29">
        <f>IFERROR('TOTAL STATISTICS'!H13/'TOTAL STATISTICS'!K13*600,0)</f>
        <v/>
      </c>
      <c r="J13" s="29">
        <f>IFERROR('TOTAL STATISTICS'!I13/'TOTAL STATISTICS'!K13*600,0)</f>
        <v/>
      </c>
    </row>
    <row r="14">
      <c r="A14" s="0" t="inlineStr">
        <is>
          <t>FLC</t>
        </is>
      </c>
      <c r="B14" s="0" t="inlineStr">
        <is>
          <t>FIELDER</t>
        </is>
      </c>
      <c r="C14" s="0" t="inlineStr">
        <is>
          <t>SPT</t>
        </is>
      </c>
      <c r="D14" s="29">
        <f>'TOTAL STATISTICS'!K14/60</f>
        <v/>
      </c>
      <c r="E14" s="29">
        <f>IFERROR('TOTAL STATISTICS'!D14/'TOTAL STATISTICS'!K14*600,0)</f>
        <v/>
      </c>
      <c r="F14" s="29">
        <f>IFERROR('TOTAL STATISTICS'!E14/'TOTAL STATISTICS'!K14*600,0)</f>
        <v/>
      </c>
      <c r="G14" s="29">
        <f>IFERROR('TOTAL STATISTICS'!F14/'TOTAL STATISTICS'!K14*600,0)</f>
        <v/>
      </c>
      <c r="H14" s="29">
        <f>IFERROR('TOTAL STATISTICS'!G14/'TOTAL STATISTICS'!K14*600,0)</f>
        <v/>
      </c>
      <c r="I14" s="29">
        <f>IFERROR('TOTAL STATISTICS'!H14/'TOTAL STATISTICS'!K14*600,0)</f>
        <v/>
      </c>
      <c r="J14" s="29">
        <f>IFERROR('TOTAL STATISTICS'!I14/'TOTAL STATISTICS'!K14*600,0)</f>
        <v/>
      </c>
    </row>
    <row r="15">
      <c r="A15" s="0" t="inlineStr">
        <is>
          <t>T1</t>
        </is>
      </c>
      <c r="B15" s="0" t="inlineStr">
        <is>
          <t>DONGHAK</t>
        </is>
      </c>
      <c r="C15" s="0" t="inlineStr">
        <is>
          <t>TANK</t>
        </is>
      </c>
      <c r="D15" s="29">
        <f>'TOTAL STATISTICS'!K15/60</f>
        <v/>
      </c>
      <c r="E15" s="29">
        <f>IFERROR('TOTAL STATISTICS'!D15/'TOTAL STATISTICS'!K15*600,0)</f>
        <v/>
      </c>
      <c r="F15" s="29">
        <f>IFERROR('TOTAL STATISTICS'!E15/'TOTAL STATISTICS'!K15*600,0)</f>
        <v/>
      </c>
      <c r="G15" s="29">
        <f>IFERROR('TOTAL STATISTICS'!F15/'TOTAL STATISTICS'!K15*600,0)</f>
        <v/>
      </c>
      <c r="H15" s="29">
        <f>IFERROR('TOTAL STATISTICS'!G15/'TOTAL STATISTICS'!K15*600,0)</f>
        <v/>
      </c>
      <c r="I15" s="29">
        <f>IFERROR('TOTAL STATISTICS'!H15/'TOTAL STATISTICS'!K15*600,0)</f>
        <v/>
      </c>
      <c r="J15" s="29">
        <f>IFERROR('TOTAL STATISTICS'!I15/'TOTAL STATISTICS'!K15*600,0)</f>
        <v/>
      </c>
    </row>
    <row r="16">
      <c r="A16" s="0" t="inlineStr">
        <is>
          <t>T1</t>
        </is>
      </c>
      <c r="B16" s="0" t="inlineStr">
        <is>
          <t>JASM1NE</t>
        </is>
      </c>
      <c r="C16" s="0" t="inlineStr">
        <is>
          <t>TANK</t>
        </is>
      </c>
      <c r="D16" s="29">
        <f>'TOTAL STATISTICS'!K16/60</f>
        <v/>
      </c>
      <c r="E16" s="29">
        <f>IFERROR('TOTAL STATISTICS'!D16/'TOTAL STATISTICS'!K16*600,0)</f>
        <v/>
      </c>
      <c r="F16" s="29">
        <f>IFERROR('TOTAL STATISTICS'!E16/'TOTAL STATISTICS'!K16*600,0)</f>
        <v/>
      </c>
      <c r="G16" s="29">
        <f>IFERROR('TOTAL STATISTICS'!F16/'TOTAL STATISTICS'!K16*600,0)</f>
        <v/>
      </c>
      <c r="H16" s="29">
        <f>IFERROR('TOTAL STATISTICS'!G16/'TOTAL STATISTICS'!K16*600,0)</f>
        <v/>
      </c>
      <c r="I16" s="29">
        <f>IFERROR('TOTAL STATISTICS'!H16/'TOTAL STATISTICS'!K16*600,0)</f>
        <v/>
      </c>
      <c r="J16" s="29">
        <f>IFERROR('TOTAL STATISTICS'!I16/'TOTAL STATISTICS'!K16*600,0)</f>
        <v/>
      </c>
    </row>
    <row r="17">
      <c r="A17" s="0" t="inlineStr">
        <is>
          <t>T1</t>
        </is>
      </c>
      <c r="B17" s="0" t="inlineStr">
        <is>
          <t>ZEST</t>
        </is>
      </c>
      <c r="C17" s="0" t="inlineStr">
        <is>
          <t>DPS</t>
        </is>
      </c>
      <c r="D17" s="29">
        <f>'TOTAL STATISTICS'!K17/60</f>
        <v/>
      </c>
      <c r="E17" s="29">
        <f>IFERROR('TOTAL STATISTICS'!D17/'TOTAL STATISTICS'!K17*600,0)</f>
        <v/>
      </c>
      <c r="F17" s="29">
        <f>IFERROR('TOTAL STATISTICS'!E17/'TOTAL STATISTICS'!K17*600,0)</f>
        <v/>
      </c>
      <c r="G17" s="29">
        <f>IFERROR('TOTAL STATISTICS'!F17/'TOTAL STATISTICS'!K17*600,0)</f>
        <v/>
      </c>
      <c r="H17" s="29">
        <f>IFERROR('TOTAL STATISTICS'!G17/'TOTAL STATISTICS'!K17*600,0)</f>
        <v/>
      </c>
      <c r="I17" s="29">
        <f>IFERROR('TOTAL STATISTICS'!H17/'TOTAL STATISTICS'!K17*600,0)</f>
        <v/>
      </c>
      <c r="J17" s="29">
        <f>IFERROR('TOTAL STATISTICS'!I17/'TOTAL STATISTICS'!K17*600,0)</f>
        <v/>
      </c>
    </row>
    <row r="18">
      <c r="A18" s="0" t="inlineStr">
        <is>
          <t>T1</t>
        </is>
      </c>
      <c r="B18" s="0" t="inlineStr">
        <is>
          <t>PROUD</t>
        </is>
      </c>
      <c r="C18" s="0" t="inlineStr">
        <is>
          <t>DPS</t>
        </is>
      </c>
      <c r="D18" s="29">
        <f>'TOTAL STATISTICS'!K18/60</f>
        <v/>
      </c>
      <c r="E18" s="29">
        <f>IFERROR('TOTAL STATISTICS'!D18/'TOTAL STATISTICS'!K18*600,0)</f>
        <v/>
      </c>
      <c r="F18" s="29">
        <f>IFERROR('TOTAL STATISTICS'!E18/'TOTAL STATISTICS'!K18*600,0)</f>
        <v/>
      </c>
      <c r="G18" s="29">
        <f>IFERROR('TOTAL STATISTICS'!F18/'TOTAL STATISTICS'!K18*600,0)</f>
        <v/>
      </c>
      <c r="H18" s="29">
        <f>IFERROR('TOTAL STATISTICS'!G18/'TOTAL STATISTICS'!K18*600,0)</f>
        <v/>
      </c>
      <c r="I18" s="29">
        <f>IFERROR('TOTAL STATISTICS'!H18/'TOTAL STATISTICS'!K18*600,0)</f>
        <v/>
      </c>
      <c r="J18" s="29">
        <f>IFERROR('TOTAL STATISTICS'!I18/'TOTAL STATISTICS'!K18*600,0)</f>
        <v/>
      </c>
    </row>
    <row r="19">
      <c r="A19" s="0" t="inlineStr">
        <is>
          <t>T1</t>
        </is>
      </c>
      <c r="B19" s="0" t="inlineStr">
        <is>
          <t>BLISS</t>
        </is>
      </c>
      <c r="C19" s="0" t="inlineStr">
        <is>
          <t>SPT</t>
        </is>
      </c>
      <c r="D19" s="29">
        <f>'TOTAL STATISTICS'!K19/60</f>
        <v/>
      </c>
      <c r="E19" s="29">
        <f>IFERROR('TOTAL STATISTICS'!D19/'TOTAL STATISTICS'!K19*600,0)</f>
        <v/>
      </c>
      <c r="F19" s="29">
        <f>IFERROR('TOTAL STATISTICS'!E19/'TOTAL STATISTICS'!K19*600,0)</f>
        <v/>
      </c>
      <c r="G19" s="29">
        <f>IFERROR('TOTAL STATISTICS'!F19/'TOTAL STATISTICS'!K19*600,0)</f>
        <v/>
      </c>
      <c r="H19" s="29">
        <f>IFERROR('TOTAL STATISTICS'!G19/'TOTAL STATISTICS'!K19*600,0)</f>
        <v/>
      </c>
      <c r="I19" s="29">
        <f>IFERROR('TOTAL STATISTICS'!H19/'TOTAL STATISTICS'!K19*600,0)</f>
        <v/>
      </c>
      <c r="J19" s="29">
        <f>IFERROR('TOTAL STATISTICS'!I19/'TOTAL STATISTICS'!K19*600,0)</f>
        <v/>
      </c>
    </row>
    <row r="20">
      <c r="A20" s="0" t="inlineStr">
        <is>
          <t>T1</t>
        </is>
      </c>
      <c r="B20" s="0" t="inlineStr">
        <is>
          <t>SKEWED</t>
        </is>
      </c>
      <c r="C20" s="0" t="inlineStr">
        <is>
          <t>SPT</t>
        </is>
      </c>
      <c r="D20" s="29">
        <f>'TOTAL STATISTICS'!K20/60</f>
        <v/>
      </c>
      <c r="E20" s="29">
        <f>IFERROR('TOTAL STATISTICS'!D20/'TOTAL STATISTICS'!K20*600,0)</f>
        <v/>
      </c>
      <c r="F20" s="29">
        <f>IFERROR('TOTAL STATISTICS'!E20/'TOTAL STATISTICS'!K20*600,0)</f>
        <v/>
      </c>
      <c r="G20" s="29">
        <f>IFERROR('TOTAL STATISTICS'!F20/'TOTAL STATISTICS'!K20*600,0)</f>
        <v/>
      </c>
      <c r="H20" s="29">
        <f>IFERROR('TOTAL STATISTICS'!G20/'TOTAL STATISTICS'!K20*600,0)</f>
        <v/>
      </c>
      <c r="I20" s="29">
        <f>IFERROR('TOTAL STATISTICS'!H20/'TOTAL STATISTICS'!K20*600,0)</f>
        <v/>
      </c>
      <c r="J20" s="29">
        <f>IFERROR('TOTAL STATISTICS'!I20/'TOTAL STATISTICS'!K20*600,0)</f>
        <v/>
      </c>
    </row>
    <row r="21">
      <c r="A21" s="0" t="inlineStr">
        <is>
          <t>ZETA</t>
        </is>
      </c>
      <c r="B21" s="0" t="inlineStr">
        <is>
          <t>BERNAR</t>
        </is>
      </c>
      <c r="C21" s="0" t="inlineStr">
        <is>
          <t>TANK</t>
        </is>
      </c>
      <c r="D21" s="29">
        <f>'TOTAL STATISTICS'!K21/60</f>
        <v/>
      </c>
      <c r="E21" s="29">
        <f>IFERROR('TOTAL STATISTICS'!D21/'TOTAL STATISTICS'!K21*600,0)</f>
        <v/>
      </c>
      <c r="F21" s="29">
        <f>IFERROR('TOTAL STATISTICS'!E21/'TOTAL STATISTICS'!K21*600,0)</f>
        <v/>
      </c>
      <c r="G21" s="29">
        <f>IFERROR('TOTAL STATISTICS'!F21/'TOTAL STATISTICS'!K21*600,0)</f>
        <v/>
      </c>
      <c r="H21" s="29">
        <f>IFERROR('TOTAL STATISTICS'!G21/'TOTAL STATISTICS'!K21*600,0)</f>
        <v/>
      </c>
      <c r="I21" s="29">
        <f>IFERROR('TOTAL STATISTICS'!H21/'TOTAL STATISTICS'!K21*600,0)</f>
        <v/>
      </c>
      <c r="J21" s="29">
        <f>IFERROR('TOTAL STATISTICS'!I21/'TOTAL STATISTICS'!K21*600,0)</f>
        <v/>
      </c>
    </row>
    <row r="22">
      <c r="A22" s="0" t="inlineStr">
        <is>
          <t>ZETA</t>
        </is>
      </c>
      <c r="B22" s="0" t="inlineStr">
        <is>
          <t>MEALGARU</t>
        </is>
      </c>
      <c r="C22" s="0" t="inlineStr">
        <is>
          <t>TANK</t>
        </is>
      </c>
      <c r="D22" s="29">
        <f>'TOTAL STATISTICS'!K22/60</f>
        <v/>
      </c>
      <c r="E22" s="29">
        <f>IFERROR('TOTAL STATISTICS'!D22/'TOTAL STATISTICS'!K22*600,0)</f>
        <v/>
      </c>
      <c r="F22" s="29">
        <f>IFERROR('TOTAL STATISTICS'!E22/'TOTAL STATISTICS'!K22*600,0)</f>
        <v/>
      </c>
      <c r="G22" s="29">
        <f>IFERROR('TOTAL STATISTICS'!F22/'TOTAL STATISTICS'!K22*600,0)</f>
        <v/>
      </c>
      <c r="H22" s="29">
        <f>IFERROR('TOTAL STATISTICS'!G22/'TOTAL STATISTICS'!K22*600,0)</f>
        <v/>
      </c>
      <c r="I22" s="29">
        <f>IFERROR('TOTAL STATISTICS'!H22/'TOTAL STATISTICS'!K22*600,0)</f>
        <v/>
      </c>
      <c r="J22" s="29">
        <f>IFERROR('TOTAL STATISTICS'!I22/'TOTAL STATISTICS'!K22*600,0)</f>
        <v/>
      </c>
    </row>
    <row r="23">
      <c r="A23" s="0" t="inlineStr">
        <is>
          <t>ZETA</t>
        </is>
      </c>
      <c r="B23" s="0" t="inlineStr">
        <is>
          <t>PROPER</t>
        </is>
      </c>
      <c r="C23" s="0" t="inlineStr">
        <is>
          <t>DPS</t>
        </is>
      </c>
      <c r="D23" s="29">
        <f>'TOTAL STATISTICS'!K23/60</f>
        <v/>
      </c>
      <c r="E23" s="29">
        <f>IFERROR('TOTAL STATISTICS'!D23/'TOTAL STATISTICS'!K23*600,0)</f>
        <v/>
      </c>
      <c r="F23" s="29">
        <f>IFERROR('TOTAL STATISTICS'!E23/'TOTAL STATISTICS'!K23*600,0)</f>
        <v/>
      </c>
      <c r="G23" s="29">
        <f>IFERROR('TOTAL STATISTICS'!F23/'TOTAL STATISTICS'!K23*600,0)</f>
        <v/>
      </c>
      <c r="H23" s="29">
        <f>IFERROR('TOTAL STATISTICS'!G23/'TOTAL STATISTICS'!K23*600,0)</f>
        <v/>
      </c>
      <c r="I23" s="29">
        <f>IFERROR('TOTAL STATISTICS'!H23/'TOTAL STATISTICS'!K23*600,0)</f>
        <v/>
      </c>
      <c r="J23" s="29">
        <f>IFERROR('TOTAL STATISTICS'!I23/'TOTAL STATISTICS'!K23*600,0)</f>
        <v/>
      </c>
    </row>
    <row r="24">
      <c r="A24" s="0" t="inlineStr">
        <is>
          <t>ZETA</t>
        </is>
      </c>
      <c r="B24" s="0" t="inlineStr">
        <is>
          <t>KNIFE</t>
        </is>
      </c>
      <c r="C24" s="0" t="inlineStr">
        <is>
          <t>DPS</t>
        </is>
      </c>
      <c r="D24" s="29">
        <f>'TOTAL STATISTICS'!K24/60</f>
        <v/>
      </c>
      <c r="E24" s="29">
        <f>IFERROR('TOTAL STATISTICS'!D24/'TOTAL STATISTICS'!K24*600,0)</f>
        <v/>
      </c>
      <c r="F24" s="29">
        <f>IFERROR('TOTAL STATISTICS'!E24/'TOTAL STATISTICS'!K24*600,0)</f>
        <v/>
      </c>
      <c r="G24" s="29">
        <f>IFERROR('TOTAL STATISTICS'!F24/'TOTAL STATISTICS'!K24*600,0)</f>
        <v/>
      </c>
      <c r="H24" s="29">
        <f>IFERROR('TOTAL STATISTICS'!G24/'TOTAL STATISTICS'!K24*600,0)</f>
        <v/>
      </c>
      <c r="I24" s="29">
        <f>IFERROR('TOTAL STATISTICS'!H24/'TOTAL STATISTICS'!K24*600,0)</f>
        <v/>
      </c>
      <c r="J24" s="29">
        <f>IFERROR('TOTAL STATISTICS'!I24/'TOTAL STATISTICS'!K24*600,0)</f>
        <v/>
      </c>
    </row>
    <row r="25">
      <c r="A25" s="0" t="inlineStr">
        <is>
          <t>ZETA</t>
        </is>
      </c>
      <c r="B25" s="0" t="inlineStr">
        <is>
          <t>VIOL2T</t>
        </is>
      </c>
      <c r="C25" s="0" t="inlineStr">
        <is>
          <t>SPT</t>
        </is>
      </c>
      <c r="D25" s="29">
        <f>'TOTAL STATISTICS'!K25/60</f>
        <v/>
      </c>
      <c r="E25" s="29">
        <f>IFERROR('TOTAL STATISTICS'!D25/'TOTAL STATISTICS'!K25*600,0)</f>
        <v/>
      </c>
      <c r="F25" s="29">
        <f>IFERROR('TOTAL STATISTICS'!E25/'TOTAL STATISTICS'!K25*600,0)</f>
        <v/>
      </c>
      <c r="G25" s="29">
        <f>IFERROR('TOTAL STATISTICS'!F25/'TOTAL STATISTICS'!K25*600,0)</f>
        <v/>
      </c>
      <c r="H25" s="29">
        <f>IFERROR('TOTAL STATISTICS'!G25/'TOTAL STATISTICS'!K25*600,0)</f>
        <v/>
      </c>
      <c r="I25" s="29">
        <f>IFERROR('TOTAL STATISTICS'!H25/'TOTAL STATISTICS'!K25*600,0)</f>
        <v/>
      </c>
      <c r="J25" s="29">
        <f>IFERROR('TOTAL STATISTICS'!I25/'TOTAL STATISTICS'!K25*600,0)</f>
        <v/>
      </c>
    </row>
    <row r="26">
      <c r="A26" s="0" t="inlineStr">
        <is>
          <t>ZETA</t>
        </is>
      </c>
      <c r="B26" s="0" t="inlineStr">
        <is>
          <t>SHU</t>
        </is>
      </c>
      <c r="C26" s="0" t="inlineStr">
        <is>
          <t>SPT</t>
        </is>
      </c>
      <c r="D26" s="29">
        <f>'TOTAL STATISTICS'!K26/60</f>
        <v/>
      </c>
      <c r="E26" s="29">
        <f>IFERROR('TOTAL STATISTICS'!D26/'TOTAL STATISTICS'!K26*600,0)</f>
        <v/>
      </c>
      <c r="F26" s="29">
        <f>IFERROR('TOTAL STATISTICS'!E26/'TOTAL STATISTICS'!K26*600,0)</f>
        <v/>
      </c>
      <c r="G26" s="29">
        <f>IFERROR('TOTAL STATISTICS'!F26/'TOTAL STATISTICS'!K26*600,0)</f>
        <v/>
      </c>
      <c r="H26" s="29">
        <f>IFERROR('TOTAL STATISTICS'!G26/'TOTAL STATISTICS'!K26*600,0)</f>
        <v/>
      </c>
      <c r="I26" s="29">
        <f>IFERROR('TOTAL STATISTICS'!H26/'TOTAL STATISTICS'!K26*600,0)</f>
        <v/>
      </c>
      <c r="J26" s="29">
        <f>IFERROR('TOTAL STATISTICS'!I26/'TOTAL STATISTICS'!K26*600,0)</f>
        <v/>
      </c>
    </row>
    <row r="27">
      <c r="A27" s="0" t="inlineStr">
        <is>
          <t>ERA</t>
        </is>
      </c>
      <c r="B27" s="0" t="inlineStr">
        <is>
          <t>SOLA</t>
        </is>
      </c>
      <c r="C27" s="0" t="inlineStr">
        <is>
          <t>TANK</t>
        </is>
      </c>
      <c r="D27" s="29">
        <f>'TOTAL STATISTICS'!K27/60</f>
        <v/>
      </c>
      <c r="E27" s="29">
        <f>IFERROR('TOTAL STATISTICS'!D27/'TOTAL STATISTICS'!K27*600,0)</f>
        <v/>
      </c>
      <c r="F27" s="29">
        <f>IFERROR('TOTAL STATISTICS'!E27/'TOTAL STATISTICS'!K27*600,0)</f>
        <v/>
      </c>
      <c r="G27" s="29">
        <f>IFERROR('TOTAL STATISTICS'!F27/'TOTAL STATISTICS'!K27*600,0)</f>
        <v/>
      </c>
      <c r="H27" s="29">
        <f>IFERROR('TOTAL STATISTICS'!G27/'TOTAL STATISTICS'!K27*600,0)</f>
        <v/>
      </c>
      <c r="I27" s="29">
        <f>IFERROR('TOTAL STATISTICS'!H27/'TOTAL STATISTICS'!K27*600,0)</f>
        <v/>
      </c>
      <c r="J27" s="29">
        <f>IFERROR('TOTAL STATISTICS'!I27/'TOTAL STATISTICS'!K27*600,0)</f>
        <v/>
      </c>
    </row>
    <row r="28">
      <c r="A28" s="0" t="inlineStr">
        <is>
          <t>ERA</t>
        </is>
      </c>
      <c r="B28" s="0" t="inlineStr">
        <is>
          <t>YATE</t>
        </is>
      </c>
      <c r="C28" s="0" t="inlineStr">
        <is>
          <t>TANK</t>
        </is>
      </c>
      <c r="D28" s="29">
        <f>'TOTAL STATISTICS'!K28/60</f>
        <v/>
      </c>
      <c r="E28" s="29">
        <f>IFERROR('TOTAL STATISTICS'!D28/'TOTAL STATISTICS'!K28*600,0)</f>
        <v/>
      </c>
      <c r="F28" s="29">
        <f>IFERROR('TOTAL STATISTICS'!E28/'TOTAL STATISTICS'!K28*600,0)</f>
        <v/>
      </c>
      <c r="G28" s="29">
        <f>IFERROR('TOTAL STATISTICS'!F28/'TOTAL STATISTICS'!K28*600,0)</f>
        <v/>
      </c>
      <c r="H28" s="29">
        <f>IFERROR('TOTAL STATISTICS'!G28/'TOTAL STATISTICS'!K28*600,0)</f>
        <v/>
      </c>
      <c r="I28" s="29">
        <f>IFERROR('TOTAL STATISTICS'!H28/'TOTAL STATISTICS'!K28*600,0)</f>
        <v/>
      </c>
      <c r="J28" s="29">
        <f>IFERROR('TOTAL STATISTICS'!I28/'TOTAL STATISTICS'!K28*600,0)</f>
        <v/>
      </c>
    </row>
    <row r="29">
      <c r="A29" s="0" t="inlineStr">
        <is>
          <t>ERA</t>
        </is>
      </c>
      <c r="B29" s="0" t="inlineStr">
        <is>
          <t>D0DO</t>
        </is>
      </c>
      <c r="C29" s="0" t="inlineStr">
        <is>
          <t>DPS</t>
        </is>
      </c>
      <c r="D29" s="29">
        <f>'TOTAL STATISTICS'!K29/60</f>
        <v/>
      </c>
      <c r="E29" s="29">
        <f>IFERROR('TOTAL STATISTICS'!D29/'TOTAL STATISTICS'!K29*600,0)</f>
        <v/>
      </c>
      <c r="F29" s="29">
        <f>IFERROR('TOTAL STATISTICS'!E29/'TOTAL STATISTICS'!K29*600,0)</f>
        <v/>
      </c>
      <c r="G29" s="29">
        <f>IFERROR('TOTAL STATISTICS'!F29/'TOTAL STATISTICS'!K29*600,0)</f>
        <v/>
      </c>
      <c r="H29" s="29">
        <f>IFERROR('TOTAL STATISTICS'!G29/'TOTAL STATISTICS'!K29*600,0)</f>
        <v/>
      </c>
      <c r="I29" s="29">
        <f>IFERROR('TOTAL STATISTICS'!H29/'TOTAL STATISTICS'!K29*600,0)</f>
        <v/>
      </c>
      <c r="J29" s="29">
        <f>IFERROR('TOTAL STATISTICS'!I29/'TOTAL STATISTICS'!K29*600,0)</f>
        <v/>
      </c>
    </row>
    <row r="30">
      <c r="A30" s="0" t="inlineStr">
        <is>
          <t>ERA</t>
        </is>
      </c>
      <c r="B30" s="0" t="inlineStr">
        <is>
          <t>PERR</t>
        </is>
      </c>
      <c r="C30" s="0" t="inlineStr">
        <is>
          <t>DPS</t>
        </is>
      </c>
      <c r="D30" s="29">
        <f>'TOTAL STATISTICS'!K30/60</f>
        <v/>
      </c>
      <c r="E30" s="29">
        <f>IFERROR('TOTAL STATISTICS'!D30/'TOTAL STATISTICS'!K30*600,0)</f>
        <v/>
      </c>
      <c r="F30" s="29">
        <f>IFERROR('TOTAL STATISTICS'!E30/'TOTAL STATISTICS'!K30*600,0)</f>
        <v/>
      </c>
      <c r="G30" s="29">
        <f>IFERROR('TOTAL STATISTICS'!F30/'TOTAL STATISTICS'!K30*600,0)</f>
        <v/>
      </c>
      <c r="H30" s="29">
        <f>IFERROR('TOTAL STATISTICS'!G30/'TOTAL STATISTICS'!K30*600,0)</f>
        <v/>
      </c>
      <c r="I30" s="29">
        <f>IFERROR('TOTAL STATISTICS'!H30/'TOTAL STATISTICS'!K30*600,0)</f>
        <v/>
      </c>
      <c r="J30" s="29">
        <f>IFERROR('TOTAL STATISTICS'!I30/'TOTAL STATISTICS'!K30*600,0)</f>
        <v/>
      </c>
    </row>
    <row r="31">
      <c r="A31" s="0" t="inlineStr">
        <is>
          <t>ERA</t>
        </is>
      </c>
      <c r="B31" s="0" t="inlineStr">
        <is>
          <t>SECRET</t>
        </is>
      </c>
      <c r="C31" s="0" t="inlineStr">
        <is>
          <t>SPT</t>
        </is>
      </c>
      <c r="D31" s="29">
        <f>'TOTAL STATISTICS'!K31/60</f>
        <v/>
      </c>
      <c r="E31" s="29">
        <f>IFERROR('TOTAL STATISTICS'!D31/'TOTAL STATISTICS'!K31*600,0)</f>
        <v/>
      </c>
      <c r="F31" s="29">
        <f>IFERROR('TOTAL STATISTICS'!E31/'TOTAL STATISTICS'!K31*600,0)</f>
        <v/>
      </c>
      <c r="G31" s="29">
        <f>IFERROR('TOTAL STATISTICS'!F31/'TOTAL STATISTICS'!K31*600,0)</f>
        <v/>
      </c>
      <c r="H31" s="29">
        <f>IFERROR('TOTAL STATISTICS'!G31/'TOTAL STATISTICS'!K31*600,0)</f>
        <v/>
      </c>
      <c r="I31" s="29">
        <f>IFERROR('TOTAL STATISTICS'!H31/'TOTAL STATISTICS'!K31*600,0)</f>
        <v/>
      </c>
      <c r="J31" s="29">
        <f>IFERROR('TOTAL STATISTICS'!I31/'TOTAL STATISTICS'!K31*600,0)</f>
        <v/>
      </c>
    </row>
    <row r="32">
      <c r="A32" s="0" t="inlineStr">
        <is>
          <t>ERA</t>
        </is>
      </c>
      <c r="B32" s="0" t="inlineStr">
        <is>
          <t>MCD</t>
        </is>
      </c>
      <c r="C32" s="0" t="inlineStr">
        <is>
          <t>SPT</t>
        </is>
      </c>
      <c r="D32" s="29">
        <f>'TOTAL STATISTICS'!K32/60</f>
        <v/>
      </c>
      <c r="E32" s="29">
        <f>IFERROR('TOTAL STATISTICS'!D32/'TOTAL STATISTICS'!K32*600,0)</f>
        <v/>
      </c>
      <c r="F32" s="29">
        <f>IFERROR('TOTAL STATISTICS'!E32/'TOTAL STATISTICS'!K32*600,0)</f>
        <v/>
      </c>
      <c r="G32" s="29">
        <f>IFERROR('TOTAL STATISTICS'!F32/'TOTAL STATISTICS'!K32*600,0)</f>
        <v/>
      </c>
      <c r="H32" s="29">
        <f>IFERROR('TOTAL STATISTICS'!G32/'TOTAL STATISTICS'!K32*600,0)</f>
        <v/>
      </c>
      <c r="I32" s="29">
        <f>IFERROR('TOTAL STATISTICS'!H32/'TOTAL STATISTICS'!K32*600,0)</f>
        <v/>
      </c>
      <c r="J32" s="29">
        <f>IFERROR('TOTAL STATISTICS'!I32/'TOTAL STATISTICS'!K32*600,0)</f>
        <v/>
      </c>
    </row>
    <row r="33">
      <c r="A33" s="0" t="inlineStr">
        <is>
          <t>OSG</t>
        </is>
      </c>
      <c r="B33" s="0" t="inlineStr">
        <is>
          <t>ATTACK</t>
        </is>
      </c>
      <c r="C33" s="0" t="inlineStr">
        <is>
          <t>TANK</t>
        </is>
      </c>
      <c r="D33" s="29">
        <f>'TOTAL STATISTICS'!K33/60</f>
        <v/>
      </c>
      <c r="E33" s="29">
        <f>IFERROR('TOTAL STATISTICS'!D33/'TOTAL STATISTICS'!K33*600,0)</f>
        <v/>
      </c>
      <c r="F33" s="29">
        <f>IFERROR('TOTAL STATISTICS'!E33/'TOTAL STATISTICS'!K33*600,0)</f>
        <v/>
      </c>
      <c r="G33" s="29">
        <f>IFERROR('TOTAL STATISTICS'!F33/'TOTAL STATISTICS'!K33*600,0)</f>
        <v/>
      </c>
      <c r="H33" s="29">
        <f>IFERROR('TOTAL STATISTICS'!G33/'TOTAL STATISTICS'!K33*600,0)</f>
        <v/>
      </c>
      <c r="I33" s="29">
        <f>IFERROR('TOTAL STATISTICS'!H33/'TOTAL STATISTICS'!K33*600,0)</f>
        <v/>
      </c>
      <c r="J33" s="29">
        <f>IFERROR('TOTAL STATISTICS'!I33/'TOTAL STATISTICS'!K33*600,0)</f>
        <v/>
      </c>
    </row>
    <row r="34">
      <c r="A34" s="0" t="inlineStr">
        <is>
          <t>OSG</t>
        </is>
      </c>
      <c r="B34" s="0" t="inlineStr">
        <is>
          <t>SP1NT</t>
        </is>
      </c>
      <c r="C34" s="0" t="inlineStr">
        <is>
          <t>DPS</t>
        </is>
      </c>
      <c r="D34" s="29">
        <f>'TOTAL STATISTICS'!K34/60</f>
        <v/>
      </c>
      <c r="E34" s="29">
        <f>IFERROR('TOTAL STATISTICS'!D34/'TOTAL STATISTICS'!K34*600,0)</f>
        <v/>
      </c>
      <c r="F34" s="29">
        <f>IFERROR('TOTAL STATISTICS'!E34/'TOTAL STATISTICS'!K34*600,0)</f>
        <v/>
      </c>
      <c r="G34" s="29">
        <f>IFERROR('TOTAL STATISTICS'!F34/'TOTAL STATISTICS'!K34*600,0)</f>
        <v/>
      </c>
      <c r="H34" s="29">
        <f>IFERROR('TOTAL STATISTICS'!G34/'TOTAL STATISTICS'!K34*600,0)</f>
        <v/>
      </c>
      <c r="I34" s="29">
        <f>IFERROR('TOTAL STATISTICS'!H34/'TOTAL STATISTICS'!K34*600,0)</f>
        <v/>
      </c>
      <c r="J34" s="29">
        <f>IFERROR('TOTAL STATISTICS'!I34/'TOTAL STATISTICS'!K34*600,0)</f>
        <v/>
      </c>
    </row>
    <row r="35">
      <c r="A35" s="0" t="inlineStr">
        <is>
          <t>OSG</t>
        </is>
      </c>
      <c r="B35" s="0" t="inlineStr">
        <is>
          <t>KILO</t>
        </is>
      </c>
      <c r="C35" s="0" t="inlineStr">
        <is>
          <t>DPS</t>
        </is>
      </c>
      <c r="D35" s="29">
        <f>'TOTAL STATISTICS'!K35/60</f>
        <v/>
      </c>
      <c r="E35" s="29">
        <f>IFERROR('TOTAL STATISTICS'!D35/'TOTAL STATISTICS'!K35*600,0)</f>
        <v/>
      </c>
      <c r="F35" s="29">
        <f>IFERROR('TOTAL STATISTICS'!E35/'TOTAL STATISTICS'!K35*600,0)</f>
        <v/>
      </c>
      <c r="G35" s="29">
        <f>IFERROR('TOTAL STATISTICS'!F35/'TOTAL STATISTICS'!K35*600,0)</f>
        <v/>
      </c>
      <c r="H35" s="29">
        <f>IFERROR('TOTAL STATISTICS'!G35/'TOTAL STATISTICS'!K35*600,0)</f>
        <v/>
      </c>
      <c r="I35" s="29">
        <f>IFERROR('TOTAL STATISTICS'!H35/'TOTAL STATISTICS'!K35*600,0)</f>
        <v/>
      </c>
      <c r="J35" s="29">
        <f>IFERROR('TOTAL STATISTICS'!I35/'TOTAL STATISTICS'!K35*600,0)</f>
        <v/>
      </c>
    </row>
    <row r="36">
      <c r="A36" s="0" t="inlineStr">
        <is>
          <t>OSG</t>
        </is>
      </c>
      <c r="B36" s="0" t="inlineStr">
        <is>
          <t>HAKSAL</t>
        </is>
      </c>
      <c r="C36" s="0" t="inlineStr">
        <is>
          <t>DPS</t>
        </is>
      </c>
      <c r="D36" s="29">
        <f>'TOTAL STATISTICS'!K36/60</f>
        <v/>
      </c>
      <c r="E36" s="29">
        <f>IFERROR('TOTAL STATISTICS'!D36/'TOTAL STATISTICS'!K36*600,0)</f>
        <v/>
      </c>
      <c r="F36" s="29">
        <f>IFERROR('TOTAL STATISTICS'!E36/'TOTAL STATISTICS'!K36*600,0)</f>
        <v/>
      </c>
      <c r="G36" s="29">
        <f>IFERROR('TOTAL STATISTICS'!F36/'TOTAL STATISTICS'!K36*600,0)</f>
        <v/>
      </c>
      <c r="H36" s="29">
        <f>IFERROR('TOTAL STATISTICS'!G36/'TOTAL STATISTICS'!K36*600,0)</f>
        <v/>
      </c>
      <c r="I36" s="29">
        <f>IFERROR('TOTAL STATISTICS'!H36/'TOTAL STATISTICS'!K36*600,0)</f>
        <v/>
      </c>
      <c r="J36" s="29">
        <f>IFERROR('TOTAL STATISTICS'!I36/'TOTAL STATISTICS'!K36*600,0)</f>
        <v/>
      </c>
    </row>
    <row r="37">
      <c r="A37" s="0" t="inlineStr">
        <is>
          <t>OSG</t>
        </is>
      </c>
      <c r="B37" s="0" t="inlineStr">
        <is>
          <t>OPENER</t>
        </is>
      </c>
      <c r="C37" s="0" t="inlineStr">
        <is>
          <t>SPT</t>
        </is>
      </c>
      <c r="D37" s="29">
        <f>'TOTAL STATISTICS'!K37/60</f>
        <v/>
      </c>
      <c r="E37" s="29">
        <f>IFERROR('TOTAL STATISTICS'!D37/'TOTAL STATISTICS'!K37*600,0)</f>
        <v/>
      </c>
      <c r="F37" s="29">
        <f>IFERROR('TOTAL STATISTICS'!E37/'TOTAL STATISTICS'!K37*600,0)</f>
        <v/>
      </c>
      <c r="G37" s="29">
        <f>IFERROR('TOTAL STATISTICS'!F37/'TOTAL STATISTICS'!K37*600,0)</f>
        <v/>
      </c>
      <c r="H37" s="29">
        <f>IFERROR('TOTAL STATISTICS'!G37/'TOTAL STATISTICS'!K37*600,0)</f>
        <v/>
      </c>
      <c r="I37" s="29">
        <f>IFERROR('TOTAL STATISTICS'!H37/'TOTAL STATISTICS'!K37*600,0)</f>
        <v/>
      </c>
      <c r="J37" s="29">
        <f>IFERROR('TOTAL STATISTICS'!I37/'TOTAL STATISTICS'!K37*600,0)</f>
        <v/>
      </c>
    </row>
    <row r="38">
      <c r="A38" s="0" t="inlineStr">
        <is>
          <t>OSG</t>
        </is>
      </c>
      <c r="B38" s="0" t="inlineStr">
        <is>
          <t>IRONY</t>
        </is>
      </c>
      <c r="C38" s="0" t="inlineStr">
        <is>
          <t>SPT</t>
        </is>
      </c>
      <c r="D38" s="29">
        <f>'TOTAL STATISTICS'!K38/60</f>
        <v/>
      </c>
      <c r="E38" s="29">
        <f>IFERROR('TOTAL STATISTICS'!D38/'TOTAL STATISTICS'!K38*600,0)</f>
        <v/>
      </c>
      <c r="F38" s="29">
        <f>IFERROR('TOTAL STATISTICS'!E38/'TOTAL STATISTICS'!K38*600,0)</f>
        <v/>
      </c>
      <c r="G38" s="29">
        <f>IFERROR('TOTAL STATISTICS'!F38/'TOTAL STATISTICS'!K38*600,0)</f>
        <v/>
      </c>
      <c r="H38" s="29">
        <f>IFERROR('TOTAL STATISTICS'!G38/'TOTAL STATISTICS'!K38*600,0)</f>
        <v/>
      </c>
      <c r="I38" s="29">
        <f>IFERROR('TOTAL STATISTICS'!H38/'TOTAL STATISTICS'!K38*600,0)</f>
        <v/>
      </c>
      <c r="J38" s="29">
        <f>IFERROR('TOTAL STATISTICS'!I38/'TOTAL STATISTICS'!K38*600,0)</f>
        <v/>
      </c>
    </row>
    <row r="39">
      <c r="A39" s="0" t="inlineStr">
        <is>
          <t>ZAN</t>
        </is>
      </c>
      <c r="B39" s="0" t="inlineStr">
        <is>
          <t>HEISER</t>
        </is>
      </c>
      <c r="C39" s="0" t="inlineStr">
        <is>
          <t>TANK</t>
        </is>
      </c>
      <c r="D39" s="29">
        <f>'TOTAL STATISTICS'!K39/60</f>
        <v/>
      </c>
      <c r="E39" s="29">
        <f>IFERROR('TOTAL STATISTICS'!D39/'TOTAL STATISTICS'!K39*600,0)</f>
        <v/>
      </c>
      <c r="F39" s="29">
        <f>IFERROR('TOTAL STATISTICS'!E39/'TOTAL STATISTICS'!K39*600,0)</f>
        <v/>
      </c>
      <c r="G39" s="29">
        <f>IFERROR('TOTAL STATISTICS'!F39/'TOTAL STATISTICS'!K39*600,0)</f>
        <v/>
      </c>
      <c r="H39" s="29">
        <f>IFERROR('TOTAL STATISTICS'!G39/'TOTAL STATISTICS'!K39*600,0)</f>
        <v/>
      </c>
      <c r="I39" s="29">
        <f>IFERROR('TOTAL STATISTICS'!H39/'TOTAL STATISTICS'!K39*600,0)</f>
        <v/>
      </c>
      <c r="J39" s="29">
        <f>IFERROR('TOTAL STATISTICS'!I39/'TOTAL STATISTICS'!K39*600,0)</f>
        <v/>
      </c>
    </row>
    <row r="40">
      <c r="A40" s="0" t="inlineStr">
        <is>
          <t>ZAN</t>
        </is>
      </c>
      <c r="B40" s="0" t="inlineStr">
        <is>
          <t>A1IEN</t>
        </is>
      </c>
      <c r="C40" s="0" t="inlineStr">
        <is>
          <t>DPS</t>
        </is>
      </c>
      <c r="D40" s="29">
        <f>'TOTAL STATISTICS'!K40/60</f>
        <v/>
      </c>
      <c r="E40" s="29">
        <f>IFERROR('TOTAL STATISTICS'!D40/'TOTAL STATISTICS'!K40*600,0)</f>
        <v/>
      </c>
      <c r="F40" s="29">
        <f>IFERROR('TOTAL STATISTICS'!E40/'TOTAL STATISTICS'!K40*600,0)</f>
        <v/>
      </c>
      <c r="G40" s="29">
        <f>IFERROR('TOTAL STATISTICS'!F40/'TOTAL STATISTICS'!K40*600,0)</f>
        <v/>
      </c>
      <c r="H40" s="29">
        <f>IFERROR('TOTAL STATISTICS'!G40/'TOTAL STATISTICS'!K40*600,0)</f>
        <v/>
      </c>
      <c r="I40" s="29">
        <f>IFERROR('TOTAL STATISTICS'!H40/'TOTAL STATISTICS'!K40*600,0)</f>
        <v/>
      </c>
      <c r="J40" s="29">
        <f>IFERROR('TOTAL STATISTICS'!I40/'TOTAL STATISTICS'!K40*600,0)</f>
        <v/>
      </c>
    </row>
    <row r="41">
      <c r="A41" s="0" t="inlineStr">
        <is>
          <t>ZAN</t>
        </is>
      </c>
      <c r="B41" s="0" t="inlineStr">
        <is>
          <t>PROBE</t>
        </is>
      </c>
      <c r="C41" s="0" t="inlineStr">
        <is>
          <t>DPS</t>
        </is>
      </c>
      <c r="D41" s="29">
        <f>'TOTAL STATISTICS'!K41/60</f>
        <v/>
      </c>
      <c r="E41" s="29">
        <f>IFERROR('TOTAL STATISTICS'!D41/'TOTAL STATISTICS'!K41*600,0)</f>
        <v/>
      </c>
      <c r="F41" s="29">
        <f>IFERROR('TOTAL STATISTICS'!E41/'TOTAL STATISTICS'!K41*600,0)</f>
        <v/>
      </c>
      <c r="G41" s="29">
        <f>IFERROR('TOTAL STATISTICS'!F41/'TOTAL STATISTICS'!K41*600,0)</f>
        <v/>
      </c>
      <c r="H41" s="29">
        <f>IFERROR('TOTAL STATISTICS'!G41/'TOTAL STATISTICS'!K41*600,0)</f>
        <v/>
      </c>
      <c r="I41" s="29">
        <f>IFERROR('TOTAL STATISTICS'!H41/'TOTAL STATISTICS'!K41*600,0)</f>
        <v/>
      </c>
      <c r="J41" s="29">
        <f>IFERROR('TOTAL STATISTICS'!I41/'TOTAL STATISTICS'!K41*600,0)</f>
        <v/>
      </c>
    </row>
    <row r="42">
      <c r="A42" s="0" t="inlineStr">
        <is>
          <t>ZAN</t>
        </is>
      </c>
      <c r="B42" s="0" t="inlineStr">
        <is>
          <t>BECKY</t>
        </is>
      </c>
      <c r="C42" s="0" t="inlineStr">
        <is>
          <t>DPS</t>
        </is>
      </c>
      <c r="D42" s="29">
        <f>'TOTAL STATISTICS'!K42/60</f>
        <v/>
      </c>
      <c r="E42" s="29">
        <f>IFERROR('TOTAL STATISTICS'!D42/'TOTAL STATISTICS'!K42*600,0)</f>
        <v/>
      </c>
      <c r="F42" s="29">
        <f>IFERROR('TOTAL STATISTICS'!E42/'TOTAL STATISTICS'!K42*600,0)</f>
        <v/>
      </c>
      <c r="G42" s="29">
        <f>IFERROR('TOTAL STATISTICS'!F42/'TOTAL STATISTICS'!K42*600,0)</f>
        <v/>
      </c>
      <c r="H42" s="29">
        <f>IFERROR('TOTAL STATISTICS'!G42/'TOTAL STATISTICS'!K42*600,0)</f>
        <v/>
      </c>
      <c r="I42" s="29">
        <f>IFERROR('TOTAL STATISTICS'!H42/'TOTAL STATISTICS'!K42*600,0)</f>
        <v/>
      </c>
      <c r="J42" s="29">
        <f>IFERROR('TOTAL STATISTICS'!I42/'TOTAL STATISTICS'!K42*600,0)</f>
        <v/>
      </c>
    </row>
    <row r="43">
      <c r="A43" s="0" t="inlineStr">
        <is>
          <t>ZAN</t>
        </is>
      </c>
      <c r="B43" s="0" t="inlineStr">
        <is>
          <t>HAVIRA</t>
        </is>
      </c>
      <c r="C43" s="0" t="inlineStr">
        <is>
          <t>SPT</t>
        </is>
      </c>
      <c r="D43" s="29">
        <f>'TOTAL STATISTICS'!K43/60</f>
        <v/>
      </c>
      <c r="E43" s="29">
        <f>IFERROR('TOTAL STATISTICS'!D43/'TOTAL STATISTICS'!K43*600,0)</f>
        <v/>
      </c>
      <c r="F43" s="29">
        <f>IFERROR('TOTAL STATISTICS'!E43/'TOTAL STATISTICS'!K43*600,0)</f>
        <v/>
      </c>
      <c r="G43" s="29">
        <f>IFERROR('TOTAL STATISTICS'!F43/'TOTAL STATISTICS'!K43*600,0)</f>
        <v/>
      </c>
      <c r="H43" s="29">
        <f>IFERROR('TOTAL STATISTICS'!G43/'TOTAL STATISTICS'!K43*600,0)</f>
        <v/>
      </c>
      <c r="I43" s="29">
        <f>IFERROR('TOTAL STATISTICS'!H43/'TOTAL STATISTICS'!K43*600,0)</f>
        <v/>
      </c>
      <c r="J43" s="29">
        <f>IFERROR('TOTAL STATISTICS'!I43/'TOTAL STATISTICS'!K43*600,0)</f>
        <v/>
      </c>
    </row>
    <row r="44">
      <c r="A44" s="0" t="inlineStr">
        <is>
          <t>ZAN</t>
        </is>
      </c>
      <c r="B44" s="0" t="inlineStr">
        <is>
          <t>YANGIUN</t>
        </is>
      </c>
      <c r="C44" s="0" t="inlineStr">
        <is>
          <t>SPT</t>
        </is>
      </c>
      <c r="D44" s="29">
        <f>'TOTAL STATISTICS'!K44/60</f>
        <v/>
      </c>
      <c r="E44" s="29">
        <f>IFERROR('TOTAL STATISTICS'!D44/'TOTAL STATISTICS'!K44*600,0)</f>
        <v/>
      </c>
      <c r="F44" s="29">
        <f>IFERROR('TOTAL STATISTICS'!E44/'TOTAL STATISTICS'!K44*600,0)</f>
        <v/>
      </c>
      <c r="G44" s="29">
        <f>IFERROR('TOTAL STATISTICS'!F44/'TOTAL STATISTICS'!K44*600,0)</f>
        <v/>
      </c>
      <c r="H44" s="29">
        <f>IFERROR('TOTAL STATISTICS'!G44/'TOTAL STATISTICS'!K44*600,0)</f>
        <v/>
      </c>
      <c r="I44" s="29">
        <f>IFERROR('TOTAL STATISTICS'!H44/'TOTAL STATISTICS'!K44*600,0)</f>
        <v/>
      </c>
      <c r="J44" s="29">
        <f>IFERROR('TOTAL STATISTICS'!I44/'TOTAL STATISTICS'!K44*600,0)</f>
        <v/>
      </c>
    </row>
    <row r="45">
      <c r="A45" s="0" t="inlineStr">
        <is>
          <t>ZAN</t>
        </is>
      </c>
      <c r="B45" s="0" t="inlineStr">
        <is>
          <t>KIVIS</t>
        </is>
      </c>
      <c r="C45" s="0" t="inlineStr">
        <is>
          <t>SPT</t>
        </is>
      </c>
      <c r="D45" s="29">
        <f>'TOTAL STATISTICS'!K45/60</f>
        <v/>
      </c>
      <c r="E45" s="29">
        <f>IFERROR('TOTAL STATISTICS'!D45/'TOTAL STATISTICS'!K45*600,0)</f>
        <v/>
      </c>
      <c r="F45" s="29">
        <f>IFERROR('TOTAL STATISTICS'!E45/'TOTAL STATISTICS'!K45*600,0)</f>
        <v/>
      </c>
      <c r="G45" s="29">
        <f>IFERROR('TOTAL STATISTICS'!F45/'TOTAL STATISTICS'!K45*600,0)</f>
        <v/>
      </c>
      <c r="H45" s="29">
        <f>IFERROR('TOTAL STATISTICS'!G45/'TOTAL STATISTICS'!K45*600,0)</f>
        <v/>
      </c>
      <c r="I45" s="29">
        <f>IFERROR('TOTAL STATISTICS'!H45/'TOTAL STATISTICS'!K45*600,0)</f>
        <v/>
      </c>
      <c r="J45" s="29">
        <f>IFERROR('TOTAL STATISTICS'!I45/'TOTAL STATISTICS'!K45*600,0)</f>
        <v/>
      </c>
    </row>
    <row r="46">
      <c r="A46" s="0" t="inlineStr">
        <is>
          <t>CB</t>
        </is>
      </c>
      <c r="B46" s="0" t="inlineStr">
        <is>
          <t>FARMER</t>
        </is>
      </c>
      <c r="C46" s="0" t="inlineStr">
        <is>
          <t>TANK</t>
        </is>
      </c>
      <c r="D46" s="29">
        <f>'TOTAL STATISTICS'!K46/60</f>
        <v/>
      </c>
      <c r="E46" s="29">
        <f>IFERROR('TOTAL STATISTICS'!D46/'TOTAL STATISTICS'!K46*600,0)</f>
        <v/>
      </c>
      <c r="F46" s="29">
        <f>IFERROR('TOTAL STATISTICS'!E46/'TOTAL STATISTICS'!K46*600,0)</f>
        <v/>
      </c>
      <c r="G46" s="29">
        <f>IFERROR('TOTAL STATISTICS'!F46/'TOTAL STATISTICS'!K46*600,0)</f>
        <v/>
      </c>
      <c r="H46" s="29">
        <f>IFERROR('TOTAL STATISTICS'!G46/'TOTAL STATISTICS'!K46*600,0)</f>
        <v/>
      </c>
      <c r="I46" s="29">
        <f>IFERROR('TOTAL STATISTICS'!H46/'TOTAL STATISTICS'!K46*600,0)</f>
        <v/>
      </c>
      <c r="J46" s="29">
        <f>IFERROR('TOTAL STATISTICS'!I46/'TOTAL STATISTICS'!K46*600,0)</f>
        <v/>
      </c>
    </row>
    <row r="47">
      <c r="A47" s="0" t="inlineStr">
        <is>
          <t>CB</t>
        </is>
      </c>
      <c r="B47" s="0" t="inlineStr">
        <is>
          <t>SEUNGAN</t>
        </is>
      </c>
      <c r="C47" s="0" t="inlineStr">
        <is>
          <t>TANK</t>
        </is>
      </c>
      <c r="D47" s="29">
        <f>'TOTAL STATISTICS'!K47/60</f>
        <v/>
      </c>
      <c r="E47" s="29">
        <f>IFERROR('TOTAL STATISTICS'!D47/'TOTAL STATISTICS'!K47*600,0)</f>
        <v/>
      </c>
      <c r="F47" s="29">
        <f>IFERROR('TOTAL STATISTICS'!E47/'TOTAL STATISTICS'!K47*600,0)</f>
        <v/>
      </c>
      <c r="G47" s="29">
        <f>IFERROR('TOTAL STATISTICS'!F47/'TOTAL STATISTICS'!K47*600,0)</f>
        <v/>
      </c>
      <c r="H47" s="29">
        <f>IFERROR('TOTAL STATISTICS'!G47/'TOTAL STATISTICS'!K47*600,0)</f>
        <v/>
      </c>
      <c r="I47" s="29">
        <f>IFERROR('TOTAL STATISTICS'!H47/'TOTAL STATISTICS'!K47*600,0)</f>
        <v/>
      </c>
      <c r="J47" s="29">
        <f>IFERROR('TOTAL STATISTICS'!I47/'TOTAL STATISTICS'!K47*600,0)</f>
        <v/>
      </c>
    </row>
    <row r="48">
      <c r="A48" s="0" t="inlineStr">
        <is>
          <t>CB</t>
        </is>
      </c>
      <c r="B48" s="0" t="inlineStr">
        <is>
          <t>ARGON</t>
        </is>
      </c>
      <c r="C48" s="0" t="inlineStr">
        <is>
          <t>DPS</t>
        </is>
      </c>
      <c r="D48" s="29">
        <f>'TOTAL STATISTICS'!K48/60</f>
        <v/>
      </c>
      <c r="E48" s="29">
        <f>IFERROR('TOTAL STATISTICS'!D48/'TOTAL STATISTICS'!K48*600,0)</f>
        <v/>
      </c>
      <c r="F48" s="29">
        <f>IFERROR('TOTAL STATISTICS'!E48/'TOTAL STATISTICS'!K48*600,0)</f>
        <v/>
      </c>
      <c r="G48" s="29">
        <f>IFERROR('TOTAL STATISTICS'!F48/'TOTAL STATISTICS'!K48*600,0)</f>
        <v/>
      </c>
      <c r="H48" s="29">
        <f>IFERROR('TOTAL STATISTICS'!G48/'TOTAL STATISTICS'!K48*600,0)</f>
        <v/>
      </c>
      <c r="I48" s="29">
        <f>IFERROR('TOTAL STATISTICS'!H48/'TOTAL STATISTICS'!K48*600,0)</f>
        <v/>
      </c>
      <c r="J48" s="29">
        <f>IFERROR('TOTAL STATISTICS'!I48/'TOTAL STATISTICS'!K48*600,0)</f>
        <v/>
      </c>
    </row>
    <row r="49">
      <c r="A49" s="0" t="inlineStr">
        <is>
          <t>CB</t>
        </is>
      </c>
      <c r="B49" s="0" t="inlineStr">
        <is>
          <t>ZESIN</t>
        </is>
      </c>
      <c r="C49" s="0" t="inlineStr">
        <is>
          <t>DPS</t>
        </is>
      </c>
      <c r="D49" s="29">
        <f>'TOTAL STATISTICS'!K49/60</f>
        <v/>
      </c>
      <c r="E49" s="29">
        <f>IFERROR('TOTAL STATISTICS'!D49/'TOTAL STATISTICS'!K49*600,0)</f>
        <v/>
      </c>
      <c r="F49" s="29">
        <f>IFERROR('TOTAL STATISTICS'!E49/'TOTAL STATISTICS'!K49*600,0)</f>
        <v/>
      </c>
      <c r="G49" s="29">
        <f>IFERROR('TOTAL STATISTICS'!F49/'TOTAL STATISTICS'!K49*600,0)</f>
        <v/>
      </c>
      <c r="H49" s="29">
        <f>IFERROR('TOTAL STATISTICS'!G49/'TOTAL STATISTICS'!K49*600,0)</f>
        <v/>
      </c>
      <c r="I49" s="29">
        <f>IFERROR('TOTAL STATISTICS'!H49/'TOTAL STATISTICS'!K49*600,0)</f>
        <v/>
      </c>
      <c r="J49" s="29">
        <f>IFERROR('TOTAL STATISTICS'!I49/'TOTAL STATISTICS'!K49*600,0)</f>
        <v/>
      </c>
    </row>
    <row r="50">
      <c r="A50" s="0" t="inlineStr">
        <is>
          <t>CB</t>
        </is>
      </c>
      <c r="B50" s="0" t="inlineStr">
        <is>
          <t>JAMELGONG</t>
        </is>
      </c>
      <c r="C50" s="0" t="inlineStr">
        <is>
          <t>DPS</t>
        </is>
      </c>
      <c r="D50" s="29">
        <f>'TOTAL STATISTICS'!K50/60</f>
        <v/>
      </c>
      <c r="E50" s="29">
        <f>IFERROR('TOTAL STATISTICS'!D50/'TOTAL STATISTICS'!K50*600,0)</f>
        <v/>
      </c>
      <c r="F50" s="29">
        <f>IFERROR('TOTAL STATISTICS'!E50/'TOTAL STATISTICS'!K50*600,0)</f>
        <v/>
      </c>
      <c r="G50" s="29">
        <f>IFERROR('TOTAL STATISTICS'!F50/'TOTAL STATISTICS'!K50*600,0)</f>
        <v/>
      </c>
      <c r="H50" s="29">
        <f>IFERROR('TOTAL STATISTICS'!G50/'TOTAL STATISTICS'!K50*600,0)</f>
        <v/>
      </c>
      <c r="I50" s="29">
        <f>IFERROR('TOTAL STATISTICS'!H50/'TOTAL STATISTICS'!K50*600,0)</f>
        <v/>
      </c>
      <c r="J50" s="29">
        <f>IFERROR('TOTAL STATISTICS'!I50/'TOTAL STATISTICS'!K50*600,0)</f>
        <v/>
      </c>
    </row>
    <row r="51">
      <c r="A51" s="0" t="inlineStr">
        <is>
          <t>CB</t>
        </is>
      </c>
      <c r="B51" s="0" t="inlineStr">
        <is>
          <t>WOOCHAN</t>
        </is>
      </c>
      <c r="C51" s="0" t="inlineStr">
        <is>
          <t>SPT</t>
        </is>
      </c>
      <c r="D51" s="29">
        <f>'TOTAL STATISTICS'!K51/60</f>
        <v/>
      </c>
      <c r="E51" s="29">
        <f>IFERROR('TOTAL STATISTICS'!D51/'TOTAL STATISTICS'!K51*600,0)</f>
        <v/>
      </c>
      <c r="F51" s="29">
        <f>IFERROR('TOTAL STATISTICS'!E51/'TOTAL STATISTICS'!K51*600,0)</f>
        <v/>
      </c>
      <c r="G51" s="29">
        <f>IFERROR('TOTAL STATISTICS'!F51/'TOTAL STATISTICS'!K51*600,0)</f>
        <v/>
      </c>
      <c r="H51" s="29">
        <f>IFERROR('TOTAL STATISTICS'!G51/'TOTAL STATISTICS'!K51*600,0)</f>
        <v/>
      </c>
      <c r="I51" s="29">
        <f>IFERROR('TOTAL STATISTICS'!H51/'TOTAL STATISTICS'!K51*600,0)</f>
        <v/>
      </c>
      <c r="J51" s="29">
        <f>IFERROR('TOTAL STATISTICS'!I51/'TOTAL STATISTICS'!K51*600,0)</f>
        <v/>
      </c>
    </row>
    <row r="52">
      <c r="A52" s="0" t="inlineStr">
        <is>
          <t>CB</t>
        </is>
      </c>
      <c r="B52" s="0" t="inlineStr">
        <is>
          <t>FAITH</t>
        </is>
      </c>
      <c r="C52" s="0" t="inlineStr">
        <is>
          <t>SPT</t>
        </is>
      </c>
      <c r="D52" s="29">
        <f>'TOTAL STATISTICS'!K52/60</f>
        <v/>
      </c>
      <c r="E52" s="29">
        <f>IFERROR('TOTAL STATISTICS'!D52/'TOTAL STATISTICS'!K52*600,0)</f>
        <v/>
      </c>
      <c r="F52" s="29">
        <f>IFERROR('TOTAL STATISTICS'!E52/'TOTAL STATISTICS'!K52*600,0)</f>
        <v/>
      </c>
      <c r="G52" s="29">
        <f>IFERROR('TOTAL STATISTICS'!F52/'TOTAL STATISTICS'!K52*600,0)</f>
        <v/>
      </c>
      <c r="H52" s="29">
        <f>IFERROR('TOTAL STATISTICS'!G52/'TOTAL STATISTICS'!K52*600,0)</f>
        <v/>
      </c>
      <c r="I52" s="29">
        <f>IFERROR('TOTAL STATISTICS'!H52/'TOTAL STATISTICS'!K52*600,0)</f>
        <v/>
      </c>
      <c r="J52" s="29">
        <f>IFERROR('TOTAL STATISTICS'!I52/'TOTAL STATISTICS'!K52*600,0)</f>
        <v/>
      </c>
    </row>
    <row r="53">
      <c r="A53" s="0" t="inlineStr">
        <is>
          <t>PF</t>
        </is>
      </c>
      <c r="B53" s="0" t="inlineStr">
        <is>
          <t>FEARFUL</t>
        </is>
      </c>
      <c r="C53" s="0" t="inlineStr">
        <is>
          <t>TANK</t>
        </is>
      </c>
      <c r="D53" s="29">
        <f>'TOTAL STATISTICS'!K53/60</f>
        <v/>
      </c>
      <c r="E53" s="29">
        <f>IFERROR('TOTAL STATISTICS'!D53/'TOTAL STATISTICS'!K53*600,0)</f>
        <v/>
      </c>
      <c r="F53" s="29">
        <f>IFERROR('TOTAL STATISTICS'!E53/'TOTAL STATISTICS'!K53*600,0)</f>
        <v/>
      </c>
      <c r="G53" s="29">
        <f>IFERROR('TOTAL STATISTICS'!F53/'TOTAL STATISTICS'!K53*600,0)</f>
        <v/>
      </c>
      <c r="H53" s="29">
        <f>IFERROR('TOTAL STATISTICS'!G53/'TOTAL STATISTICS'!K53*600,0)</f>
        <v/>
      </c>
      <c r="I53" s="29">
        <f>IFERROR('TOTAL STATISTICS'!H53/'TOTAL STATISTICS'!K53*600,0)</f>
        <v/>
      </c>
      <c r="J53" s="29">
        <f>IFERROR('TOTAL STATISTICS'!I53/'TOTAL STATISTICS'!K53*600,0)</f>
        <v/>
      </c>
    </row>
    <row r="54">
      <c r="A54" s="0" t="inlineStr">
        <is>
          <t>PF</t>
        </is>
      </c>
      <c r="B54" s="0" t="inlineStr">
        <is>
          <t>GUR3UM</t>
        </is>
      </c>
      <c r="C54" s="0" t="inlineStr">
        <is>
          <t>TANK</t>
        </is>
      </c>
      <c r="D54" s="29">
        <f>'TOTAL STATISTICS'!K54/60</f>
        <v/>
      </c>
      <c r="E54" s="29">
        <f>IFERROR('TOTAL STATISTICS'!D54/'TOTAL STATISTICS'!K54*600,0)</f>
        <v/>
      </c>
      <c r="F54" s="29">
        <f>IFERROR('TOTAL STATISTICS'!E54/'TOTAL STATISTICS'!K54*600,0)</f>
        <v/>
      </c>
      <c r="G54" s="29">
        <f>IFERROR('TOTAL STATISTICS'!F54/'TOTAL STATISTICS'!K54*600,0)</f>
        <v/>
      </c>
      <c r="H54" s="29">
        <f>IFERROR('TOTAL STATISTICS'!G54/'TOTAL STATISTICS'!K54*600,0)</f>
        <v/>
      </c>
      <c r="I54" s="29">
        <f>IFERROR('TOTAL STATISTICS'!H54/'TOTAL STATISTICS'!K54*600,0)</f>
        <v/>
      </c>
      <c r="J54" s="29">
        <f>IFERROR('TOTAL STATISTICS'!I54/'TOTAL STATISTICS'!K54*600,0)</f>
        <v/>
      </c>
    </row>
    <row r="55">
      <c r="A55" s="0" t="inlineStr">
        <is>
          <t>PF</t>
        </is>
      </c>
      <c r="B55" s="0" t="inlineStr">
        <is>
          <t>M1NUT2</t>
        </is>
      </c>
      <c r="C55" s="0" t="inlineStr">
        <is>
          <t>DPS</t>
        </is>
      </c>
      <c r="D55" s="29">
        <f>'TOTAL STATISTICS'!K55/60</f>
        <v/>
      </c>
      <c r="E55" s="29">
        <f>IFERROR('TOTAL STATISTICS'!D55/'TOTAL STATISTICS'!K55*600,0)</f>
        <v/>
      </c>
      <c r="F55" s="29">
        <f>IFERROR('TOTAL STATISTICS'!E55/'TOTAL STATISTICS'!K55*600,0)</f>
        <v/>
      </c>
      <c r="G55" s="29">
        <f>IFERROR('TOTAL STATISTICS'!F55/'TOTAL STATISTICS'!K55*600,0)</f>
        <v/>
      </c>
      <c r="H55" s="29">
        <f>IFERROR('TOTAL STATISTICS'!G55/'TOTAL STATISTICS'!K55*600,0)</f>
        <v/>
      </c>
      <c r="I55" s="29">
        <f>IFERROR('TOTAL STATISTICS'!H55/'TOTAL STATISTICS'!K55*600,0)</f>
        <v/>
      </c>
      <c r="J55" s="29">
        <f>IFERROR('TOTAL STATISTICS'!I55/'TOTAL STATISTICS'!K55*600,0)</f>
        <v/>
      </c>
    </row>
    <row r="56">
      <c r="A56" s="0" t="inlineStr">
        <is>
          <t>PF</t>
        </is>
      </c>
      <c r="B56" s="0" t="inlineStr">
        <is>
          <t>D4RT</t>
        </is>
      </c>
      <c r="C56" s="0" t="inlineStr">
        <is>
          <t>DPS</t>
        </is>
      </c>
      <c r="D56" s="29">
        <f>'TOTAL STATISTICS'!K56/60</f>
        <v/>
      </c>
      <c r="E56" s="29">
        <f>IFERROR('TOTAL STATISTICS'!D56/'TOTAL STATISTICS'!K56*600,0)</f>
        <v/>
      </c>
      <c r="F56" s="29">
        <f>IFERROR('TOTAL STATISTICS'!E56/'TOTAL STATISTICS'!K56*600,0)</f>
        <v/>
      </c>
      <c r="G56" s="29">
        <f>IFERROR('TOTAL STATISTICS'!F56/'TOTAL STATISTICS'!K56*600,0)</f>
        <v/>
      </c>
      <c r="H56" s="29">
        <f>IFERROR('TOTAL STATISTICS'!G56/'TOTAL STATISTICS'!K56*600,0)</f>
        <v/>
      </c>
      <c r="I56" s="29">
        <f>IFERROR('TOTAL STATISTICS'!H56/'TOTAL STATISTICS'!K56*600,0)</f>
        <v/>
      </c>
      <c r="J56" s="29">
        <f>IFERROR('TOTAL STATISTICS'!I56/'TOTAL STATISTICS'!K56*600,0)</f>
        <v/>
      </c>
    </row>
    <row r="57">
      <c r="A57" s="0" t="inlineStr">
        <is>
          <t>PF</t>
        </is>
      </c>
      <c r="B57" s="0" t="inlineStr">
        <is>
          <t>TENTEN</t>
        </is>
      </c>
      <c r="C57" s="0" t="inlineStr">
        <is>
          <t>SPT</t>
        </is>
      </c>
      <c r="D57" s="29">
        <f>'TOTAL STATISTICS'!K57/60</f>
        <v/>
      </c>
      <c r="E57" s="29">
        <f>IFERROR('TOTAL STATISTICS'!D57/'TOTAL STATISTICS'!K57*600,0)</f>
        <v/>
      </c>
      <c r="F57" s="29">
        <f>IFERROR('TOTAL STATISTICS'!E57/'TOTAL STATISTICS'!K57*600,0)</f>
        <v/>
      </c>
      <c r="G57" s="29">
        <f>IFERROR('TOTAL STATISTICS'!F57/'TOTAL STATISTICS'!K57*600,0)</f>
        <v/>
      </c>
      <c r="H57" s="29">
        <f>IFERROR('TOTAL STATISTICS'!G57/'TOTAL STATISTICS'!K57*600,0)</f>
        <v/>
      </c>
      <c r="I57" s="29">
        <f>IFERROR('TOTAL STATISTICS'!H57/'TOTAL STATISTICS'!K57*600,0)</f>
        <v/>
      </c>
      <c r="J57" s="29">
        <f>IFERROR('TOTAL STATISTICS'!I57/'TOTAL STATISTICS'!K57*600,0)</f>
        <v/>
      </c>
    </row>
    <row r="58">
      <c r="A58" s="0" t="inlineStr">
        <is>
          <t>PF</t>
        </is>
      </c>
      <c r="B58" s="0" t="inlineStr">
        <is>
          <t>CARU</t>
        </is>
      </c>
      <c r="C58" s="0" t="inlineStr">
        <is>
          <t>SPT</t>
        </is>
      </c>
      <c r="D58" s="29">
        <f>'TOTAL STATISTICS'!K58/60</f>
        <v/>
      </c>
      <c r="E58" s="29">
        <f>IFERROR('TOTAL STATISTICS'!D58/'TOTAL STATISTICS'!K58*600,0)</f>
        <v/>
      </c>
      <c r="F58" s="29">
        <f>IFERROR('TOTAL STATISTICS'!E58/'TOTAL STATISTICS'!K58*600,0)</f>
        <v/>
      </c>
      <c r="G58" s="29">
        <f>IFERROR('TOTAL STATISTICS'!F58/'TOTAL STATISTICS'!K58*600,0)</f>
        <v/>
      </c>
      <c r="H58" s="29">
        <f>IFERROR('TOTAL STATISTICS'!G58/'TOTAL STATISTICS'!K58*600,0)</f>
        <v/>
      </c>
      <c r="I58" s="29">
        <f>IFERROR('TOTAL STATISTICS'!H58/'TOTAL STATISTICS'!K58*600,0)</f>
        <v/>
      </c>
      <c r="J58" s="29">
        <f>IFERROR('TOTAL STATISTICS'!I58/'TOTAL STATISTICS'!K58*600,0)</f>
        <v/>
      </c>
    </row>
    <row r="59">
      <c r="A59" s="0" t="inlineStr">
        <is>
          <t>PF</t>
        </is>
      </c>
      <c r="B59" s="0" t="inlineStr">
        <is>
          <t>SP1NEL</t>
        </is>
      </c>
      <c r="C59" s="0" t="inlineStr">
        <is>
          <t>SPT</t>
        </is>
      </c>
      <c r="D59" s="29">
        <f>'TOTAL STATISTICS'!K59/60</f>
        <v/>
      </c>
      <c r="E59" s="29">
        <f>IFERROR('TOTAL STATISTICS'!D59/'TOTAL STATISTICS'!K59*600,0)</f>
        <v/>
      </c>
      <c r="F59" s="29">
        <f>IFERROR('TOTAL STATISTICS'!E59/'TOTAL STATISTICS'!K59*600,0)</f>
        <v/>
      </c>
      <c r="G59" s="29">
        <f>IFERROR('TOTAL STATISTICS'!F59/'TOTAL STATISTICS'!K59*600,0)</f>
        <v/>
      </c>
      <c r="H59" s="29">
        <f>IFERROR('TOTAL STATISTICS'!G59/'TOTAL STATISTICS'!K59*600,0)</f>
        <v/>
      </c>
      <c r="I59" s="29">
        <f>IFERROR('TOTAL STATISTICS'!H59/'TOTAL STATISTICS'!K59*600,0)</f>
        <v/>
      </c>
      <c r="J59" s="29">
        <f>IFERROR('TOTAL STATISTICS'!I59/'TOTAL STATISTICS'!K59*600,0)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2" sqref="A2"/>
    </sheetView>
  </sheetViews>
  <sheetFormatPr baseColWidth="10" defaultRowHeight="18"/>
  <sheetData>
    <row r="1">
      <c r="A1" s="46" t="inlineStr">
        <is>
          <t>Date</t>
        </is>
      </c>
      <c r="B1" s="46" t="inlineStr">
        <is>
          <t>Match</t>
        </is>
      </c>
      <c r="C1" s="46" t="inlineStr">
        <is>
          <t>POTM</t>
        </is>
      </c>
      <c r="D1" s="46" t="inlineStr">
        <is>
          <t>Position</t>
        </is>
      </c>
    </row>
    <row r="2">
      <c r="A2" t="inlineStr">
        <is>
          <t>2026-03-20</t>
        </is>
      </c>
      <c r="B2" t="inlineStr">
        <is>
          <t>CB vs PF</t>
        </is>
      </c>
      <c r="C2" t="inlineStr">
        <is>
          <t>D4RT</t>
        </is>
      </c>
      <c r="D2" t="inlineStr">
        <is>
          <t>FLEX DPS</t>
        </is>
      </c>
    </row>
    <row r="3">
      <c r="A3" t="inlineStr">
        <is>
          <t>2026-03-20</t>
        </is>
      </c>
      <c r="B3" t="inlineStr">
        <is>
          <t>CR vs ZETA</t>
        </is>
      </c>
      <c r="C3" t="inlineStr">
        <is>
          <t>Viol2t</t>
        </is>
      </c>
      <c r="D3" t="inlineStr">
        <is>
          <t>MAIN SPT</t>
        </is>
      </c>
    </row>
    <row r="4">
      <c r="A4" t="inlineStr">
        <is>
          <t>2026-03-20</t>
        </is>
      </c>
      <c r="B4" t="inlineStr">
        <is>
          <t>ZAN vs OSG</t>
        </is>
      </c>
      <c r="C4" t="inlineStr">
        <is>
          <t>SP1NT</t>
        </is>
      </c>
      <c r="D4" t="inlineStr">
        <is>
          <t>FLEX DPS</t>
        </is>
      </c>
    </row>
    <row r="5">
      <c r="A5" t="inlineStr">
        <is>
          <t>2026-03-21</t>
        </is>
      </c>
      <c r="B5" t="inlineStr">
        <is>
          <t>ERA vs T1</t>
        </is>
      </c>
      <c r="C5" t="inlineStr">
        <is>
          <t>ZEST</t>
        </is>
      </c>
      <c r="D5" t="inlineStr">
        <is>
          <t>FLEX DPS</t>
        </is>
      </c>
    </row>
    <row r="6">
      <c r="A6" t="inlineStr">
        <is>
          <t>2026-03-21</t>
        </is>
      </c>
      <c r="B6" t="inlineStr">
        <is>
          <t>CB vs FLC</t>
        </is>
      </c>
      <c r="C6" t="inlineStr">
        <is>
          <t>Hanbin</t>
        </is>
      </c>
      <c r="D6" t="inlineStr">
        <is>
          <t>TANK</t>
        </is>
      </c>
    </row>
    <row r="7">
      <c r="A7" t="inlineStr">
        <is>
          <t>2026-03-21</t>
        </is>
      </c>
      <c r="B7" t="inlineStr">
        <is>
          <t>ZAN vs CR</t>
        </is>
      </c>
      <c r="C7" t="inlineStr">
        <is>
          <t>HeeSang</t>
        </is>
      </c>
      <c r="D7" t="inlineStr">
        <is>
          <t>FLEX DPS</t>
        </is>
      </c>
    </row>
    <row r="8">
      <c r="A8" t="inlineStr">
        <is>
          <t>2026-03-22</t>
        </is>
      </c>
      <c r="B8" t="inlineStr">
        <is>
          <t>PF vs ERA</t>
        </is>
      </c>
      <c r="C8" t="inlineStr">
        <is>
          <t>D4RT</t>
        </is>
      </c>
      <c r="D8" t="inlineStr">
        <is>
          <t>FLEX DPS</t>
        </is>
      </c>
    </row>
    <row r="9">
      <c r="A9" t="inlineStr">
        <is>
          <t>2026-03-22</t>
        </is>
      </c>
      <c r="B9" t="inlineStr">
        <is>
          <t>OSG vs T1</t>
        </is>
      </c>
      <c r="C9" t="inlineStr">
        <is>
          <t>Kilo</t>
        </is>
      </c>
      <c r="D9" t="inlineStr">
        <is>
          <t>MAIN DPS</t>
        </is>
      </c>
    </row>
    <row r="10">
      <c r="A10" t="inlineStr">
        <is>
          <t>2026-03-22</t>
        </is>
      </c>
      <c r="B10" t="inlineStr">
        <is>
          <t>ZETA vs FLC</t>
        </is>
      </c>
      <c r="C10" t="inlineStr">
        <is>
          <t>Bernar</t>
        </is>
      </c>
      <c r="D10" t="inlineStr">
        <is>
          <t>TANK</t>
        </is>
      </c>
    </row>
    <row r="11">
      <c r="A11" t="inlineStr">
        <is>
          <t>2026-04-03</t>
        </is>
      </c>
      <c r="B11" t="inlineStr">
        <is>
          <t>CB vs ZAN</t>
        </is>
      </c>
      <c r="C11" t="inlineStr">
        <is>
          <t>HEISER</t>
        </is>
      </c>
      <c r="D11" t="inlineStr">
        <is>
          <t>TANK</t>
        </is>
      </c>
    </row>
    <row r="12">
      <c r="A12" t="inlineStr">
        <is>
          <t>2026-04-03</t>
        </is>
      </c>
      <c r="B12" t="inlineStr">
        <is>
          <t>PF vs ZETA</t>
        </is>
      </c>
      <c r="C12" t="inlineStr">
        <is>
          <t>Viol2t</t>
        </is>
      </c>
      <c r="D12" t="inlineStr">
        <is>
          <t>MAIN SPT</t>
        </is>
      </c>
    </row>
    <row r="13">
      <c r="A13" t="inlineStr">
        <is>
          <t>2026-04-03</t>
        </is>
      </c>
      <c r="B13" t="inlineStr">
        <is>
          <t>CR vs OSG</t>
        </is>
      </c>
      <c r="C13" t="inlineStr">
        <is>
          <t>HeeSang</t>
        </is>
      </c>
      <c r="D13" t="inlineStr">
        <is>
          <t>FLEX DPS</t>
        </is>
      </c>
    </row>
    <row r="14">
      <c r="A14" t="inlineStr">
        <is>
          <t>2026-04-04</t>
        </is>
      </c>
      <c r="B14" t="inlineStr">
        <is>
          <t>ERA vs FLC</t>
        </is>
      </c>
      <c r="C14" t="inlineStr">
        <is>
          <t>Checkmate</t>
        </is>
      </c>
      <c r="D14" t="inlineStr">
        <is>
          <t>FLEX DPS</t>
        </is>
      </c>
    </row>
    <row r="15">
      <c r="A15" t="inlineStr">
        <is>
          <t>2026-04-04</t>
        </is>
      </c>
      <c r="B15" t="inlineStr">
        <is>
          <t>T1 vs PF</t>
        </is>
      </c>
      <c r="C15" t="inlineStr">
        <is>
          <t>Proud</t>
        </is>
      </c>
      <c r="D15" t="inlineStr">
        <is>
          <t>MAIN DPS</t>
        </is>
      </c>
    </row>
    <row r="16">
      <c r="A16" t="inlineStr">
        <is>
          <t>2026-04-04</t>
        </is>
      </c>
      <c r="B16" t="inlineStr">
        <is>
          <t>CR vs CB</t>
        </is>
      </c>
      <c r="C16" t="inlineStr">
        <is>
          <t>CH0R0NG</t>
        </is>
      </c>
      <c r="D16" t="inlineStr">
        <is>
          <t>MAIN SPT</t>
        </is>
      </c>
    </row>
    <row r="17">
      <c r="A17" t="inlineStr">
        <is>
          <t>2026-04-05</t>
        </is>
      </c>
      <c r="B17" t="inlineStr">
        <is>
          <t>OSG vs ERA</t>
        </is>
      </c>
      <c r="C17" t="inlineStr">
        <is>
          <t>Attack</t>
        </is>
      </c>
      <c r="D17" t="inlineStr">
        <is>
          <t>TANK</t>
        </is>
      </c>
    </row>
    <row r="18">
      <c r="A18" t="inlineStr">
        <is>
          <t>2026-04-05</t>
        </is>
      </c>
      <c r="B18" t="inlineStr">
        <is>
          <t>ZAN vs ZETA</t>
        </is>
      </c>
      <c r="C18" t="inlineStr">
        <is>
          <t>Proper</t>
        </is>
      </c>
      <c r="D18" t="inlineStr">
        <is>
          <t>FLEX DPS</t>
        </is>
      </c>
    </row>
    <row r="19">
      <c r="A19" t="inlineStr">
        <is>
          <t>2026-04-05</t>
        </is>
      </c>
      <c r="B19" t="inlineStr">
        <is>
          <t>FLC vs T1</t>
        </is>
      </c>
      <c r="C19" t="inlineStr">
        <is>
          <t>Hanbin</t>
        </is>
      </c>
      <c r="D19" t="inlineStr">
        <is>
          <t>TANK</t>
        </is>
      </c>
    </row>
    <row r="20">
      <c r="A20" t="inlineStr">
        <is>
          <t>2026-04-10</t>
        </is>
      </c>
      <c r="B20" t="inlineStr">
        <is>
          <t>OSG vs CB</t>
        </is>
      </c>
      <c r="C20" t="inlineStr">
        <is>
          <t>IRONY</t>
        </is>
      </c>
      <c r="D20" t="inlineStr">
        <is>
          <t>FLEX SPT</t>
        </is>
      </c>
    </row>
    <row r="21">
      <c r="A21" t="inlineStr">
        <is>
          <t>2026-04-10</t>
        </is>
      </c>
      <c r="B21" t="inlineStr">
        <is>
          <t>FLC vs PF</t>
        </is>
      </c>
      <c r="C21" t="inlineStr">
        <is>
          <t>Checkmate</t>
        </is>
      </c>
      <c r="D21" t="inlineStr">
        <is>
          <t>FLEX DPS</t>
        </is>
      </c>
    </row>
    <row r="22">
      <c r="A22" t="inlineStr">
        <is>
          <t>2026-04-10</t>
        </is>
      </c>
      <c r="B22" t="inlineStr">
        <is>
          <t>T1 vs CR</t>
        </is>
      </c>
      <c r="C22" t="inlineStr">
        <is>
          <t>DONGHAK</t>
        </is>
      </c>
      <c r="D22" t="inlineStr">
        <is>
          <t>TANK</t>
        </is>
      </c>
    </row>
    <row r="23">
      <c r="A23" t="inlineStr">
        <is>
          <t>2026-04-11</t>
        </is>
      </c>
      <c r="B23" t="inlineStr">
        <is>
          <t>ERA vs ZAN</t>
        </is>
      </c>
      <c r="C23" t="inlineStr">
        <is>
          <t>A1IEN</t>
        </is>
      </c>
      <c r="D23" t="inlineStr">
        <is>
          <t>MAIN DPS</t>
        </is>
      </c>
    </row>
    <row r="24">
      <c r="A24" t="inlineStr">
        <is>
          <t>2026-04-11</t>
        </is>
      </c>
      <c r="B24" t="inlineStr">
        <is>
          <t>ZETA vs OSG</t>
        </is>
      </c>
      <c r="C24" t="inlineStr">
        <is>
          <t>Proper</t>
        </is>
      </c>
      <c r="D24" t="inlineStr">
        <is>
          <t>FLEX DPS</t>
        </is>
      </c>
    </row>
    <row r="25">
      <c r="A25" t="inlineStr">
        <is>
          <t>2026-04-11</t>
        </is>
      </c>
      <c r="B25" t="inlineStr">
        <is>
          <t>CB vs T1</t>
        </is>
      </c>
      <c r="C25" t="inlineStr">
        <is>
          <t>Proud</t>
        </is>
      </c>
      <c r="D25" t="inlineStr">
        <is>
          <t>MAIN DPS</t>
        </is>
      </c>
    </row>
    <row r="26">
      <c r="A26" t="inlineStr">
        <is>
          <t>2026-04-12</t>
        </is>
      </c>
      <c r="B26" t="inlineStr">
        <is>
          <t>FLC vs ZAN</t>
        </is>
      </c>
      <c r="C26" t="inlineStr">
        <is>
          <t>ChiYo</t>
        </is>
      </c>
      <c r="D26" t="inlineStr">
        <is>
          <t>MAIN SPT</t>
        </is>
      </c>
    </row>
    <row r="27">
      <c r="A27" t="inlineStr">
        <is>
          <t>2026-04-12</t>
        </is>
      </c>
      <c r="B27" t="inlineStr">
        <is>
          <t>PF vs CR</t>
        </is>
      </c>
      <c r="C27" t="inlineStr">
        <is>
          <t>HeeSang</t>
        </is>
      </c>
      <c r="D27" t="inlineStr">
        <is>
          <t>FLEX DPS</t>
        </is>
      </c>
    </row>
    <row r="28">
      <c r="A28" t="inlineStr">
        <is>
          <t>2026-04-12</t>
        </is>
      </c>
      <c r="B28" t="inlineStr">
        <is>
          <t>ZETA vs ERA</t>
        </is>
      </c>
      <c r="C28" t="inlineStr">
        <is>
          <t>Knife</t>
        </is>
      </c>
      <c r="D28" t="inlineStr">
        <is>
          <t>MAIN DPS</t>
        </is>
      </c>
    </row>
    <row r="29">
      <c r="A29" t="inlineStr">
        <is>
          <t>2026-04-17</t>
        </is>
      </c>
      <c r="B29" t="inlineStr">
        <is>
          <t>PF vs OSG</t>
        </is>
      </c>
      <c r="C29" t="inlineStr">
        <is>
          <t>SP1NT</t>
        </is>
      </c>
      <c r="D29" t="inlineStr">
        <is>
          <t>FLEX DPS</t>
        </is>
      </c>
    </row>
    <row r="30">
      <c r="A30" t="inlineStr">
        <is>
          <t>2026-04-17</t>
        </is>
      </c>
      <c r="B30" t="inlineStr">
        <is>
          <t>T1 vs ZETA</t>
        </is>
      </c>
      <c r="C30" t="inlineStr">
        <is>
          <t>Proper</t>
        </is>
      </c>
      <c r="D30" t="inlineStr">
        <is>
          <t>FLEX DPS</t>
        </is>
      </c>
    </row>
    <row r="31">
      <c r="A31" t="inlineStr">
        <is>
          <t>2026-04-17</t>
        </is>
      </c>
      <c r="B31" t="inlineStr">
        <is>
          <t>CR vs ERA</t>
        </is>
      </c>
      <c r="C31" t="inlineStr">
        <is>
          <t>Stalk3r</t>
        </is>
      </c>
      <c r="D31" t="inlineStr">
        <is>
          <t>FLEX DPS</t>
        </is>
      </c>
    </row>
    <row r="32">
      <c r="A32" t="inlineStr">
        <is>
          <t>2026-04-18</t>
        </is>
      </c>
      <c r="B32" t="inlineStr">
        <is>
          <t>T1 vs ZAN</t>
        </is>
      </c>
      <c r="C32" t="inlineStr">
        <is>
          <t>DONGHAK</t>
        </is>
      </c>
      <c r="D32" t="inlineStr">
        <is>
          <t>TANK</t>
        </is>
      </c>
    </row>
    <row r="33">
      <c r="A33" t="inlineStr">
        <is>
          <t>2026-04-18</t>
        </is>
      </c>
      <c r="B33" t="inlineStr">
        <is>
          <t>ZETA vs CB</t>
        </is>
      </c>
      <c r="C33" t="inlineStr">
        <is>
          <t>Shu</t>
        </is>
      </c>
      <c r="D33" t="inlineStr">
        <is>
          <t>FLEX SPT</t>
        </is>
      </c>
    </row>
    <row r="34">
      <c r="A34" t="inlineStr">
        <is>
          <t>2026-04-18</t>
        </is>
      </c>
      <c r="B34" t="inlineStr">
        <is>
          <t>FLC vs CR</t>
        </is>
      </c>
      <c r="C34" t="inlineStr">
        <is>
          <t>Stalk3r</t>
        </is>
      </c>
      <c r="D34" t="inlineStr">
        <is>
          <t>FLEX DPS</t>
        </is>
      </c>
    </row>
    <row r="35">
      <c r="A35" t="inlineStr">
        <is>
          <t>2026-04-19</t>
        </is>
      </c>
      <c r="B35" t="inlineStr">
        <is>
          <t>ZAN vs PF</t>
        </is>
      </c>
      <c r="C35" t="inlineStr">
        <is>
          <t>Becky</t>
        </is>
      </c>
      <c r="D35" t="inlineStr">
        <is>
          <t>FLEX DPS</t>
        </is>
      </c>
    </row>
    <row r="36">
      <c r="A36" t="inlineStr">
        <is>
          <t>2026-04-19</t>
        </is>
      </c>
      <c r="B36" t="inlineStr">
        <is>
          <t>OSG vs FLC</t>
        </is>
      </c>
      <c r="C36" t="inlineStr">
        <is>
          <t>Checkmate</t>
        </is>
      </c>
      <c r="D36" t="inlineStr">
        <is>
          <t>FLEX DPS</t>
        </is>
      </c>
    </row>
    <row r="37">
      <c r="A37" t="inlineStr">
        <is>
          <t>2026-04-19</t>
        </is>
      </c>
      <c r="B37" t="inlineStr">
        <is>
          <t>ERA vs CB</t>
        </is>
      </c>
      <c r="C37" t="inlineStr">
        <is>
          <t>Zesin</t>
        </is>
      </c>
      <c r="D37" t="inlineStr">
        <is>
          <t>MAIN DPS</t>
        </is>
      </c>
    </row>
    <row r="38">
      <c r="A38" t="inlineStr">
        <is>
          <t>2026-04-24</t>
        </is>
      </c>
      <c r="B38" t="inlineStr">
        <is>
          <t>ZETA vs OSG</t>
        </is>
      </c>
      <c r="C38" t="inlineStr">
        <is>
          <t>Proper</t>
        </is>
      </c>
      <c r="D38" t="inlineStr">
        <is>
          <t>FLEX DPS</t>
        </is>
      </c>
    </row>
    <row r="39">
      <c r="A39" t="inlineStr">
        <is>
          <t>2026-04-24</t>
        </is>
      </c>
      <c r="B39" t="inlineStr">
        <is>
          <t>CR vs FLC</t>
        </is>
      </c>
      <c r="C39" t="inlineStr">
        <is>
          <t>HeeSang</t>
        </is>
      </c>
      <c r="D39" t="inlineStr">
        <is>
          <t>FLEX DPS</t>
        </is>
      </c>
    </row>
    <row r="40">
      <c r="A40" t="inlineStr">
        <is>
          <t>2026-04-25</t>
        </is>
      </c>
      <c r="B40" t="inlineStr">
        <is>
          <t>ZETA vs FLC</t>
        </is>
      </c>
      <c r="C40" t="inlineStr">
        <is>
          <t>Proper</t>
        </is>
      </c>
      <c r="D40" t="inlineStr">
        <is>
          <t>FLEX DPS</t>
        </is>
      </c>
    </row>
    <row r="41">
      <c r="A41" t="inlineStr">
        <is>
          <t>2026-04-25</t>
        </is>
      </c>
      <c r="B41" t="inlineStr">
        <is>
          <t>CR vs OSG</t>
        </is>
      </c>
      <c r="C41" t="inlineStr">
        <is>
          <t>Stalk3r</t>
        </is>
      </c>
      <c r="D41" t="inlineStr">
        <is>
          <t>FLEX DPS</t>
        </is>
      </c>
    </row>
    <row r="42">
      <c r="A42" t="inlineStr">
        <is>
          <t>2026-04-26</t>
        </is>
      </c>
      <c r="B42" t="inlineStr">
        <is>
          <t>ZETA vs CR</t>
        </is>
      </c>
      <c r="C42" t="inlineStr">
        <is>
          <t>Viol2t</t>
        </is>
      </c>
      <c r="D42" t="inlineStr">
        <is>
          <t>MAIN SPT</t>
        </is>
      </c>
    </row>
    <row r="43">
      <c r="A43" t="inlineStr">
        <is>
          <t>2026-04-26</t>
        </is>
      </c>
      <c r="B43" t="inlineStr">
        <is>
          <t>FLC vs OSG</t>
        </is>
      </c>
      <c r="C43" t="inlineStr">
        <is>
          <t>Checkmate</t>
        </is>
      </c>
      <c r="D43" t="inlineStr">
        <is>
          <t>FLEX DPS</t>
        </is>
      </c>
    </row>
    <row r="44">
      <c r="A44" t="inlineStr">
        <is>
          <t>2026-04-24</t>
        </is>
      </c>
      <c r="B44" t="inlineStr">
        <is>
          <t>T1 vs ZAN</t>
        </is>
      </c>
      <c r="C44" t="inlineStr">
        <is>
          <t>ZEST</t>
        </is>
      </c>
      <c r="D44" t="inlineStr">
        <is>
          <t>FLEX DPS</t>
        </is>
      </c>
    </row>
    <row r="45">
      <c r="A45" t="inlineStr">
        <is>
          <t>2026-04-25</t>
        </is>
      </c>
      <c r="B45" t="inlineStr">
        <is>
          <t>PF vs CB</t>
        </is>
      </c>
      <c r="C45" t="inlineStr">
        <is>
          <t>Argon</t>
        </is>
      </c>
      <c r="D45" t="inlineStr">
        <is>
          <t>FLEX DPS</t>
        </is>
      </c>
    </row>
    <row r="46">
      <c r="A46" t="inlineStr">
        <is>
          <t>2026-04-26</t>
        </is>
      </c>
      <c r="B46" t="inlineStr">
        <is>
          <t>ZAN vs CB</t>
        </is>
      </c>
      <c r="C46" t="inlineStr">
        <is>
          <t>Becky</t>
        </is>
      </c>
      <c r="D46" t="inlineStr">
        <is>
          <t>FLEX DPS</t>
        </is>
      </c>
    </row>
    <row r="47">
      <c r="A47" t="inlineStr">
        <is>
          <t>2026-05-01</t>
        </is>
      </c>
      <c r="B47" t="inlineStr">
        <is>
          <t>OSG vs T1</t>
        </is>
      </c>
      <c r="C47" t="inlineStr">
        <is>
          <t>ZEST</t>
        </is>
      </c>
      <c r="D47" t="inlineStr">
        <is>
          <t>FLEX DPS</t>
        </is>
      </c>
    </row>
    <row r="48">
      <c r="A48" t="inlineStr">
        <is>
          <t>2026-05-01</t>
        </is>
      </c>
      <c r="B48" t="inlineStr">
        <is>
          <t>FLC vs ZAN</t>
        </is>
      </c>
      <c r="C48" t="inlineStr">
        <is>
          <t>Hanbin</t>
        </is>
      </c>
      <c r="D48" t="inlineStr">
        <is>
          <t>TANK</t>
        </is>
      </c>
    </row>
    <row r="49">
      <c r="A49" t="inlineStr">
        <is>
          <t>2026-05-02</t>
        </is>
      </c>
      <c r="B49" t="inlineStr">
        <is>
          <t>ZETA vs T1</t>
        </is>
      </c>
      <c r="C49" t="inlineStr">
        <is>
          <t>Proper</t>
        </is>
      </c>
      <c r="D49" t="inlineStr">
        <is>
          <t>FLEX DPS</t>
        </is>
      </c>
    </row>
    <row r="50">
      <c r="A50" t="inlineStr">
        <is>
          <t>2026-05-02</t>
        </is>
      </c>
      <c r="B50" t="inlineStr">
        <is>
          <t>CR vs FLC</t>
        </is>
      </c>
      <c r="C50" t="inlineStr">
        <is>
          <t>Checkmate</t>
        </is>
      </c>
      <c r="D50" t="inlineStr">
        <is>
          <t>FLEX DPS</t>
        </is>
      </c>
    </row>
    <row r="51">
      <c r="A51" t="inlineStr">
        <is>
          <t>2026-05-03</t>
        </is>
      </c>
      <c r="B51" t="inlineStr">
        <is>
          <t>ZETA vs FLC</t>
        </is>
      </c>
      <c r="C51" t="inlineStr">
        <is>
          <t>KNIFE</t>
        </is>
      </c>
      <c r="D51" t="inlineStr">
        <is>
          <t>MAIN DPS</t>
        </is>
      </c>
    </row>
    <row r="52">
      <c r="A52" t="inlineStr">
        <is>
          <t>2026-05-03</t>
        </is>
      </c>
      <c r="B52" t="inlineStr">
        <is>
          <t>T1 vs CR</t>
        </is>
      </c>
      <c r="C52" t="inlineStr">
        <is>
          <t>CH0R0NG</t>
        </is>
      </c>
      <c r="D52" t="inlineStr">
        <is>
          <t>MAIN SPT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2026-09-24T00:42:46Z</dcterms:created>
  <dcterms:modified xmlns:dcterms="http://purl.org/dc/terms/" xmlns:xsi="http://www.w3.org/2001/XMLSchema-instance" xsi:type="dcterms:W3CDTF">2026-09-24T02:18:42Z</dcterms:modified>
  <cp:lastModifiedBy>Leo Her</cp:lastModifiedBy>
</cp:coreProperties>
</file>