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heounnyeong/Desktop/owcs_kr_stat_lab/"/>
    </mc:Choice>
  </mc:AlternateContent>
  <xr:revisionPtr revIDLastSave="0" documentId="13_ncr:1_{227D630B-7767-EF42-982A-6D079535682F}" xr6:coauthVersionLast="47" xr6:coauthVersionMax="47" xr10:uidLastSave="{00000000-0000-0000-0000-000000000000}"/>
  <bookViews>
    <workbookView xWindow="0" yWindow="600" windowWidth="28800" windowHeight="17400" activeTab="3" xr2:uid="{00000000-000D-0000-FFFF-FFFF00000000}"/>
  </bookViews>
  <sheets>
    <sheet name="TEAM INFO" sheetId="1" r:id="rId1"/>
    <sheet name="MATCH INFO" sheetId="2" r:id="rId2"/>
    <sheet name="MATCH_W1" sheetId="3" r:id="rId3"/>
    <sheet name="MATCH_W2" sheetId="4" r:id="rId4"/>
    <sheet name="MATCH_W3" sheetId="5" r:id="rId5"/>
    <sheet name="MATCH_W4" sheetId="6" r:id="rId6"/>
    <sheet name="MATCH_W5" sheetId="7" r:id="rId7"/>
    <sheet name="MATCH_W6" sheetId="8" r:id="rId8"/>
    <sheet name="TOTAL STATISTICS" sheetId="9" r:id="rId9"/>
    <sheet name="Per10 STATISTICS" sheetId="10" r:id="rId10"/>
    <sheet name="POTM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9" l="1"/>
  <c r="H61" i="9"/>
  <c r="G61" i="9"/>
  <c r="F61" i="9"/>
  <c r="E61" i="9"/>
  <c r="D61" i="9"/>
  <c r="I60" i="9"/>
  <c r="H60" i="9"/>
  <c r="G60" i="9"/>
  <c r="F60" i="9"/>
  <c r="E60" i="9"/>
  <c r="D60" i="9"/>
  <c r="J60" i="9" s="1"/>
  <c r="I59" i="9"/>
  <c r="H59" i="9"/>
  <c r="G59" i="9"/>
  <c r="F59" i="9"/>
  <c r="E59" i="9"/>
  <c r="D59" i="9"/>
  <c r="I58" i="9"/>
  <c r="H58" i="9"/>
  <c r="G58" i="9"/>
  <c r="F58" i="9"/>
  <c r="E58" i="9"/>
  <c r="D58" i="9"/>
  <c r="I57" i="9"/>
  <c r="H57" i="9"/>
  <c r="G57" i="9"/>
  <c r="F57" i="9"/>
  <c r="E57" i="9"/>
  <c r="D57" i="9"/>
  <c r="I56" i="9"/>
  <c r="H56" i="9"/>
  <c r="G56" i="9"/>
  <c r="F56" i="9"/>
  <c r="E56" i="9"/>
  <c r="D56" i="9"/>
  <c r="I55" i="9"/>
  <c r="H55" i="9"/>
  <c r="G55" i="9"/>
  <c r="F55" i="9"/>
  <c r="E55" i="9"/>
  <c r="D55" i="9"/>
  <c r="J55" i="9" s="1"/>
  <c r="I54" i="9"/>
  <c r="H54" i="9"/>
  <c r="G54" i="9"/>
  <c r="F54" i="9"/>
  <c r="E54" i="9"/>
  <c r="D54" i="9"/>
  <c r="I53" i="9"/>
  <c r="H53" i="9"/>
  <c r="G53" i="9"/>
  <c r="F53" i="9"/>
  <c r="E53" i="9"/>
  <c r="D53" i="9"/>
  <c r="I52" i="9"/>
  <c r="H52" i="9"/>
  <c r="G52" i="9"/>
  <c r="F52" i="9"/>
  <c r="E52" i="9"/>
  <c r="D52" i="9"/>
  <c r="J52" i="9" s="1"/>
  <c r="I51" i="9"/>
  <c r="H51" i="9"/>
  <c r="G51" i="9"/>
  <c r="F51" i="9"/>
  <c r="E51" i="9"/>
  <c r="D51" i="9"/>
  <c r="I50" i="9"/>
  <c r="H50" i="9"/>
  <c r="G50" i="9"/>
  <c r="F50" i="9"/>
  <c r="E50" i="9"/>
  <c r="D50" i="9"/>
  <c r="I49" i="9"/>
  <c r="H49" i="9"/>
  <c r="G49" i="9"/>
  <c r="F49" i="9"/>
  <c r="E49" i="9"/>
  <c r="D49" i="9"/>
  <c r="I48" i="9"/>
  <c r="H48" i="9"/>
  <c r="G48" i="9"/>
  <c r="F48" i="9"/>
  <c r="E48" i="9"/>
  <c r="D48" i="9"/>
  <c r="J48" i="9" s="1"/>
  <c r="I47" i="9"/>
  <c r="H47" i="9"/>
  <c r="G47" i="9"/>
  <c r="F47" i="9"/>
  <c r="E47" i="9"/>
  <c r="D47" i="9"/>
  <c r="J47" i="9" s="1"/>
  <c r="I46" i="9"/>
  <c r="H46" i="9"/>
  <c r="G46" i="9"/>
  <c r="F46" i="9"/>
  <c r="E46" i="9"/>
  <c r="D46" i="9"/>
  <c r="I45" i="9"/>
  <c r="H45" i="9"/>
  <c r="G45" i="9"/>
  <c r="F45" i="9"/>
  <c r="E45" i="9"/>
  <c r="D45" i="9"/>
  <c r="I44" i="9"/>
  <c r="H44" i="9"/>
  <c r="G44" i="9"/>
  <c r="F44" i="9"/>
  <c r="E44" i="9"/>
  <c r="D44" i="9"/>
  <c r="J44" i="9" s="1"/>
  <c r="I43" i="9"/>
  <c r="H43" i="9"/>
  <c r="G43" i="9"/>
  <c r="F43" i="9"/>
  <c r="E43" i="9"/>
  <c r="D43" i="9"/>
  <c r="I42" i="9"/>
  <c r="H42" i="9"/>
  <c r="G42" i="9"/>
  <c r="F42" i="9"/>
  <c r="E42" i="9"/>
  <c r="D42" i="9"/>
  <c r="J42" i="9" s="1"/>
  <c r="I41" i="9"/>
  <c r="H41" i="9"/>
  <c r="G41" i="9"/>
  <c r="F41" i="9"/>
  <c r="E41" i="9"/>
  <c r="D41" i="9"/>
  <c r="I40" i="9"/>
  <c r="H40" i="9"/>
  <c r="G40" i="9"/>
  <c r="F40" i="9"/>
  <c r="E40" i="9"/>
  <c r="D40" i="9"/>
  <c r="J40" i="9" s="1"/>
  <c r="I39" i="9"/>
  <c r="H39" i="9"/>
  <c r="G39" i="9"/>
  <c r="F39" i="9"/>
  <c r="E39" i="9"/>
  <c r="D39" i="9"/>
  <c r="J39" i="9" s="1"/>
  <c r="I38" i="9"/>
  <c r="H38" i="9"/>
  <c r="G38" i="9"/>
  <c r="F38" i="9"/>
  <c r="E38" i="9"/>
  <c r="D38" i="9"/>
  <c r="I37" i="9"/>
  <c r="H37" i="9"/>
  <c r="G37" i="9"/>
  <c r="F37" i="9"/>
  <c r="E37" i="9"/>
  <c r="D37" i="9"/>
  <c r="I36" i="9"/>
  <c r="H36" i="9"/>
  <c r="G36" i="9"/>
  <c r="F36" i="9"/>
  <c r="E36" i="9"/>
  <c r="D36" i="9"/>
  <c r="I35" i="9"/>
  <c r="H35" i="9"/>
  <c r="G35" i="9"/>
  <c r="F35" i="9"/>
  <c r="E35" i="9"/>
  <c r="D35" i="9"/>
  <c r="I34" i="9"/>
  <c r="H34" i="9"/>
  <c r="G34" i="9"/>
  <c r="F34" i="9"/>
  <c r="E34" i="9"/>
  <c r="D34" i="9"/>
  <c r="J34" i="9" s="1"/>
  <c r="I33" i="9"/>
  <c r="H33" i="9"/>
  <c r="G33" i="9"/>
  <c r="F33" i="9"/>
  <c r="E33" i="9"/>
  <c r="D33" i="9"/>
  <c r="I32" i="9"/>
  <c r="H32" i="9"/>
  <c r="G32" i="9"/>
  <c r="F32" i="9"/>
  <c r="E32" i="9"/>
  <c r="D32" i="9"/>
  <c r="I31" i="9"/>
  <c r="H31" i="9"/>
  <c r="G31" i="9"/>
  <c r="F31" i="9"/>
  <c r="E31" i="9"/>
  <c r="D31" i="9"/>
  <c r="J31" i="9" s="1"/>
  <c r="I30" i="9"/>
  <c r="H30" i="9"/>
  <c r="G30" i="9"/>
  <c r="F30" i="9"/>
  <c r="E30" i="9"/>
  <c r="D30" i="9"/>
  <c r="I29" i="9"/>
  <c r="H29" i="9"/>
  <c r="G29" i="9"/>
  <c r="F29" i="9"/>
  <c r="E29" i="9"/>
  <c r="D29" i="9"/>
  <c r="I28" i="9"/>
  <c r="H28" i="9"/>
  <c r="G28" i="9"/>
  <c r="F28" i="9"/>
  <c r="E28" i="9"/>
  <c r="D28" i="9"/>
  <c r="I27" i="9"/>
  <c r="H27" i="9"/>
  <c r="G27" i="9"/>
  <c r="F27" i="9"/>
  <c r="E27" i="9"/>
  <c r="D27" i="9"/>
  <c r="I26" i="9"/>
  <c r="H26" i="9"/>
  <c r="G26" i="9"/>
  <c r="F26" i="9"/>
  <c r="E26" i="9"/>
  <c r="D26" i="9"/>
  <c r="I25" i="9"/>
  <c r="H25" i="9"/>
  <c r="G25" i="9"/>
  <c r="F25" i="9"/>
  <c r="E25" i="9"/>
  <c r="D25" i="9"/>
  <c r="I24" i="9"/>
  <c r="H24" i="9"/>
  <c r="G24" i="9"/>
  <c r="F24" i="9"/>
  <c r="E24" i="9"/>
  <c r="D24" i="9"/>
  <c r="I23" i="9"/>
  <c r="H23" i="9"/>
  <c r="G23" i="9"/>
  <c r="F23" i="9"/>
  <c r="E23" i="9"/>
  <c r="D23" i="9"/>
  <c r="I22" i="9"/>
  <c r="H22" i="9"/>
  <c r="G22" i="9"/>
  <c r="F22" i="9"/>
  <c r="E22" i="9"/>
  <c r="D22" i="9"/>
  <c r="I21" i="9"/>
  <c r="H21" i="9"/>
  <c r="G21" i="9"/>
  <c r="F21" i="9"/>
  <c r="E21" i="9"/>
  <c r="D21" i="9"/>
  <c r="I20" i="9"/>
  <c r="H20" i="9"/>
  <c r="G20" i="9"/>
  <c r="F20" i="9"/>
  <c r="E20" i="9"/>
  <c r="D20" i="9"/>
  <c r="I19" i="9"/>
  <c r="H19" i="9"/>
  <c r="G19" i="9"/>
  <c r="F19" i="9"/>
  <c r="E19" i="9"/>
  <c r="D19" i="9"/>
  <c r="I18" i="9"/>
  <c r="H18" i="9"/>
  <c r="G18" i="9"/>
  <c r="F18" i="9"/>
  <c r="E18" i="9"/>
  <c r="D18" i="9"/>
  <c r="I17" i="9"/>
  <c r="H17" i="9"/>
  <c r="G17" i="9"/>
  <c r="F17" i="9"/>
  <c r="E17" i="9"/>
  <c r="D17" i="9"/>
  <c r="I16" i="9"/>
  <c r="H16" i="9"/>
  <c r="G16" i="9"/>
  <c r="F16" i="9"/>
  <c r="E16" i="9"/>
  <c r="D16" i="9"/>
  <c r="I15" i="9"/>
  <c r="H15" i="9"/>
  <c r="G15" i="9"/>
  <c r="F15" i="9"/>
  <c r="E15" i="9"/>
  <c r="D15" i="9"/>
  <c r="I14" i="9"/>
  <c r="H14" i="9"/>
  <c r="G14" i="9"/>
  <c r="F14" i="9"/>
  <c r="E14" i="9"/>
  <c r="D14" i="9"/>
  <c r="I13" i="9"/>
  <c r="H13" i="9"/>
  <c r="G13" i="9"/>
  <c r="F13" i="9"/>
  <c r="E13" i="9"/>
  <c r="D13" i="9"/>
  <c r="I12" i="9"/>
  <c r="H12" i="9"/>
  <c r="G12" i="9"/>
  <c r="F12" i="9"/>
  <c r="E12" i="9"/>
  <c r="D12" i="9"/>
  <c r="I11" i="9"/>
  <c r="H11" i="9"/>
  <c r="G11" i="9"/>
  <c r="F11" i="9"/>
  <c r="E11" i="9"/>
  <c r="D11" i="9"/>
  <c r="I10" i="9"/>
  <c r="H10" i="9"/>
  <c r="G10" i="9"/>
  <c r="F10" i="9"/>
  <c r="E10" i="9"/>
  <c r="D10" i="9"/>
  <c r="I9" i="9"/>
  <c r="H9" i="9"/>
  <c r="G9" i="9"/>
  <c r="F9" i="9"/>
  <c r="E9" i="9"/>
  <c r="D9" i="9"/>
  <c r="I8" i="9"/>
  <c r="H8" i="9"/>
  <c r="G8" i="9"/>
  <c r="F8" i="9"/>
  <c r="E8" i="9"/>
  <c r="D8" i="9"/>
  <c r="I7" i="9"/>
  <c r="H7" i="9"/>
  <c r="G7" i="9"/>
  <c r="F7" i="9"/>
  <c r="E7" i="9"/>
  <c r="D7" i="9"/>
  <c r="I6" i="9"/>
  <c r="H6" i="9"/>
  <c r="G6" i="9"/>
  <c r="F6" i="9"/>
  <c r="E6" i="9"/>
  <c r="D6" i="9"/>
  <c r="I5" i="9"/>
  <c r="H5" i="9"/>
  <c r="G5" i="9"/>
  <c r="F5" i="9"/>
  <c r="E5" i="9"/>
  <c r="D5" i="9"/>
  <c r="I4" i="9"/>
  <c r="H4" i="9"/>
  <c r="G4" i="9"/>
  <c r="F4" i="9"/>
  <c r="E4" i="9"/>
  <c r="D4" i="9"/>
  <c r="I3" i="9"/>
  <c r="H3" i="9"/>
  <c r="G3" i="9"/>
  <c r="F3" i="9"/>
  <c r="E3" i="9"/>
  <c r="D3" i="9"/>
  <c r="I2" i="9"/>
  <c r="H2" i="9"/>
  <c r="G2" i="9"/>
  <c r="F2" i="9"/>
  <c r="E2" i="9"/>
  <c r="D2" i="9"/>
  <c r="M311" i="8"/>
  <c r="M310" i="8"/>
  <c r="M309" i="8"/>
  <c r="M308" i="8"/>
  <c r="M307" i="8"/>
  <c r="M306" i="8"/>
  <c r="M305" i="8"/>
  <c r="M304" i="8"/>
  <c r="M303" i="8"/>
  <c r="M302" i="8"/>
  <c r="M301" i="8"/>
  <c r="M300" i="8"/>
  <c r="M299" i="8"/>
  <c r="M298" i="8"/>
  <c r="M297" i="8"/>
  <c r="M296" i="8"/>
  <c r="M295" i="8"/>
  <c r="M294" i="8"/>
  <c r="M293" i="8"/>
  <c r="M292" i="8"/>
  <c r="M291" i="8"/>
  <c r="M290" i="8"/>
  <c r="M289" i="8"/>
  <c r="M288" i="8"/>
  <c r="M287" i="8"/>
  <c r="M286" i="8"/>
  <c r="M285" i="8"/>
  <c r="M284" i="8"/>
  <c r="M283" i="8"/>
  <c r="M282" i="8"/>
  <c r="M281" i="8"/>
  <c r="M280" i="8"/>
  <c r="M279" i="8"/>
  <c r="M278" i="8"/>
  <c r="M277" i="8"/>
  <c r="M276" i="8"/>
  <c r="M275" i="8"/>
  <c r="M274" i="8"/>
  <c r="M273" i="8"/>
  <c r="M272" i="8"/>
  <c r="M271" i="8"/>
  <c r="M270" i="8"/>
  <c r="M269" i="8"/>
  <c r="M268" i="8"/>
  <c r="M267" i="8"/>
  <c r="M266" i="8"/>
  <c r="M265" i="8"/>
  <c r="M264" i="8"/>
  <c r="M263" i="8"/>
  <c r="M262" i="8"/>
  <c r="M261" i="8"/>
  <c r="M260" i="8"/>
  <c r="M259" i="8"/>
  <c r="M258" i="8"/>
  <c r="M257" i="8"/>
  <c r="M256" i="8"/>
  <c r="M255" i="8"/>
  <c r="M254" i="8"/>
  <c r="M253" i="8"/>
  <c r="M252" i="8"/>
  <c r="M251" i="8"/>
  <c r="M250" i="8"/>
  <c r="M249" i="8"/>
  <c r="M248" i="8"/>
  <c r="M247" i="8"/>
  <c r="M246" i="8"/>
  <c r="M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2" i="8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K8" i="9" s="1"/>
  <c r="D8" i="10" s="1"/>
  <c r="M8" i="6"/>
  <c r="M7" i="6"/>
  <c r="M6" i="6"/>
  <c r="M5" i="6"/>
  <c r="M4" i="6"/>
  <c r="M3" i="6"/>
  <c r="M2" i="6"/>
  <c r="M341" i="5"/>
  <c r="M340" i="5"/>
  <c r="M339" i="5"/>
  <c r="M338" i="5"/>
  <c r="M337" i="5"/>
  <c r="M336" i="5"/>
  <c r="M335" i="5"/>
  <c r="M334" i="5"/>
  <c r="K23" i="9" s="1"/>
  <c r="D23" i="10" s="1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K13" i="9" s="1"/>
  <c r="D13" i="10" s="1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K45" i="9" s="1"/>
  <c r="D45" i="10" s="1"/>
  <c r="M161" i="3"/>
  <c r="M160" i="3"/>
  <c r="M159" i="3"/>
  <c r="M158" i="3"/>
  <c r="M157" i="3"/>
  <c r="M156" i="3"/>
  <c r="M155" i="3"/>
  <c r="M154" i="3"/>
  <c r="M153" i="3"/>
  <c r="K56" i="9" s="1"/>
  <c r="D56" i="10" s="1"/>
  <c r="M152" i="3"/>
  <c r="M151" i="3"/>
  <c r="K61" i="9" s="1"/>
  <c r="D61" i="10" s="1"/>
  <c r="M150" i="3"/>
  <c r="M149" i="3"/>
  <c r="M148" i="3"/>
  <c r="K55" i="9" s="1"/>
  <c r="D55" i="10" s="1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N129" i="3" a="1"/>
  <c r="N129" i="3" s="1"/>
  <c r="M129" i="3"/>
  <c r="M128" i="3"/>
  <c r="K16" i="9" s="1"/>
  <c r="D16" i="10" s="1"/>
  <c r="M127" i="3"/>
  <c r="N126" i="3" a="1"/>
  <c r="N126" i="3" s="1"/>
  <c r="M126" i="3"/>
  <c r="M125" i="3"/>
  <c r="N124" i="3" a="1"/>
  <c r="N124" i="3"/>
  <c r="M124" i="3"/>
  <c r="M123" i="3"/>
  <c r="M122" i="3"/>
  <c r="M121" i="3"/>
  <c r="K21" i="9" s="1"/>
  <c r="D21" i="10" s="1"/>
  <c r="M120" i="3"/>
  <c r="M119" i="3"/>
  <c r="K19" i="9" s="1"/>
  <c r="D19" i="10" s="1"/>
  <c r="M118" i="3"/>
  <c r="M117" i="3"/>
  <c r="M116" i="3"/>
  <c r="K26" i="9" s="1"/>
  <c r="D26" i="10" s="1"/>
  <c r="M115" i="3"/>
  <c r="M114" i="3"/>
  <c r="M113" i="3"/>
  <c r="K24" i="9" s="1"/>
  <c r="D24" i="10" s="1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N99" i="3" a="1"/>
  <c r="N99" i="3" s="1"/>
  <c r="M99" i="3"/>
  <c r="M98" i="3"/>
  <c r="N97" i="3" a="1"/>
  <c r="N97" i="3"/>
  <c r="M97" i="3"/>
  <c r="M96" i="3"/>
  <c r="M95" i="3"/>
  <c r="N94" i="3" a="1"/>
  <c r="N94" i="3" s="1"/>
  <c r="M94" i="3"/>
  <c r="M93" i="3"/>
  <c r="M92" i="3"/>
  <c r="N91" i="3" a="1"/>
  <c r="N91" i="3" s="1"/>
  <c r="M91" i="3"/>
  <c r="M90" i="3"/>
  <c r="N89" i="3" a="1"/>
  <c r="N89" i="3"/>
  <c r="M89" i="3"/>
  <c r="M88" i="3"/>
  <c r="K28" i="9" s="1"/>
  <c r="D28" i="10" s="1"/>
  <c r="M87" i="3"/>
  <c r="N86" i="3" a="1"/>
  <c r="N86" i="3" s="1"/>
  <c r="M86" i="3"/>
  <c r="M85" i="3"/>
  <c r="N84" i="3" a="1"/>
  <c r="N84" i="3"/>
  <c r="M84" i="3"/>
  <c r="N83" i="3" a="1"/>
  <c r="N83" i="3" s="1"/>
  <c r="M83" i="3"/>
  <c r="N82" i="3" a="1"/>
  <c r="N82" i="3" s="1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K31" i="9" s="1"/>
  <c r="D31" i="10" s="1"/>
  <c r="M67" i="3"/>
  <c r="M66" i="3"/>
  <c r="M65" i="3"/>
  <c r="K47" i="9" s="1"/>
  <c r="D47" i="10" s="1"/>
  <c r="M64" i="3"/>
  <c r="M63" i="3"/>
  <c r="M62" i="3"/>
  <c r="M61" i="3"/>
  <c r="M60" i="3"/>
  <c r="K37" i="9" s="1"/>
  <c r="D37" i="10" s="1"/>
  <c r="N59" i="3" a="1"/>
  <c r="N59" i="3" s="1"/>
  <c r="M59" i="3"/>
  <c r="K34" i="9" s="1"/>
  <c r="D34" i="10" s="1"/>
  <c r="N58" i="3" a="1"/>
  <c r="N58" i="3" s="1"/>
  <c r="M58" i="3"/>
  <c r="N57" i="3" a="1"/>
  <c r="N57" i="3"/>
  <c r="M57" i="3"/>
  <c r="M56" i="3"/>
  <c r="K50" i="9" s="1"/>
  <c r="D50" i="10" s="1"/>
  <c r="M55" i="3"/>
  <c r="N54" i="3" a="1"/>
  <c r="N54" i="3" s="1"/>
  <c r="M54" i="3"/>
  <c r="K49" i="9" s="1"/>
  <c r="D49" i="10" s="1"/>
  <c r="M53" i="3"/>
  <c r="M52" i="3"/>
  <c r="N51" i="3" a="1"/>
  <c r="N51" i="3" s="1"/>
  <c r="M51" i="3"/>
  <c r="N50" i="3" a="1"/>
  <c r="N50" i="3" s="1"/>
  <c r="M50" i="3"/>
  <c r="N49" i="3" a="1"/>
  <c r="N49" i="3"/>
  <c r="M49" i="3"/>
  <c r="M48" i="3"/>
  <c r="M47" i="3"/>
  <c r="N46" i="3" a="1"/>
  <c r="N46" i="3" s="1"/>
  <c r="M46" i="3"/>
  <c r="M45" i="3"/>
  <c r="N44" i="3" a="1"/>
  <c r="N44" i="3"/>
  <c r="M44" i="3"/>
  <c r="N43" i="3" a="1"/>
  <c r="N43" i="3" s="1"/>
  <c r="M43" i="3"/>
  <c r="N42" i="3" a="1"/>
  <c r="N42" i="3" s="1"/>
  <c r="M42" i="3"/>
  <c r="M41" i="3"/>
  <c r="K40" i="9" s="1"/>
  <c r="D40" i="10" s="1"/>
  <c r="M40" i="3"/>
  <c r="K39" i="9" s="1"/>
  <c r="D39" i="10" s="1"/>
  <c r="M39" i="3"/>
  <c r="K38" i="9" s="1"/>
  <c r="D38" i="10" s="1"/>
  <c r="N38" i="3" a="1"/>
  <c r="N38" i="3"/>
  <c r="M38" i="3"/>
  <c r="M37" i="3"/>
  <c r="M36" i="3"/>
  <c r="K54" i="9" s="1"/>
  <c r="D54" i="10" s="1"/>
  <c r="N35" i="3" a="1"/>
  <c r="N35" i="3" s="1"/>
  <c r="M35" i="3"/>
  <c r="M34" i="3"/>
  <c r="M33" i="3"/>
  <c r="K51" i="9" s="1"/>
  <c r="D51" i="10" s="1"/>
  <c r="M32" i="3"/>
  <c r="K48" i="9" s="1"/>
  <c r="D48" i="10" s="1"/>
  <c r="M31" i="3"/>
  <c r="M30" i="3"/>
  <c r="M29" i="3"/>
  <c r="M28" i="3"/>
  <c r="M27" i="3"/>
  <c r="M26" i="3"/>
  <c r="M25" i="3"/>
  <c r="M24" i="3"/>
  <c r="M23" i="3"/>
  <c r="M22" i="3"/>
  <c r="M21" i="3"/>
  <c r="M20" i="3"/>
  <c r="N19" i="3" a="1"/>
  <c r="N19" i="3" s="1"/>
  <c r="M19" i="3"/>
  <c r="N18" i="3" a="1"/>
  <c r="N18" i="3" s="1"/>
  <c r="M18" i="3"/>
  <c r="N17" i="3" a="1"/>
  <c r="N17" i="3"/>
  <c r="M17" i="3"/>
  <c r="M16" i="3"/>
  <c r="M15" i="3"/>
  <c r="N14" i="3" a="1"/>
  <c r="N14" i="3"/>
  <c r="M14" i="3"/>
  <c r="M13" i="3"/>
  <c r="M12" i="3"/>
  <c r="K3" i="9" s="1"/>
  <c r="D3" i="10" s="1"/>
  <c r="N11" i="3" a="1"/>
  <c r="N11" i="3" s="1"/>
  <c r="M11" i="3"/>
  <c r="N10" i="3" a="1"/>
  <c r="N10" i="3" s="1"/>
  <c r="M10" i="3"/>
  <c r="N9" i="3" a="1"/>
  <c r="N9" i="3"/>
  <c r="M9" i="3"/>
  <c r="K12" i="9" s="1"/>
  <c r="D12" i="10" s="1"/>
  <c r="N8" i="3" a="1"/>
  <c r="N8" i="3" s="1"/>
  <c r="M8" i="3"/>
  <c r="M7" i="3"/>
  <c r="N6" i="3" a="1"/>
  <c r="N6" i="3"/>
  <c r="M6" i="3"/>
  <c r="M5" i="3"/>
  <c r="N4" i="3" a="1"/>
  <c r="N4" i="3"/>
  <c r="M4" i="3"/>
  <c r="K5" i="9" s="1"/>
  <c r="D5" i="10" s="1"/>
  <c r="N3" i="3" a="1"/>
  <c r="N3" i="3" s="1"/>
  <c r="M3" i="3"/>
  <c r="N2" i="3" a="1"/>
  <c r="N2" i="3" s="1"/>
  <c r="M2" i="3"/>
  <c r="K2" i="9" s="1"/>
  <c r="D2" i="10" s="1"/>
  <c r="O189" i="2"/>
  <c r="J189" i="2"/>
  <c r="O188" i="2"/>
  <c r="J188" i="2"/>
  <c r="O187" i="2"/>
  <c r="J187" i="2"/>
  <c r="O186" i="2"/>
  <c r="J186" i="2"/>
  <c r="O185" i="2"/>
  <c r="J185" i="2"/>
  <c r="O184" i="2"/>
  <c r="J184" i="2"/>
  <c r="O183" i="2"/>
  <c r="J183" i="2"/>
  <c r="O182" i="2"/>
  <c r="J182" i="2"/>
  <c r="O181" i="2"/>
  <c r="J181" i="2"/>
  <c r="O180" i="2"/>
  <c r="J180" i="2"/>
  <c r="O179" i="2"/>
  <c r="J179" i="2"/>
  <c r="O178" i="2"/>
  <c r="J178" i="2"/>
  <c r="O177" i="2"/>
  <c r="J177" i="2"/>
  <c r="O176" i="2"/>
  <c r="J176" i="2"/>
  <c r="O175" i="2"/>
  <c r="J175" i="2"/>
  <c r="O174" i="2"/>
  <c r="J174" i="2"/>
  <c r="O173" i="2"/>
  <c r="J173" i="2"/>
  <c r="O172" i="2"/>
  <c r="J172" i="2"/>
  <c r="O171" i="2"/>
  <c r="J171" i="2"/>
  <c r="O170" i="2"/>
  <c r="J170" i="2"/>
  <c r="O169" i="2"/>
  <c r="J169" i="2"/>
  <c r="O168" i="2"/>
  <c r="J168" i="2"/>
  <c r="O167" i="2"/>
  <c r="J167" i="2"/>
  <c r="O166" i="2"/>
  <c r="J166" i="2"/>
  <c r="O165" i="2"/>
  <c r="J165" i="2"/>
  <c r="O164" i="2"/>
  <c r="J164" i="2"/>
  <c r="O163" i="2"/>
  <c r="J163" i="2"/>
  <c r="O162" i="2"/>
  <c r="J162" i="2"/>
  <c r="O161" i="2"/>
  <c r="J161" i="2"/>
  <c r="O160" i="2"/>
  <c r="J160" i="2"/>
  <c r="O159" i="2"/>
  <c r="J159" i="2"/>
  <c r="O158" i="2"/>
  <c r="J158" i="2"/>
  <c r="O157" i="2"/>
  <c r="J157" i="2"/>
  <c r="O156" i="2"/>
  <c r="J156" i="2"/>
  <c r="O155" i="2"/>
  <c r="J155" i="2"/>
  <c r="O154" i="2"/>
  <c r="J154" i="2"/>
  <c r="O153" i="2"/>
  <c r="J153" i="2"/>
  <c r="O152" i="2"/>
  <c r="J152" i="2"/>
  <c r="O151" i="2"/>
  <c r="J151" i="2"/>
  <c r="O150" i="2"/>
  <c r="J150" i="2"/>
  <c r="O149" i="2"/>
  <c r="J149" i="2"/>
  <c r="O148" i="2"/>
  <c r="J148" i="2"/>
  <c r="O147" i="2"/>
  <c r="J147" i="2"/>
  <c r="O146" i="2"/>
  <c r="J146" i="2"/>
  <c r="O145" i="2"/>
  <c r="J145" i="2"/>
  <c r="O144" i="2"/>
  <c r="J144" i="2"/>
  <c r="O143" i="2"/>
  <c r="J143" i="2"/>
  <c r="O142" i="2"/>
  <c r="J142" i="2"/>
  <c r="O141" i="2"/>
  <c r="J141" i="2"/>
  <c r="O140" i="2"/>
  <c r="J140" i="2"/>
  <c r="O139" i="2"/>
  <c r="J139" i="2"/>
  <c r="O138" i="2"/>
  <c r="J138" i="2"/>
  <c r="O137" i="2"/>
  <c r="J137" i="2"/>
  <c r="O136" i="2"/>
  <c r="J136" i="2"/>
  <c r="O135" i="2"/>
  <c r="J135" i="2"/>
  <c r="O134" i="2"/>
  <c r="J134" i="2"/>
  <c r="O133" i="2"/>
  <c r="J133" i="2"/>
  <c r="O132" i="2"/>
  <c r="J132" i="2"/>
  <c r="O131" i="2"/>
  <c r="J131" i="2"/>
  <c r="O130" i="2"/>
  <c r="J130" i="2"/>
  <c r="O129" i="2"/>
  <c r="J129" i="2"/>
  <c r="O128" i="2"/>
  <c r="J128" i="2"/>
  <c r="O127" i="2"/>
  <c r="J127" i="2"/>
  <c r="O126" i="2"/>
  <c r="J126" i="2"/>
  <c r="O125" i="2"/>
  <c r="J125" i="2"/>
  <c r="O124" i="2"/>
  <c r="J124" i="2"/>
  <c r="O123" i="2"/>
  <c r="J123" i="2"/>
  <c r="O122" i="2"/>
  <c r="J122" i="2"/>
  <c r="O121" i="2"/>
  <c r="J121" i="2"/>
  <c r="O120" i="2"/>
  <c r="J120" i="2"/>
  <c r="O119" i="2"/>
  <c r="J119" i="2"/>
  <c r="O118" i="2"/>
  <c r="J118" i="2"/>
  <c r="O117" i="2"/>
  <c r="J117" i="2"/>
  <c r="O116" i="2"/>
  <c r="J116" i="2"/>
  <c r="O115" i="2"/>
  <c r="J115" i="2"/>
  <c r="O114" i="2"/>
  <c r="J114" i="2"/>
  <c r="O113" i="2"/>
  <c r="J113" i="2"/>
  <c r="O112" i="2"/>
  <c r="J112" i="2"/>
  <c r="O111" i="2"/>
  <c r="J111" i="2"/>
  <c r="O110" i="2"/>
  <c r="J110" i="2"/>
  <c r="O109" i="2"/>
  <c r="J109" i="2"/>
  <c r="O108" i="2"/>
  <c r="J108" i="2"/>
  <c r="O107" i="2"/>
  <c r="J107" i="2"/>
  <c r="O106" i="2"/>
  <c r="J106" i="2"/>
  <c r="O105" i="2"/>
  <c r="J105" i="2"/>
  <c r="O104" i="2"/>
  <c r="J104" i="2"/>
  <c r="O103" i="2"/>
  <c r="J103" i="2"/>
  <c r="O102" i="2"/>
  <c r="J102" i="2"/>
  <c r="O101" i="2"/>
  <c r="J101" i="2"/>
  <c r="O100" i="2"/>
  <c r="J100" i="2"/>
  <c r="O99" i="2"/>
  <c r="J99" i="2"/>
  <c r="O98" i="2"/>
  <c r="J98" i="2"/>
  <c r="O97" i="2"/>
  <c r="J97" i="2"/>
  <c r="O96" i="2"/>
  <c r="J96" i="2"/>
  <c r="O95" i="2"/>
  <c r="J95" i="2"/>
  <c r="O94" i="2"/>
  <c r="J94" i="2"/>
  <c r="O93" i="2"/>
  <c r="J93" i="2"/>
  <c r="O92" i="2"/>
  <c r="J92" i="2"/>
  <c r="O91" i="2"/>
  <c r="J91" i="2"/>
  <c r="O90" i="2"/>
  <c r="J90" i="2"/>
  <c r="O89" i="2"/>
  <c r="J89" i="2"/>
  <c r="O88" i="2"/>
  <c r="J88" i="2"/>
  <c r="O87" i="2"/>
  <c r="J87" i="2"/>
  <c r="O86" i="2"/>
  <c r="J86" i="2"/>
  <c r="O85" i="2"/>
  <c r="J85" i="2"/>
  <c r="O84" i="2"/>
  <c r="J84" i="2"/>
  <c r="O83" i="2"/>
  <c r="J83" i="2"/>
  <c r="O82" i="2"/>
  <c r="J82" i="2"/>
  <c r="O81" i="2"/>
  <c r="J81" i="2"/>
  <c r="O80" i="2"/>
  <c r="J80" i="2"/>
  <c r="O79" i="2"/>
  <c r="J79" i="2"/>
  <c r="O78" i="2"/>
  <c r="J78" i="2"/>
  <c r="O77" i="2"/>
  <c r="J77" i="2"/>
  <c r="O76" i="2"/>
  <c r="J76" i="2"/>
  <c r="O75" i="2"/>
  <c r="J75" i="2"/>
  <c r="O74" i="2"/>
  <c r="J74" i="2"/>
  <c r="O73" i="2"/>
  <c r="J73" i="2"/>
  <c r="O72" i="2"/>
  <c r="J72" i="2"/>
  <c r="O71" i="2"/>
  <c r="J71" i="2"/>
  <c r="O70" i="2"/>
  <c r="J70" i="2"/>
  <c r="O69" i="2"/>
  <c r="J69" i="2"/>
  <c r="O68" i="2"/>
  <c r="J68" i="2"/>
  <c r="O67" i="2"/>
  <c r="J67" i="2"/>
  <c r="O66" i="2"/>
  <c r="J66" i="2"/>
  <c r="O65" i="2"/>
  <c r="J65" i="2"/>
  <c r="O64" i="2"/>
  <c r="J64" i="2"/>
  <c r="O63" i="2"/>
  <c r="J63" i="2"/>
  <c r="O62" i="2"/>
  <c r="J62" i="2"/>
  <c r="O61" i="2"/>
  <c r="J61" i="2"/>
  <c r="O60" i="2"/>
  <c r="J60" i="2"/>
  <c r="O59" i="2"/>
  <c r="J59" i="2"/>
  <c r="O58" i="2"/>
  <c r="J58" i="2"/>
  <c r="O57" i="2"/>
  <c r="J57" i="2"/>
  <c r="O56" i="2"/>
  <c r="N254" i="4" s="1" a="1"/>
  <c r="N254" i="4" s="1"/>
  <c r="J56" i="2"/>
  <c r="O55" i="2"/>
  <c r="J55" i="2"/>
  <c r="O54" i="2"/>
  <c r="N238" i="4" s="1" a="1"/>
  <c r="N238" i="4" s="1"/>
  <c r="J54" i="2"/>
  <c r="O53" i="2"/>
  <c r="N222" i="4" s="1" a="1"/>
  <c r="N222" i="4" s="1"/>
  <c r="J53" i="2"/>
  <c r="O52" i="2"/>
  <c r="N214" i="4" s="1" a="1"/>
  <c r="N214" i="4" s="1"/>
  <c r="J52" i="2"/>
  <c r="O51" i="2"/>
  <c r="J51" i="2"/>
  <c r="O50" i="2"/>
  <c r="J50" i="2"/>
  <c r="O49" i="2"/>
  <c r="N190" i="4" s="1" a="1"/>
  <c r="N190" i="4" s="1"/>
  <c r="J49" i="2"/>
  <c r="O48" i="2"/>
  <c r="N174" i="4" s="1" a="1"/>
  <c r="N174" i="4" s="1"/>
  <c r="J48" i="2"/>
  <c r="O47" i="2"/>
  <c r="J47" i="2"/>
  <c r="O46" i="2"/>
  <c r="N158" i="4" s="1" a="1"/>
  <c r="N158" i="4" s="1"/>
  <c r="J46" i="2"/>
  <c r="O45" i="2"/>
  <c r="N150" i="4" s="1" a="1"/>
  <c r="N150" i="4" s="1"/>
  <c r="J45" i="2"/>
  <c r="O44" i="2"/>
  <c r="N133" i="4" s="1" a="1"/>
  <c r="N133" i="4" s="1"/>
  <c r="J44" i="2"/>
  <c r="O43" i="2"/>
  <c r="N125" i="4" s="1" a="1"/>
  <c r="N125" i="4" s="1"/>
  <c r="J43" i="2"/>
  <c r="O42" i="2"/>
  <c r="N118" i="4" s="1" a="1"/>
  <c r="N118" i="4" s="1"/>
  <c r="J42" i="2"/>
  <c r="O41" i="2"/>
  <c r="N102" i="4" s="1" a="1"/>
  <c r="N102" i="4" s="1"/>
  <c r="J41" i="2"/>
  <c r="O40" i="2"/>
  <c r="N101" i="4" s="1" a="1"/>
  <c r="N101" i="4" s="1"/>
  <c r="J40" i="2"/>
  <c r="O39" i="2"/>
  <c r="J39" i="2"/>
  <c r="O38" i="2"/>
  <c r="N78" i="4" s="1" a="1"/>
  <c r="N78" i="4" s="1"/>
  <c r="J38" i="2"/>
  <c r="O37" i="2"/>
  <c r="N69" i="4" s="1" a="1"/>
  <c r="N69" i="4" s="1"/>
  <c r="J37" i="2"/>
  <c r="O36" i="2"/>
  <c r="N54" i="4" s="1" a="1"/>
  <c r="N54" i="4" s="1"/>
  <c r="J36" i="2"/>
  <c r="O35" i="2"/>
  <c r="J35" i="2"/>
  <c r="O34" i="2"/>
  <c r="N41" i="4" s="1" a="1"/>
  <c r="N41" i="4" s="1"/>
  <c r="J34" i="2"/>
  <c r="O33" i="2"/>
  <c r="N22" i="4" s="1" a="1"/>
  <c r="N22" i="4" s="1"/>
  <c r="J33" i="2"/>
  <c r="O32" i="2"/>
  <c r="N15" i="4" s="1" a="1"/>
  <c r="N15" i="4" s="1"/>
  <c r="J32" i="2"/>
  <c r="O31" i="2"/>
  <c r="J31" i="2"/>
  <c r="O30" i="2"/>
  <c r="N282" i="3" s="1" a="1"/>
  <c r="N282" i="3" s="1"/>
  <c r="J30" i="2"/>
  <c r="O29" i="2"/>
  <c r="N279" i="3" s="1" a="1"/>
  <c r="N279" i="3" s="1"/>
  <c r="J29" i="2"/>
  <c r="O28" i="2"/>
  <c r="N271" i="3" s="1" a="1"/>
  <c r="N271" i="3" s="1"/>
  <c r="J28" i="2"/>
  <c r="O27" i="2"/>
  <c r="N255" i="3" s="1" a="1"/>
  <c r="N255" i="3" s="1"/>
  <c r="J27" i="2"/>
  <c r="O26" i="2"/>
  <c r="N247" i="3" s="1" a="1"/>
  <c r="N247" i="3" s="1"/>
  <c r="J26" i="2"/>
  <c r="O25" i="2"/>
  <c r="N240" i="3" s="1" a="1"/>
  <c r="N240" i="3" s="1"/>
  <c r="J25" i="2"/>
  <c r="O24" i="2"/>
  <c r="N226" i="3" s="1" a="1"/>
  <c r="N226" i="3" s="1"/>
  <c r="J24" i="2"/>
  <c r="O23" i="2"/>
  <c r="N214" i="3" s="1" a="1"/>
  <c r="N214" i="3" s="1"/>
  <c r="J23" i="2"/>
  <c r="O22" i="2"/>
  <c r="N206" i="3" s="1" a="1"/>
  <c r="N206" i="3" s="1"/>
  <c r="J22" i="2"/>
  <c r="O21" i="2"/>
  <c r="N198" i="3" s="1" a="1"/>
  <c r="N198" i="3" s="1"/>
  <c r="J21" i="2"/>
  <c r="O20" i="2"/>
  <c r="N189" i="3" s="1" a="1"/>
  <c r="N189" i="3" s="1"/>
  <c r="J20" i="2"/>
  <c r="O19" i="2"/>
  <c r="N178" i="3" s="1" a="1"/>
  <c r="N178" i="3" s="1"/>
  <c r="J19" i="2"/>
  <c r="O18" i="2"/>
  <c r="N167" i="3" s="1" a="1"/>
  <c r="N167" i="3" s="1"/>
  <c r="J18" i="2"/>
  <c r="O17" i="2"/>
  <c r="N159" i="3" s="1" a="1"/>
  <c r="N159" i="3" s="1"/>
  <c r="J17" i="2"/>
  <c r="O16" i="2"/>
  <c r="N151" i="3" s="1" a="1"/>
  <c r="N151" i="3" s="1"/>
  <c r="J16" i="2"/>
  <c r="O15" i="2"/>
  <c r="N135" i="3" s="1" a="1"/>
  <c r="N135" i="3" s="1"/>
  <c r="J15" i="2"/>
  <c r="O14" i="2"/>
  <c r="N127" i="3" s="1" a="1"/>
  <c r="N127" i="3" s="1"/>
  <c r="J14" i="2"/>
  <c r="O13" i="2"/>
  <c r="N119" i="3" s="1" a="1"/>
  <c r="N119" i="3" s="1"/>
  <c r="J13" i="2"/>
  <c r="O12" i="2"/>
  <c r="N111" i="3" s="1" a="1"/>
  <c r="N111" i="3" s="1"/>
  <c r="J12" i="2"/>
  <c r="O11" i="2"/>
  <c r="N95" i="3" s="1" a="1"/>
  <c r="N95" i="3" s="1"/>
  <c r="J11" i="2"/>
  <c r="O10" i="2"/>
  <c r="N87" i="3" s="1" a="1"/>
  <c r="N87" i="3" s="1"/>
  <c r="J10" i="2"/>
  <c r="O9" i="2"/>
  <c r="N79" i="3" s="1" a="1"/>
  <c r="N79" i="3" s="1"/>
  <c r="J9" i="2"/>
  <c r="O8" i="2"/>
  <c r="N71" i="3" s="1" a="1"/>
  <c r="N71" i="3" s="1"/>
  <c r="J8" i="2"/>
  <c r="O7" i="2"/>
  <c r="N55" i="3" s="1" a="1"/>
  <c r="N55" i="3" s="1"/>
  <c r="J7" i="2"/>
  <c r="O6" i="2"/>
  <c r="N47" i="3" s="1" a="1"/>
  <c r="N47" i="3" s="1"/>
  <c r="J6" i="2"/>
  <c r="O5" i="2"/>
  <c r="N39" i="3" s="1" a="1"/>
  <c r="N39" i="3" s="1"/>
  <c r="J5" i="2"/>
  <c r="O4" i="2"/>
  <c r="N31" i="3" s="1" a="1"/>
  <c r="N31" i="3" s="1"/>
  <c r="J4" i="2"/>
  <c r="O3" i="2"/>
  <c r="N15" i="3" s="1" a="1"/>
  <c r="N15" i="3" s="1"/>
  <c r="J3" i="2"/>
  <c r="O2" i="2"/>
  <c r="N7" i="3" s="1" a="1"/>
  <c r="N7" i="3" s="1"/>
  <c r="J2" i="2"/>
  <c r="N34" i="3" l="1" a="1"/>
  <c r="N34" i="3" s="1"/>
  <c r="N90" i="3" a="1"/>
  <c r="N90" i="3" s="1"/>
  <c r="N98" i="3" a="1"/>
  <c r="N98" i="3" s="1"/>
  <c r="N106" i="3" a="1"/>
  <c r="N106" i="3" s="1"/>
  <c r="K27" i="9"/>
  <c r="D27" i="10" s="1"/>
  <c r="N114" i="3" a="1"/>
  <c r="N114" i="3" s="1"/>
  <c r="K20" i="9"/>
  <c r="D20" i="10" s="1"/>
  <c r="N122" i="3" a="1"/>
  <c r="N122" i="3" s="1"/>
  <c r="N130" i="3" a="1"/>
  <c r="N130" i="3" s="1"/>
  <c r="N138" i="3" a="1"/>
  <c r="N138" i="3" s="1"/>
  <c r="N146" i="3" a="1"/>
  <c r="N146" i="3" s="1"/>
  <c r="K60" i="9"/>
  <c r="D60" i="10" s="1"/>
  <c r="N154" i="3" a="1"/>
  <c r="N154" i="3" s="1"/>
  <c r="N162" i="3" a="1"/>
  <c r="N162" i="3" s="1"/>
  <c r="N170" i="3" a="1"/>
  <c r="N170" i="3" s="1"/>
  <c r="N181" i="3" a="1"/>
  <c r="N181" i="3" s="1"/>
  <c r="N184" i="3" a="1"/>
  <c r="N184" i="3" s="1"/>
  <c r="N187" i="3" a="1"/>
  <c r="N187" i="3" s="1"/>
  <c r="N193" i="3" a="1"/>
  <c r="N193" i="3" s="1"/>
  <c r="N213" i="3" a="1"/>
  <c r="N213" i="3" s="1"/>
  <c r="N216" i="3" a="1"/>
  <c r="N216" i="3" s="1"/>
  <c r="N219" i="3" a="1"/>
  <c r="N219" i="3" s="1"/>
  <c r="N225" i="3" a="1"/>
  <c r="N225" i="3" s="1"/>
  <c r="N231" i="3" a="1"/>
  <c r="N231" i="3" s="1"/>
  <c r="N241" i="3" a="1"/>
  <c r="N241" i="3" s="1"/>
  <c r="N248" i="3" a="1"/>
  <c r="N248" i="3" s="1"/>
  <c r="N251" i="3" a="1"/>
  <c r="N251" i="3" s="1"/>
  <c r="N273" i="3" a="1"/>
  <c r="N273" i="3" s="1"/>
  <c r="N280" i="3" a="1"/>
  <c r="N280" i="3" s="1"/>
  <c r="N283" i="3" a="1"/>
  <c r="N283" i="3" s="1"/>
  <c r="N287" i="3" a="1"/>
  <c r="N287" i="3" s="1"/>
  <c r="N29" i="4" a="1"/>
  <c r="N29" i="4" s="1"/>
  <c r="N33" i="4" a="1"/>
  <c r="N33" i="4" s="1"/>
  <c r="N38" i="4" a="1"/>
  <c r="N38" i="4" s="1"/>
  <c r="N61" i="4" a="1"/>
  <c r="N61" i="4" s="1"/>
  <c r="N65" i="4" a="1"/>
  <c r="N65" i="4" s="1"/>
  <c r="N70" i="4" a="1"/>
  <c r="N70" i="4" s="1"/>
  <c r="N93" i="4" a="1"/>
  <c r="N93" i="4" s="1"/>
  <c r="N109" i="4" a="1"/>
  <c r="N109" i="4" s="1"/>
  <c r="K44" i="9"/>
  <c r="D44" i="10" s="1"/>
  <c r="N66" i="3" a="1"/>
  <c r="N66" i="3" s="1"/>
  <c r="N74" i="3" a="1"/>
  <c r="N74" i="3" s="1"/>
  <c r="N260" i="3" a="1"/>
  <c r="N260" i="3" s="1"/>
  <c r="N252" i="3" a="1"/>
  <c r="N252" i="3" s="1"/>
  <c r="N254" i="3" a="1"/>
  <c r="N254" i="3" s="1"/>
  <c r="N261" i="3" a="1"/>
  <c r="N261" i="3" s="1"/>
  <c r="N253" i="3" a="1"/>
  <c r="N253" i="3" s="1"/>
  <c r="N10" i="4" a="1"/>
  <c r="N10" i="4" s="1"/>
  <c r="N2" i="4" a="1"/>
  <c r="N2" i="4" s="1"/>
  <c r="N4" i="4" a="1"/>
  <c r="N4" i="4" s="1"/>
  <c r="N11" i="4" a="1"/>
  <c r="N11" i="4" s="1"/>
  <c r="N3" i="4" a="1"/>
  <c r="N3" i="4" s="1"/>
  <c r="N8" i="4" a="1"/>
  <c r="N8" i="4" s="1"/>
  <c r="N50" i="4" a="1"/>
  <c r="N50" i="4" s="1"/>
  <c r="N42" i="4" a="1"/>
  <c r="N42" i="4" s="1"/>
  <c r="N47" i="4" a="1"/>
  <c r="N47" i="4" s="1"/>
  <c r="N44" i="4" a="1"/>
  <c r="N44" i="4" s="1"/>
  <c r="N51" i="4" a="1"/>
  <c r="N51" i="4" s="1"/>
  <c r="N43" i="4" a="1"/>
  <c r="N43" i="4" s="1"/>
  <c r="N48" i="4" a="1"/>
  <c r="N48" i="4" s="1"/>
  <c r="N90" i="4" a="1"/>
  <c r="N90" i="4" s="1"/>
  <c r="N82" i="4" a="1"/>
  <c r="N82" i="4" s="1"/>
  <c r="N87" i="4" a="1"/>
  <c r="N87" i="4" s="1"/>
  <c r="N84" i="4" a="1"/>
  <c r="N84" i="4" s="1"/>
  <c r="N91" i="4" a="1"/>
  <c r="N91" i="4" s="1"/>
  <c r="N83" i="4" a="1"/>
  <c r="N83" i="4" s="1"/>
  <c r="N88" i="4" a="1"/>
  <c r="N88" i="4" s="1"/>
  <c r="N130" i="4" a="1"/>
  <c r="N130" i="4" s="1"/>
  <c r="N122" i="4" a="1"/>
  <c r="N122" i="4" s="1"/>
  <c r="N127" i="4" a="1"/>
  <c r="N127" i="4" s="1"/>
  <c r="N124" i="4" a="1"/>
  <c r="N124" i="4" s="1"/>
  <c r="N129" i="4" a="1"/>
  <c r="N129" i="4" s="1"/>
  <c r="N131" i="4" a="1"/>
  <c r="N131" i="4" s="1"/>
  <c r="N123" i="4" a="1"/>
  <c r="N123" i="4" s="1"/>
  <c r="N128" i="4" a="1"/>
  <c r="N128" i="4" s="1"/>
  <c r="N170" i="4" a="1"/>
  <c r="N170" i="4" s="1"/>
  <c r="N162" i="4" a="1"/>
  <c r="N162" i="4" s="1"/>
  <c r="N167" i="4" a="1"/>
  <c r="N167" i="4" s="1"/>
  <c r="N164" i="4" a="1"/>
  <c r="N164" i="4" s="1"/>
  <c r="N169" i="4" a="1"/>
  <c r="N169" i="4" s="1"/>
  <c r="N171" i="4" a="1"/>
  <c r="N171" i="4" s="1"/>
  <c r="N163" i="4" a="1"/>
  <c r="N163" i="4" s="1"/>
  <c r="N168" i="4" a="1"/>
  <c r="N168" i="4" s="1"/>
  <c r="N165" i="4" a="1"/>
  <c r="N165" i="4" s="1"/>
  <c r="N210" i="4" a="1"/>
  <c r="N210" i="4" s="1"/>
  <c r="N202" i="4" a="1"/>
  <c r="N202" i="4" s="1"/>
  <c r="N207" i="4" a="1"/>
  <c r="N207" i="4" s="1"/>
  <c r="N204" i="4" a="1"/>
  <c r="N204" i="4" s="1"/>
  <c r="N209" i="4" a="1"/>
  <c r="N209" i="4" s="1"/>
  <c r="N211" i="4" a="1"/>
  <c r="N211" i="4" s="1"/>
  <c r="N203" i="4" a="1"/>
  <c r="N203" i="4" s="1"/>
  <c r="N208" i="4" a="1"/>
  <c r="N208" i="4" s="1"/>
  <c r="N205" i="4" a="1"/>
  <c r="N205" i="4" s="1"/>
  <c r="N250" i="4" a="1"/>
  <c r="N250" i="4" s="1"/>
  <c r="N242" i="4" a="1"/>
  <c r="N242" i="4" s="1"/>
  <c r="N247" i="4" a="1"/>
  <c r="N247" i="4" s="1"/>
  <c r="N244" i="4" a="1"/>
  <c r="N244" i="4" s="1"/>
  <c r="N249" i="4" a="1"/>
  <c r="N249" i="4" s="1"/>
  <c r="N251" i="4" a="1"/>
  <c r="N251" i="4" s="1"/>
  <c r="N243" i="4" a="1"/>
  <c r="N243" i="4" s="1"/>
  <c r="N248" i="4" a="1"/>
  <c r="N248" i="4" s="1"/>
  <c r="N245" i="4" a="1"/>
  <c r="N245" i="4" s="1"/>
  <c r="N290" i="4" a="1"/>
  <c r="N290" i="4" s="1"/>
  <c r="N282" i="4" a="1"/>
  <c r="N282" i="4" s="1"/>
  <c r="N287" i="4" a="1"/>
  <c r="N287" i="4" s="1"/>
  <c r="N284" i="4" a="1"/>
  <c r="N284" i="4" s="1"/>
  <c r="N289" i="4" a="1"/>
  <c r="N289" i="4" s="1"/>
  <c r="N286" i="4" a="1"/>
  <c r="N286" i="4" s="1"/>
  <c r="N291" i="4" a="1"/>
  <c r="N291" i="4" s="1"/>
  <c r="N283" i="4" a="1"/>
  <c r="N283" i="4" s="1"/>
  <c r="N288" i="4" a="1"/>
  <c r="N288" i="4" s="1"/>
  <c r="N285" i="4" a="1"/>
  <c r="N285" i="4" s="1"/>
  <c r="N40" i="5" a="1"/>
  <c r="N40" i="5" s="1"/>
  <c r="N32" i="5" a="1"/>
  <c r="N32" i="5" s="1"/>
  <c r="N37" i="5" a="1"/>
  <c r="N37" i="5" s="1"/>
  <c r="N34" i="5" a="1"/>
  <c r="N34" i="5" s="1"/>
  <c r="N39" i="5" a="1"/>
  <c r="N39" i="5" s="1"/>
  <c r="N36" i="5" a="1"/>
  <c r="N36" i="5" s="1"/>
  <c r="N41" i="5" a="1"/>
  <c r="N41" i="5" s="1"/>
  <c r="N33" i="5" a="1"/>
  <c r="N33" i="5" s="1"/>
  <c r="N38" i="5" a="1"/>
  <c r="N38" i="5" s="1"/>
  <c r="N35" i="5" a="1"/>
  <c r="N35" i="5" s="1"/>
  <c r="N80" i="5" a="1"/>
  <c r="N80" i="5" s="1"/>
  <c r="N72" i="5" a="1"/>
  <c r="N72" i="5" s="1"/>
  <c r="N77" i="5" a="1"/>
  <c r="N77" i="5" s="1"/>
  <c r="N74" i="5" a="1"/>
  <c r="N74" i="5" s="1"/>
  <c r="N79" i="5" a="1"/>
  <c r="N79" i="5" s="1"/>
  <c r="N76" i="5" a="1"/>
  <c r="N76" i="5" s="1"/>
  <c r="N81" i="5" a="1"/>
  <c r="N81" i="5" s="1"/>
  <c r="N73" i="5" a="1"/>
  <c r="N73" i="5" s="1"/>
  <c r="N78" i="5" a="1"/>
  <c r="N78" i="5" s="1"/>
  <c r="N75" i="5" a="1"/>
  <c r="N75" i="5" s="1"/>
  <c r="N120" i="5" a="1"/>
  <c r="N120" i="5" s="1"/>
  <c r="N112" i="5" a="1"/>
  <c r="N112" i="5" s="1"/>
  <c r="N117" i="5" a="1"/>
  <c r="N117" i="5" s="1"/>
  <c r="N114" i="5" a="1"/>
  <c r="N114" i="5" s="1"/>
  <c r="N119" i="5" a="1"/>
  <c r="N119" i="5" s="1"/>
  <c r="N116" i="5" a="1"/>
  <c r="N116" i="5" s="1"/>
  <c r="N121" i="5" a="1"/>
  <c r="N121" i="5" s="1"/>
  <c r="N113" i="5" a="1"/>
  <c r="N113" i="5" s="1"/>
  <c r="N118" i="5" a="1"/>
  <c r="N118" i="5" s="1"/>
  <c r="N115" i="5" a="1"/>
  <c r="N115" i="5" s="1"/>
  <c r="N160" i="5" a="1"/>
  <c r="N160" i="5" s="1"/>
  <c r="N152" i="5" a="1"/>
  <c r="N152" i="5" s="1"/>
  <c r="N157" i="5" a="1"/>
  <c r="N157" i="5" s="1"/>
  <c r="N154" i="5" a="1"/>
  <c r="N154" i="5" s="1"/>
  <c r="N159" i="5" a="1"/>
  <c r="N159" i="5" s="1"/>
  <c r="N156" i="5" a="1"/>
  <c r="N156" i="5" s="1"/>
  <c r="N161" i="5" a="1"/>
  <c r="N161" i="5" s="1"/>
  <c r="N153" i="5" a="1"/>
  <c r="N153" i="5" s="1"/>
  <c r="N158" i="5" a="1"/>
  <c r="N158" i="5" s="1"/>
  <c r="N155" i="5" a="1"/>
  <c r="N155" i="5" s="1"/>
  <c r="N201" i="5" a="1"/>
  <c r="N201" i="5" s="1"/>
  <c r="N193" i="5" a="1"/>
  <c r="N193" i="5" s="1"/>
  <c r="N197" i="5" a="1"/>
  <c r="N197" i="5" s="1"/>
  <c r="N199" i="5" a="1"/>
  <c r="N199" i="5" s="1"/>
  <c r="N196" i="5" a="1"/>
  <c r="N196" i="5" s="1"/>
  <c r="N195" i="5" a="1"/>
  <c r="N195" i="5" s="1"/>
  <c r="N192" i="5" a="1"/>
  <c r="N192" i="5" s="1"/>
  <c r="N198" i="5" a="1"/>
  <c r="N198" i="5" s="1"/>
  <c r="N194" i="5" a="1"/>
  <c r="N194" i="5" s="1"/>
  <c r="N200" i="5" a="1"/>
  <c r="N200" i="5" s="1"/>
  <c r="N241" i="5" a="1"/>
  <c r="N241" i="5" s="1"/>
  <c r="N233" i="5" a="1"/>
  <c r="N233" i="5" s="1"/>
  <c r="N238" i="5" a="1"/>
  <c r="N238" i="5" s="1"/>
  <c r="N237" i="5" a="1"/>
  <c r="N237" i="5" s="1"/>
  <c r="N234" i="5" a="1"/>
  <c r="N234" i="5" s="1"/>
  <c r="N240" i="5" a="1"/>
  <c r="N240" i="5" s="1"/>
  <c r="N236" i="5" a="1"/>
  <c r="N236" i="5" s="1"/>
  <c r="N232" i="5" a="1"/>
  <c r="N232" i="5" s="1"/>
  <c r="N239" i="5" a="1"/>
  <c r="N239" i="5" s="1"/>
  <c r="N235" i="5" a="1"/>
  <c r="N235" i="5" s="1"/>
  <c r="N276" i="5" a="1"/>
  <c r="N276" i="5" s="1"/>
  <c r="N281" i="5" a="1"/>
  <c r="N281" i="5" s="1"/>
  <c r="N273" i="5" a="1"/>
  <c r="N273" i="5" s="1"/>
  <c r="N278" i="5" a="1"/>
  <c r="N278" i="5" s="1"/>
  <c r="N277" i="5" a="1"/>
  <c r="N277" i="5" s="1"/>
  <c r="N274" i="5" a="1"/>
  <c r="N274" i="5" s="1"/>
  <c r="N279" i="5" a="1"/>
  <c r="N279" i="5" s="1"/>
  <c r="N272" i="5" a="1"/>
  <c r="N272" i="5" s="1"/>
  <c r="N280" i="5" a="1"/>
  <c r="N280" i="5" s="1"/>
  <c r="N275" i="5" a="1"/>
  <c r="N275" i="5" s="1"/>
  <c r="N316" i="5" a="1"/>
  <c r="N316" i="5" s="1"/>
  <c r="N321" i="5" a="1"/>
  <c r="N321" i="5" s="1"/>
  <c r="N313" i="5" a="1"/>
  <c r="N313" i="5" s="1"/>
  <c r="N318" i="5" a="1"/>
  <c r="N318" i="5" s="1"/>
  <c r="N315" i="5" a="1"/>
  <c r="N315" i="5" s="1"/>
  <c r="N317" i="5" a="1"/>
  <c r="N317" i="5" s="1"/>
  <c r="N314" i="5" a="1"/>
  <c r="N314" i="5" s="1"/>
  <c r="N320" i="5" a="1"/>
  <c r="N320" i="5" s="1"/>
  <c r="N319" i="5" a="1"/>
  <c r="N319" i="5" s="1"/>
  <c r="N312" i="5" a="1"/>
  <c r="N312" i="5" s="1"/>
  <c r="N16" i="6" a="1"/>
  <c r="N16" i="6" s="1"/>
  <c r="N21" i="6" a="1"/>
  <c r="N21" i="6" s="1"/>
  <c r="N13" i="6" a="1"/>
  <c r="N13" i="6" s="1"/>
  <c r="N18" i="6" a="1"/>
  <c r="N18" i="6" s="1"/>
  <c r="N15" i="6" a="1"/>
  <c r="N15" i="6" s="1"/>
  <c r="N20" i="6" a="1"/>
  <c r="N20" i="6" s="1"/>
  <c r="N12" i="6" a="1"/>
  <c r="N12" i="6" s="1"/>
  <c r="N17" i="6" a="1"/>
  <c r="N17" i="6" s="1"/>
  <c r="N14" i="6" a="1"/>
  <c r="N14" i="6" s="1"/>
  <c r="N19" i="6" a="1"/>
  <c r="N19" i="6" s="1"/>
  <c r="N56" i="6" a="1"/>
  <c r="N56" i="6" s="1"/>
  <c r="N61" i="6" a="1"/>
  <c r="N61" i="6" s="1"/>
  <c r="N53" i="6" a="1"/>
  <c r="N53" i="6" s="1"/>
  <c r="N58" i="6" a="1"/>
  <c r="N58" i="6" s="1"/>
  <c r="N55" i="6" a="1"/>
  <c r="N55" i="6" s="1"/>
  <c r="N60" i="6" a="1"/>
  <c r="N60" i="6" s="1"/>
  <c r="N52" i="6" a="1"/>
  <c r="N52" i="6" s="1"/>
  <c r="N57" i="6" a="1"/>
  <c r="N57" i="6" s="1"/>
  <c r="N54" i="6" a="1"/>
  <c r="N54" i="6" s="1"/>
  <c r="N59" i="6" a="1"/>
  <c r="N59" i="6" s="1"/>
  <c r="N96" i="6" a="1"/>
  <c r="N96" i="6" s="1"/>
  <c r="N101" i="6" a="1"/>
  <c r="N101" i="6" s="1"/>
  <c r="N93" i="6" a="1"/>
  <c r="N93" i="6" s="1"/>
  <c r="N98" i="6" a="1"/>
  <c r="N98" i="6" s="1"/>
  <c r="N95" i="6" a="1"/>
  <c r="N95" i="6" s="1"/>
  <c r="N100" i="6" a="1"/>
  <c r="N100" i="6" s="1"/>
  <c r="N92" i="6" a="1"/>
  <c r="N92" i="6" s="1"/>
  <c r="N97" i="6" a="1"/>
  <c r="N97" i="6" s="1"/>
  <c r="N94" i="6" a="1"/>
  <c r="N94" i="6" s="1"/>
  <c r="N99" i="6" a="1"/>
  <c r="N99" i="6" s="1"/>
  <c r="N138" i="6" a="1"/>
  <c r="N138" i="6" s="1"/>
  <c r="N139" i="6" a="1"/>
  <c r="N139" i="6" s="1"/>
  <c r="N136" i="6" a="1"/>
  <c r="N136" i="6" s="1"/>
  <c r="N133" i="6" a="1"/>
  <c r="N133" i="6" s="1"/>
  <c r="N141" i="6" a="1"/>
  <c r="N141" i="6" s="1"/>
  <c r="N135" i="6" a="1"/>
  <c r="N135" i="6" s="1"/>
  <c r="N132" i="6" a="1"/>
  <c r="N132" i="6" s="1"/>
  <c r="N140" i="6" a="1"/>
  <c r="N140" i="6" s="1"/>
  <c r="N137" i="6" a="1"/>
  <c r="N137" i="6" s="1"/>
  <c r="N134" i="6" a="1"/>
  <c r="N134" i="6" s="1"/>
  <c r="N178" i="6" a="1"/>
  <c r="N178" i="6" s="1"/>
  <c r="N174" i="6" a="1"/>
  <c r="N174" i="6" s="1"/>
  <c r="N179" i="6" a="1"/>
  <c r="N179" i="6" s="1"/>
  <c r="N176" i="6" a="1"/>
  <c r="N176" i="6" s="1"/>
  <c r="N173" i="6" a="1"/>
  <c r="N173" i="6" s="1"/>
  <c r="N181" i="6" a="1"/>
  <c r="N181" i="6" s="1"/>
  <c r="N175" i="6" a="1"/>
  <c r="N175" i="6" s="1"/>
  <c r="N172" i="6" a="1"/>
  <c r="N172" i="6" s="1"/>
  <c r="N180" i="6" a="1"/>
  <c r="N180" i="6" s="1"/>
  <c r="N177" i="6" a="1"/>
  <c r="N177" i="6" s="1"/>
  <c r="N218" i="6" a="1"/>
  <c r="N218" i="6" s="1"/>
  <c r="N220" i="6" a="1"/>
  <c r="N220" i="6" s="1"/>
  <c r="N217" i="6" a="1"/>
  <c r="N217" i="6" s="1"/>
  <c r="N214" i="6" a="1"/>
  <c r="N214" i="6" s="1"/>
  <c r="N219" i="6" a="1"/>
  <c r="N219" i="6" s="1"/>
  <c r="N216" i="6" a="1"/>
  <c r="N216" i="6" s="1"/>
  <c r="N213" i="6" a="1"/>
  <c r="N213" i="6" s="1"/>
  <c r="N221" i="6" a="1"/>
  <c r="N221" i="6" s="1"/>
  <c r="N215" i="6" a="1"/>
  <c r="N215" i="6" s="1"/>
  <c r="N212" i="6" a="1"/>
  <c r="N212" i="6" s="1"/>
  <c r="N255" i="6" a="1"/>
  <c r="N255" i="6" s="1"/>
  <c r="N256" i="6" a="1"/>
  <c r="N256" i="6" s="1"/>
  <c r="N258" i="6" a="1"/>
  <c r="N258" i="6" s="1"/>
  <c r="N252" i="6" a="1"/>
  <c r="N252" i="6" s="1"/>
  <c r="N259" i="6" a="1"/>
  <c r="N259" i="6" s="1"/>
  <c r="N254" i="6" a="1"/>
  <c r="N254" i="6" s="1"/>
  <c r="N261" i="6" a="1"/>
  <c r="N261" i="6" s="1"/>
  <c r="N257" i="6" a="1"/>
  <c r="N257" i="6" s="1"/>
  <c r="N260" i="6" a="1"/>
  <c r="N260" i="6" s="1"/>
  <c r="N253" i="6" a="1"/>
  <c r="N253" i="6" s="1"/>
  <c r="N300" i="6" a="1"/>
  <c r="N300" i="6" s="1"/>
  <c r="N292" i="6" a="1"/>
  <c r="N292" i="6" s="1"/>
  <c r="N295" i="6" a="1"/>
  <c r="N295" i="6" s="1"/>
  <c r="N299" i="6" a="1"/>
  <c r="N299" i="6" s="1"/>
  <c r="N296" i="6" a="1"/>
  <c r="N296" i="6" s="1"/>
  <c r="N293" i="6" a="1"/>
  <c r="N293" i="6" s="1"/>
  <c r="N301" i="6" a="1"/>
  <c r="N301" i="6" s="1"/>
  <c r="N294" i="6" a="1"/>
  <c r="N294" i="6" s="1"/>
  <c r="N298" i="6" a="1"/>
  <c r="N298" i="6" s="1"/>
  <c r="N297" i="6" a="1"/>
  <c r="N297" i="6" s="1"/>
  <c r="N21" i="7" a="1"/>
  <c r="N21" i="7" s="1"/>
  <c r="N13" i="7" a="1"/>
  <c r="N13" i="7" s="1"/>
  <c r="N20" i="7" a="1"/>
  <c r="N20" i="7" s="1"/>
  <c r="N12" i="7" a="1"/>
  <c r="N12" i="7" s="1"/>
  <c r="N17" i="7" a="1"/>
  <c r="N17" i="7" s="1"/>
  <c r="N19" i="7" a="1"/>
  <c r="N19" i="7" s="1"/>
  <c r="N16" i="7" a="1"/>
  <c r="N16" i="7" s="1"/>
  <c r="N18" i="7" a="1"/>
  <c r="N18" i="7" s="1"/>
  <c r="N15" i="7" a="1"/>
  <c r="N15" i="7" s="1"/>
  <c r="N14" i="7" a="1"/>
  <c r="N14" i="7" s="1"/>
  <c r="N61" i="7" a="1"/>
  <c r="N61" i="7" s="1"/>
  <c r="N53" i="7" a="1"/>
  <c r="N53" i="7" s="1"/>
  <c r="N60" i="7" a="1"/>
  <c r="N60" i="7" s="1"/>
  <c r="N52" i="7" a="1"/>
  <c r="N52" i="7" s="1"/>
  <c r="N59" i="7" a="1"/>
  <c r="N59" i="7" s="1"/>
  <c r="N58" i="7" a="1"/>
  <c r="N58" i="7" s="1"/>
  <c r="N55" i="7" a="1"/>
  <c r="N55" i="7" s="1"/>
  <c r="N54" i="7" a="1"/>
  <c r="N54" i="7" s="1"/>
  <c r="N57" i="7" a="1"/>
  <c r="N57" i="7" s="1"/>
  <c r="N56" i="7" a="1"/>
  <c r="N56" i="7" s="1"/>
  <c r="N96" i="7" a="1"/>
  <c r="N96" i="7" s="1"/>
  <c r="N101" i="7" a="1"/>
  <c r="N101" i="7" s="1"/>
  <c r="N93" i="7" a="1"/>
  <c r="N93" i="7" s="1"/>
  <c r="N100" i="7" a="1"/>
  <c r="N100" i="7" s="1"/>
  <c r="N92" i="7" a="1"/>
  <c r="N92" i="7" s="1"/>
  <c r="N97" i="7" a="1"/>
  <c r="N97" i="7" s="1"/>
  <c r="N99" i="7" a="1"/>
  <c r="N99" i="7" s="1"/>
  <c r="N95" i="7" a="1"/>
  <c r="N95" i="7" s="1"/>
  <c r="N98" i="7" a="1"/>
  <c r="N98" i="7" s="1"/>
  <c r="N94" i="7" a="1"/>
  <c r="N94" i="7" s="1"/>
  <c r="N136" i="7" a="1"/>
  <c r="N136" i="7" s="1"/>
  <c r="N141" i="7" a="1"/>
  <c r="N141" i="7" s="1"/>
  <c r="N133" i="7" a="1"/>
  <c r="N133" i="7" s="1"/>
  <c r="N135" i="7" a="1"/>
  <c r="N135" i="7" s="1"/>
  <c r="N140" i="7" a="1"/>
  <c r="N140" i="7" s="1"/>
  <c r="N132" i="7" a="1"/>
  <c r="N132" i="7" s="1"/>
  <c r="N137" i="7" a="1"/>
  <c r="N137" i="7" s="1"/>
  <c r="N138" i="7" a="1"/>
  <c r="N138" i="7" s="1"/>
  <c r="N139" i="7" a="1"/>
  <c r="N139" i="7" s="1"/>
  <c r="N134" i="7" a="1"/>
  <c r="N134" i="7" s="1"/>
  <c r="N176" i="7" a="1"/>
  <c r="N176" i="7" s="1"/>
  <c r="N181" i="7" a="1"/>
  <c r="N181" i="7" s="1"/>
  <c r="N173" i="7" a="1"/>
  <c r="N173" i="7" s="1"/>
  <c r="N175" i="7" a="1"/>
  <c r="N175" i="7" s="1"/>
  <c r="N180" i="7" a="1"/>
  <c r="N180" i="7" s="1"/>
  <c r="N172" i="7" a="1"/>
  <c r="N172" i="7" s="1"/>
  <c r="N177" i="7" a="1"/>
  <c r="N177" i="7" s="1"/>
  <c r="N179" i="7" a="1"/>
  <c r="N179" i="7" s="1"/>
  <c r="N174" i="7" a="1"/>
  <c r="N174" i="7" s="1"/>
  <c r="N178" i="7" a="1"/>
  <c r="N178" i="7" s="1"/>
  <c r="N216" i="7" a="1"/>
  <c r="N216" i="7" s="1"/>
  <c r="N221" i="7" a="1"/>
  <c r="N221" i="7" s="1"/>
  <c r="N213" i="7" a="1"/>
  <c r="N213" i="7" s="1"/>
  <c r="N215" i="7" a="1"/>
  <c r="N215" i="7" s="1"/>
  <c r="N220" i="7" a="1"/>
  <c r="N220" i="7" s="1"/>
  <c r="N212" i="7" a="1"/>
  <c r="N212" i="7" s="1"/>
  <c r="N217" i="7" a="1"/>
  <c r="N217" i="7" s="1"/>
  <c r="N214" i="7" a="1"/>
  <c r="N214" i="7" s="1"/>
  <c r="N219" i="7" a="1"/>
  <c r="N219" i="7" s="1"/>
  <c r="N218" i="7" a="1"/>
  <c r="N218" i="7" s="1"/>
  <c r="N260" i="7" a="1"/>
  <c r="N260" i="7" s="1"/>
  <c r="N256" i="7" a="1"/>
  <c r="N256" i="7" s="1"/>
  <c r="N253" i="7" a="1"/>
  <c r="N253" i="7" s="1"/>
  <c r="N255" i="7" a="1"/>
  <c r="N255" i="7" s="1"/>
  <c r="N252" i="7" a="1"/>
  <c r="N252" i="7" s="1"/>
  <c r="N257" i="7" a="1"/>
  <c r="N257" i="7" s="1"/>
  <c r="N254" i="7" a="1"/>
  <c r="N254" i="7" s="1"/>
  <c r="N259" i="7" a="1"/>
  <c r="N259" i="7" s="1"/>
  <c r="N258" i="7" a="1"/>
  <c r="N258" i="7" s="1"/>
  <c r="N261" i="7" a="1"/>
  <c r="N261" i="7" s="1"/>
  <c r="N300" i="7" a="1"/>
  <c r="N300" i="7" s="1"/>
  <c r="N292" i="7" a="1"/>
  <c r="N292" i="7" s="1"/>
  <c r="N297" i="7" a="1"/>
  <c r="N297" i="7" s="1"/>
  <c r="N294" i="7" a="1"/>
  <c r="N294" i="7" s="1"/>
  <c r="N299" i="7" a="1"/>
  <c r="N299" i="7" s="1"/>
  <c r="N301" i="7" a="1"/>
  <c r="N301" i="7" s="1"/>
  <c r="N298" i="7" a="1"/>
  <c r="N298" i="7" s="1"/>
  <c r="N295" i="7" a="1"/>
  <c r="N295" i="7" s="1"/>
  <c r="N293" i="7" a="1"/>
  <c r="N293" i="7" s="1"/>
  <c r="N296" i="7" a="1"/>
  <c r="N296" i="7" s="1"/>
  <c r="N4" i="8" a="1"/>
  <c r="N4" i="8" s="1"/>
  <c r="N9" i="8" a="1"/>
  <c r="N9" i="8" s="1"/>
  <c r="N6" i="8" a="1"/>
  <c r="N6" i="8" s="1"/>
  <c r="N3" i="8" a="1"/>
  <c r="N3" i="8" s="1"/>
  <c r="N2" i="8" a="1"/>
  <c r="N2" i="8" s="1"/>
  <c r="N5" i="8" a="1"/>
  <c r="N5" i="8" s="1"/>
  <c r="N11" i="8" a="1"/>
  <c r="N11" i="8" s="1"/>
  <c r="N8" i="8" a="1"/>
  <c r="N8" i="8" s="1"/>
  <c r="N10" i="8" a="1"/>
  <c r="N10" i="8" s="1"/>
  <c r="N7" i="8" a="1"/>
  <c r="N7" i="8" s="1"/>
  <c r="N44" i="8" a="1"/>
  <c r="N44" i="8" s="1"/>
  <c r="N47" i="8" a="1"/>
  <c r="N47" i="8" s="1"/>
  <c r="N51" i="8" a="1"/>
  <c r="N51" i="8" s="1"/>
  <c r="N48" i="8" a="1"/>
  <c r="N48" i="8" s="1"/>
  <c r="N50" i="8" a="1"/>
  <c r="N50" i="8" s="1"/>
  <c r="N43" i="8" a="1"/>
  <c r="N43" i="8" s="1"/>
  <c r="N46" i="8" a="1"/>
  <c r="N46" i="8" s="1"/>
  <c r="N49" i="8" a="1"/>
  <c r="N49" i="8" s="1"/>
  <c r="N42" i="8" a="1"/>
  <c r="N42" i="8" s="1"/>
  <c r="N45" i="8" a="1"/>
  <c r="N45" i="8" s="1"/>
  <c r="N87" i="8" a="1"/>
  <c r="N87" i="8" s="1"/>
  <c r="N90" i="8" a="1"/>
  <c r="N90" i="8" s="1"/>
  <c r="N84" i="8" a="1"/>
  <c r="N84" i="8" s="1"/>
  <c r="N88" i="8" a="1"/>
  <c r="N88" i="8" s="1"/>
  <c r="N83" i="8" a="1"/>
  <c r="N83" i="8" s="1"/>
  <c r="N86" i="8" a="1"/>
  <c r="N86" i="8" s="1"/>
  <c r="N89" i="8" a="1"/>
  <c r="N89" i="8" s="1"/>
  <c r="N82" i="8" a="1"/>
  <c r="N82" i="8" s="1"/>
  <c r="N85" i="8" a="1"/>
  <c r="N85" i="8" s="1"/>
  <c r="N91" i="8" a="1"/>
  <c r="N91" i="8" s="1"/>
  <c r="N127" i="8" a="1"/>
  <c r="N127" i="8" s="1"/>
  <c r="N122" i="8" a="1"/>
  <c r="N122" i="8" s="1"/>
  <c r="N131" i="8" a="1"/>
  <c r="N131" i="8" s="1"/>
  <c r="N124" i="8" a="1"/>
  <c r="N124" i="8" s="1"/>
  <c r="N130" i="8" a="1"/>
  <c r="N130" i="8" s="1"/>
  <c r="N126" i="8" a="1"/>
  <c r="N126" i="8" s="1"/>
  <c r="N129" i="8" a="1"/>
  <c r="N129" i="8" s="1"/>
  <c r="N125" i="8" a="1"/>
  <c r="N125" i="8" s="1"/>
  <c r="N128" i="8" a="1"/>
  <c r="N128" i="8" s="1"/>
  <c r="N123" i="8" a="1"/>
  <c r="N123" i="8" s="1"/>
  <c r="N167" i="8" a="1"/>
  <c r="N167" i="8" s="1"/>
  <c r="N169" i="8" a="1"/>
  <c r="N169" i="8" s="1"/>
  <c r="N166" i="8" a="1"/>
  <c r="N166" i="8" s="1"/>
  <c r="N163" i="8" a="1"/>
  <c r="N163" i="8" s="1"/>
  <c r="N171" i="8" a="1"/>
  <c r="N171" i="8" s="1"/>
  <c r="N168" i="8" a="1"/>
  <c r="N168" i="8" s="1"/>
  <c r="N165" i="8" a="1"/>
  <c r="N165" i="8" s="1"/>
  <c r="N162" i="8" a="1"/>
  <c r="N162" i="8" s="1"/>
  <c r="N170" i="8" a="1"/>
  <c r="N170" i="8" s="1"/>
  <c r="N164" i="8" a="1"/>
  <c r="N164" i="8" s="1"/>
  <c r="N210" i="8" a="1"/>
  <c r="N210" i="8" s="1"/>
  <c r="N209" i="8" a="1"/>
  <c r="N209" i="8" s="1"/>
  <c r="N206" i="8" a="1"/>
  <c r="N206" i="8" s="1"/>
  <c r="N204" i="8" a="1"/>
  <c r="N204" i="8" s="1"/>
  <c r="N207" i="8" a="1"/>
  <c r="N207" i="8" s="1"/>
  <c r="N203" i="8" a="1"/>
  <c r="N203" i="8" s="1"/>
  <c r="N205" i="8" a="1"/>
  <c r="N205" i="8" s="1"/>
  <c r="N208" i="8" a="1"/>
  <c r="N208" i="8" s="1"/>
  <c r="N202" i="8" a="1"/>
  <c r="N202" i="8" s="1"/>
  <c r="N211" i="8" a="1"/>
  <c r="N211" i="8" s="1"/>
  <c r="N244" i="8" a="1"/>
  <c r="N244" i="8" s="1"/>
  <c r="N248" i="8" a="1"/>
  <c r="N248" i="8" s="1"/>
  <c r="N245" i="8" a="1"/>
  <c r="N245" i="8" s="1"/>
  <c r="N242" i="8" a="1"/>
  <c r="N242" i="8" s="1"/>
  <c r="N250" i="8" a="1"/>
  <c r="N250" i="8" s="1"/>
  <c r="N247" i="8" a="1"/>
  <c r="N247" i="8" s="1"/>
  <c r="N246" i="8" a="1"/>
  <c r="N246" i="8" s="1"/>
  <c r="N249" i="8" a="1"/>
  <c r="N249" i="8" s="1"/>
  <c r="N251" i="8" a="1"/>
  <c r="N251" i="8" s="1"/>
  <c r="N243" i="8" a="1"/>
  <c r="N243" i="8" s="1"/>
  <c r="N284" i="8" a="1"/>
  <c r="N284" i="8" s="1"/>
  <c r="N291" i="8" a="1"/>
  <c r="N291" i="8" s="1"/>
  <c r="N288" i="8" a="1"/>
  <c r="N288" i="8" s="1"/>
  <c r="N286" i="8" a="1"/>
  <c r="N286" i="8" s="1"/>
  <c r="N285" i="8" a="1"/>
  <c r="N285" i="8" s="1"/>
  <c r="N289" i="8" a="1"/>
  <c r="N289" i="8" s="1"/>
  <c r="N283" i="8" a="1"/>
  <c r="N283" i="8" s="1"/>
  <c r="N287" i="8" a="1"/>
  <c r="N287" i="8" s="1"/>
  <c r="N290" i="8" a="1"/>
  <c r="N290" i="8" s="1"/>
  <c r="N282" i="8" a="1"/>
  <c r="N282" i="8" s="1"/>
  <c r="K4" i="9"/>
  <c r="D4" i="10" s="1"/>
  <c r="N5" i="3" a="1"/>
  <c r="N5" i="3" s="1"/>
  <c r="K15" i="9"/>
  <c r="D15" i="10" s="1"/>
  <c r="N13" i="3" a="1"/>
  <c r="N13" i="3" s="1"/>
  <c r="N21" i="3" a="1"/>
  <c r="N21" i="3" s="1"/>
  <c r="N29" i="3" a="1"/>
  <c r="N29" i="3" s="1"/>
  <c r="K53" i="9"/>
  <c r="D53" i="10" s="1"/>
  <c r="N37" i="3" a="1"/>
  <c r="N37" i="3" s="1"/>
  <c r="N45" i="3" a="1"/>
  <c r="N45" i="3" s="1"/>
  <c r="N53" i="3" a="1"/>
  <c r="N53" i="3" s="1"/>
  <c r="N61" i="3" a="1"/>
  <c r="N61" i="3" s="1"/>
  <c r="K29" i="9"/>
  <c r="D29" i="10" s="1"/>
  <c r="N69" i="3" a="1"/>
  <c r="N69" i="3" s="1"/>
  <c r="N77" i="3" a="1"/>
  <c r="N77" i="3" s="1"/>
  <c r="N85" i="3" a="1"/>
  <c r="N85" i="3" s="1"/>
  <c r="N93" i="3" a="1"/>
  <c r="N93" i="3" s="1"/>
  <c r="N101" i="3" a="1"/>
  <c r="N101" i="3" s="1"/>
  <c r="N109" i="3" a="1"/>
  <c r="N109" i="3" s="1"/>
  <c r="K25" i="9"/>
  <c r="D25" i="10" s="1"/>
  <c r="N117" i="3" a="1"/>
  <c r="N117" i="3" s="1"/>
  <c r="N125" i="3" a="1"/>
  <c r="N125" i="3" s="1"/>
  <c r="N133" i="3" a="1"/>
  <c r="N133" i="3" s="1"/>
  <c r="N141" i="3" a="1"/>
  <c r="N141" i="3" s="1"/>
  <c r="K57" i="9"/>
  <c r="D57" i="10" s="1"/>
  <c r="N149" i="3" a="1"/>
  <c r="N149" i="3" s="1"/>
  <c r="N157" i="3" a="1"/>
  <c r="N157" i="3" s="1"/>
  <c r="N165" i="3" a="1"/>
  <c r="N165" i="3" s="1"/>
  <c r="N173" i="3" a="1"/>
  <c r="N173" i="3" s="1"/>
  <c r="N196" i="3" a="1"/>
  <c r="N196" i="3" s="1"/>
  <c r="N199" i="3" a="1"/>
  <c r="N199" i="3" s="1"/>
  <c r="N202" i="3" a="1"/>
  <c r="N202" i="3" s="1"/>
  <c r="N228" i="3" a="1"/>
  <c r="N228" i="3" s="1"/>
  <c r="N266" i="3" a="1"/>
  <c r="N266" i="3" s="1"/>
  <c r="N142" i="4" a="1"/>
  <c r="N142" i="4" s="1"/>
  <c r="N206" i="4" a="1"/>
  <c r="N206" i="4" s="1"/>
  <c r="N27" i="3" a="1"/>
  <c r="N27" i="3" s="1"/>
  <c r="K11" i="9"/>
  <c r="D11" i="10" s="1"/>
  <c r="N26" i="3" a="1"/>
  <c r="N26" i="3" s="1"/>
  <c r="K7" i="9"/>
  <c r="D7" i="10" s="1"/>
  <c r="N16" i="3" a="1"/>
  <c r="N16" i="3" s="1"/>
  <c r="N24" i="3" a="1"/>
  <c r="N24" i="3" s="1"/>
  <c r="N32" i="3" a="1"/>
  <c r="N32" i="3" s="1"/>
  <c r="K36" i="9"/>
  <c r="D36" i="10" s="1"/>
  <c r="N40" i="3" a="1"/>
  <c r="N40" i="3" s="1"/>
  <c r="N48" i="3" a="1"/>
  <c r="N48" i="3" s="1"/>
  <c r="N56" i="3" a="1"/>
  <c r="N56" i="3" s="1"/>
  <c r="K46" i="9"/>
  <c r="D46" i="10" s="1"/>
  <c r="N64" i="3" a="1"/>
  <c r="N64" i="3" s="1"/>
  <c r="K33" i="9"/>
  <c r="D33" i="10" s="1"/>
  <c r="N72" i="3" a="1"/>
  <c r="N72" i="3" s="1"/>
  <c r="N80" i="3" a="1"/>
  <c r="N80" i="3" s="1"/>
  <c r="N88" i="3" a="1"/>
  <c r="N88" i="3" s="1"/>
  <c r="N96" i="3" a="1"/>
  <c r="N96" i="3" s="1"/>
  <c r="N104" i="3" a="1"/>
  <c r="N104" i="3" s="1"/>
  <c r="N112" i="3" a="1"/>
  <c r="N112" i="3" s="1"/>
  <c r="K17" i="9"/>
  <c r="D17" i="10" s="1"/>
  <c r="N120" i="3" a="1"/>
  <c r="N120" i="3" s="1"/>
  <c r="N128" i="3" a="1"/>
  <c r="N128" i="3" s="1"/>
  <c r="N136" i="3" a="1"/>
  <c r="N136" i="3" s="1"/>
  <c r="N144" i="3" a="1"/>
  <c r="N144" i="3" s="1"/>
  <c r="K58" i="9"/>
  <c r="D58" i="10" s="1"/>
  <c r="N152" i="3" a="1"/>
  <c r="N152" i="3" s="1"/>
  <c r="K42" i="9"/>
  <c r="D42" i="10" s="1"/>
  <c r="N160" i="3" a="1"/>
  <c r="N160" i="3" s="1"/>
  <c r="N168" i="3" a="1"/>
  <c r="N168" i="3" s="1"/>
  <c r="N176" i="3" a="1"/>
  <c r="N176" i="3" s="1"/>
  <c r="N179" i="3" a="1"/>
  <c r="N179" i="3" s="1"/>
  <c r="N185" i="3" a="1"/>
  <c r="N185" i="3" s="1"/>
  <c r="N205" i="3" a="1"/>
  <c r="N205" i="3" s="1"/>
  <c r="N208" i="3" a="1"/>
  <c r="N208" i="3" s="1"/>
  <c r="N211" i="3" a="1"/>
  <c r="N211" i="3" s="1"/>
  <c r="N217" i="3" a="1"/>
  <c r="N217" i="3" s="1"/>
  <c r="N232" i="3" a="1"/>
  <c r="N232" i="3" s="1"/>
  <c r="N235" i="3" a="1"/>
  <c r="N235" i="3" s="1"/>
  <c r="N249" i="3" a="1"/>
  <c r="N249" i="3" s="1"/>
  <c r="N256" i="3" a="1"/>
  <c r="N256" i="3" s="1"/>
  <c r="N259" i="3" a="1"/>
  <c r="N259" i="3" s="1"/>
  <c r="N263" i="3" a="1"/>
  <c r="N263" i="3" s="1"/>
  <c r="N281" i="3" a="1"/>
  <c r="N281" i="3" s="1"/>
  <c r="N288" i="3" a="1"/>
  <c r="N288" i="3" s="1"/>
  <c r="N291" i="3" a="1"/>
  <c r="N291" i="3" s="1"/>
  <c r="N5" i="4" a="1"/>
  <c r="N5" i="4" s="1"/>
  <c r="N13" i="4" a="1"/>
  <c r="N13" i="4" s="1"/>
  <c r="N21" i="4" a="1"/>
  <c r="N21" i="4" s="1"/>
  <c r="N25" i="4" a="1"/>
  <c r="N25" i="4" s="1"/>
  <c r="N30" i="4" a="1"/>
  <c r="N30" i="4" s="1"/>
  <c r="N53" i="4" a="1"/>
  <c r="N53" i="4" s="1"/>
  <c r="N57" i="4" a="1"/>
  <c r="N57" i="4" s="1"/>
  <c r="N62" i="4" a="1"/>
  <c r="N62" i="4" s="1"/>
  <c r="N85" i="4" a="1"/>
  <c r="N85" i="4" s="1"/>
  <c r="N89" i="4" a="1"/>
  <c r="N89" i="4" s="1"/>
  <c r="N94" i="4" a="1"/>
  <c r="N94" i="4" s="1"/>
  <c r="N110" i="4" a="1"/>
  <c r="N110" i="4" s="1"/>
  <c r="N126" i="4" a="1"/>
  <c r="N126" i="4" s="1"/>
  <c r="N67" i="3" a="1"/>
  <c r="N67" i="3" s="1"/>
  <c r="N75" i="3" a="1"/>
  <c r="N75" i="3" s="1"/>
  <c r="N107" i="3" a="1"/>
  <c r="N107" i="3" s="1"/>
  <c r="N115" i="3" a="1"/>
  <c r="N115" i="3" s="1"/>
  <c r="N123" i="3" a="1"/>
  <c r="N123" i="3" s="1"/>
  <c r="N131" i="3" a="1"/>
  <c r="N131" i="3" s="1"/>
  <c r="N139" i="3" a="1"/>
  <c r="N139" i="3" s="1"/>
  <c r="N147" i="3" a="1"/>
  <c r="N147" i="3" s="1"/>
  <c r="N155" i="3" a="1"/>
  <c r="N155" i="3" s="1"/>
  <c r="N163" i="3" a="1"/>
  <c r="N163" i="3" s="1"/>
  <c r="N171" i="3" a="1"/>
  <c r="N171" i="3" s="1"/>
  <c r="N188" i="3" a="1"/>
  <c r="N188" i="3" s="1"/>
  <c r="N191" i="3" a="1"/>
  <c r="N191" i="3" s="1"/>
  <c r="N194" i="3" a="1"/>
  <c r="N194" i="3" s="1"/>
  <c r="N220" i="3" a="1"/>
  <c r="N220" i="3" s="1"/>
  <c r="N223" i="3" a="1"/>
  <c r="N223" i="3" s="1"/>
  <c r="N242" i="3" a="1"/>
  <c r="N242" i="3" s="1"/>
  <c r="N274" i="3" a="1"/>
  <c r="N274" i="3" s="1"/>
  <c r="N9" i="4" a="1"/>
  <c r="N9" i="4" s="1"/>
  <c r="N17" i="4" a="1"/>
  <c r="N17" i="4" s="1"/>
  <c r="K10" i="9"/>
  <c r="D10" i="10" s="1"/>
  <c r="N182" i="4" a="1"/>
  <c r="N182" i="4" s="1"/>
  <c r="N246" i="4" a="1"/>
  <c r="N246" i="4" s="1"/>
  <c r="N70" i="3" a="1"/>
  <c r="N70" i="3" s="1"/>
  <c r="N78" i="3" a="1"/>
  <c r="N78" i="3" s="1"/>
  <c r="N102" i="3" a="1"/>
  <c r="N102" i="3" s="1"/>
  <c r="N110" i="3" a="1"/>
  <c r="N110" i="3" s="1"/>
  <c r="N118" i="3" a="1"/>
  <c r="N118" i="3" s="1"/>
  <c r="N134" i="3" a="1"/>
  <c r="N134" i="3" s="1"/>
  <c r="N142" i="3" a="1"/>
  <c r="N142" i="3" s="1"/>
  <c r="N150" i="3" a="1"/>
  <c r="N150" i="3" s="1"/>
  <c r="N158" i="3" a="1"/>
  <c r="N158" i="3" s="1"/>
  <c r="N166" i="3" a="1"/>
  <c r="N166" i="3" s="1"/>
  <c r="N174" i="3" a="1"/>
  <c r="N174" i="3" s="1"/>
  <c r="N177" i="3" a="1"/>
  <c r="N177" i="3" s="1"/>
  <c r="N197" i="3" a="1"/>
  <c r="N197" i="3" s="1"/>
  <c r="N200" i="3" a="1"/>
  <c r="N200" i="3" s="1"/>
  <c r="N203" i="3" a="1"/>
  <c r="N203" i="3" s="1"/>
  <c r="N209" i="3" a="1"/>
  <c r="N209" i="3" s="1"/>
  <c r="N233" i="3" a="1"/>
  <c r="N233" i="3" s="1"/>
  <c r="N239" i="3" a="1"/>
  <c r="N239" i="3" s="1"/>
  <c r="N257" i="3" a="1"/>
  <c r="N257" i="3" s="1"/>
  <c r="N264" i="3" a="1"/>
  <c r="N264" i="3" s="1"/>
  <c r="N267" i="3" a="1"/>
  <c r="N267" i="3" s="1"/>
  <c r="N289" i="3" a="1"/>
  <c r="N289" i="3" s="1"/>
  <c r="N6" i="4" a="1"/>
  <c r="N6" i="4" s="1"/>
  <c r="N14" i="4" a="1"/>
  <c r="N14" i="4" s="1"/>
  <c r="N45" i="4" a="1"/>
  <c r="N45" i="4" s="1"/>
  <c r="N49" i="4" a="1"/>
  <c r="N49" i="4" s="1"/>
  <c r="N77" i="4" a="1"/>
  <c r="N77" i="4" s="1"/>
  <c r="N81" i="4" a="1"/>
  <c r="N81" i="4" s="1"/>
  <c r="N86" i="4" a="1"/>
  <c r="N86" i="4" s="1"/>
  <c r="N117" i="4" a="1"/>
  <c r="N117" i="4" s="1"/>
  <c r="N230" i="3" a="1"/>
  <c r="N230" i="3" s="1"/>
  <c r="N222" i="3" a="1"/>
  <c r="N222" i="3" s="1"/>
  <c r="N229" i="3" a="1"/>
  <c r="N229" i="3" s="1"/>
  <c r="N268" i="3" a="1"/>
  <c r="N268" i="3" s="1"/>
  <c r="N270" i="3" a="1"/>
  <c r="N270" i="3" s="1"/>
  <c r="N262" i="3" a="1"/>
  <c r="N262" i="3" s="1"/>
  <c r="N269" i="3" a="1"/>
  <c r="N269" i="3" s="1"/>
  <c r="N58" i="4" a="1"/>
  <c r="N58" i="4" s="1"/>
  <c r="N55" i="4" a="1"/>
  <c r="N55" i="4" s="1"/>
  <c r="N60" i="4" a="1"/>
  <c r="N60" i="4" s="1"/>
  <c r="N52" i="4" a="1"/>
  <c r="N52" i="4" s="1"/>
  <c r="N59" i="4" a="1"/>
  <c r="N59" i="4" s="1"/>
  <c r="N56" i="4" a="1"/>
  <c r="N56" i="4" s="1"/>
  <c r="N98" i="4" a="1"/>
  <c r="N98" i="4" s="1"/>
  <c r="N95" i="4" a="1"/>
  <c r="N95" i="4" s="1"/>
  <c r="N100" i="4" a="1"/>
  <c r="N100" i="4" s="1"/>
  <c r="N92" i="4" a="1"/>
  <c r="N92" i="4" s="1"/>
  <c r="N97" i="4" a="1"/>
  <c r="N97" i="4" s="1"/>
  <c r="N99" i="4" a="1"/>
  <c r="N99" i="4" s="1"/>
  <c r="N96" i="4" a="1"/>
  <c r="N96" i="4" s="1"/>
  <c r="N178" i="4" a="1"/>
  <c r="N178" i="4" s="1"/>
  <c r="N175" i="4" a="1"/>
  <c r="N175" i="4" s="1"/>
  <c r="N180" i="4" a="1"/>
  <c r="N180" i="4" s="1"/>
  <c r="N172" i="4" a="1"/>
  <c r="N172" i="4" s="1"/>
  <c r="N177" i="4" a="1"/>
  <c r="N177" i="4" s="1"/>
  <c r="N179" i="4" a="1"/>
  <c r="N179" i="4" s="1"/>
  <c r="N176" i="4" a="1"/>
  <c r="N176" i="4" s="1"/>
  <c r="N181" i="4" a="1"/>
  <c r="N181" i="4" s="1"/>
  <c r="N173" i="4" a="1"/>
  <c r="N173" i="4" s="1"/>
  <c r="N218" i="4" a="1"/>
  <c r="N218" i="4" s="1"/>
  <c r="N215" i="4" a="1"/>
  <c r="N215" i="4" s="1"/>
  <c r="N220" i="4" a="1"/>
  <c r="N220" i="4" s="1"/>
  <c r="N212" i="4" a="1"/>
  <c r="N212" i="4" s="1"/>
  <c r="N217" i="4" a="1"/>
  <c r="N217" i="4" s="1"/>
  <c r="N219" i="4" a="1"/>
  <c r="N219" i="4" s="1"/>
  <c r="N216" i="4" a="1"/>
  <c r="N216" i="4" s="1"/>
  <c r="N221" i="4" a="1"/>
  <c r="N221" i="4" s="1"/>
  <c r="N213" i="4" a="1"/>
  <c r="N213" i="4" s="1"/>
  <c r="N48" i="5" a="1"/>
  <c r="N48" i="5" s="1"/>
  <c r="N45" i="5" a="1"/>
  <c r="N45" i="5" s="1"/>
  <c r="N50" i="5" a="1"/>
  <c r="N50" i="5" s="1"/>
  <c r="N42" i="5" a="1"/>
  <c r="N42" i="5" s="1"/>
  <c r="N47" i="5" a="1"/>
  <c r="N47" i="5" s="1"/>
  <c r="N44" i="5" a="1"/>
  <c r="N44" i="5" s="1"/>
  <c r="N49" i="5" a="1"/>
  <c r="N49" i="5" s="1"/>
  <c r="N46" i="5" a="1"/>
  <c r="N46" i="5" s="1"/>
  <c r="N51" i="5" a="1"/>
  <c r="N51" i="5" s="1"/>
  <c r="N43" i="5" a="1"/>
  <c r="N43" i="5" s="1"/>
  <c r="N88" i="5" a="1"/>
  <c r="N88" i="5" s="1"/>
  <c r="N85" i="5" a="1"/>
  <c r="N85" i="5" s="1"/>
  <c r="N90" i="5" a="1"/>
  <c r="N90" i="5" s="1"/>
  <c r="N82" i="5" a="1"/>
  <c r="N82" i="5" s="1"/>
  <c r="N87" i="5" a="1"/>
  <c r="N87" i="5" s="1"/>
  <c r="N84" i="5" a="1"/>
  <c r="N84" i="5" s="1"/>
  <c r="N89" i="5" a="1"/>
  <c r="N89" i="5" s="1"/>
  <c r="N86" i="5" a="1"/>
  <c r="N86" i="5" s="1"/>
  <c r="N91" i="5" a="1"/>
  <c r="N91" i="5" s="1"/>
  <c r="N83" i="5" a="1"/>
  <c r="N83" i="5" s="1"/>
  <c r="N128" i="5" a="1"/>
  <c r="N128" i="5" s="1"/>
  <c r="N125" i="5" a="1"/>
  <c r="N125" i="5" s="1"/>
  <c r="N130" i="5" a="1"/>
  <c r="N130" i="5" s="1"/>
  <c r="N122" i="5" a="1"/>
  <c r="N122" i="5" s="1"/>
  <c r="N127" i="5" a="1"/>
  <c r="N127" i="5" s="1"/>
  <c r="N124" i="5" a="1"/>
  <c r="N124" i="5" s="1"/>
  <c r="N129" i="5" a="1"/>
  <c r="N129" i="5" s="1"/>
  <c r="N126" i="5" a="1"/>
  <c r="N126" i="5" s="1"/>
  <c r="N131" i="5" a="1"/>
  <c r="N131" i="5" s="1"/>
  <c r="N123" i="5" a="1"/>
  <c r="N123" i="5" s="1"/>
  <c r="N168" i="5" a="1"/>
  <c r="N168" i="5" s="1"/>
  <c r="N165" i="5" a="1"/>
  <c r="N165" i="5" s="1"/>
  <c r="N170" i="5" a="1"/>
  <c r="N170" i="5" s="1"/>
  <c r="N162" i="5" a="1"/>
  <c r="N162" i="5" s="1"/>
  <c r="N167" i="5" a="1"/>
  <c r="N167" i="5" s="1"/>
  <c r="N164" i="5" a="1"/>
  <c r="N164" i="5" s="1"/>
  <c r="N169" i="5" a="1"/>
  <c r="N169" i="5" s="1"/>
  <c r="N166" i="5" a="1"/>
  <c r="N166" i="5" s="1"/>
  <c r="N171" i="5" a="1"/>
  <c r="N171" i="5" s="1"/>
  <c r="N163" i="5" a="1"/>
  <c r="N163" i="5" s="1"/>
  <c r="N209" i="5" a="1"/>
  <c r="N209" i="5" s="1"/>
  <c r="N205" i="5" a="1"/>
  <c r="N205" i="5" s="1"/>
  <c r="N210" i="5" a="1"/>
  <c r="N210" i="5" s="1"/>
  <c r="N202" i="5" a="1"/>
  <c r="N202" i="5" s="1"/>
  <c r="N206" i="5" a="1"/>
  <c r="N206" i="5" s="1"/>
  <c r="N208" i="5" a="1"/>
  <c r="N208" i="5" s="1"/>
  <c r="N211" i="5" a="1"/>
  <c r="N211" i="5" s="1"/>
  <c r="N204" i="5" a="1"/>
  <c r="N204" i="5" s="1"/>
  <c r="N207" i="5" a="1"/>
  <c r="N207" i="5" s="1"/>
  <c r="N203" i="5" a="1"/>
  <c r="N203" i="5" s="1"/>
  <c r="N249" i="5" a="1"/>
  <c r="N249" i="5" s="1"/>
  <c r="N246" i="5" a="1"/>
  <c r="N246" i="5" s="1"/>
  <c r="N245" i="5" a="1"/>
  <c r="N245" i="5" s="1"/>
  <c r="N250" i="5" a="1"/>
  <c r="N250" i="5" s="1"/>
  <c r="N242" i="5" a="1"/>
  <c r="N242" i="5" s="1"/>
  <c r="N248" i="5" a="1"/>
  <c r="N248" i="5" s="1"/>
  <c r="N244" i="5" a="1"/>
  <c r="N244" i="5" s="1"/>
  <c r="N251" i="5" a="1"/>
  <c r="N251" i="5" s="1"/>
  <c r="N247" i="5" a="1"/>
  <c r="N247" i="5" s="1"/>
  <c r="N243" i="5" a="1"/>
  <c r="N243" i="5" s="1"/>
  <c r="N284" i="5" a="1"/>
  <c r="N284" i="5" s="1"/>
  <c r="N289" i="5" a="1"/>
  <c r="N289" i="5" s="1"/>
  <c r="N286" i="5" a="1"/>
  <c r="N286" i="5" s="1"/>
  <c r="N291" i="5" a="1"/>
  <c r="N291" i="5" s="1"/>
  <c r="N283" i="5" a="1"/>
  <c r="N283" i="5" s="1"/>
  <c r="N285" i="5" a="1"/>
  <c r="N285" i="5" s="1"/>
  <c r="N290" i="5" a="1"/>
  <c r="N290" i="5" s="1"/>
  <c r="N282" i="5" a="1"/>
  <c r="N282" i="5" s="1"/>
  <c r="N288" i="5" a="1"/>
  <c r="N288" i="5" s="1"/>
  <c r="N287" i="5" a="1"/>
  <c r="N287" i="5" s="1"/>
  <c r="N324" i="5" a="1"/>
  <c r="N324" i="5" s="1"/>
  <c r="N329" i="5" a="1"/>
  <c r="N329" i="5" s="1"/>
  <c r="N326" i="5" a="1"/>
  <c r="N326" i="5" s="1"/>
  <c r="N331" i="5" a="1"/>
  <c r="N331" i="5" s="1"/>
  <c r="N323" i="5" a="1"/>
  <c r="N323" i="5" s="1"/>
  <c r="N325" i="5" a="1"/>
  <c r="N325" i="5" s="1"/>
  <c r="N330" i="5" a="1"/>
  <c r="N330" i="5" s="1"/>
  <c r="N322" i="5" a="1"/>
  <c r="N322" i="5" s="1"/>
  <c r="N327" i="5" a="1"/>
  <c r="N327" i="5" s="1"/>
  <c r="N328" i="5" a="1"/>
  <c r="N328" i="5" s="1"/>
  <c r="N24" i="6" a="1"/>
  <c r="N24" i="6" s="1"/>
  <c r="N29" i="6" a="1"/>
  <c r="N29" i="6" s="1"/>
  <c r="N26" i="6" a="1"/>
  <c r="N26" i="6" s="1"/>
  <c r="N31" i="6" a="1"/>
  <c r="N31" i="6" s="1"/>
  <c r="N23" i="6" a="1"/>
  <c r="N23" i="6" s="1"/>
  <c r="N28" i="6" a="1"/>
  <c r="N28" i="6" s="1"/>
  <c r="N25" i="6" a="1"/>
  <c r="N25" i="6" s="1"/>
  <c r="N30" i="6" a="1"/>
  <c r="N30" i="6" s="1"/>
  <c r="N22" i="6" a="1"/>
  <c r="N22" i="6" s="1"/>
  <c r="N27" i="6" a="1"/>
  <c r="N27" i="6" s="1"/>
  <c r="N64" i="6" a="1"/>
  <c r="N64" i="6" s="1"/>
  <c r="N69" i="6" a="1"/>
  <c r="N69" i="6" s="1"/>
  <c r="N66" i="6" a="1"/>
  <c r="N66" i="6" s="1"/>
  <c r="N71" i="6" a="1"/>
  <c r="N71" i="6" s="1"/>
  <c r="N63" i="6" a="1"/>
  <c r="N63" i="6" s="1"/>
  <c r="N68" i="6" a="1"/>
  <c r="N68" i="6" s="1"/>
  <c r="N65" i="6" a="1"/>
  <c r="N65" i="6" s="1"/>
  <c r="N70" i="6" a="1"/>
  <c r="N70" i="6" s="1"/>
  <c r="N62" i="6" a="1"/>
  <c r="N62" i="6" s="1"/>
  <c r="N67" i="6" a="1"/>
  <c r="N67" i="6" s="1"/>
  <c r="N106" i="6" a="1"/>
  <c r="N106" i="6" s="1"/>
  <c r="N110" i="6" a="1"/>
  <c r="N110" i="6" s="1"/>
  <c r="N107" i="6" a="1"/>
  <c r="N107" i="6" s="1"/>
  <c r="N104" i="6" a="1"/>
  <c r="N104" i="6" s="1"/>
  <c r="N109" i="6" a="1"/>
  <c r="N109" i="6" s="1"/>
  <c r="N103" i="6" a="1"/>
  <c r="N103" i="6" s="1"/>
  <c r="N111" i="6" a="1"/>
  <c r="N111" i="6" s="1"/>
  <c r="N108" i="6" a="1"/>
  <c r="N108" i="6" s="1"/>
  <c r="N105" i="6" a="1"/>
  <c r="N105" i="6" s="1"/>
  <c r="N102" i="6" a="1"/>
  <c r="N102" i="6" s="1"/>
  <c r="N146" i="6" a="1"/>
  <c r="N146" i="6" s="1"/>
  <c r="N142" i="6" a="1"/>
  <c r="N142" i="6" s="1"/>
  <c r="N150" i="6" a="1"/>
  <c r="N150" i="6" s="1"/>
  <c r="N147" i="6" a="1"/>
  <c r="N147" i="6" s="1"/>
  <c r="N144" i="6" a="1"/>
  <c r="N144" i="6" s="1"/>
  <c r="N149" i="6" a="1"/>
  <c r="N149" i="6" s="1"/>
  <c r="N143" i="6" a="1"/>
  <c r="N143" i="6" s="1"/>
  <c r="N151" i="6" a="1"/>
  <c r="N151" i="6" s="1"/>
  <c r="N148" i="6" a="1"/>
  <c r="N148" i="6" s="1"/>
  <c r="N145" i="6" a="1"/>
  <c r="N145" i="6" s="1"/>
  <c r="N186" i="6" a="1"/>
  <c r="N186" i="6" s="1"/>
  <c r="N191" i="6" a="1"/>
  <c r="N191" i="6" s="1"/>
  <c r="N188" i="6" a="1"/>
  <c r="N188" i="6" s="1"/>
  <c r="N185" i="6" a="1"/>
  <c r="N185" i="6" s="1"/>
  <c r="N182" i="6" a="1"/>
  <c r="N182" i="6" s="1"/>
  <c r="N190" i="6" a="1"/>
  <c r="N190" i="6" s="1"/>
  <c r="N187" i="6" a="1"/>
  <c r="N187" i="6" s="1"/>
  <c r="N184" i="6" a="1"/>
  <c r="N184" i="6" s="1"/>
  <c r="N189" i="6" a="1"/>
  <c r="N189" i="6" s="1"/>
  <c r="N183" i="6" a="1"/>
  <c r="N183" i="6" s="1"/>
  <c r="N231" i="6" a="1"/>
  <c r="N231" i="6" s="1"/>
  <c r="N223" i="6" a="1"/>
  <c r="N223" i="6" s="1"/>
  <c r="N226" i="6" a="1"/>
  <c r="N226" i="6" s="1"/>
  <c r="N230" i="6" a="1"/>
  <c r="N230" i="6" s="1"/>
  <c r="N227" i="6" a="1"/>
  <c r="N227" i="6" s="1"/>
  <c r="N229" i="6" a="1"/>
  <c r="N229" i="6" s="1"/>
  <c r="N225" i="6" a="1"/>
  <c r="N225" i="6" s="1"/>
  <c r="N222" i="6" a="1"/>
  <c r="N222" i="6" s="1"/>
  <c r="N228" i="6" a="1"/>
  <c r="N228" i="6" s="1"/>
  <c r="N224" i="6" a="1"/>
  <c r="N224" i="6" s="1"/>
  <c r="N271" i="6" a="1"/>
  <c r="N271" i="6" s="1"/>
  <c r="N263" i="6" a="1"/>
  <c r="N263" i="6" s="1"/>
  <c r="N265" i="6" a="1"/>
  <c r="N265" i="6" s="1"/>
  <c r="N264" i="6" a="1"/>
  <c r="N264" i="6" s="1"/>
  <c r="N269" i="6" a="1"/>
  <c r="N269" i="6" s="1"/>
  <c r="N266" i="6" a="1"/>
  <c r="N266" i="6" s="1"/>
  <c r="N267" i="6" a="1"/>
  <c r="N267" i="6" s="1"/>
  <c r="N262" i="6" a="1"/>
  <c r="N262" i="6" s="1"/>
  <c r="N270" i="6" a="1"/>
  <c r="N270" i="6" s="1"/>
  <c r="N268" i="6" a="1"/>
  <c r="N268" i="6" s="1"/>
  <c r="N308" i="6" a="1"/>
  <c r="N308" i="6" s="1"/>
  <c r="N310" i="6" a="1"/>
  <c r="N310" i="6" s="1"/>
  <c r="N307" i="6" a="1"/>
  <c r="N307" i="6" s="1"/>
  <c r="N311" i="6" a="1"/>
  <c r="N311" i="6" s="1"/>
  <c r="N305" i="6" a="1"/>
  <c r="N305" i="6" s="1"/>
  <c r="N302" i="6" a="1"/>
  <c r="N302" i="6" s="1"/>
  <c r="N309" i="6" a="1"/>
  <c r="N309" i="6" s="1"/>
  <c r="N304" i="6" a="1"/>
  <c r="N304" i="6" s="1"/>
  <c r="N303" i="6" a="1"/>
  <c r="N303" i="6" s="1"/>
  <c r="N306" i="6" a="1"/>
  <c r="N306" i="6" s="1"/>
  <c r="N29" i="7" a="1"/>
  <c r="N29" i="7" s="1"/>
  <c r="N28" i="7" a="1"/>
  <c r="N28" i="7" s="1"/>
  <c r="N27" i="7" a="1"/>
  <c r="N27" i="7" s="1"/>
  <c r="N22" i="7" a="1"/>
  <c r="N22" i="7" s="1"/>
  <c r="N25" i="7" a="1"/>
  <c r="N25" i="7" s="1"/>
  <c r="N31" i="7" a="1"/>
  <c r="N31" i="7" s="1"/>
  <c r="N23" i="7" a="1"/>
  <c r="N23" i="7" s="1"/>
  <c r="N26" i="7" a="1"/>
  <c r="N26" i="7" s="1"/>
  <c r="N30" i="7" a="1"/>
  <c r="N30" i="7" s="1"/>
  <c r="N24" i="7" a="1"/>
  <c r="N24" i="7" s="1"/>
  <c r="N69" i="7" a="1"/>
  <c r="N69" i="7" s="1"/>
  <c r="N68" i="7" a="1"/>
  <c r="N68" i="7" s="1"/>
  <c r="N65" i="7" a="1"/>
  <c r="N65" i="7" s="1"/>
  <c r="N71" i="7" a="1"/>
  <c r="N71" i="7" s="1"/>
  <c r="N67" i="7" a="1"/>
  <c r="N67" i="7" s="1"/>
  <c r="N64" i="7" a="1"/>
  <c r="N64" i="7" s="1"/>
  <c r="N70" i="7" a="1"/>
  <c r="N70" i="7" s="1"/>
  <c r="N66" i="7" a="1"/>
  <c r="N66" i="7" s="1"/>
  <c r="N63" i="7" a="1"/>
  <c r="N63" i="7" s="1"/>
  <c r="N62" i="7" a="1"/>
  <c r="N62" i="7" s="1"/>
  <c r="N104" i="7" a="1"/>
  <c r="N104" i="7" s="1"/>
  <c r="N109" i="7" a="1"/>
  <c r="N109" i="7" s="1"/>
  <c r="N111" i="7" a="1"/>
  <c r="N111" i="7" s="1"/>
  <c r="N103" i="7" a="1"/>
  <c r="N103" i="7" s="1"/>
  <c r="N108" i="7" a="1"/>
  <c r="N108" i="7" s="1"/>
  <c r="N105" i="7" a="1"/>
  <c r="N105" i="7" s="1"/>
  <c r="N110" i="7" a="1"/>
  <c r="N110" i="7" s="1"/>
  <c r="N106" i="7" a="1"/>
  <c r="N106" i="7" s="1"/>
  <c r="N107" i="7" a="1"/>
  <c r="N107" i="7" s="1"/>
  <c r="N102" i="7" a="1"/>
  <c r="N102" i="7" s="1"/>
  <c r="N144" i="7" a="1"/>
  <c r="N144" i="7" s="1"/>
  <c r="N149" i="7" a="1"/>
  <c r="N149" i="7" s="1"/>
  <c r="N151" i="7" a="1"/>
  <c r="N151" i="7" s="1"/>
  <c r="N143" i="7" a="1"/>
  <c r="N143" i="7" s="1"/>
  <c r="N148" i="7" a="1"/>
  <c r="N148" i="7" s="1"/>
  <c r="N145" i="7" a="1"/>
  <c r="N145" i="7" s="1"/>
  <c r="N147" i="7" a="1"/>
  <c r="N147" i="7" s="1"/>
  <c r="N142" i="7" a="1"/>
  <c r="N142" i="7" s="1"/>
  <c r="N150" i="7" a="1"/>
  <c r="N150" i="7" s="1"/>
  <c r="N146" i="7" a="1"/>
  <c r="N146" i="7" s="1"/>
  <c r="N184" i="7" a="1"/>
  <c r="N184" i="7" s="1"/>
  <c r="N189" i="7" a="1"/>
  <c r="N189" i="7" s="1"/>
  <c r="N191" i="7" a="1"/>
  <c r="N191" i="7" s="1"/>
  <c r="N183" i="7" a="1"/>
  <c r="N183" i="7" s="1"/>
  <c r="N188" i="7" a="1"/>
  <c r="N188" i="7" s="1"/>
  <c r="N185" i="7" a="1"/>
  <c r="N185" i="7" s="1"/>
  <c r="N190" i="7" a="1"/>
  <c r="N190" i="7" s="1"/>
  <c r="N182" i="7" a="1"/>
  <c r="N182" i="7" s="1"/>
  <c r="N187" i="7" a="1"/>
  <c r="N187" i="7" s="1"/>
  <c r="N186" i="7" a="1"/>
  <c r="N186" i="7" s="1"/>
  <c r="N224" i="7" a="1"/>
  <c r="N224" i="7" s="1"/>
  <c r="N229" i="7" a="1"/>
  <c r="N229" i="7" s="1"/>
  <c r="N231" i="7" a="1"/>
  <c r="N231" i="7" s="1"/>
  <c r="N223" i="7" a="1"/>
  <c r="N223" i="7" s="1"/>
  <c r="N228" i="7" a="1"/>
  <c r="N228" i="7" s="1"/>
  <c r="N225" i="7" a="1"/>
  <c r="N225" i="7" s="1"/>
  <c r="N230" i="7" a="1"/>
  <c r="N230" i="7" s="1"/>
  <c r="N222" i="7" a="1"/>
  <c r="N222" i="7" s="1"/>
  <c r="N227" i="7" a="1"/>
  <c r="N227" i="7" s="1"/>
  <c r="N226" i="7" a="1"/>
  <c r="N226" i="7" s="1"/>
  <c r="N268" i="7" a="1"/>
  <c r="N268" i="7" s="1"/>
  <c r="N270" i="7" a="1"/>
  <c r="N270" i="7" s="1"/>
  <c r="N267" i="7" a="1"/>
  <c r="N267" i="7" s="1"/>
  <c r="N269" i="7" a="1"/>
  <c r="N269" i="7" s="1"/>
  <c r="N266" i="7" a="1"/>
  <c r="N266" i="7" s="1"/>
  <c r="N263" i="7" a="1"/>
  <c r="N263" i="7" s="1"/>
  <c r="N264" i="7" a="1"/>
  <c r="N264" i="7" s="1"/>
  <c r="N262" i="7" a="1"/>
  <c r="N262" i="7" s="1"/>
  <c r="N271" i="7" a="1"/>
  <c r="N271" i="7" s="1"/>
  <c r="N265" i="7" a="1"/>
  <c r="N265" i="7" s="1"/>
  <c r="N308" i="7" a="1"/>
  <c r="N308" i="7" s="1"/>
  <c r="N303" i="7" a="1"/>
  <c r="N303" i="7" s="1"/>
  <c r="N311" i="7" a="1"/>
  <c r="N311" i="7" s="1"/>
  <c r="N305" i="7" a="1"/>
  <c r="N305" i="7" s="1"/>
  <c r="N302" i="7" a="1"/>
  <c r="N302" i="7" s="1"/>
  <c r="N310" i="7" a="1"/>
  <c r="N310" i="7" s="1"/>
  <c r="N307" i="7" a="1"/>
  <c r="N307" i="7" s="1"/>
  <c r="N304" i="7" a="1"/>
  <c r="N304" i="7" s="1"/>
  <c r="N309" i="7" a="1"/>
  <c r="N309" i="7" s="1"/>
  <c r="N306" i="7" a="1"/>
  <c r="N306" i="7" s="1"/>
  <c r="N20" i="8" a="1"/>
  <c r="N20" i="8" s="1"/>
  <c r="N12" i="8" a="1"/>
  <c r="N12" i="8" s="1"/>
  <c r="N15" i="8" a="1"/>
  <c r="N15" i="8" s="1"/>
  <c r="N19" i="8" a="1"/>
  <c r="N19" i="8" s="1"/>
  <c r="N16" i="8" a="1"/>
  <c r="N16" i="8" s="1"/>
  <c r="N18" i="8" a="1"/>
  <c r="N18" i="8" s="1"/>
  <c r="N21" i="8" a="1"/>
  <c r="N21" i="8" s="1"/>
  <c r="N14" i="8" a="1"/>
  <c r="N14" i="8" s="1"/>
  <c r="N17" i="8" a="1"/>
  <c r="N17" i="8" s="1"/>
  <c r="N13" i="8" a="1"/>
  <c r="N13" i="8" s="1"/>
  <c r="N60" i="8" a="1"/>
  <c r="N60" i="8" s="1"/>
  <c r="N52" i="8" a="1"/>
  <c r="N52" i="8" s="1"/>
  <c r="N54" i="8" a="1"/>
  <c r="N54" i="8" s="1"/>
  <c r="N57" i="8" a="1"/>
  <c r="N57" i="8" s="1"/>
  <c r="N59" i="8" a="1"/>
  <c r="N59" i="8" s="1"/>
  <c r="N53" i="8" a="1"/>
  <c r="N53" i="8" s="1"/>
  <c r="N56" i="8" a="1"/>
  <c r="N56" i="8" s="1"/>
  <c r="N61" i="8" a="1"/>
  <c r="N61" i="8" s="1"/>
  <c r="N58" i="8" a="1"/>
  <c r="N58" i="8" s="1"/>
  <c r="N55" i="8" a="1"/>
  <c r="N55" i="8" s="1"/>
  <c r="N95" i="8" a="1"/>
  <c r="N95" i="8" s="1"/>
  <c r="N101" i="8" a="1"/>
  <c r="N101" i="8" s="1"/>
  <c r="N98" i="8" a="1"/>
  <c r="N98" i="8" s="1"/>
  <c r="N97" i="8" a="1"/>
  <c r="N97" i="8" s="1"/>
  <c r="N100" i="8" a="1"/>
  <c r="N100" i="8" s="1"/>
  <c r="N93" i="8" a="1"/>
  <c r="N93" i="8" s="1"/>
  <c r="N96" i="8" a="1"/>
  <c r="N96" i="8" s="1"/>
  <c r="N92" i="8" a="1"/>
  <c r="N92" i="8" s="1"/>
  <c r="N99" i="8" a="1"/>
  <c r="N99" i="8" s="1"/>
  <c r="N94" i="8" a="1"/>
  <c r="N94" i="8" s="1"/>
  <c r="N135" i="8" a="1"/>
  <c r="N135" i="8" s="1"/>
  <c r="N140" i="8" a="1"/>
  <c r="N140" i="8" s="1"/>
  <c r="N137" i="8" a="1"/>
  <c r="N137" i="8" s="1"/>
  <c r="N134" i="8" a="1"/>
  <c r="N134" i="8" s="1"/>
  <c r="N139" i="8" a="1"/>
  <c r="N139" i="8" s="1"/>
  <c r="N136" i="8" a="1"/>
  <c r="N136" i="8" s="1"/>
  <c r="N133" i="8" a="1"/>
  <c r="N133" i="8" s="1"/>
  <c r="N138" i="8" a="1"/>
  <c r="N138" i="8" s="1"/>
  <c r="N132" i="8" a="1"/>
  <c r="N132" i="8" s="1"/>
  <c r="N141" i="8" a="1"/>
  <c r="N141" i="8" s="1"/>
  <c r="N175" i="8" a="1"/>
  <c r="N175" i="8" s="1"/>
  <c r="N180" i="8" a="1"/>
  <c r="N180" i="8" s="1"/>
  <c r="N177" i="8" a="1"/>
  <c r="N177" i="8" s="1"/>
  <c r="N174" i="8" a="1"/>
  <c r="N174" i="8" s="1"/>
  <c r="N172" i="8" a="1"/>
  <c r="N172" i="8" s="1"/>
  <c r="N173" i="8" a="1"/>
  <c r="N173" i="8" s="1"/>
  <c r="N176" i="8" a="1"/>
  <c r="N176" i="8" s="1"/>
  <c r="N178" i="8" a="1"/>
  <c r="N178" i="8" s="1"/>
  <c r="N181" i="8" a="1"/>
  <c r="N181" i="8" s="1"/>
  <c r="N179" i="8" a="1"/>
  <c r="N179" i="8" s="1"/>
  <c r="N220" i="8" a="1"/>
  <c r="N220" i="8" s="1"/>
  <c r="N212" i="8" a="1"/>
  <c r="N212" i="8" s="1"/>
  <c r="N216" i="8" a="1"/>
  <c r="N216" i="8" s="1"/>
  <c r="N213" i="8" a="1"/>
  <c r="N213" i="8" s="1"/>
  <c r="N219" i="8" a="1"/>
  <c r="N219" i="8" s="1"/>
  <c r="N214" i="8" a="1"/>
  <c r="N214" i="8" s="1"/>
  <c r="N221" i="8" a="1"/>
  <c r="N221" i="8" s="1"/>
  <c r="N215" i="8" a="1"/>
  <c r="N215" i="8" s="1"/>
  <c r="N218" i="8" a="1"/>
  <c r="N218" i="8" s="1"/>
  <c r="N217" i="8" a="1"/>
  <c r="N217" i="8" s="1"/>
  <c r="N260" i="8" a="1"/>
  <c r="N260" i="8" s="1"/>
  <c r="N252" i="8" a="1"/>
  <c r="N252" i="8" s="1"/>
  <c r="N257" i="8" a="1"/>
  <c r="N257" i="8" s="1"/>
  <c r="N261" i="8" a="1"/>
  <c r="N261" i="8" s="1"/>
  <c r="N258" i="8" a="1"/>
  <c r="N258" i="8" s="1"/>
  <c r="N255" i="8" a="1"/>
  <c r="N255" i="8" s="1"/>
  <c r="N253" i="8" a="1"/>
  <c r="N253" i="8" s="1"/>
  <c r="N256" i="8" a="1"/>
  <c r="N256" i="8" s="1"/>
  <c r="N259" i="8" a="1"/>
  <c r="N259" i="8" s="1"/>
  <c r="N254" i="8" a="1"/>
  <c r="N254" i="8" s="1"/>
  <c r="N300" i="8" a="1"/>
  <c r="N300" i="8" s="1"/>
  <c r="N292" i="8" a="1"/>
  <c r="N292" i="8" s="1"/>
  <c r="N297" i="8" a="1"/>
  <c r="N297" i="8" s="1"/>
  <c r="N294" i="8" a="1"/>
  <c r="N294" i="8" s="1"/>
  <c r="N301" i="8" a="1"/>
  <c r="N301" i="8" s="1"/>
  <c r="N298" i="8" a="1"/>
  <c r="N298" i="8" s="1"/>
  <c r="N296" i="8" a="1"/>
  <c r="N296" i="8" s="1"/>
  <c r="N299" i="8" a="1"/>
  <c r="N299" i="8" s="1"/>
  <c r="N295" i="8" a="1"/>
  <c r="N295" i="8" s="1"/>
  <c r="N293" i="8" a="1"/>
  <c r="N293" i="8" s="1"/>
  <c r="N41" i="3" a="1"/>
  <c r="N41" i="3" s="1"/>
  <c r="K41" i="9"/>
  <c r="D41" i="10" s="1"/>
  <c r="N65" i="3" a="1"/>
  <c r="N65" i="3" s="1"/>
  <c r="K32" i="9"/>
  <c r="D32" i="10" s="1"/>
  <c r="N73" i="3" a="1"/>
  <c r="N73" i="3" s="1"/>
  <c r="N81" i="3" a="1"/>
  <c r="N81" i="3" s="1"/>
  <c r="N105" i="3" a="1"/>
  <c r="N105" i="3" s="1"/>
  <c r="N113" i="3" a="1"/>
  <c r="N113" i="3" s="1"/>
  <c r="N121" i="3" a="1"/>
  <c r="N121" i="3" s="1"/>
  <c r="N137" i="3" a="1"/>
  <c r="N137" i="3" s="1"/>
  <c r="N145" i="3" a="1"/>
  <c r="N145" i="3" s="1"/>
  <c r="N153" i="3" a="1"/>
  <c r="N153" i="3" s="1"/>
  <c r="N161" i="3" a="1"/>
  <c r="N161" i="3" s="1"/>
  <c r="N169" i="3" a="1"/>
  <c r="N169" i="3" s="1"/>
  <c r="N180" i="3" a="1"/>
  <c r="N180" i="3" s="1"/>
  <c r="N183" i="3" a="1"/>
  <c r="N183" i="3" s="1"/>
  <c r="N186" i="3" a="1"/>
  <c r="N186" i="3" s="1"/>
  <c r="N212" i="3" a="1"/>
  <c r="N212" i="3" s="1"/>
  <c r="N215" i="3" a="1"/>
  <c r="N215" i="3" s="1"/>
  <c r="N218" i="3" a="1"/>
  <c r="N218" i="3" s="1"/>
  <c r="N236" i="3" a="1"/>
  <c r="N236" i="3" s="1"/>
  <c r="N250" i="3" a="1"/>
  <c r="N250" i="3" s="1"/>
  <c r="N138" i="4" a="1"/>
  <c r="N138" i="4" s="1"/>
  <c r="N135" i="4" a="1"/>
  <c r="N135" i="4" s="1"/>
  <c r="N140" i="4" a="1"/>
  <c r="N140" i="4" s="1"/>
  <c r="N132" i="4" a="1"/>
  <c r="N132" i="4" s="1"/>
  <c r="N137" i="4" a="1"/>
  <c r="N137" i="4" s="1"/>
  <c r="N139" i="4" a="1"/>
  <c r="N139" i="4" s="1"/>
  <c r="N136" i="4" a="1"/>
  <c r="N136" i="4" s="1"/>
  <c r="N141" i="4" a="1"/>
  <c r="N141" i="4" s="1"/>
  <c r="N8" i="5" a="1"/>
  <c r="N8" i="5" s="1"/>
  <c r="N5" i="5" a="1"/>
  <c r="N5" i="5" s="1"/>
  <c r="N10" i="5" a="1"/>
  <c r="N10" i="5" s="1"/>
  <c r="N2" i="5" a="1"/>
  <c r="N2" i="5" s="1"/>
  <c r="N7" i="5" a="1"/>
  <c r="N7" i="5" s="1"/>
  <c r="N4" i="5" a="1"/>
  <c r="N4" i="5" s="1"/>
  <c r="N9" i="5" a="1"/>
  <c r="N9" i="5" s="1"/>
  <c r="N6" i="5" a="1"/>
  <c r="N6" i="5" s="1"/>
  <c r="N11" i="5" a="1"/>
  <c r="N11" i="5" s="1"/>
  <c r="N3" i="5" a="1"/>
  <c r="N3" i="5" s="1"/>
  <c r="N22" i="3" a="1"/>
  <c r="N22" i="3" s="1"/>
  <c r="N30" i="3" a="1"/>
  <c r="N30" i="3" s="1"/>
  <c r="N164" i="3" a="1"/>
  <c r="N164" i="3" s="1"/>
  <c r="N172" i="3" a="1"/>
  <c r="N172" i="3" s="1"/>
  <c r="N192" i="3" a="1"/>
  <c r="N192" i="3" s="1"/>
  <c r="N195" i="3" a="1"/>
  <c r="N195" i="3" s="1"/>
  <c r="N201" i="3" a="1"/>
  <c r="N201" i="3" s="1"/>
  <c r="N221" i="3" a="1"/>
  <c r="N221" i="3" s="1"/>
  <c r="N224" i="3" a="1"/>
  <c r="N224" i="3" s="1"/>
  <c r="N227" i="3" a="1"/>
  <c r="N227" i="3" s="1"/>
  <c r="N243" i="3" a="1"/>
  <c r="N243" i="3" s="1"/>
  <c r="N265" i="3" a="1"/>
  <c r="N265" i="3" s="1"/>
  <c r="N272" i="3" a="1"/>
  <c r="N272" i="3" s="1"/>
  <c r="N275" i="3" a="1"/>
  <c r="N275" i="3" s="1"/>
  <c r="N7" i="4" a="1"/>
  <c r="N7" i="4" s="1"/>
  <c r="N37" i="4" a="1"/>
  <c r="N37" i="4" s="1"/>
  <c r="N46" i="4" a="1"/>
  <c r="N46" i="4" s="1"/>
  <c r="N73" i="4" a="1"/>
  <c r="N73" i="4" s="1"/>
  <c r="N134" i="4" a="1"/>
  <c r="N134" i="4" s="1"/>
  <c r="N190" i="3" a="1"/>
  <c r="N190" i="3" s="1"/>
  <c r="N182" i="3" a="1"/>
  <c r="N182" i="3" s="1"/>
  <c r="N18" i="4" a="1"/>
  <c r="N18" i="4" s="1"/>
  <c r="N20" i="4" a="1"/>
  <c r="N20" i="4" s="1"/>
  <c r="N12" i="4" a="1"/>
  <c r="N12" i="4" s="1"/>
  <c r="N19" i="4" a="1"/>
  <c r="N19" i="4" s="1"/>
  <c r="N16" i="4" a="1"/>
  <c r="N16" i="4" s="1"/>
  <c r="N258" i="4" a="1"/>
  <c r="N258" i="4" s="1"/>
  <c r="N255" i="4" a="1"/>
  <c r="N255" i="4" s="1"/>
  <c r="N260" i="4" a="1"/>
  <c r="N260" i="4" s="1"/>
  <c r="N252" i="4" a="1"/>
  <c r="N252" i="4" s="1"/>
  <c r="N257" i="4" a="1"/>
  <c r="N257" i="4" s="1"/>
  <c r="N259" i="4" a="1"/>
  <c r="N259" i="4" s="1"/>
  <c r="N256" i="4" a="1"/>
  <c r="N256" i="4" s="1"/>
  <c r="N261" i="4" a="1"/>
  <c r="N261" i="4" s="1"/>
  <c r="N253" i="4" a="1"/>
  <c r="N253" i="4" s="1"/>
  <c r="N62" i="3" a="1"/>
  <c r="N62" i="3" s="1"/>
  <c r="N238" i="3" a="1"/>
  <c r="N238" i="3" s="1"/>
  <c r="N237" i="3" a="1"/>
  <c r="N237" i="3" s="1"/>
  <c r="N276" i="3" a="1"/>
  <c r="N276" i="3" s="1"/>
  <c r="N278" i="3" a="1"/>
  <c r="N278" i="3" s="1"/>
  <c r="N277" i="3" a="1"/>
  <c r="N277" i="3" s="1"/>
  <c r="N26" i="4" a="1"/>
  <c r="N26" i="4" s="1"/>
  <c r="N31" i="4" a="1"/>
  <c r="N31" i="4" s="1"/>
  <c r="N23" i="4" a="1"/>
  <c r="N23" i="4" s="1"/>
  <c r="N28" i="4" a="1"/>
  <c r="N28" i="4" s="1"/>
  <c r="N27" i="4" a="1"/>
  <c r="N27" i="4" s="1"/>
  <c r="N24" i="4" a="1"/>
  <c r="N24" i="4" s="1"/>
  <c r="N66" i="4" a="1"/>
  <c r="N66" i="4" s="1"/>
  <c r="N71" i="4" a="1"/>
  <c r="N71" i="4" s="1"/>
  <c r="N63" i="4" a="1"/>
  <c r="N63" i="4" s="1"/>
  <c r="N68" i="4" a="1"/>
  <c r="N68" i="4" s="1"/>
  <c r="N67" i="4" a="1"/>
  <c r="N67" i="4" s="1"/>
  <c r="N64" i="4" a="1"/>
  <c r="N64" i="4" s="1"/>
  <c r="N106" i="4" a="1"/>
  <c r="N106" i="4" s="1"/>
  <c r="N111" i="4" a="1"/>
  <c r="N111" i="4" s="1"/>
  <c r="N103" i="4" a="1"/>
  <c r="N103" i="4" s="1"/>
  <c r="N108" i="4" a="1"/>
  <c r="N108" i="4" s="1"/>
  <c r="N105" i="4" a="1"/>
  <c r="N105" i="4" s="1"/>
  <c r="N107" i="4" a="1"/>
  <c r="N107" i="4" s="1"/>
  <c r="N104" i="4" a="1"/>
  <c r="N104" i="4" s="1"/>
  <c r="N146" i="4" a="1"/>
  <c r="N146" i="4" s="1"/>
  <c r="N151" i="4" a="1"/>
  <c r="N151" i="4" s="1"/>
  <c r="N143" i="4" a="1"/>
  <c r="N143" i="4" s="1"/>
  <c r="N148" i="4" a="1"/>
  <c r="N148" i="4" s="1"/>
  <c r="N145" i="4" a="1"/>
  <c r="N145" i="4" s="1"/>
  <c r="N147" i="4" a="1"/>
  <c r="N147" i="4" s="1"/>
  <c r="N144" i="4" a="1"/>
  <c r="N144" i="4" s="1"/>
  <c r="N149" i="4" a="1"/>
  <c r="N149" i="4" s="1"/>
  <c r="N186" i="4" a="1"/>
  <c r="N186" i="4" s="1"/>
  <c r="N191" i="4" a="1"/>
  <c r="N191" i="4" s="1"/>
  <c r="N183" i="4" a="1"/>
  <c r="N183" i="4" s="1"/>
  <c r="N188" i="4" a="1"/>
  <c r="N188" i="4" s="1"/>
  <c r="N185" i="4" a="1"/>
  <c r="N185" i="4" s="1"/>
  <c r="N187" i="4" a="1"/>
  <c r="N187" i="4" s="1"/>
  <c r="N184" i="4" a="1"/>
  <c r="N184" i="4" s="1"/>
  <c r="N189" i="4" a="1"/>
  <c r="N189" i="4" s="1"/>
  <c r="N226" i="4" a="1"/>
  <c r="N226" i="4" s="1"/>
  <c r="N231" i="4" a="1"/>
  <c r="N231" i="4" s="1"/>
  <c r="N223" i="4" a="1"/>
  <c r="N223" i="4" s="1"/>
  <c r="N228" i="4" a="1"/>
  <c r="N228" i="4" s="1"/>
  <c r="N225" i="4" a="1"/>
  <c r="N225" i="4" s="1"/>
  <c r="N227" i="4" a="1"/>
  <c r="N227" i="4" s="1"/>
  <c r="N224" i="4" a="1"/>
  <c r="N224" i="4" s="1"/>
  <c r="N229" i="4" a="1"/>
  <c r="N229" i="4" s="1"/>
  <c r="N266" i="4" a="1"/>
  <c r="N266" i="4" s="1"/>
  <c r="N271" i="4" a="1"/>
  <c r="N271" i="4" s="1"/>
  <c r="N263" i="4" a="1"/>
  <c r="N263" i="4" s="1"/>
  <c r="N268" i="4" a="1"/>
  <c r="N268" i="4" s="1"/>
  <c r="N265" i="4" a="1"/>
  <c r="N265" i="4" s="1"/>
  <c r="N270" i="4" a="1"/>
  <c r="N270" i="4" s="1"/>
  <c r="N262" i="4" a="1"/>
  <c r="N262" i="4" s="1"/>
  <c r="N267" i="4" a="1"/>
  <c r="N267" i="4" s="1"/>
  <c r="N264" i="4" a="1"/>
  <c r="N264" i="4" s="1"/>
  <c r="N269" i="4" a="1"/>
  <c r="N269" i="4" s="1"/>
  <c r="N16" i="5" a="1"/>
  <c r="N16" i="5" s="1"/>
  <c r="N21" i="5" a="1"/>
  <c r="N21" i="5" s="1"/>
  <c r="N13" i="5" a="1"/>
  <c r="N13" i="5" s="1"/>
  <c r="N18" i="5" a="1"/>
  <c r="N18" i="5" s="1"/>
  <c r="N15" i="5" a="1"/>
  <c r="N15" i="5" s="1"/>
  <c r="N20" i="5" a="1"/>
  <c r="N20" i="5" s="1"/>
  <c r="N12" i="5" a="1"/>
  <c r="N12" i="5" s="1"/>
  <c r="N17" i="5" a="1"/>
  <c r="N17" i="5" s="1"/>
  <c r="N14" i="5" a="1"/>
  <c r="N14" i="5" s="1"/>
  <c r="N19" i="5" a="1"/>
  <c r="N19" i="5" s="1"/>
  <c r="N56" i="5" a="1"/>
  <c r="N56" i="5" s="1"/>
  <c r="N61" i="5" a="1"/>
  <c r="N61" i="5" s="1"/>
  <c r="N53" i="5" a="1"/>
  <c r="N53" i="5" s="1"/>
  <c r="N58" i="5" a="1"/>
  <c r="N58" i="5" s="1"/>
  <c r="N55" i="5" a="1"/>
  <c r="N55" i="5" s="1"/>
  <c r="N60" i="5" a="1"/>
  <c r="N60" i="5" s="1"/>
  <c r="N52" i="5" a="1"/>
  <c r="N52" i="5" s="1"/>
  <c r="N57" i="5" a="1"/>
  <c r="N57" i="5" s="1"/>
  <c r="N54" i="5" a="1"/>
  <c r="N54" i="5" s="1"/>
  <c r="N59" i="5" a="1"/>
  <c r="N59" i="5" s="1"/>
  <c r="N96" i="5" a="1"/>
  <c r="N96" i="5" s="1"/>
  <c r="N101" i="5" a="1"/>
  <c r="N101" i="5" s="1"/>
  <c r="N93" i="5" a="1"/>
  <c r="N93" i="5" s="1"/>
  <c r="N98" i="5" a="1"/>
  <c r="N98" i="5" s="1"/>
  <c r="N95" i="5" a="1"/>
  <c r="N95" i="5" s="1"/>
  <c r="N100" i="5" a="1"/>
  <c r="N100" i="5" s="1"/>
  <c r="N92" i="5" a="1"/>
  <c r="N92" i="5" s="1"/>
  <c r="N97" i="5" a="1"/>
  <c r="N97" i="5" s="1"/>
  <c r="N94" i="5" a="1"/>
  <c r="N94" i="5" s="1"/>
  <c r="N99" i="5" a="1"/>
  <c r="N99" i="5" s="1"/>
  <c r="N136" i="5" a="1"/>
  <c r="N136" i="5" s="1"/>
  <c r="N141" i="5" a="1"/>
  <c r="N141" i="5" s="1"/>
  <c r="N133" i="5" a="1"/>
  <c r="N133" i="5" s="1"/>
  <c r="N138" i="5" a="1"/>
  <c r="N138" i="5" s="1"/>
  <c r="N135" i="5" a="1"/>
  <c r="N135" i="5" s="1"/>
  <c r="N140" i="5" a="1"/>
  <c r="N140" i="5" s="1"/>
  <c r="N132" i="5" a="1"/>
  <c r="N132" i="5" s="1"/>
  <c r="N137" i="5" a="1"/>
  <c r="N137" i="5" s="1"/>
  <c r="N134" i="5" a="1"/>
  <c r="N134" i="5" s="1"/>
  <c r="N139" i="5" a="1"/>
  <c r="N139" i="5" s="1"/>
  <c r="N176" i="5" a="1"/>
  <c r="N176" i="5" s="1"/>
  <c r="N181" i="5" a="1"/>
  <c r="N181" i="5" s="1"/>
  <c r="N173" i="5" a="1"/>
  <c r="N173" i="5" s="1"/>
  <c r="N178" i="5" a="1"/>
  <c r="N178" i="5" s="1"/>
  <c r="N175" i="5" a="1"/>
  <c r="N175" i="5" s="1"/>
  <c r="N180" i="5" a="1"/>
  <c r="N180" i="5" s="1"/>
  <c r="N172" i="5" a="1"/>
  <c r="N172" i="5" s="1"/>
  <c r="N177" i="5" a="1"/>
  <c r="N177" i="5" s="1"/>
  <c r="N174" i="5" a="1"/>
  <c r="N174" i="5" s="1"/>
  <c r="N179" i="5" a="1"/>
  <c r="N179" i="5" s="1"/>
  <c r="N217" i="5" a="1"/>
  <c r="N217" i="5" s="1"/>
  <c r="N221" i="5" a="1"/>
  <c r="N221" i="5" s="1"/>
  <c r="N213" i="5" a="1"/>
  <c r="N213" i="5" s="1"/>
  <c r="N218" i="5" a="1"/>
  <c r="N218" i="5" s="1"/>
  <c r="N220" i="5" a="1"/>
  <c r="N220" i="5" s="1"/>
  <c r="N216" i="5" a="1"/>
  <c r="N216" i="5" s="1"/>
  <c r="N219" i="5" a="1"/>
  <c r="N219" i="5" s="1"/>
  <c r="N212" i="5" a="1"/>
  <c r="N212" i="5" s="1"/>
  <c r="N215" i="5" a="1"/>
  <c r="N215" i="5" s="1"/>
  <c r="N214" i="5" a="1"/>
  <c r="N214" i="5" s="1"/>
  <c r="N257" i="5" a="1"/>
  <c r="N257" i="5" s="1"/>
  <c r="N254" i="5" a="1"/>
  <c r="N254" i="5" s="1"/>
  <c r="N261" i="5" a="1"/>
  <c r="N261" i="5" s="1"/>
  <c r="N253" i="5" a="1"/>
  <c r="N253" i="5" s="1"/>
  <c r="N258" i="5" a="1"/>
  <c r="N258" i="5" s="1"/>
  <c r="N260" i="5" a="1"/>
  <c r="N260" i="5" s="1"/>
  <c r="N256" i="5" a="1"/>
  <c r="N256" i="5" s="1"/>
  <c r="N252" i="5" a="1"/>
  <c r="N252" i="5" s="1"/>
  <c r="N259" i="5" a="1"/>
  <c r="N259" i="5" s="1"/>
  <c r="N255" i="5" a="1"/>
  <c r="N255" i="5" s="1"/>
  <c r="N300" i="5" a="1"/>
  <c r="N300" i="5" s="1"/>
  <c r="N292" i="5" a="1"/>
  <c r="N292" i="5" s="1"/>
  <c r="N297" i="5" a="1"/>
  <c r="N297" i="5" s="1"/>
  <c r="N294" i="5" a="1"/>
  <c r="N294" i="5" s="1"/>
  <c r="N299" i="5" a="1"/>
  <c r="N299" i="5" s="1"/>
  <c r="N301" i="5" a="1"/>
  <c r="N301" i="5" s="1"/>
  <c r="N293" i="5" a="1"/>
  <c r="N293" i="5" s="1"/>
  <c r="N298" i="5" a="1"/>
  <c r="N298" i="5" s="1"/>
  <c r="N295" i="5" a="1"/>
  <c r="N295" i="5" s="1"/>
  <c r="N296" i="5" a="1"/>
  <c r="N296" i="5" s="1"/>
  <c r="N340" i="5" a="1"/>
  <c r="N340" i="5" s="1"/>
  <c r="N332" i="5" a="1"/>
  <c r="N332" i="5" s="1"/>
  <c r="N337" i="5" a="1"/>
  <c r="N337" i="5" s="1"/>
  <c r="N334" i="5" a="1"/>
  <c r="N334" i="5" s="1"/>
  <c r="N339" i="5" a="1"/>
  <c r="N339" i="5" s="1"/>
  <c r="N336" i="5" a="1"/>
  <c r="N336" i="5" s="1"/>
  <c r="N341" i="5" a="1"/>
  <c r="N341" i="5" s="1"/>
  <c r="N333" i="5" a="1"/>
  <c r="N333" i="5" s="1"/>
  <c r="N338" i="5" a="1"/>
  <c r="N338" i="5" s="1"/>
  <c r="N335" i="5" a="1"/>
  <c r="N335" i="5" s="1"/>
  <c r="N40" i="6" a="1"/>
  <c r="N40" i="6" s="1"/>
  <c r="N32" i="6" a="1"/>
  <c r="N32" i="6" s="1"/>
  <c r="N37" i="6" a="1"/>
  <c r="N37" i="6" s="1"/>
  <c r="N34" i="6" a="1"/>
  <c r="N34" i="6" s="1"/>
  <c r="N39" i="6" a="1"/>
  <c r="N39" i="6" s="1"/>
  <c r="N36" i="6" a="1"/>
  <c r="N36" i="6" s="1"/>
  <c r="N41" i="6" a="1"/>
  <c r="N41" i="6" s="1"/>
  <c r="N33" i="6" a="1"/>
  <c r="N33" i="6" s="1"/>
  <c r="N38" i="6" a="1"/>
  <c r="N38" i="6" s="1"/>
  <c r="N35" i="6" a="1"/>
  <c r="N35" i="6" s="1"/>
  <c r="N80" i="6" a="1"/>
  <c r="N80" i="6" s="1"/>
  <c r="N72" i="6" a="1"/>
  <c r="N72" i="6" s="1"/>
  <c r="N77" i="6" a="1"/>
  <c r="N77" i="6" s="1"/>
  <c r="N74" i="6" a="1"/>
  <c r="N74" i="6" s="1"/>
  <c r="N79" i="6" a="1"/>
  <c r="N79" i="6" s="1"/>
  <c r="N76" i="6" a="1"/>
  <c r="N76" i="6" s="1"/>
  <c r="N81" i="6" a="1"/>
  <c r="N81" i="6" s="1"/>
  <c r="N73" i="6" a="1"/>
  <c r="N73" i="6" s="1"/>
  <c r="N78" i="6" a="1"/>
  <c r="N78" i="6" s="1"/>
  <c r="N75" i="6" a="1"/>
  <c r="N75" i="6" s="1"/>
  <c r="N114" i="6" a="1"/>
  <c r="N114" i="6" s="1"/>
  <c r="N121" i="6" a="1"/>
  <c r="N121" i="6" s="1"/>
  <c r="N118" i="6" a="1"/>
  <c r="N118" i="6" s="1"/>
  <c r="N115" i="6" a="1"/>
  <c r="N115" i="6" s="1"/>
  <c r="N112" i="6" a="1"/>
  <c r="N112" i="6" s="1"/>
  <c r="N120" i="6" a="1"/>
  <c r="N120" i="6" s="1"/>
  <c r="N117" i="6" a="1"/>
  <c r="N117" i="6" s="1"/>
  <c r="N119" i="6" a="1"/>
  <c r="N119" i="6" s="1"/>
  <c r="N116" i="6" a="1"/>
  <c r="N116" i="6" s="1"/>
  <c r="N113" i="6" a="1"/>
  <c r="N113" i="6" s="1"/>
  <c r="N154" i="6" a="1"/>
  <c r="N154" i="6" s="1"/>
  <c r="N159" i="6" a="1"/>
  <c r="N159" i="6" s="1"/>
  <c r="N156" i="6" a="1"/>
  <c r="N156" i="6" s="1"/>
  <c r="N153" i="6" a="1"/>
  <c r="N153" i="6" s="1"/>
  <c r="N161" i="6" a="1"/>
  <c r="N161" i="6" s="1"/>
  <c r="N158" i="6" a="1"/>
  <c r="N158" i="6" s="1"/>
  <c r="N155" i="6" a="1"/>
  <c r="N155" i="6" s="1"/>
  <c r="N152" i="6" a="1"/>
  <c r="N152" i="6" s="1"/>
  <c r="N160" i="6" a="1"/>
  <c r="N160" i="6" s="1"/>
  <c r="N157" i="6" a="1"/>
  <c r="N157" i="6" s="1"/>
  <c r="N194" i="6" a="1"/>
  <c r="N194" i="6" s="1"/>
  <c r="N200" i="6" a="1"/>
  <c r="N200" i="6" s="1"/>
  <c r="N197" i="6" a="1"/>
  <c r="N197" i="6" s="1"/>
  <c r="N199" i="6" a="1"/>
  <c r="N199" i="6" s="1"/>
  <c r="N196" i="6" a="1"/>
  <c r="N196" i="6" s="1"/>
  <c r="N193" i="6" a="1"/>
  <c r="N193" i="6" s="1"/>
  <c r="N201" i="6" a="1"/>
  <c r="N201" i="6" s="1"/>
  <c r="N198" i="6" a="1"/>
  <c r="N198" i="6" s="1"/>
  <c r="N195" i="6" a="1"/>
  <c r="N195" i="6" s="1"/>
  <c r="N192" i="6" a="1"/>
  <c r="N192" i="6" s="1"/>
  <c r="N239" i="6" a="1"/>
  <c r="N239" i="6" s="1"/>
  <c r="N234" i="6" a="1"/>
  <c r="N234" i="6" s="1"/>
  <c r="N233" i="6" a="1"/>
  <c r="N233" i="6" s="1"/>
  <c r="N236" i="6" a="1"/>
  <c r="N236" i="6" s="1"/>
  <c r="N232" i="6" a="1"/>
  <c r="N232" i="6" s="1"/>
  <c r="N241" i="6" a="1"/>
  <c r="N241" i="6" s="1"/>
  <c r="N238" i="6" a="1"/>
  <c r="N238" i="6" s="1"/>
  <c r="N235" i="6" a="1"/>
  <c r="N235" i="6" s="1"/>
  <c r="N240" i="6" a="1"/>
  <c r="N240" i="6" s="1"/>
  <c r="N237" i="6" a="1"/>
  <c r="N237" i="6" s="1"/>
  <c r="N279" i="6" a="1"/>
  <c r="N279" i="6" s="1"/>
  <c r="N281" i="6" a="1"/>
  <c r="N281" i="6" s="1"/>
  <c r="N273" i="6" a="1"/>
  <c r="N273" i="6" s="1"/>
  <c r="N280" i="6" a="1"/>
  <c r="N280" i="6" s="1"/>
  <c r="N272" i="6" a="1"/>
  <c r="N272" i="6" s="1"/>
  <c r="N277" i="6" a="1"/>
  <c r="N277" i="6" s="1"/>
  <c r="N274" i="6" a="1"/>
  <c r="N274" i="6" s="1"/>
  <c r="N276" i="6" a="1"/>
  <c r="N276" i="6" s="1"/>
  <c r="N275" i="6" a="1"/>
  <c r="N275" i="6" s="1"/>
  <c r="N278" i="6" a="1"/>
  <c r="N278" i="6" s="1"/>
  <c r="N316" i="6" a="1"/>
  <c r="N316" i="6" s="1"/>
  <c r="N319" i="6" a="1"/>
  <c r="N319" i="6" s="1"/>
  <c r="N313" i="6" a="1"/>
  <c r="N313" i="6" s="1"/>
  <c r="N321" i="6" a="1"/>
  <c r="N321" i="6" s="1"/>
  <c r="N318" i="6" a="1"/>
  <c r="N318" i="6" s="1"/>
  <c r="N315" i="6" a="1"/>
  <c r="N315" i="6" s="1"/>
  <c r="N320" i="6" a="1"/>
  <c r="N320" i="6" s="1"/>
  <c r="N317" i="6" a="1"/>
  <c r="N317" i="6" s="1"/>
  <c r="N314" i="6" a="1"/>
  <c r="N314" i="6" s="1"/>
  <c r="N312" i="6" a="1"/>
  <c r="N312" i="6" s="1"/>
  <c r="N37" i="7" a="1"/>
  <c r="N37" i="7" s="1"/>
  <c r="N36" i="7" a="1"/>
  <c r="N36" i="7" s="1"/>
  <c r="N33" i="7" a="1"/>
  <c r="N33" i="7" s="1"/>
  <c r="N35" i="7" a="1"/>
  <c r="N35" i="7" s="1"/>
  <c r="N38" i="7" a="1"/>
  <c r="N38" i="7" s="1"/>
  <c r="N32" i="7" a="1"/>
  <c r="N32" i="7" s="1"/>
  <c r="N41" i="7" a="1"/>
  <c r="N41" i="7" s="1"/>
  <c r="N34" i="7" a="1"/>
  <c r="N34" i="7" s="1"/>
  <c r="N40" i="7" a="1"/>
  <c r="N40" i="7" s="1"/>
  <c r="N39" i="7" a="1"/>
  <c r="N39" i="7" s="1"/>
  <c r="N80" i="7" a="1"/>
  <c r="N80" i="7" s="1"/>
  <c r="N72" i="7" a="1"/>
  <c r="N72" i="7" s="1"/>
  <c r="N77" i="7" a="1"/>
  <c r="N77" i="7" s="1"/>
  <c r="N76" i="7" a="1"/>
  <c r="N76" i="7" s="1"/>
  <c r="N81" i="7" a="1"/>
  <c r="N81" i="7" s="1"/>
  <c r="N73" i="7" a="1"/>
  <c r="N73" i="7" s="1"/>
  <c r="N79" i="7" a="1"/>
  <c r="N79" i="7" s="1"/>
  <c r="N75" i="7" a="1"/>
  <c r="N75" i="7" s="1"/>
  <c r="N78" i="7" a="1"/>
  <c r="N78" i="7" s="1"/>
  <c r="N74" i="7" a="1"/>
  <c r="N74" i="7" s="1"/>
  <c r="N120" i="7" a="1"/>
  <c r="N120" i="7" s="1"/>
  <c r="N112" i="7" a="1"/>
  <c r="N112" i="7" s="1"/>
  <c r="N117" i="7" a="1"/>
  <c r="N117" i="7" s="1"/>
  <c r="N119" i="7" a="1"/>
  <c r="N119" i="7" s="1"/>
  <c r="N116" i="7" a="1"/>
  <c r="N116" i="7" s="1"/>
  <c r="N121" i="7" a="1"/>
  <c r="N121" i="7" s="1"/>
  <c r="N113" i="7" a="1"/>
  <c r="N113" i="7" s="1"/>
  <c r="N115" i="7" a="1"/>
  <c r="N115" i="7" s="1"/>
  <c r="N118" i="7" a="1"/>
  <c r="N118" i="7" s="1"/>
  <c r="N114" i="7" a="1"/>
  <c r="N114" i="7" s="1"/>
  <c r="N160" i="7" a="1"/>
  <c r="N160" i="7" s="1"/>
  <c r="N152" i="7" a="1"/>
  <c r="N152" i="7" s="1"/>
  <c r="N157" i="7" a="1"/>
  <c r="N157" i="7" s="1"/>
  <c r="N159" i="7" a="1"/>
  <c r="N159" i="7" s="1"/>
  <c r="N156" i="7" a="1"/>
  <c r="N156" i="7" s="1"/>
  <c r="N161" i="7" a="1"/>
  <c r="N161" i="7" s="1"/>
  <c r="N153" i="7" a="1"/>
  <c r="N153" i="7" s="1"/>
  <c r="N155" i="7" a="1"/>
  <c r="N155" i="7" s="1"/>
  <c r="N158" i="7" a="1"/>
  <c r="N158" i="7" s="1"/>
  <c r="N154" i="7" a="1"/>
  <c r="N154" i="7" s="1"/>
  <c r="N200" i="7" a="1"/>
  <c r="N200" i="7" s="1"/>
  <c r="N192" i="7" a="1"/>
  <c r="N192" i="7" s="1"/>
  <c r="N197" i="7" a="1"/>
  <c r="N197" i="7" s="1"/>
  <c r="N199" i="7" a="1"/>
  <c r="N199" i="7" s="1"/>
  <c r="N196" i="7" a="1"/>
  <c r="N196" i="7" s="1"/>
  <c r="N201" i="7" a="1"/>
  <c r="N201" i="7" s="1"/>
  <c r="N193" i="7" a="1"/>
  <c r="N193" i="7" s="1"/>
  <c r="N198" i="7" a="1"/>
  <c r="N198" i="7" s="1"/>
  <c r="N195" i="7" a="1"/>
  <c r="N195" i="7" s="1"/>
  <c r="N194" i="7" a="1"/>
  <c r="N194" i="7" s="1"/>
  <c r="N240" i="7" a="1"/>
  <c r="N240" i="7" s="1"/>
  <c r="N232" i="7" a="1"/>
  <c r="N232" i="7" s="1"/>
  <c r="N237" i="7" a="1"/>
  <c r="N237" i="7" s="1"/>
  <c r="N239" i="7" a="1"/>
  <c r="N239" i="7" s="1"/>
  <c r="N236" i="7" a="1"/>
  <c r="N236" i="7" s="1"/>
  <c r="N241" i="7" a="1"/>
  <c r="N241" i="7" s="1"/>
  <c r="N233" i="7" a="1"/>
  <c r="N233" i="7" s="1"/>
  <c r="N238" i="7" a="1"/>
  <c r="N238" i="7" s="1"/>
  <c r="N235" i="7" a="1"/>
  <c r="N235" i="7" s="1"/>
  <c r="N234" i="7" a="1"/>
  <c r="N234" i="7" s="1"/>
  <c r="N276" i="7" a="1"/>
  <c r="N276" i="7" s="1"/>
  <c r="N279" i="7" a="1"/>
  <c r="N279" i="7" s="1"/>
  <c r="N273" i="7" a="1"/>
  <c r="N273" i="7" s="1"/>
  <c r="N281" i="7" a="1"/>
  <c r="N281" i="7" s="1"/>
  <c r="N278" i="7" a="1"/>
  <c r="N278" i="7" s="1"/>
  <c r="N275" i="7" a="1"/>
  <c r="N275" i="7" s="1"/>
  <c r="N272" i="7" a="1"/>
  <c r="N272" i="7" s="1"/>
  <c r="N280" i="7" a="1"/>
  <c r="N280" i="7" s="1"/>
  <c r="N277" i="7" a="1"/>
  <c r="N277" i="7" s="1"/>
  <c r="N274" i="7" a="1"/>
  <c r="N274" i="7" s="1"/>
  <c r="N316" i="7" a="1"/>
  <c r="N316" i="7" s="1"/>
  <c r="N320" i="7" a="1"/>
  <c r="N320" i="7" s="1"/>
  <c r="N317" i="7" a="1"/>
  <c r="N317" i="7" s="1"/>
  <c r="N314" i="7" a="1"/>
  <c r="N314" i="7" s="1"/>
  <c r="N319" i="7" a="1"/>
  <c r="N319" i="7" s="1"/>
  <c r="N313" i="7" a="1"/>
  <c r="N313" i="7" s="1"/>
  <c r="N318" i="7" a="1"/>
  <c r="N318" i="7" s="1"/>
  <c r="N315" i="7" a="1"/>
  <c r="N315" i="7" s="1"/>
  <c r="N321" i="7" a="1"/>
  <c r="N321" i="7" s="1"/>
  <c r="N312" i="7" a="1"/>
  <c r="N312" i="7" s="1"/>
  <c r="N28" i="8" a="1"/>
  <c r="N28" i="8" s="1"/>
  <c r="N22" i="8" a="1"/>
  <c r="N22" i="8" s="1"/>
  <c r="N31" i="8" a="1"/>
  <c r="N31" i="8" s="1"/>
  <c r="N25" i="8" a="1"/>
  <c r="N25" i="8" s="1"/>
  <c r="N30" i="8" a="1"/>
  <c r="N30" i="8" s="1"/>
  <c r="N27" i="8" a="1"/>
  <c r="N27" i="8" s="1"/>
  <c r="N24" i="8" a="1"/>
  <c r="N24" i="8" s="1"/>
  <c r="N29" i="8" a="1"/>
  <c r="N29" i="8" s="1"/>
  <c r="N26" i="8" a="1"/>
  <c r="N26" i="8" s="1"/>
  <c r="N23" i="8" a="1"/>
  <c r="N23" i="8" s="1"/>
  <c r="N68" i="8" a="1"/>
  <c r="N68" i="8" s="1"/>
  <c r="N70" i="8" a="1"/>
  <c r="N70" i="8" s="1"/>
  <c r="N67" i="8" a="1"/>
  <c r="N67" i="8" s="1"/>
  <c r="N66" i="8" a="1"/>
  <c r="N66" i="8" s="1"/>
  <c r="N69" i="8" a="1"/>
  <c r="N69" i="8" s="1"/>
  <c r="N63" i="8" a="1"/>
  <c r="N63" i="8" s="1"/>
  <c r="N65" i="8" a="1"/>
  <c r="N65" i="8" s="1"/>
  <c r="N62" i="8" a="1"/>
  <c r="N62" i="8" s="1"/>
  <c r="N71" i="8" a="1"/>
  <c r="N71" i="8" s="1"/>
  <c r="N64" i="8" a="1"/>
  <c r="N64" i="8" s="1"/>
  <c r="N111" i="8" a="1"/>
  <c r="N111" i="8" s="1"/>
  <c r="N103" i="8" a="1"/>
  <c r="N103" i="8" s="1"/>
  <c r="N110" i="8" a="1"/>
  <c r="N110" i="8" s="1"/>
  <c r="N107" i="8" a="1"/>
  <c r="N107" i="8" s="1"/>
  <c r="N104" i="8" a="1"/>
  <c r="N104" i="8" s="1"/>
  <c r="N109" i="8" a="1"/>
  <c r="N109" i="8" s="1"/>
  <c r="N106" i="8" a="1"/>
  <c r="N106" i="8" s="1"/>
  <c r="N102" i="8" a="1"/>
  <c r="N102" i="8" s="1"/>
  <c r="N105" i="8" a="1"/>
  <c r="N105" i="8" s="1"/>
  <c r="N108" i="8" a="1"/>
  <c r="N108" i="8" s="1"/>
  <c r="N151" i="8" a="1"/>
  <c r="N151" i="8" s="1"/>
  <c r="N143" i="8" a="1"/>
  <c r="N143" i="8" s="1"/>
  <c r="N148" i="8" a="1"/>
  <c r="N148" i="8" s="1"/>
  <c r="N145" i="8" a="1"/>
  <c r="N145" i="8" s="1"/>
  <c r="N142" i="8" a="1"/>
  <c r="N142" i="8" s="1"/>
  <c r="N144" i="8" a="1"/>
  <c r="N144" i="8" s="1"/>
  <c r="N150" i="8" a="1"/>
  <c r="N150" i="8" s="1"/>
  <c r="N146" i="8" a="1"/>
  <c r="N146" i="8" s="1"/>
  <c r="N149" i="8" a="1"/>
  <c r="N149" i="8" s="1"/>
  <c r="N147" i="8" a="1"/>
  <c r="N147" i="8" s="1"/>
  <c r="N191" i="8" a="1"/>
  <c r="N191" i="8" s="1"/>
  <c r="N183" i="8" a="1"/>
  <c r="N183" i="8" s="1"/>
  <c r="N186" i="8" a="1"/>
  <c r="N186" i="8" s="1"/>
  <c r="N185" i="8" a="1"/>
  <c r="N185" i="8" s="1"/>
  <c r="N188" i="8" a="1"/>
  <c r="N188" i="8" s="1"/>
  <c r="N184" i="8" a="1"/>
  <c r="N184" i="8" s="1"/>
  <c r="N182" i="8" a="1"/>
  <c r="N182" i="8" s="1"/>
  <c r="N187" i="8" a="1"/>
  <c r="N187" i="8" s="1"/>
  <c r="N190" i="8" a="1"/>
  <c r="N190" i="8" s="1"/>
  <c r="N189" i="8" a="1"/>
  <c r="N189" i="8" s="1"/>
  <c r="N228" i="8" a="1"/>
  <c r="N228" i="8" s="1"/>
  <c r="N229" i="8" a="1"/>
  <c r="N229" i="8" s="1"/>
  <c r="N225" i="8" a="1"/>
  <c r="N225" i="8" s="1"/>
  <c r="N224" i="8" a="1"/>
  <c r="N224" i="8" s="1"/>
  <c r="N231" i="8" a="1"/>
  <c r="N231" i="8" s="1"/>
  <c r="N227" i="8" a="1"/>
  <c r="N227" i="8" s="1"/>
  <c r="N223" i="8" a="1"/>
  <c r="N223" i="8" s="1"/>
  <c r="N226" i="8" a="1"/>
  <c r="N226" i="8" s="1"/>
  <c r="N230" i="8" a="1"/>
  <c r="N230" i="8" s="1"/>
  <c r="N222" i="8" a="1"/>
  <c r="N222" i="8" s="1"/>
  <c r="N268" i="8" a="1"/>
  <c r="N268" i="8" s="1"/>
  <c r="N263" i="8" a="1"/>
  <c r="N263" i="8" s="1"/>
  <c r="N264" i="8" a="1"/>
  <c r="N264" i="8" s="1"/>
  <c r="N269" i="8" a="1"/>
  <c r="N269" i="8" s="1"/>
  <c r="N265" i="8" a="1"/>
  <c r="N265" i="8" s="1"/>
  <c r="N271" i="8" a="1"/>
  <c r="N271" i="8" s="1"/>
  <c r="N267" i="8" a="1"/>
  <c r="N267" i="8" s="1"/>
  <c r="N266" i="8" a="1"/>
  <c r="N266" i="8" s="1"/>
  <c r="N270" i="8" a="1"/>
  <c r="N270" i="8" s="1"/>
  <c r="N262" i="8" a="1"/>
  <c r="N262" i="8" s="1"/>
  <c r="N308" i="8" a="1"/>
  <c r="N308" i="8" s="1"/>
  <c r="N309" i="8" a="1"/>
  <c r="N309" i="8" s="1"/>
  <c r="N306" i="8" a="1"/>
  <c r="N306" i="8" s="1"/>
  <c r="N303" i="8" a="1"/>
  <c r="N303" i="8" s="1"/>
  <c r="N307" i="8" a="1"/>
  <c r="N307" i="8" s="1"/>
  <c r="N304" i="8" a="1"/>
  <c r="N304" i="8" s="1"/>
  <c r="N311" i="8" a="1"/>
  <c r="N311" i="8" s="1"/>
  <c r="N310" i="8" a="1"/>
  <c r="N310" i="8" s="1"/>
  <c r="N302" i="8" a="1"/>
  <c r="N302" i="8" s="1"/>
  <c r="N305" i="8" a="1"/>
  <c r="N305" i="8" s="1"/>
  <c r="K9" i="9"/>
  <c r="D9" i="10" s="1"/>
  <c r="N25" i="3" a="1"/>
  <c r="N25" i="3" s="1"/>
  <c r="N33" i="3" a="1"/>
  <c r="N33" i="3" s="1"/>
  <c r="K14" i="9"/>
  <c r="D14" i="10" s="1"/>
  <c r="N12" i="3" a="1"/>
  <c r="N12" i="3" s="1"/>
  <c r="N20" i="3" a="1"/>
  <c r="N20" i="3" s="1"/>
  <c r="N28" i="3" a="1"/>
  <c r="N28" i="3" s="1"/>
  <c r="K52" i="9"/>
  <c r="D52" i="10" s="1"/>
  <c r="N36" i="3" a="1"/>
  <c r="N36" i="3" s="1"/>
  <c r="N52" i="3" a="1"/>
  <c r="N52" i="3" s="1"/>
  <c r="N60" i="3" a="1"/>
  <c r="N60" i="3" s="1"/>
  <c r="K43" i="9"/>
  <c r="D43" i="10" s="1"/>
  <c r="N68" i="3" a="1"/>
  <c r="N68" i="3" s="1"/>
  <c r="N76" i="3" a="1"/>
  <c r="N76" i="3" s="1"/>
  <c r="N92" i="3" a="1"/>
  <c r="N92" i="3" s="1"/>
  <c r="N100" i="3" a="1"/>
  <c r="N100" i="3" s="1"/>
  <c r="N108" i="3" a="1"/>
  <c r="N108" i="3" s="1"/>
  <c r="K22" i="9"/>
  <c r="D22" i="10" s="1"/>
  <c r="N116" i="3" a="1"/>
  <c r="N116" i="3" s="1"/>
  <c r="N132" i="3" a="1"/>
  <c r="N132" i="3" s="1"/>
  <c r="N140" i="3" a="1"/>
  <c r="N140" i="3" s="1"/>
  <c r="N148" i="3" a="1"/>
  <c r="N148" i="3" s="1"/>
  <c r="N156" i="3" a="1"/>
  <c r="N156" i="3" s="1"/>
  <c r="N244" i="3" a="1"/>
  <c r="N244" i="3" s="1"/>
  <c r="N246" i="3" a="1"/>
  <c r="N246" i="3" s="1"/>
  <c r="N245" i="3" a="1"/>
  <c r="N245" i="3" s="1"/>
  <c r="N284" i="3" a="1"/>
  <c r="N284" i="3" s="1"/>
  <c r="N286" i="3" a="1"/>
  <c r="N286" i="3" s="1"/>
  <c r="N285" i="3" a="1"/>
  <c r="N285" i="3" s="1"/>
  <c r="N34" i="4" a="1"/>
  <c r="N34" i="4" s="1"/>
  <c r="N39" i="4" a="1"/>
  <c r="N39" i="4" s="1"/>
  <c r="N36" i="4" a="1"/>
  <c r="N36" i="4" s="1"/>
  <c r="N35" i="4" a="1"/>
  <c r="N35" i="4" s="1"/>
  <c r="N40" i="4" a="1"/>
  <c r="N40" i="4" s="1"/>
  <c r="N32" i="4" a="1"/>
  <c r="N32" i="4" s="1"/>
  <c r="N74" i="4" a="1"/>
  <c r="N74" i="4" s="1"/>
  <c r="N79" i="4" a="1"/>
  <c r="N79" i="4" s="1"/>
  <c r="N76" i="4" a="1"/>
  <c r="N76" i="4" s="1"/>
  <c r="N75" i="4" a="1"/>
  <c r="N75" i="4" s="1"/>
  <c r="N80" i="4" a="1"/>
  <c r="N80" i="4" s="1"/>
  <c r="N72" i="4" a="1"/>
  <c r="N72" i="4" s="1"/>
  <c r="N114" i="4" a="1"/>
  <c r="N114" i="4" s="1"/>
  <c r="N119" i="4" a="1"/>
  <c r="N119" i="4" s="1"/>
  <c r="N116" i="4" a="1"/>
  <c r="N116" i="4" s="1"/>
  <c r="N121" i="4" a="1"/>
  <c r="N121" i="4" s="1"/>
  <c r="N113" i="4" a="1"/>
  <c r="N113" i="4" s="1"/>
  <c r="N115" i="4" a="1"/>
  <c r="N115" i="4" s="1"/>
  <c r="N120" i="4" a="1"/>
  <c r="N120" i="4" s="1"/>
  <c r="N112" i="4" a="1"/>
  <c r="N112" i="4" s="1"/>
  <c r="N154" i="4" a="1"/>
  <c r="N154" i="4" s="1"/>
  <c r="N159" i="4" a="1"/>
  <c r="N159" i="4" s="1"/>
  <c r="N156" i="4" a="1"/>
  <c r="N156" i="4" s="1"/>
  <c r="N161" i="4" a="1"/>
  <c r="N161" i="4" s="1"/>
  <c r="N153" i="4" a="1"/>
  <c r="N153" i="4" s="1"/>
  <c r="N155" i="4" a="1"/>
  <c r="N155" i="4" s="1"/>
  <c r="N160" i="4" a="1"/>
  <c r="N160" i="4" s="1"/>
  <c r="N152" i="4" a="1"/>
  <c r="N152" i="4" s="1"/>
  <c r="N157" i="4" a="1"/>
  <c r="N157" i="4" s="1"/>
  <c r="N194" i="4" a="1"/>
  <c r="N194" i="4" s="1"/>
  <c r="N199" i="4" a="1"/>
  <c r="N199" i="4" s="1"/>
  <c r="N196" i="4" a="1"/>
  <c r="N196" i="4" s="1"/>
  <c r="N201" i="4" a="1"/>
  <c r="N201" i="4" s="1"/>
  <c r="N193" i="4" a="1"/>
  <c r="N193" i="4" s="1"/>
  <c r="N195" i="4" a="1"/>
  <c r="N195" i="4" s="1"/>
  <c r="N200" i="4" a="1"/>
  <c r="N200" i="4" s="1"/>
  <c r="N192" i="4" a="1"/>
  <c r="N192" i="4" s="1"/>
  <c r="N197" i="4" a="1"/>
  <c r="N197" i="4" s="1"/>
  <c r="N234" i="4" a="1"/>
  <c r="N234" i="4" s="1"/>
  <c r="N239" i="4" a="1"/>
  <c r="N239" i="4" s="1"/>
  <c r="N236" i="4" a="1"/>
  <c r="N236" i="4" s="1"/>
  <c r="N241" i="4" a="1"/>
  <c r="N241" i="4" s="1"/>
  <c r="N233" i="4" a="1"/>
  <c r="N233" i="4" s="1"/>
  <c r="N235" i="4" a="1"/>
  <c r="N235" i="4" s="1"/>
  <c r="N240" i="4" a="1"/>
  <c r="N240" i="4" s="1"/>
  <c r="N232" i="4" a="1"/>
  <c r="N232" i="4" s="1"/>
  <c r="N237" i="4" a="1"/>
  <c r="N237" i="4" s="1"/>
  <c r="N274" i="4" a="1"/>
  <c r="N274" i="4" s="1"/>
  <c r="N279" i="4" a="1"/>
  <c r="N279" i="4" s="1"/>
  <c r="N276" i="4" a="1"/>
  <c r="N276" i="4" s="1"/>
  <c r="N281" i="4" a="1"/>
  <c r="N281" i="4" s="1"/>
  <c r="N273" i="4" a="1"/>
  <c r="N273" i="4" s="1"/>
  <c r="N278" i="4" a="1"/>
  <c r="N278" i="4" s="1"/>
  <c r="N275" i="4" a="1"/>
  <c r="N275" i="4" s="1"/>
  <c r="N280" i="4" a="1"/>
  <c r="N280" i="4" s="1"/>
  <c r="N272" i="4" a="1"/>
  <c r="N272" i="4" s="1"/>
  <c r="N277" i="4" a="1"/>
  <c r="N277" i="4" s="1"/>
  <c r="N24" i="5" a="1"/>
  <c r="N24" i="5" s="1"/>
  <c r="N29" i="5" a="1"/>
  <c r="N29" i="5" s="1"/>
  <c r="N26" i="5" a="1"/>
  <c r="N26" i="5" s="1"/>
  <c r="N31" i="5" a="1"/>
  <c r="N31" i="5" s="1"/>
  <c r="N23" i="5" a="1"/>
  <c r="N23" i="5" s="1"/>
  <c r="N28" i="5" a="1"/>
  <c r="N28" i="5" s="1"/>
  <c r="N25" i="5" a="1"/>
  <c r="N25" i="5" s="1"/>
  <c r="N30" i="5" a="1"/>
  <c r="N30" i="5" s="1"/>
  <c r="N22" i="5" a="1"/>
  <c r="N22" i="5" s="1"/>
  <c r="N27" i="5" a="1"/>
  <c r="N27" i="5" s="1"/>
  <c r="N64" i="5" a="1"/>
  <c r="N64" i="5" s="1"/>
  <c r="N69" i="5" a="1"/>
  <c r="N69" i="5" s="1"/>
  <c r="N66" i="5" a="1"/>
  <c r="N66" i="5" s="1"/>
  <c r="N71" i="5" a="1"/>
  <c r="N71" i="5" s="1"/>
  <c r="N63" i="5" a="1"/>
  <c r="N63" i="5" s="1"/>
  <c r="N68" i="5" a="1"/>
  <c r="N68" i="5" s="1"/>
  <c r="N65" i="5" a="1"/>
  <c r="N65" i="5" s="1"/>
  <c r="N70" i="5" a="1"/>
  <c r="N70" i="5" s="1"/>
  <c r="N62" i="5" a="1"/>
  <c r="N62" i="5" s="1"/>
  <c r="N67" i="5" a="1"/>
  <c r="N67" i="5" s="1"/>
  <c r="N104" i="5" a="1"/>
  <c r="N104" i="5" s="1"/>
  <c r="N109" i="5" a="1"/>
  <c r="N109" i="5" s="1"/>
  <c r="N106" i="5" a="1"/>
  <c r="N106" i="5" s="1"/>
  <c r="N111" i="5" a="1"/>
  <c r="N111" i="5" s="1"/>
  <c r="N103" i="5" a="1"/>
  <c r="N103" i="5" s="1"/>
  <c r="N108" i="5" a="1"/>
  <c r="N108" i="5" s="1"/>
  <c r="N105" i="5" a="1"/>
  <c r="N105" i="5" s="1"/>
  <c r="N110" i="5" a="1"/>
  <c r="N110" i="5" s="1"/>
  <c r="N102" i="5" a="1"/>
  <c r="N102" i="5" s="1"/>
  <c r="N107" i="5" a="1"/>
  <c r="N107" i="5" s="1"/>
  <c r="N144" i="5" a="1"/>
  <c r="N144" i="5" s="1"/>
  <c r="N149" i="5" a="1"/>
  <c r="N149" i="5" s="1"/>
  <c r="N146" i="5" a="1"/>
  <c r="N146" i="5" s="1"/>
  <c r="N151" i="5" a="1"/>
  <c r="N151" i="5" s="1"/>
  <c r="N143" i="5" a="1"/>
  <c r="N143" i="5" s="1"/>
  <c r="N148" i="5" a="1"/>
  <c r="N148" i="5" s="1"/>
  <c r="N145" i="5" a="1"/>
  <c r="N145" i="5" s="1"/>
  <c r="N150" i="5" a="1"/>
  <c r="N150" i="5" s="1"/>
  <c r="N142" i="5" a="1"/>
  <c r="N142" i="5" s="1"/>
  <c r="N147" i="5" a="1"/>
  <c r="N147" i="5" s="1"/>
  <c r="N185" i="5" a="1"/>
  <c r="N185" i="5" s="1"/>
  <c r="N190" i="5" a="1"/>
  <c r="N190" i="5" s="1"/>
  <c r="N187" i="5" a="1"/>
  <c r="N187" i="5" s="1"/>
  <c r="N184" i="5" a="1"/>
  <c r="N184" i="5" s="1"/>
  <c r="N189" i="5" a="1"/>
  <c r="N189" i="5" s="1"/>
  <c r="N186" i="5" a="1"/>
  <c r="N186" i="5" s="1"/>
  <c r="N183" i="5" a="1"/>
  <c r="N183" i="5" s="1"/>
  <c r="N191" i="5" a="1"/>
  <c r="N191" i="5" s="1"/>
  <c r="N188" i="5" a="1"/>
  <c r="N188" i="5" s="1"/>
  <c r="N182" i="5" a="1"/>
  <c r="N182" i="5" s="1"/>
  <c r="N225" i="5" a="1"/>
  <c r="N225" i="5" s="1"/>
  <c r="N229" i="5" a="1"/>
  <c r="N229" i="5" s="1"/>
  <c r="N226" i="5" a="1"/>
  <c r="N226" i="5" s="1"/>
  <c r="N231" i="5" a="1"/>
  <c r="N231" i="5" s="1"/>
  <c r="N224" i="5" a="1"/>
  <c r="N224" i="5" s="1"/>
  <c r="N227" i="5" a="1"/>
  <c r="N227" i="5" s="1"/>
  <c r="N223" i="5" a="1"/>
  <c r="N223" i="5" s="1"/>
  <c r="N230" i="5" a="1"/>
  <c r="N230" i="5" s="1"/>
  <c r="N222" i="5" a="1"/>
  <c r="N222" i="5" s="1"/>
  <c r="N228" i="5" a="1"/>
  <c r="N228" i="5" s="1"/>
  <c r="N265" i="5" a="1"/>
  <c r="N265" i="5" s="1"/>
  <c r="N270" i="5" a="1"/>
  <c r="N270" i="5" s="1"/>
  <c r="N262" i="5" a="1"/>
  <c r="N262" i="5" s="1"/>
  <c r="N269" i="5" a="1"/>
  <c r="N269" i="5" s="1"/>
  <c r="N266" i="5" a="1"/>
  <c r="N266" i="5" s="1"/>
  <c r="N268" i="5" a="1"/>
  <c r="N268" i="5" s="1"/>
  <c r="N264" i="5" a="1"/>
  <c r="N264" i="5" s="1"/>
  <c r="N271" i="5" a="1"/>
  <c r="N271" i="5" s="1"/>
  <c r="N267" i="5" a="1"/>
  <c r="N267" i="5" s="1"/>
  <c r="N263" i="5" a="1"/>
  <c r="N263" i="5" s="1"/>
  <c r="N308" i="5" a="1"/>
  <c r="N308" i="5" s="1"/>
  <c r="N305" i="5" a="1"/>
  <c r="N305" i="5" s="1"/>
  <c r="N310" i="5" a="1"/>
  <c r="N310" i="5" s="1"/>
  <c r="N302" i="5" a="1"/>
  <c r="N302" i="5" s="1"/>
  <c r="N307" i="5" a="1"/>
  <c r="N307" i="5" s="1"/>
  <c r="N309" i="5" a="1"/>
  <c r="N309" i="5" s="1"/>
  <c r="N306" i="5" a="1"/>
  <c r="N306" i="5" s="1"/>
  <c r="N311" i="5" a="1"/>
  <c r="N311" i="5" s="1"/>
  <c r="N304" i="5" a="1"/>
  <c r="N304" i="5" s="1"/>
  <c r="N303" i="5" a="1"/>
  <c r="N303" i="5" s="1"/>
  <c r="N8" i="6" a="1"/>
  <c r="N8" i="6" s="1"/>
  <c r="N5" i="6" a="1"/>
  <c r="N5" i="6" s="1"/>
  <c r="N10" i="6" a="1"/>
  <c r="N10" i="6" s="1"/>
  <c r="N2" i="6" a="1"/>
  <c r="N2" i="6" s="1"/>
  <c r="N7" i="6" a="1"/>
  <c r="N7" i="6" s="1"/>
  <c r="N4" i="6" a="1"/>
  <c r="N4" i="6" s="1"/>
  <c r="N9" i="6" a="1"/>
  <c r="N9" i="6" s="1"/>
  <c r="N6" i="6" a="1"/>
  <c r="N6" i="6" s="1"/>
  <c r="N11" i="6" a="1"/>
  <c r="N11" i="6" s="1"/>
  <c r="N3" i="6" a="1"/>
  <c r="N3" i="6" s="1"/>
  <c r="N48" i="6" a="1"/>
  <c r="N48" i="6" s="1"/>
  <c r="N45" i="6" a="1"/>
  <c r="N45" i="6" s="1"/>
  <c r="N50" i="6" a="1"/>
  <c r="N50" i="6" s="1"/>
  <c r="N42" i="6" a="1"/>
  <c r="N42" i="6" s="1"/>
  <c r="N47" i="6" a="1"/>
  <c r="N47" i="6" s="1"/>
  <c r="N44" i="6" a="1"/>
  <c r="N44" i="6" s="1"/>
  <c r="N49" i="6" a="1"/>
  <c r="N49" i="6" s="1"/>
  <c r="N46" i="6" a="1"/>
  <c r="N46" i="6" s="1"/>
  <c r="N43" i="6" a="1"/>
  <c r="N43" i="6" s="1"/>
  <c r="N51" i="6" a="1"/>
  <c r="N51" i="6" s="1"/>
  <c r="N88" i="6" a="1"/>
  <c r="N88" i="6" s="1"/>
  <c r="N85" i="6" a="1"/>
  <c r="N85" i="6" s="1"/>
  <c r="N90" i="6" a="1"/>
  <c r="N90" i="6" s="1"/>
  <c r="N82" i="6" a="1"/>
  <c r="N82" i="6" s="1"/>
  <c r="N87" i="6" a="1"/>
  <c r="N87" i="6" s="1"/>
  <c r="N84" i="6" a="1"/>
  <c r="N84" i="6" s="1"/>
  <c r="N89" i="6" a="1"/>
  <c r="N89" i="6" s="1"/>
  <c r="N86" i="6" a="1"/>
  <c r="N86" i="6" s="1"/>
  <c r="N91" i="6" a="1"/>
  <c r="N91" i="6" s="1"/>
  <c r="N83" i="6" a="1"/>
  <c r="N83" i="6" s="1"/>
  <c r="N130" i="6" a="1"/>
  <c r="N130" i="6" s="1"/>
  <c r="N122" i="6" a="1"/>
  <c r="N122" i="6" s="1"/>
  <c r="N127" i="6" a="1"/>
  <c r="N127" i="6" s="1"/>
  <c r="N124" i="6" a="1"/>
  <c r="N124" i="6" s="1"/>
  <c r="N129" i="6" a="1"/>
  <c r="N129" i="6" s="1"/>
  <c r="N126" i="6" a="1"/>
  <c r="N126" i="6" s="1"/>
  <c r="N123" i="6" a="1"/>
  <c r="N123" i="6" s="1"/>
  <c r="N131" i="6" a="1"/>
  <c r="N131" i="6" s="1"/>
  <c r="N128" i="6" a="1"/>
  <c r="N128" i="6" s="1"/>
  <c r="N125" i="6" a="1"/>
  <c r="N125" i="6" s="1"/>
  <c r="N170" i="6" a="1"/>
  <c r="N170" i="6" s="1"/>
  <c r="N162" i="6" a="1"/>
  <c r="N162" i="6" s="1"/>
  <c r="N171" i="6" a="1"/>
  <c r="N171" i="6" s="1"/>
  <c r="N168" i="6" a="1"/>
  <c r="N168" i="6" s="1"/>
  <c r="N165" i="6" a="1"/>
  <c r="N165" i="6" s="1"/>
  <c r="N167" i="6" a="1"/>
  <c r="N167" i="6" s="1"/>
  <c r="N164" i="6" a="1"/>
  <c r="N164" i="6" s="1"/>
  <c r="N169" i="6" a="1"/>
  <c r="N169" i="6" s="1"/>
  <c r="N166" i="6" a="1"/>
  <c r="N166" i="6" s="1"/>
  <c r="N163" i="6" a="1"/>
  <c r="N163" i="6" s="1"/>
  <c r="N210" i="6" a="1"/>
  <c r="N210" i="6" s="1"/>
  <c r="N202" i="6" a="1"/>
  <c r="N202" i="6" s="1"/>
  <c r="N206" i="6" a="1"/>
  <c r="N206" i="6" s="1"/>
  <c r="N203" i="6" a="1"/>
  <c r="N203" i="6" s="1"/>
  <c r="N211" i="6" a="1"/>
  <c r="N211" i="6" s="1"/>
  <c r="N208" i="6" a="1"/>
  <c r="N208" i="6" s="1"/>
  <c r="N205" i="6" a="1"/>
  <c r="N205" i="6" s="1"/>
  <c r="N207" i="6" a="1"/>
  <c r="N207" i="6" s="1"/>
  <c r="N204" i="6" a="1"/>
  <c r="N204" i="6" s="1"/>
  <c r="N209" i="6" a="1"/>
  <c r="N209" i="6" s="1"/>
  <c r="N247" i="6" a="1"/>
  <c r="N247" i="6" s="1"/>
  <c r="N250" i="6" a="1"/>
  <c r="N250" i="6" s="1"/>
  <c r="N242" i="6" a="1"/>
  <c r="N242" i="6" s="1"/>
  <c r="N249" i="6" a="1"/>
  <c r="N249" i="6" s="1"/>
  <c r="N246" i="6" a="1"/>
  <c r="N246" i="6" s="1"/>
  <c r="N243" i="6" a="1"/>
  <c r="N243" i="6" s="1"/>
  <c r="N248" i="6" a="1"/>
  <c r="N248" i="6" s="1"/>
  <c r="N245" i="6" a="1"/>
  <c r="N245" i="6" s="1"/>
  <c r="N251" i="6" a="1"/>
  <c r="N251" i="6" s="1"/>
  <c r="N244" i="6" a="1"/>
  <c r="N244" i="6" s="1"/>
  <c r="N287" i="6" a="1"/>
  <c r="N287" i="6" s="1"/>
  <c r="N289" i="6" a="1"/>
  <c r="N289" i="6" s="1"/>
  <c r="N288" i="6" a="1"/>
  <c r="N288" i="6" s="1"/>
  <c r="N285" i="6" a="1"/>
  <c r="N285" i="6" s="1"/>
  <c r="N290" i="6" a="1"/>
  <c r="N290" i="6" s="1"/>
  <c r="N282" i="6" a="1"/>
  <c r="N282" i="6" s="1"/>
  <c r="N284" i="6" a="1"/>
  <c r="N284" i="6" s="1"/>
  <c r="N283" i="6" a="1"/>
  <c r="N283" i="6" s="1"/>
  <c r="N291" i="6" a="1"/>
  <c r="N291" i="6" s="1"/>
  <c r="N286" i="6" a="1"/>
  <c r="N286" i="6" s="1"/>
  <c r="N5" i="7" a="1"/>
  <c r="N5" i="7" s="1"/>
  <c r="N4" i="7" a="1"/>
  <c r="N4" i="7" s="1"/>
  <c r="N11" i="7" a="1"/>
  <c r="N11" i="7" s="1"/>
  <c r="N3" i="7" a="1"/>
  <c r="N3" i="7" s="1"/>
  <c r="N6" i="7" a="1"/>
  <c r="N6" i="7" s="1"/>
  <c r="N9" i="7" a="1"/>
  <c r="N9" i="7" s="1"/>
  <c r="N2" i="7" a="1"/>
  <c r="N2" i="7" s="1"/>
  <c r="N10" i="7" a="1"/>
  <c r="N10" i="7" s="1"/>
  <c r="N8" i="7" a="1"/>
  <c r="N8" i="7" s="1"/>
  <c r="N7" i="7" a="1"/>
  <c r="N7" i="7" s="1"/>
  <c r="N45" i="7" a="1"/>
  <c r="N45" i="7" s="1"/>
  <c r="N44" i="7" a="1"/>
  <c r="N44" i="7" s="1"/>
  <c r="N43" i="7" a="1"/>
  <c r="N43" i="7" s="1"/>
  <c r="N49" i="7" a="1"/>
  <c r="N49" i="7" s="1"/>
  <c r="N51" i="7" a="1"/>
  <c r="N51" i="7" s="1"/>
  <c r="N48" i="7" a="1"/>
  <c r="N48" i="7" s="1"/>
  <c r="N50" i="7" a="1"/>
  <c r="N50" i="7" s="1"/>
  <c r="N47" i="7" a="1"/>
  <c r="N47" i="7" s="1"/>
  <c r="N46" i="7" a="1"/>
  <c r="N46" i="7" s="1"/>
  <c r="N42" i="7" a="1"/>
  <c r="N42" i="7" s="1"/>
  <c r="N88" i="7" a="1"/>
  <c r="N88" i="7" s="1"/>
  <c r="N85" i="7" a="1"/>
  <c r="N85" i="7" s="1"/>
  <c r="N84" i="7" a="1"/>
  <c r="N84" i="7" s="1"/>
  <c r="N89" i="7" a="1"/>
  <c r="N89" i="7" s="1"/>
  <c r="N91" i="7" a="1"/>
  <c r="N91" i="7" s="1"/>
  <c r="N87" i="7" a="1"/>
  <c r="N87" i="7" s="1"/>
  <c r="N83" i="7" a="1"/>
  <c r="N83" i="7" s="1"/>
  <c r="N90" i="7" a="1"/>
  <c r="N90" i="7" s="1"/>
  <c r="N86" i="7" a="1"/>
  <c r="N86" i="7" s="1"/>
  <c r="N82" i="7" a="1"/>
  <c r="N82" i="7" s="1"/>
  <c r="N128" i="7" a="1"/>
  <c r="N128" i="7" s="1"/>
  <c r="N125" i="7" a="1"/>
  <c r="N125" i="7" s="1"/>
  <c r="N127" i="7" a="1"/>
  <c r="N127" i="7" s="1"/>
  <c r="N124" i="7" a="1"/>
  <c r="N124" i="7" s="1"/>
  <c r="N129" i="7" a="1"/>
  <c r="N129" i="7" s="1"/>
  <c r="N123" i="7" a="1"/>
  <c r="N123" i="7" s="1"/>
  <c r="N131" i="7" a="1"/>
  <c r="N131" i="7" s="1"/>
  <c r="N126" i="7" a="1"/>
  <c r="N126" i="7" s="1"/>
  <c r="N122" i="7" a="1"/>
  <c r="N122" i="7" s="1"/>
  <c r="N130" i="7" a="1"/>
  <c r="N130" i="7" s="1"/>
  <c r="N168" i="7" a="1"/>
  <c r="N168" i="7" s="1"/>
  <c r="N165" i="7" a="1"/>
  <c r="N165" i="7" s="1"/>
  <c r="N167" i="7" a="1"/>
  <c r="N167" i="7" s="1"/>
  <c r="N164" i="7" a="1"/>
  <c r="N164" i="7" s="1"/>
  <c r="N169" i="7" a="1"/>
  <c r="N169" i="7" s="1"/>
  <c r="N170" i="7" a="1"/>
  <c r="N170" i="7" s="1"/>
  <c r="N163" i="7" a="1"/>
  <c r="N163" i="7" s="1"/>
  <c r="N171" i="7" a="1"/>
  <c r="N171" i="7" s="1"/>
  <c r="N166" i="7" a="1"/>
  <c r="N166" i="7" s="1"/>
  <c r="N162" i="7" a="1"/>
  <c r="N162" i="7" s="1"/>
  <c r="N208" i="7" a="1"/>
  <c r="N208" i="7" s="1"/>
  <c r="N205" i="7" a="1"/>
  <c r="N205" i="7" s="1"/>
  <c r="N207" i="7" a="1"/>
  <c r="N207" i="7" s="1"/>
  <c r="N204" i="7" a="1"/>
  <c r="N204" i="7" s="1"/>
  <c r="N209" i="7" a="1"/>
  <c r="N209" i="7" s="1"/>
  <c r="N206" i="7" a="1"/>
  <c r="N206" i="7" s="1"/>
  <c r="N211" i="7" a="1"/>
  <c r="N211" i="7" s="1"/>
  <c r="N210" i="7" a="1"/>
  <c r="N210" i="7" s="1"/>
  <c r="N203" i="7" a="1"/>
  <c r="N203" i="7" s="1"/>
  <c r="N202" i="7" a="1"/>
  <c r="N202" i="7" s="1"/>
  <c r="N248" i="7" a="1"/>
  <c r="N248" i="7" s="1"/>
  <c r="N245" i="7" a="1"/>
  <c r="N245" i="7" s="1"/>
  <c r="N247" i="7" a="1"/>
  <c r="N247" i="7" s="1"/>
  <c r="N244" i="7" a="1"/>
  <c r="N244" i="7" s="1"/>
  <c r="N249" i="7" a="1"/>
  <c r="N249" i="7" s="1"/>
  <c r="N246" i="7" a="1"/>
  <c r="N246" i="7" s="1"/>
  <c r="N243" i="7" a="1"/>
  <c r="N243" i="7" s="1"/>
  <c r="N242" i="7" a="1"/>
  <c r="N242" i="7" s="1"/>
  <c r="N251" i="7" a="1"/>
  <c r="N251" i="7" s="1"/>
  <c r="N250" i="7" a="1"/>
  <c r="N250" i="7" s="1"/>
  <c r="N284" i="7" a="1"/>
  <c r="N284" i="7" s="1"/>
  <c r="N291" i="7" a="1"/>
  <c r="N291" i="7" s="1"/>
  <c r="N288" i="7" a="1"/>
  <c r="N288" i="7" s="1"/>
  <c r="N285" i="7" a="1"/>
  <c r="N285" i="7" s="1"/>
  <c r="N282" i="7" a="1"/>
  <c r="N282" i="7" s="1"/>
  <c r="N287" i="7" a="1"/>
  <c r="N287" i="7" s="1"/>
  <c r="N289" i="7" a="1"/>
  <c r="N289" i="7" s="1"/>
  <c r="N286" i="7" a="1"/>
  <c r="N286" i="7" s="1"/>
  <c r="N283" i="7" a="1"/>
  <c r="N283" i="7" s="1"/>
  <c r="N290" i="7" a="1"/>
  <c r="N290" i="7" s="1"/>
  <c r="N326" i="7" a="1"/>
  <c r="N326" i="7" s="1"/>
  <c r="N329" i="7" a="1"/>
  <c r="N329" i="7" s="1"/>
  <c r="N323" i="7" a="1"/>
  <c r="N323" i="7" s="1"/>
  <c r="N331" i="7" a="1"/>
  <c r="N331" i="7" s="1"/>
  <c r="N328" i="7" a="1"/>
  <c r="N328" i="7" s="1"/>
  <c r="N325" i="7" a="1"/>
  <c r="N325" i="7" s="1"/>
  <c r="N322" i="7" a="1"/>
  <c r="N322" i="7" s="1"/>
  <c r="N330" i="7" a="1"/>
  <c r="N330" i="7" s="1"/>
  <c r="N327" i="7" a="1"/>
  <c r="N327" i="7" s="1"/>
  <c r="N324" i="7" a="1"/>
  <c r="N324" i="7" s="1"/>
  <c r="N36" i="8" a="1"/>
  <c r="N36" i="8" s="1"/>
  <c r="N41" i="8" a="1"/>
  <c r="N41" i="8" s="1"/>
  <c r="N38" i="8" a="1"/>
  <c r="N38" i="8" s="1"/>
  <c r="N35" i="8" a="1"/>
  <c r="N35" i="8" s="1"/>
  <c r="N34" i="8" a="1"/>
  <c r="N34" i="8" s="1"/>
  <c r="N37" i="8" a="1"/>
  <c r="N37" i="8" s="1"/>
  <c r="N40" i="8" a="1"/>
  <c r="N40" i="8" s="1"/>
  <c r="N33" i="8" a="1"/>
  <c r="N33" i="8" s="1"/>
  <c r="N39" i="8" a="1"/>
  <c r="N39" i="8" s="1"/>
  <c r="N32" i="8" a="1"/>
  <c r="N32" i="8" s="1"/>
  <c r="N76" i="8" a="1"/>
  <c r="N76" i="8" s="1"/>
  <c r="N79" i="8" a="1"/>
  <c r="N79" i="8" s="1"/>
  <c r="N73" i="8" a="1"/>
  <c r="N73" i="8" s="1"/>
  <c r="N80" i="8" a="1"/>
  <c r="N80" i="8" s="1"/>
  <c r="N75" i="8" a="1"/>
  <c r="N75" i="8" s="1"/>
  <c r="N72" i="8" a="1"/>
  <c r="N72" i="8" s="1"/>
  <c r="N78" i="8" a="1"/>
  <c r="N78" i="8" s="1"/>
  <c r="N81" i="8" a="1"/>
  <c r="N81" i="8" s="1"/>
  <c r="N74" i="8" a="1"/>
  <c r="N74" i="8" s="1"/>
  <c r="N77" i="8" a="1"/>
  <c r="N77" i="8" s="1"/>
  <c r="N119" i="8" a="1"/>
  <c r="N119" i="8" s="1"/>
  <c r="N116" i="8" a="1"/>
  <c r="N116" i="8" s="1"/>
  <c r="N113" i="8" a="1"/>
  <c r="N113" i="8" s="1"/>
  <c r="N120" i="8" a="1"/>
  <c r="N120" i="8" s="1"/>
  <c r="N118" i="8" a="1"/>
  <c r="N118" i="8" s="1"/>
  <c r="N114" i="8" a="1"/>
  <c r="N114" i="8" s="1"/>
  <c r="N121" i="8" a="1"/>
  <c r="N121" i="8" s="1"/>
  <c r="N117" i="8" a="1"/>
  <c r="N117" i="8" s="1"/>
  <c r="N112" i="8" a="1"/>
  <c r="N112" i="8" s="1"/>
  <c r="N115" i="8" a="1"/>
  <c r="N115" i="8" s="1"/>
  <c r="N159" i="8" a="1"/>
  <c r="N159" i="8" s="1"/>
  <c r="N154" i="8" a="1"/>
  <c r="N154" i="8" s="1"/>
  <c r="N160" i="8" a="1"/>
  <c r="N160" i="8" s="1"/>
  <c r="N153" i="8" a="1"/>
  <c r="N153" i="8" s="1"/>
  <c r="N156" i="8" a="1"/>
  <c r="N156" i="8" s="1"/>
  <c r="N152" i="8" a="1"/>
  <c r="N152" i="8" s="1"/>
  <c r="N161" i="8" a="1"/>
  <c r="N161" i="8" s="1"/>
  <c r="N155" i="8" a="1"/>
  <c r="N155" i="8" s="1"/>
  <c r="N158" i="8" a="1"/>
  <c r="N158" i="8" s="1"/>
  <c r="N157" i="8" a="1"/>
  <c r="N157" i="8" s="1"/>
  <c r="N199" i="8" a="1"/>
  <c r="N199" i="8" s="1"/>
  <c r="N201" i="8" a="1"/>
  <c r="N201" i="8" s="1"/>
  <c r="N198" i="8" a="1"/>
  <c r="N198" i="8" s="1"/>
  <c r="N192" i="8" a="1"/>
  <c r="N192" i="8" s="1"/>
  <c r="N195" i="8" a="1"/>
  <c r="N195" i="8" s="1"/>
  <c r="N200" i="8" a="1"/>
  <c r="N200" i="8" s="1"/>
  <c r="N197" i="8" a="1"/>
  <c r="N197" i="8" s="1"/>
  <c r="N194" i="8" a="1"/>
  <c r="N194" i="8" s="1"/>
  <c r="N193" i="8" a="1"/>
  <c r="N193" i="8" s="1"/>
  <c r="N196" i="8" a="1"/>
  <c r="N196" i="8" s="1"/>
  <c r="N236" i="8" a="1"/>
  <c r="N236" i="8" s="1"/>
  <c r="N239" i="8" a="1"/>
  <c r="N239" i="8" s="1"/>
  <c r="N233" i="8" a="1"/>
  <c r="N233" i="8" s="1"/>
  <c r="N241" i="8" a="1"/>
  <c r="N241" i="8" s="1"/>
  <c r="N238" i="8" a="1"/>
  <c r="N238" i="8" s="1"/>
  <c r="N235" i="8" a="1"/>
  <c r="N235" i="8" s="1"/>
  <c r="N232" i="8" a="1"/>
  <c r="N232" i="8" s="1"/>
  <c r="N240" i="8" a="1"/>
  <c r="N240" i="8" s="1"/>
  <c r="N237" i="8" a="1"/>
  <c r="N237" i="8" s="1"/>
  <c r="N234" i="8" a="1"/>
  <c r="N234" i="8" s="1"/>
  <c r="N276" i="8" a="1"/>
  <c r="N276" i="8" s="1"/>
  <c r="N280" i="8" a="1"/>
  <c r="N280" i="8" s="1"/>
  <c r="N277" i="8" a="1"/>
  <c r="N277" i="8" s="1"/>
  <c r="N274" i="8" a="1"/>
  <c r="N274" i="8" s="1"/>
  <c r="N278" i="8" a="1"/>
  <c r="N278" i="8" s="1"/>
  <c r="N281" i="8" a="1"/>
  <c r="N281" i="8" s="1"/>
  <c r="N273" i="8" a="1"/>
  <c r="N273" i="8" s="1"/>
  <c r="N272" i="8" a="1"/>
  <c r="N272" i="8" s="1"/>
  <c r="N275" i="8" a="1"/>
  <c r="N275" i="8" s="1"/>
  <c r="N279" i="8" a="1"/>
  <c r="N279" i="8" s="1"/>
  <c r="K6" i="9"/>
  <c r="D6" i="10" s="1"/>
  <c r="N23" i="3" a="1"/>
  <c r="N23" i="3" s="1"/>
  <c r="K35" i="9"/>
  <c r="D35" i="10" s="1"/>
  <c r="N63" i="3" a="1"/>
  <c r="N63" i="3" s="1"/>
  <c r="K30" i="9"/>
  <c r="D30" i="10" s="1"/>
  <c r="N103" i="3" a="1"/>
  <c r="N103" i="3" s="1"/>
  <c r="K18" i="9"/>
  <c r="D18" i="10" s="1"/>
  <c r="N143" i="3" a="1"/>
  <c r="N143" i="3" s="1"/>
  <c r="K59" i="9"/>
  <c r="D59" i="10" s="1"/>
  <c r="N175" i="3" a="1"/>
  <c r="N175" i="3" s="1"/>
  <c r="N204" i="3" a="1"/>
  <c r="N204" i="3" s="1"/>
  <c r="N207" i="3" a="1"/>
  <c r="N207" i="3" s="1"/>
  <c r="N210" i="3" a="1"/>
  <c r="N210" i="3" s="1"/>
  <c r="N234" i="3" a="1"/>
  <c r="N234" i="3" s="1"/>
  <c r="N258" i="3" a="1"/>
  <c r="N258" i="3" s="1"/>
  <c r="N290" i="3" a="1"/>
  <c r="N290" i="3" s="1"/>
  <c r="N166" i="4" a="1"/>
  <c r="N166" i="4" s="1"/>
  <c r="N198" i="4" a="1"/>
  <c r="N198" i="4" s="1"/>
  <c r="N230" i="4" a="1"/>
  <c r="N230" i="4" s="1"/>
  <c r="F2" i="10"/>
  <c r="J6" i="9"/>
  <c r="J3" i="10"/>
  <c r="I2" i="10"/>
  <c r="J2" i="10"/>
  <c r="F4" i="10"/>
  <c r="E3" i="10"/>
  <c r="J3" i="9"/>
  <c r="G4" i="10"/>
  <c r="H5" i="10"/>
  <c r="F3" i="10"/>
  <c r="H4" i="10"/>
  <c r="E2" i="10"/>
  <c r="J2" i="9"/>
  <c r="G3" i="10"/>
  <c r="E4" i="10"/>
  <c r="J4" i="9"/>
  <c r="F5" i="10"/>
  <c r="I7" i="10"/>
  <c r="J8" i="10"/>
  <c r="G5" i="10"/>
  <c r="J7" i="10"/>
  <c r="E9" i="10"/>
  <c r="J9" i="9"/>
  <c r="I5" i="10"/>
  <c r="H10" i="10"/>
  <c r="J7" i="9"/>
  <c r="F8" i="10"/>
  <c r="G9" i="10"/>
  <c r="H2" i="10"/>
  <c r="I3" i="10"/>
  <c r="J4" i="10"/>
  <c r="F7" i="10"/>
  <c r="G8" i="10"/>
  <c r="J10" i="10"/>
  <c r="H8" i="10"/>
  <c r="I9" i="10"/>
  <c r="E5" i="10"/>
  <c r="J5" i="9"/>
  <c r="I8" i="10"/>
  <c r="J9" i="10"/>
  <c r="J11" i="9"/>
  <c r="F12" i="10"/>
  <c r="G13" i="10"/>
  <c r="I15" i="10"/>
  <c r="J16" i="10"/>
  <c r="E19" i="10"/>
  <c r="J19" i="9"/>
  <c r="F20" i="10"/>
  <c r="G21" i="10"/>
  <c r="J23" i="10"/>
  <c r="F25" i="10"/>
  <c r="H26" i="10"/>
  <c r="J27" i="10"/>
  <c r="I36" i="10"/>
  <c r="I40" i="10"/>
  <c r="I48" i="10"/>
  <c r="E50" i="10"/>
  <c r="I52" i="10"/>
  <c r="I56" i="10"/>
  <c r="J10" i="9"/>
  <c r="G12" i="10"/>
  <c r="H13" i="10"/>
  <c r="J15" i="10"/>
  <c r="E18" i="10"/>
  <c r="J18" i="9"/>
  <c r="F19" i="10"/>
  <c r="G20" i="10"/>
  <c r="H21" i="10"/>
  <c r="E24" i="10"/>
  <c r="J24" i="9"/>
  <c r="I26" i="10"/>
  <c r="E28" i="10"/>
  <c r="J28" i="9"/>
  <c r="J31" i="10"/>
  <c r="G34" i="10"/>
  <c r="H39" i="10"/>
  <c r="H47" i="10"/>
  <c r="H51" i="10"/>
  <c r="J52" i="10"/>
  <c r="H55" i="10"/>
  <c r="H12" i="10"/>
  <c r="I13" i="10"/>
  <c r="J17" i="9"/>
  <c r="F18" i="10"/>
  <c r="G19" i="10"/>
  <c r="H20" i="10"/>
  <c r="I21" i="10"/>
  <c r="F24" i="10"/>
  <c r="H25" i="10"/>
  <c r="J26" i="10"/>
  <c r="F28" i="10"/>
  <c r="J32" i="9"/>
  <c r="E32" i="10"/>
  <c r="F33" i="10"/>
  <c r="H34" i="10"/>
  <c r="I35" i="10"/>
  <c r="G38" i="10"/>
  <c r="G50" i="10"/>
  <c r="I51" i="10"/>
  <c r="G54" i="10"/>
  <c r="G58" i="10"/>
  <c r="G2" i="10"/>
  <c r="H3" i="10"/>
  <c r="I4" i="10"/>
  <c r="J5" i="10"/>
  <c r="E8" i="10"/>
  <c r="J8" i="9"/>
  <c r="F9" i="10"/>
  <c r="G10" i="10"/>
  <c r="I12" i="10"/>
  <c r="J13" i="10"/>
  <c r="E16" i="10"/>
  <c r="J16" i="9"/>
  <c r="G18" i="10"/>
  <c r="H19" i="10"/>
  <c r="I20" i="10"/>
  <c r="J21" i="10"/>
  <c r="E23" i="10"/>
  <c r="J23" i="9"/>
  <c r="G24" i="10"/>
  <c r="I25" i="10"/>
  <c r="J27" i="9"/>
  <c r="G28" i="10"/>
  <c r="G33" i="10"/>
  <c r="F37" i="10"/>
  <c r="J39" i="10"/>
  <c r="F45" i="10"/>
  <c r="J47" i="10"/>
  <c r="F49" i="10"/>
  <c r="H50" i="10"/>
  <c r="F53" i="10"/>
  <c r="J55" i="10"/>
  <c r="J12" i="10"/>
  <c r="J15" i="9"/>
  <c r="E15" i="10"/>
  <c r="F16" i="10"/>
  <c r="H18" i="10"/>
  <c r="I19" i="10"/>
  <c r="J20" i="10"/>
  <c r="F23" i="10"/>
  <c r="H24" i="10"/>
  <c r="J25" i="10"/>
  <c r="H28" i="10"/>
  <c r="J36" i="9"/>
  <c r="I38" i="10"/>
  <c r="G49" i="10"/>
  <c r="I54" i="10"/>
  <c r="H9" i="10"/>
  <c r="I10" i="10"/>
  <c r="J14" i="9"/>
  <c r="F15" i="10"/>
  <c r="G16" i="10"/>
  <c r="I18" i="10"/>
  <c r="J19" i="10"/>
  <c r="J22" i="9"/>
  <c r="G23" i="10"/>
  <c r="I24" i="10"/>
  <c r="E26" i="10"/>
  <c r="J26" i="9"/>
  <c r="I28" i="10"/>
  <c r="H37" i="10"/>
  <c r="F40" i="10"/>
  <c r="H45" i="10"/>
  <c r="F48" i="10"/>
  <c r="F56" i="10"/>
  <c r="E13" i="10"/>
  <c r="J13" i="9"/>
  <c r="G15" i="10"/>
  <c r="H16" i="10"/>
  <c r="J18" i="10"/>
  <c r="E21" i="10"/>
  <c r="J21" i="9"/>
  <c r="H23" i="10"/>
  <c r="J24" i="10"/>
  <c r="F26" i="10"/>
  <c r="H27" i="10"/>
  <c r="J28" i="10"/>
  <c r="J33" i="10"/>
  <c r="G52" i="10"/>
  <c r="G60" i="10"/>
  <c r="E12" i="10"/>
  <c r="J12" i="9"/>
  <c r="F13" i="10"/>
  <c r="H15" i="10"/>
  <c r="I16" i="10"/>
  <c r="E20" i="10"/>
  <c r="J20" i="9"/>
  <c r="F21" i="10"/>
  <c r="I23" i="10"/>
  <c r="E25" i="10"/>
  <c r="J25" i="9"/>
  <c r="G26" i="10"/>
  <c r="I27" i="10"/>
  <c r="J29" i="9"/>
  <c r="H31" i="10"/>
  <c r="F35" i="10"/>
  <c r="J37" i="10"/>
  <c r="J45" i="10"/>
  <c r="J49" i="10"/>
  <c r="F51" i="10"/>
  <c r="J56" i="9"/>
  <c r="J61" i="10"/>
  <c r="E31" i="10"/>
  <c r="E47" i="10"/>
  <c r="J60" i="10"/>
  <c r="E52" i="10"/>
  <c r="J30" i="9"/>
  <c r="F31" i="10"/>
  <c r="H33" i="10"/>
  <c r="I34" i="10"/>
  <c r="J38" i="9"/>
  <c r="E38" i="10"/>
  <c r="F39" i="10"/>
  <c r="G40" i="10"/>
  <c r="H41" i="10"/>
  <c r="J46" i="9"/>
  <c r="F47" i="10"/>
  <c r="G48" i="10"/>
  <c r="H49" i="10"/>
  <c r="I50" i="10"/>
  <c r="J51" i="10"/>
  <c r="J54" i="9"/>
  <c r="E54" i="10"/>
  <c r="F55" i="10"/>
  <c r="G56" i="10"/>
  <c r="E34" i="10"/>
  <c r="G31" i="10"/>
  <c r="I33" i="10"/>
  <c r="J34" i="10"/>
  <c r="E37" i="10"/>
  <c r="J37" i="9"/>
  <c r="F38" i="10"/>
  <c r="G39" i="10"/>
  <c r="H40" i="10"/>
  <c r="I41" i="10"/>
  <c r="E45" i="10"/>
  <c r="J45" i="9"/>
  <c r="G47" i="10"/>
  <c r="H48" i="10"/>
  <c r="I49" i="10"/>
  <c r="J50" i="10"/>
  <c r="J53" i="9"/>
  <c r="F54" i="10"/>
  <c r="G55" i="10"/>
  <c r="H56" i="10"/>
  <c r="E61" i="10"/>
  <c r="E48" i="10"/>
  <c r="F61" i="10"/>
  <c r="E39" i="10"/>
  <c r="E55" i="10"/>
  <c r="G29" i="10"/>
  <c r="I31" i="10"/>
  <c r="J32" i="10"/>
  <c r="J35" i="9"/>
  <c r="G37" i="10"/>
  <c r="H38" i="10"/>
  <c r="I39" i="10"/>
  <c r="J40" i="10"/>
  <c r="J43" i="9"/>
  <c r="F44" i="10"/>
  <c r="G45" i="10"/>
  <c r="I47" i="10"/>
  <c r="J48" i="10"/>
  <c r="E51" i="10"/>
  <c r="J51" i="9"/>
  <c r="G53" i="10"/>
  <c r="H54" i="10"/>
  <c r="I55" i="10"/>
  <c r="J56" i="10"/>
  <c r="J59" i="9"/>
  <c r="F60" i="10"/>
  <c r="G61" i="10"/>
  <c r="J50" i="9"/>
  <c r="J58" i="9"/>
  <c r="H61" i="10"/>
  <c r="I29" i="10"/>
  <c r="J33" i="9"/>
  <c r="F34" i="10"/>
  <c r="I37" i="10"/>
  <c r="J38" i="10"/>
  <c r="E41" i="10"/>
  <c r="J41" i="9"/>
  <c r="I45" i="10"/>
  <c r="E49" i="10"/>
  <c r="J49" i="9"/>
  <c r="F50" i="10"/>
  <c r="G51" i="10"/>
  <c r="H52" i="10"/>
  <c r="J54" i="10"/>
  <c r="J57" i="9"/>
  <c r="H60" i="10"/>
  <c r="I61" i="10"/>
  <c r="E40" i="10"/>
  <c r="E56" i="10"/>
  <c r="J61" i="9"/>
  <c r="G32" i="10" l="1"/>
  <c r="E44" i="10"/>
  <c r="F52" i="10"/>
  <c r="J53" i="10"/>
  <c r="G36" i="10"/>
  <c r="J11" i="10"/>
  <c r="F27" i="10"/>
  <c r="E27" i="10"/>
  <c r="J44" i="10"/>
  <c r="I44" i="10"/>
  <c r="E7" i="10"/>
  <c r="H32" i="10"/>
  <c r="E53" i="10"/>
  <c r="I32" i="10"/>
  <c r="H35" i="10"/>
  <c r="H7" i="10"/>
  <c r="F58" i="10"/>
  <c r="I11" i="10"/>
  <c r="G11" i="10"/>
  <c r="E10" i="10"/>
  <c r="H44" i="10"/>
  <c r="E58" i="10"/>
  <c r="I58" i="10"/>
  <c r="J35" i="10"/>
  <c r="J41" i="10"/>
  <c r="H58" i="10"/>
  <c r="E35" i="10"/>
  <c r="G27" i="10"/>
  <c r="H11" i="10"/>
  <c r="F10" i="10"/>
  <c r="G59" i="10"/>
  <c r="E33" i="10"/>
  <c r="E60" i="10"/>
  <c r="F36" i="10"/>
  <c r="H57" i="10"/>
  <c r="E30" i="10"/>
  <c r="F59" i="10"/>
  <c r="G44" i="10"/>
  <c r="E14" i="10"/>
  <c r="G41" i="10"/>
  <c r="F32" i="10"/>
  <c r="I43" i="10"/>
  <c r="H29" i="10"/>
  <c r="H59" i="10"/>
  <c r="J36" i="10"/>
  <c r="G25" i="10"/>
  <c r="I60" i="10"/>
  <c r="F29" i="10"/>
  <c r="E11" i="10"/>
  <c r="I6" i="10"/>
  <c r="G7" i="10"/>
  <c r="F42" i="10"/>
  <c r="H46" i="10"/>
  <c r="F46" i="10"/>
  <c r="J17" i="10"/>
  <c r="I46" i="10"/>
  <c r="G46" i="10"/>
  <c r="G6" i="10"/>
  <c r="J30" i="10"/>
  <c r="J57" i="10"/>
  <c r="F14" i="10"/>
  <c r="E22" i="10"/>
  <c r="G42" i="10"/>
  <c r="J42" i="10"/>
  <c r="E46" i="10"/>
  <c r="G14" i="10"/>
  <c r="F22" i="10"/>
  <c r="E36" i="10"/>
  <c r="I59" i="10"/>
  <c r="I14" i="10"/>
  <c r="E6" i="10"/>
  <c r="E57" i="10"/>
  <c r="J46" i="10"/>
  <c r="E43" i="10"/>
  <c r="G30" i="10"/>
  <c r="G22" i="10"/>
  <c r="H42" i="10"/>
  <c r="E17" i="10"/>
  <c r="I22" i="10"/>
  <c r="H6" i="10"/>
  <c r="G43" i="10"/>
  <c r="J59" i="10"/>
  <c r="F43" i="10"/>
  <c r="I17" i="10"/>
  <c r="H43" i="10"/>
  <c r="H36" i="10"/>
  <c r="E42" i="10"/>
  <c r="J58" i="10"/>
  <c r="J43" i="10"/>
  <c r="F30" i="10"/>
  <c r="H17" i="10"/>
  <c r="G57" i="10"/>
  <c r="J29" i="10"/>
  <c r="F57" i="10"/>
  <c r="F41" i="10"/>
  <c r="F17" i="10"/>
  <c r="J14" i="10"/>
  <c r="I30" i="10"/>
  <c r="H14" i="10"/>
  <c r="F6" i="10"/>
  <c r="J6" i="10"/>
  <c r="I53" i="10"/>
  <c r="G35" i="10"/>
  <c r="E59" i="10"/>
  <c r="H30" i="10"/>
  <c r="I57" i="10"/>
  <c r="I42" i="10"/>
  <c r="E29" i="10"/>
  <c r="H53" i="10"/>
  <c r="G17" i="10"/>
  <c r="J22" i="10"/>
  <c r="F11" i="10"/>
  <c r="H22" i="10"/>
</calcChain>
</file>

<file path=xl/sharedStrings.xml><?xml version="1.0" encoding="utf-8"?>
<sst xmlns="http://schemas.openxmlformats.org/spreadsheetml/2006/main" count="13847" uniqueCount="441">
  <si>
    <t>WEEK</t>
  </si>
  <si>
    <t>DAY</t>
  </si>
  <si>
    <t>MATCH</t>
  </si>
  <si>
    <t>Set #</t>
  </si>
  <si>
    <t>DATE</t>
  </si>
  <si>
    <t>PHASE</t>
  </si>
  <si>
    <t>TEAM 1</t>
  </si>
  <si>
    <t>TEAM 2</t>
  </si>
  <si>
    <t>MAP</t>
  </si>
  <si>
    <t>MAP TYPE</t>
  </si>
  <si>
    <t>TIME</t>
  </si>
  <si>
    <t>WINNER</t>
  </si>
  <si>
    <t>TEAM 1 BAN</t>
  </si>
  <si>
    <t>TEAM 2 BAN</t>
  </si>
  <si>
    <t>MATCH_ID</t>
  </si>
  <si>
    <t>TEAM 1 SCORE</t>
  </si>
  <si>
    <t>TEAM 2 SCORE</t>
  </si>
  <si>
    <t>INITIAL BAN RIGHT</t>
  </si>
  <si>
    <t>INITIAL BAN</t>
  </si>
  <si>
    <t>Round Robin</t>
  </si>
  <si>
    <t>O2</t>
  </si>
  <si>
    <t>ROZE</t>
  </si>
  <si>
    <t>Ilios</t>
  </si>
  <si>
    <t>D.Va</t>
  </si>
  <si>
    <t>Jetpack Cat</t>
  </si>
  <si>
    <t>Suravasa</t>
  </si>
  <si>
    <t>Symmetra</t>
  </si>
  <si>
    <t>Domina</t>
  </si>
  <si>
    <t>Runasapi</t>
  </si>
  <si>
    <t>Lucio</t>
  </si>
  <si>
    <t>Pharah</t>
  </si>
  <si>
    <t>FLC</t>
  </si>
  <si>
    <t>CR</t>
  </si>
  <si>
    <t>Antarctic Peninsula</t>
  </si>
  <si>
    <t>Mei</t>
  </si>
  <si>
    <t>Reinhardt</t>
  </si>
  <si>
    <t>Sigma</t>
  </si>
  <si>
    <t>King's Row</t>
  </si>
  <si>
    <t>Bastion</t>
  </si>
  <si>
    <t>New Queen Street</t>
  </si>
  <si>
    <t>Wrecking Ball</t>
  </si>
  <si>
    <t>T1</t>
  </si>
  <si>
    <t>ZETA</t>
  </si>
  <si>
    <t>Rialto</t>
  </si>
  <si>
    <t>New Junk City</t>
  </si>
  <si>
    <t>Cassidy</t>
  </si>
  <si>
    <t>Mauga</t>
  </si>
  <si>
    <t>Vendetta</t>
  </si>
  <si>
    <t>Kiriko</t>
  </si>
  <si>
    <t>Zarya</t>
  </si>
  <si>
    <t>PF</t>
  </si>
  <si>
    <t>CB</t>
  </si>
  <si>
    <t>Juno</t>
  </si>
  <si>
    <t>SB</t>
  </si>
  <si>
    <t>Oasis</t>
  </si>
  <si>
    <t>Roadhog</t>
  </si>
  <si>
    <t>Numbani</t>
  </si>
  <si>
    <t>Illari</t>
  </si>
  <si>
    <t>Mizuki</t>
  </si>
  <si>
    <t>Sojourn</t>
  </si>
  <si>
    <t>Ana</t>
  </si>
  <si>
    <t>Hollywood</t>
  </si>
  <si>
    <t>Tracer</t>
  </si>
  <si>
    <t>Dorado</t>
  </si>
  <si>
    <t>Shion</t>
  </si>
  <si>
    <t>Ramattra</t>
  </si>
  <si>
    <t>Anran</t>
  </si>
  <si>
    <t>Reaper</t>
  </si>
  <si>
    <t>Hazard</t>
  </si>
  <si>
    <t>Circuit Royal</t>
  </si>
  <si>
    <t>Genji</t>
  </si>
  <si>
    <t>Zenyatta</t>
  </si>
  <si>
    <t>Mercy</t>
  </si>
  <si>
    <t>Widowmaker</t>
  </si>
  <si>
    <t>Emre</t>
  </si>
  <si>
    <t>Sierra</t>
  </si>
  <si>
    <t>Winston</t>
  </si>
  <si>
    <t>Hanzo</t>
  </si>
  <si>
    <t>Lifeweaver</t>
  </si>
  <si>
    <t>Moira</t>
  </si>
  <si>
    <t>Torbjörn</t>
  </si>
  <si>
    <t>Wuyang</t>
  </si>
  <si>
    <t>Doomfist</t>
  </si>
  <si>
    <t>Orisa</t>
  </si>
  <si>
    <t>Brigitte</t>
  </si>
  <si>
    <t>LCQ</t>
  </si>
  <si>
    <t>2nd RR</t>
  </si>
  <si>
    <t>Nepal</t>
  </si>
  <si>
    <t>Aatlis</t>
  </si>
  <si>
    <t>Neon Junction</t>
  </si>
  <si>
    <t>Colosseo</t>
  </si>
  <si>
    <t>Cb</t>
  </si>
  <si>
    <t>Playoffs</t>
  </si>
  <si>
    <t>Sombra</t>
  </si>
  <si>
    <t>Team Name</t>
  </si>
  <si>
    <t>Shortened</t>
  </si>
  <si>
    <t>Player Name</t>
  </si>
  <si>
    <t>Player Position</t>
  </si>
  <si>
    <t>Detailed</t>
  </si>
  <si>
    <t>O2 Blast</t>
  </si>
  <si>
    <t>FATE</t>
  </si>
  <si>
    <t>TANK</t>
  </si>
  <si>
    <t>SEUNGAN</t>
  </si>
  <si>
    <t>WUTIAN</t>
  </si>
  <si>
    <t>DPS</t>
  </si>
  <si>
    <t>FLEX DPS</t>
  </si>
  <si>
    <t>PERR</t>
  </si>
  <si>
    <t>MAIN DPS</t>
  </si>
  <si>
    <t>FAITH</t>
  </si>
  <si>
    <t>SPT</t>
  </si>
  <si>
    <t>MAN SPT</t>
  </si>
  <si>
    <t>MISIN</t>
  </si>
  <si>
    <t>FLEX SPT</t>
  </si>
  <si>
    <t>GAMJUNG</t>
  </si>
  <si>
    <t>Røde Zanside Gaming</t>
  </si>
  <si>
    <t>VOID</t>
  </si>
  <si>
    <t>HEISER</t>
  </si>
  <si>
    <t>BECKY</t>
  </si>
  <si>
    <t>KILO</t>
  </si>
  <si>
    <t>PROBE</t>
  </si>
  <si>
    <t>OPENER</t>
  </si>
  <si>
    <t>MAIN SPT</t>
  </si>
  <si>
    <t>IRONY</t>
  </si>
  <si>
    <t>Cheeseburger</t>
  </si>
  <si>
    <t>FARMER</t>
  </si>
  <si>
    <t>GUR3UM</t>
  </si>
  <si>
    <t>ARGON</t>
  </si>
  <si>
    <t>M1NUT2</t>
  </si>
  <si>
    <t>TENTEN</t>
  </si>
  <si>
    <t>WOOCHAN</t>
  </si>
  <si>
    <t>Poker Face</t>
  </si>
  <si>
    <t>FEARFUL</t>
  </si>
  <si>
    <t>HYEON</t>
  </si>
  <si>
    <t>D0D0</t>
  </si>
  <si>
    <t>K4NE</t>
  </si>
  <si>
    <t>SP1NEL</t>
  </si>
  <si>
    <t>CARU</t>
  </si>
  <si>
    <t>ZETA DIVISION</t>
  </si>
  <si>
    <t>MEALGARU</t>
  </si>
  <si>
    <t>BERNAR</t>
  </si>
  <si>
    <t>PROPER</t>
  </si>
  <si>
    <t>KNIFE</t>
  </si>
  <si>
    <t>VIOL2T</t>
  </si>
  <si>
    <t>SHU</t>
  </si>
  <si>
    <t>Crazy Raccoon</t>
  </si>
  <si>
    <t>JUNBIN</t>
  </si>
  <si>
    <t>MAX</t>
  </si>
  <si>
    <t>HEESANG</t>
  </si>
  <si>
    <t>LIP</t>
  </si>
  <si>
    <t>STALK3R</t>
  </si>
  <si>
    <t>CH0R0NG</t>
  </si>
  <si>
    <t>VIGILANTE</t>
  </si>
  <si>
    <t>DONGHAK</t>
  </si>
  <si>
    <t>JASM1NE</t>
  </si>
  <si>
    <t>ZEST</t>
  </si>
  <si>
    <t>PROUD</t>
  </si>
  <si>
    <t>FLETA</t>
  </si>
  <si>
    <t>BLISS</t>
  </si>
  <si>
    <t>SKEWED</t>
  </si>
  <si>
    <t>Team Falcons</t>
  </si>
  <si>
    <t>SOMEONE</t>
  </si>
  <si>
    <t>HANBIN</t>
  </si>
  <si>
    <t>SP1NT</t>
  </si>
  <si>
    <t>CHECKMATE</t>
  </si>
  <si>
    <t>MER1T</t>
  </si>
  <si>
    <t>CHIYO</t>
  </si>
  <si>
    <t>FIELDER</t>
  </si>
  <si>
    <t>SuperBad</t>
  </si>
  <si>
    <t>SENTIER</t>
  </si>
  <si>
    <t>HOMERUNBALL</t>
  </si>
  <si>
    <t>AZENT</t>
  </si>
  <si>
    <t>SORI</t>
  </si>
  <si>
    <t>SOAE</t>
  </si>
  <si>
    <t>DUMBBELL</t>
  </si>
  <si>
    <t>UNIV2R</t>
  </si>
  <si>
    <t>Team</t>
  </si>
  <si>
    <t>Player</t>
  </si>
  <si>
    <t>Position</t>
  </si>
  <si>
    <t>Map</t>
  </si>
  <si>
    <t>Map Type</t>
  </si>
  <si>
    <t>Elim</t>
  </si>
  <si>
    <t>Death</t>
  </si>
  <si>
    <t>Assists</t>
  </si>
  <si>
    <t>Damage</t>
  </si>
  <si>
    <t>Heal</t>
  </si>
  <si>
    <t>Mitigated</t>
  </si>
  <si>
    <t>Playtime</t>
  </si>
  <si>
    <t>Playtime(Seconds)</t>
  </si>
  <si>
    <t>Control</t>
  </si>
  <si>
    <t>00:09:39</t>
  </si>
  <si>
    <t>Flashpoint</t>
  </si>
  <si>
    <t>00:15:00</t>
  </si>
  <si>
    <t>Push</t>
  </si>
  <si>
    <t>00:10:40</t>
  </si>
  <si>
    <t>Antartic Peninsula</t>
  </si>
  <si>
    <t>00:07:30</t>
  </si>
  <si>
    <t>Hybrid</t>
  </si>
  <si>
    <t>00:14:05</t>
  </si>
  <si>
    <t>00:10:19</t>
  </si>
  <si>
    <t>00:08:25</t>
  </si>
  <si>
    <t>RIALTO</t>
  </si>
  <si>
    <t>Escort</t>
  </si>
  <si>
    <t>00:15:22</t>
  </si>
  <si>
    <t>00:07:39</t>
  </si>
  <si>
    <t>00:16:20</t>
  </si>
  <si>
    <t>00:10:34</t>
  </si>
  <si>
    <t>00:08:22</t>
  </si>
  <si>
    <t>00:13:08</t>
  </si>
  <si>
    <t>00:03:31</t>
  </si>
  <si>
    <t>00:09:50</t>
  </si>
  <si>
    <t>NUMBANI</t>
  </si>
  <si>
    <t>00:10:22</t>
  </si>
  <si>
    <t>00:06:38</t>
  </si>
  <si>
    <t>00:09:27</t>
  </si>
  <si>
    <t>00:10:14</t>
  </si>
  <si>
    <t>00:10:23</t>
  </si>
  <si>
    <t>00:13:51</t>
  </si>
  <si>
    <t>00:13:17</t>
  </si>
  <si>
    <t>00:09:28</t>
  </si>
  <si>
    <t>00:07:04</t>
  </si>
  <si>
    <t>00:09:54</t>
  </si>
  <si>
    <t>00:10:57</t>
  </si>
  <si>
    <t>00:08:58</t>
  </si>
  <si>
    <t>00:10:30</t>
  </si>
  <si>
    <t>00:10:31</t>
  </si>
  <si>
    <t>00:07:06</t>
  </si>
  <si>
    <t>00:12:19</t>
  </si>
  <si>
    <t>00:14:08</t>
  </si>
  <si>
    <t>00:07:25</t>
  </si>
  <si>
    <t>00:07:56</t>
  </si>
  <si>
    <t>00:09:15</t>
  </si>
  <si>
    <t>00:06:31</t>
  </si>
  <si>
    <t>00:04:39</t>
  </si>
  <si>
    <t>00:06:10</t>
  </si>
  <si>
    <t>00:08:56</t>
  </si>
  <si>
    <t>00:06:40</t>
  </si>
  <si>
    <t>00:06:25</t>
  </si>
  <si>
    <t>00:05:03</t>
  </si>
  <si>
    <t>00:13:16</t>
  </si>
  <si>
    <t>00:06:44</t>
  </si>
  <si>
    <t>00:07:51</t>
  </si>
  <si>
    <t>00:15:52</t>
  </si>
  <si>
    <t>00:06:01</t>
  </si>
  <si>
    <t>00:05:58</t>
  </si>
  <si>
    <t>00:10:32</t>
  </si>
  <si>
    <t>00:11:16</t>
  </si>
  <si>
    <t>00:05:22</t>
  </si>
  <si>
    <t>00:08:14</t>
  </si>
  <si>
    <t>00:04:41</t>
  </si>
  <si>
    <t>00:11:40</t>
  </si>
  <si>
    <t>00:15:14</t>
  </si>
  <si>
    <t>HOLLYWOOD</t>
  </si>
  <si>
    <t>00:13:24</t>
  </si>
  <si>
    <t>00:07:27</t>
  </si>
  <si>
    <t>00:13:52</t>
  </si>
  <si>
    <t>00:18:53</t>
  </si>
  <si>
    <t>00:04:14</t>
  </si>
  <si>
    <t>00:12:29</t>
  </si>
  <si>
    <t>00:07:07</t>
  </si>
  <si>
    <t>00:12:28</t>
  </si>
  <si>
    <t>00:09:00</t>
  </si>
  <si>
    <t>00:10:00</t>
  </si>
  <si>
    <t>00:09:26</t>
  </si>
  <si>
    <t>00:10:41</t>
  </si>
  <si>
    <t>00:13:35</t>
  </si>
  <si>
    <t>00:14:58</t>
  </si>
  <si>
    <t>00:12:11</t>
  </si>
  <si>
    <t>00:05:35</t>
  </si>
  <si>
    <t>00:11:55</t>
  </si>
  <si>
    <t>00:05:29</t>
  </si>
  <si>
    <t>00:11:43</t>
  </si>
  <si>
    <t>00:09:53</t>
  </si>
  <si>
    <t>00:05:17</t>
  </si>
  <si>
    <t>00:14:50</t>
  </si>
  <si>
    <t>00:17:24</t>
  </si>
  <si>
    <t>00:11:07</t>
  </si>
  <si>
    <t>00:06:11</t>
  </si>
  <si>
    <t>00:10:01</t>
  </si>
  <si>
    <t>00:09:04</t>
  </si>
  <si>
    <t>00:06:08</t>
  </si>
  <si>
    <t>00:11:31</t>
  </si>
  <si>
    <t>00:06:27</t>
  </si>
  <si>
    <t>00:06:51</t>
  </si>
  <si>
    <t>00:08:53</t>
  </si>
  <si>
    <t>00:09:17</t>
  </si>
  <si>
    <t>00:05:47</t>
  </si>
  <si>
    <t>00:11:18</t>
  </si>
  <si>
    <t>00:07:18</t>
  </si>
  <si>
    <t>00:11:50</t>
  </si>
  <si>
    <t>00:08:36</t>
  </si>
  <si>
    <t>00:10:07</t>
  </si>
  <si>
    <t>00:16:59</t>
  </si>
  <si>
    <t>00:13:23</t>
  </si>
  <si>
    <t>00:15:30</t>
  </si>
  <si>
    <t>00:10:25</t>
  </si>
  <si>
    <t>00:10:09</t>
  </si>
  <si>
    <t>00:10:52</t>
  </si>
  <si>
    <t>00:05:25</t>
  </si>
  <si>
    <t>00:07:09</t>
  </si>
  <si>
    <t>00:08:48</t>
  </si>
  <si>
    <t>00:04:43</t>
  </si>
  <si>
    <t>00:05:06</t>
  </si>
  <si>
    <t>00:10:05</t>
  </si>
  <si>
    <t>00:12:18</t>
  </si>
  <si>
    <t>00:18:48</t>
  </si>
  <si>
    <t>00:12:56</t>
  </si>
  <si>
    <t>00:11:35</t>
  </si>
  <si>
    <t>00:08:50</t>
  </si>
  <si>
    <t>00:12:06</t>
  </si>
  <si>
    <t>00:14:46</t>
  </si>
  <si>
    <t>00:23:23</t>
  </si>
  <si>
    <t>00:08:47</t>
  </si>
  <si>
    <t>00:11:02</t>
  </si>
  <si>
    <t>00:16:50</t>
  </si>
  <si>
    <t>00:12:32</t>
  </si>
  <si>
    <t>00:12:13</t>
  </si>
  <si>
    <t>00:13:31</t>
  </si>
  <si>
    <t>00:12:39</t>
  </si>
  <si>
    <t>00:14:18</t>
  </si>
  <si>
    <t>00:14:20</t>
  </si>
  <si>
    <t>00:08:41</t>
  </si>
  <si>
    <t>00:14:17</t>
  </si>
  <si>
    <t>00:13:58</t>
  </si>
  <si>
    <t>00:14:16</t>
  </si>
  <si>
    <t>00:15:56</t>
  </si>
  <si>
    <t>00:11:21</t>
  </si>
  <si>
    <t>00:13:40</t>
  </si>
  <si>
    <t>00:14:21</t>
  </si>
  <si>
    <t>00:08:03</t>
  </si>
  <si>
    <t>00:09:20</t>
  </si>
  <si>
    <t>00:11:03</t>
  </si>
  <si>
    <t>00:14:10</t>
  </si>
  <si>
    <t>00:16:16</t>
  </si>
  <si>
    <t>00:08:59</t>
  </si>
  <si>
    <t>00:06:33</t>
  </si>
  <si>
    <t>00:11:58</t>
  </si>
  <si>
    <t>00:16:04</t>
  </si>
  <si>
    <t>00:10:29</t>
  </si>
  <si>
    <t>00:10:02</t>
  </si>
  <si>
    <t>00:05:52</t>
  </si>
  <si>
    <t>00:15:05</t>
  </si>
  <si>
    <t>00:10:24</t>
  </si>
  <si>
    <t>00:15:59</t>
  </si>
  <si>
    <t>00:14:49</t>
  </si>
  <si>
    <t>00:11:47</t>
  </si>
  <si>
    <t>00:13:05</t>
  </si>
  <si>
    <t>00:09:09</t>
  </si>
  <si>
    <t>00:10:15</t>
  </si>
  <si>
    <t>00:10:27</t>
  </si>
  <si>
    <t>00:09:01</t>
  </si>
  <si>
    <t>00:13:48</t>
  </si>
  <si>
    <t>00:07:11</t>
  </si>
  <si>
    <t>00:12:03</t>
  </si>
  <si>
    <t>00:15:17</t>
  </si>
  <si>
    <t>00:11:01</t>
  </si>
  <si>
    <t>00:16:25</t>
  </si>
  <si>
    <t>00:10:08</t>
  </si>
  <si>
    <t>00:20:57</t>
  </si>
  <si>
    <t>TEAM</t>
  </si>
  <si>
    <t>PLAYER</t>
  </si>
  <si>
    <t>POSITION</t>
  </si>
  <si>
    <t>TOTAL ELIMS</t>
  </si>
  <si>
    <t>TOTAL DEATHS</t>
  </si>
  <si>
    <t>TOTAL ASSISTS</t>
  </si>
  <si>
    <t>TOTAL DAMAGE</t>
  </si>
  <si>
    <t>TOTAL HEAL</t>
  </si>
  <si>
    <t>TOTAL MITIGATED</t>
  </si>
  <si>
    <t>TOTAL E/D</t>
  </si>
  <si>
    <t>TOTAL PLAYTIME</t>
  </si>
  <si>
    <t>Playtime_Min</t>
  </si>
  <si>
    <t>Elim / 10</t>
  </si>
  <si>
    <t>Death / 10</t>
  </si>
  <si>
    <t>Assists / 10</t>
  </si>
  <si>
    <t>Damage / 10</t>
  </si>
  <si>
    <t>Heal / 10</t>
  </si>
  <si>
    <t>Mitigated / 10</t>
  </si>
  <si>
    <t>Date</t>
  </si>
  <si>
    <t>Match</t>
  </si>
  <si>
    <t>POTM</t>
  </si>
  <si>
    <t>26/6/5</t>
  </si>
  <si>
    <t>O2_ROZE</t>
  </si>
  <si>
    <t>FLC_CR</t>
  </si>
  <si>
    <t>T1_ZETA</t>
  </si>
  <si>
    <t>26/6/6</t>
  </si>
  <si>
    <t>PF_CB</t>
  </si>
  <si>
    <t>T1_SB</t>
  </si>
  <si>
    <t>ROZE_FLC</t>
  </si>
  <si>
    <t>26/6/7</t>
  </si>
  <si>
    <t>SB_O2</t>
  </si>
  <si>
    <t>ZETA_CB</t>
  </si>
  <si>
    <t>CR_PF</t>
  </si>
  <si>
    <t>26/6/12</t>
  </si>
  <si>
    <t>CB_SB</t>
  </si>
  <si>
    <t>O2_ZETA</t>
  </si>
  <si>
    <t>CR_ROZE</t>
  </si>
  <si>
    <t>26/6/13</t>
  </si>
  <si>
    <t>PF_FLC</t>
  </si>
  <si>
    <t>T1_O2</t>
  </si>
  <si>
    <t>SB_ZETA</t>
  </si>
  <si>
    <t>26/6/14</t>
  </si>
  <si>
    <t>ROZE_PF</t>
  </si>
  <si>
    <t>CR_CB</t>
  </si>
  <si>
    <t>FLC_T1</t>
  </si>
  <si>
    <t>26/6/19</t>
  </si>
  <si>
    <t>ROZE_CB</t>
  </si>
  <si>
    <t>FLC_O2</t>
  </si>
  <si>
    <t>T1_CR</t>
  </si>
  <si>
    <t>26/6/20</t>
  </si>
  <si>
    <t>PF_SB</t>
  </si>
  <si>
    <t>ZETA_ROZE</t>
  </si>
  <si>
    <t>CB_T1</t>
  </si>
  <si>
    <t>26/6/21</t>
  </si>
  <si>
    <t>FLC_SB</t>
  </si>
  <si>
    <t>O2_CR</t>
  </si>
  <si>
    <t>ZETA_PF</t>
  </si>
  <si>
    <t>26/6/26</t>
  </si>
  <si>
    <t>CB_O2</t>
  </si>
  <si>
    <t>ZETA_FLC</t>
  </si>
  <si>
    <t>SB_ROZE</t>
  </si>
  <si>
    <t>26/6/27</t>
  </si>
  <si>
    <t>PF_T1</t>
  </si>
  <si>
    <t>CB_FLC</t>
  </si>
  <si>
    <t>SB_CR</t>
  </si>
  <si>
    <t>26/6/28</t>
  </si>
  <si>
    <t>O2_PF</t>
  </si>
  <si>
    <t>ROZE_T1</t>
  </si>
  <si>
    <t>CR_ZETA</t>
  </si>
  <si>
    <t>26/7/3</t>
  </si>
  <si>
    <t>CR_FLC</t>
  </si>
  <si>
    <t>ZETA_T1</t>
  </si>
  <si>
    <t>26/7/4</t>
  </si>
  <si>
    <t>CR_T1</t>
  </si>
  <si>
    <t>26/7/5</t>
  </si>
  <si>
    <t>O2_CB</t>
  </si>
  <si>
    <t>T1_FLC</t>
  </si>
  <si>
    <t>26/7/10</t>
  </si>
  <si>
    <t>FLC_ROZE</t>
  </si>
  <si>
    <t>ZETA_O2</t>
  </si>
  <si>
    <t>26/7/11</t>
  </si>
  <si>
    <t>26/7/12</t>
  </si>
  <si>
    <t>SOAE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</si>
</sst>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_ "/>
    <numFmt numFmtId="178" formatCode="#,##0_ "/>
  </numFmts>
  <fonts count="9">
    <font>
      <sz val="12"/>
      <color theme="1"/>
      <name val="맑은 고딕"/>
    </font>
    <font>
      <sz val="12"/>
      <color rgb="FF000000"/>
      <name val="맑은 고딕"/>
      <family val="2"/>
      <charset val="129"/>
    </font>
    <font>
      <sz val="10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name val="맑은 고딕"/>
      <family val="2"/>
      <charset val="129"/>
    </font>
    <font>
      <b/>
      <sz val="12"/>
      <color theme="1"/>
      <name val="맑은 고딕"/>
      <family val="2"/>
      <charset val="129"/>
    </font>
    <font>
      <b/>
      <sz val="11"/>
      <name val="맑은 고딕"/>
      <family val="2"/>
      <charset val="129"/>
    </font>
    <font>
      <sz val="12"/>
      <color theme="1"/>
      <name val="맑은 고딕"/>
      <family val="2"/>
      <charset val="129"/>
    </font>
    <font>
      <sz val="8"/>
      <name val="굴림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0" fontId="4" fillId="0" borderId="2" xfId="0" applyFont="1" applyBorder="1" applyAlignment="1">
      <alignment horizontal="center" vertical="top"/>
    </xf>
    <xf numFmtId="0" fontId="1" fillId="0" borderId="2" xfId="0" applyFont="1" applyBorder="1">
      <alignment vertical="center"/>
    </xf>
    <xf numFmtId="0" fontId="0" fillId="0" borderId="2" xfId="0" applyBorder="1" applyAlignment="1"/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0" fillId="0" borderId="4" xfId="0" applyBorder="1" applyAlignment="1"/>
    <xf numFmtId="0" fontId="0" fillId="0" borderId="5" xfId="0" applyBorder="1">
      <alignment vertical="center"/>
    </xf>
    <xf numFmtId="14" fontId="0" fillId="0" borderId="2" xfId="0" applyNumberFormat="1" applyBorder="1">
      <alignment vertical="center"/>
    </xf>
    <xf numFmtId="45" fontId="0" fillId="0" borderId="2" xfId="0" applyNumberFormat="1" applyBorder="1">
      <alignment vertical="center"/>
    </xf>
    <xf numFmtId="14" fontId="0" fillId="0" borderId="0" xfId="0" applyNumberFormat="1" applyAlignment="1"/>
    <xf numFmtId="0" fontId="0" fillId="0" borderId="5" xfId="0" applyBorder="1" applyAlignment="1"/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77" fontId="0" fillId="0" borderId="2" xfId="0" applyNumberFormat="1" applyBorder="1" applyAlignment="1">
      <alignment horizontal="center"/>
    </xf>
    <xf numFmtId="0" fontId="1" fillId="2" borderId="2" xfId="0" applyFont="1" applyFill="1" applyBorder="1">
      <alignment vertical="center"/>
    </xf>
    <xf numFmtId="0" fontId="0" fillId="2" borderId="2" xfId="0" applyFill="1" applyBorder="1">
      <alignment vertical="center"/>
    </xf>
    <xf numFmtId="0" fontId="0" fillId="2" borderId="5" xfId="0" applyFill="1" applyBorder="1">
      <alignment vertical="center"/>
    </xf>
    <xf numFmtId="14" fontId="0" fillId="2" borderId="2" xfId="0" applyNumberFormat="1" applyFill="1" applyBorder="1">
      <alignment vertical="center"/>
    </xf>
    <xf numFmtId="0" fontId="2" fillId="2" borderId="0" xfId="0" applyFont="1" applyFill="1">
      <alignment vertical="center"/>
    </xf>
    <xf numFmtId="45" fontId="0" fillId="2" borderId="2" xfId="0" applyNumberFormat="1" applyFill="1" applyBorder="1">
      <alignment vertical="center"/>
    </xf>
    <xf numFmtId="14" fontId="1" fillId="2" borderId="2" xfId="0" applyNumberFormat="1" applyFont="1" applyFill="1" applyBorder="1">
      <alignment vertical="center"/>
    </xf>
    <xf numFmtId="0" fontId="0" fillId="2" borderId="2" xfId="0" applyFill="1" applyBorder="1" applyAlignment="1"/>
    <xf numFmtId="0" fontId="1" fillId="2" borderId="5" xfId="0" applyFont="1" applyFill="1" applyBorder="1">
      <alignment vertical="center"/>
    </xf>
    <xf numFmtId="0" fontId="0" fillId="2" borderId="0" xfId="0" applyFill="1">
      <alignment vertical="center"/>
    </xf>
    <xf numFmtId="14" fontId="0" fillId="2" borderId="0" xfId="0" applyNumberFormat="1" applyFill="1" applyAlignment="1"/>
    <xf numFmtId="0" fontId="0" fillId="2" borderId="0" xfId="0" applyFill="1" applyAlignment="1"/>
    <xf numFmtId="0" fontId="0" fillId="2" borderId="5" xfId="0" applyFill="1" applyBorder="1" applyAlignment="1"/>
    <xf numFmtId="0" fontId="0" fillId="0" borderId="6" xfId="0" applyBorder="1">
      <alignment vertical="center"/>
    </xf>
    <xf numFmtId="0" fontId="2" fillId="2" borderId="2" xfId="0" applyFont="1" applyFill="1" applyBorder="1">
      <alignment vertical="center"/>
    </xf>
    <xf numFmtId="0" fontId="2" fillId="0" borderId="2" xfId="0" applyFont="1" applyBorder="1">
      <alignment vertical="center"/>
    </xf>
    <xf numFmtId="14" fontId="0" fillId="0" borderId="2" xfId="0" applyNumberFormat="1" applyBorder="1" applyAlignment="1"/>
    <xf numFmtId="14" fontId="0" fillId="2" borderId="2" xfId="0" applyNumberFormat="1" applyFill="1" applyBorder="1" applyAlignment="1"/>
    <xf numFmtId="0" fontId="0" fillId="2" borderId="4" xfId="0" applyFill="1" applyBorder="1" applyAlignment="1"/>
    <xf numFmtId="0" fontId="0" fillId="2" borderId="3" xfId="0" applyFill="1" applyBorder="1">
      <alignment vertical="center"/>
    </xf>
    <xf numFmtId="0" fontId="1" fillId="2" borderId="0" xfId="0" applyFont="1" applyFill="1">
      <alignment vertical="center"/>
    </xf>
    <xf numFmtId="2" fontId="0" fillId="0" borderId="0" xfId="0" applyNumberFormat="1" applyAlignment="1"/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0" fontId="0" fillId="0" borderId="7" xfId="0" applyBorder="1" applyAlignment="1"/>
    <xf numFmtId="0" fontId="0" fillId="0" borderId="3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12">
    <dxf>
      <fill>
        <patternFill>
          <bgColor theme="0" tint="-0.24994659260841701"/>
        </patternFill>
      </fill>
    </dxf>
    <dxf>
      <border>
        <bottom style="thin">
          <color auto="1"/>
        </bottom>
      </border>
    </dxf>
    <dxf>
      <fill>
        <patternFill>
          <bgColor theme="0" tint="-0.24994659260841701"/>
        </patternFill>
      </fill>
    </dxf>
    <dxf>
      <border>
        <bottom style="thin">
          <color auto="1"/>
        </bottom>
      </border>
    </dxf>
    <dxf>
      <fill>
        <patternFill>
          <bgColor theme="0" tint="-0.24994659260841701"/>
        </patternFill>
      </fill>
    </dxf>
    <dxf>
      <border>
        <bottom style="thin">
          <color auto="1"/>
        </bottom>
      </border>
    </dxf>
    <dxf>
      <fill>
        <patternFill>
          <bgColor theme="0" tint="-0.24994659260841701"/>
        </patternFill>
      </fill>
    </dxf>
    <dxf>
      <border>
        <bottom style="thin">
          <color auto="1"/>
        </bottom>
      </border>
    </dxf>
    <dxf>
      <fill>
        <patternFill>
          <bgColor theme="0" tint="-0.24994659260841701"/>
        </patternFill>
      </fill>
    </dxf>
    <dxf>
      <border>
        <bottom style="thin">
          <color auto="1"/>
        </bottom>
      </border>
    </dxf>
    <dxf>
      <fill>
        <patternFill>
          <bgColor theme="0" tint="-0.24994659260841701"/>
        </patternFill>
      </fill>
    </dxf>
    <dxf>
      <border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workbookViewId="0">
      <selection activeCell="A64" sqref="A64:B70"/>
    </sheetView>
  </sheetViews>
  <sheetFormatPr baseColWidth="10" defaultRowHeight="18"/>
  <cols>
    <col min="1" max="1" width="18.140625" style="3" customWidth="1"/>
    <col min="3" max="3" width="13.140625" style="3" customWidth="1"/>
    <col min="4" max="4" width="12.28515625" style="3" customWidth="1"/>
  </cols>
  <sheetData>
    <row r="1" spans="1:5">
      <c r="A1" s="5" t="s">
        <v>94</v>
      </c>
      <c r="B1" s="5" t="s">
        <v>95</v>
      </c>
      <c r="C1" s="5" t="s">
        <v>96</v>
      </c>
      <c r="D1" s="5" t="s">
        <v>97</v>
      </c>
      <c r="E1" s="5" t="s">
        <v>98</v>
      </c>
    </row>
    <row r="2" spans="1:5">
      <c r="A2" s="5" t="s">
        <v>99</v>
      </c>
      <c r="B2" s="5" t="s">
        <v>20</v>
      </c>
      <c r="C2" s="5"/>
      <c r="D2" s="5"/>
      <c r="E2" s="7"/>
    </row>
    <row r="3" spans="1:5">
      <c r="A3" s="57"/>
      <c r="B3" s="53"/>
      <c r="C3" s="5" t="s">
        <v>100</v>
      </c>
      <c r="D3" s="5" t="s">
        <v>101</v>
      </c>
      <c r="E3" s="7"/>
    </row>
    <row r="4" spans="1:5">
      <c r="A4" s="54"/>
      <c r="B4" s="14"/>
      <c r="C4" s="5" t="s">
        <v>102</v>
      </c>
      <c r="D4" s="5" t="s">
        <v>101</v>
      </c>
      <c r="E4" s="7"/>
    </row>
    <row r="5" spans="1:5">
      <c r="A5" s="54"/>
      <c r="B5" s="14"/>
      <c r="C5" s="5" t="s">
        <v>103</v>
      </c>
      <c r="D5" s="5" t="s">
        <v>104</v>
      </c>
      <c r="E5" s="51" t="s">
        <v>105</v>
      </c>
    </row>
    <row r="6" spans="1:5">
      <c r="A6" s="54"/>
      <c r="B6" s="14"/>
      <c r="C6" s="5" t="s">
        <v>106</v>
      </c>
      <c r="D6" s="5" t="s">
        <v>104</v>
      </c>
      <c r="E6" s="51" t="s">
        <v>107</v>
      </c>
    </row>
    <row r="7" spans="1:5">
      <c r="A7" s="54"/>
      <c r="B7" s="14"/>
      <c r="C7" s="5" t="s">
        <v>108</v>
      </c>
      <c r="D7" s="5" t="s">
        <v>109</v>
      </c>
      <c r="E7" s="51" t="s">
        <v>110</v>
      </c>
    </row>
    <row r="8" spans="1:5">
      <c r="A8" s="54"/>
      <c r="B8" s="14"/>
      <c r="C8" s="5" t="s">
        <v>111</v>
      </c>
      <c r="D8" s="5" t="s">
        <v>109</v>
      </c>
      <c r="E8" s="51" t="s">
        <v>112</v>
      </c>
    </row>
    <row r="9" spans="1:5">
      <c r="A9" s="55"/>
      <c r="B9" s="56"/>
      <c r="C9" s="5" t="s">
        <v>113</v>
      </c>
      <c r="D9" s="5" t="s">
        <v>109</v>
      </c>
      <c r="E9" s="51" t="s">
        <v>112</v>
      </c>
    </row>
    <row r="10" spans="1:5">
      <c r="A10" s="5" t="s">
        <v>114</v>
      </c>
      <c r="B10" s="5" t="s">
        <v>21</v>
      </c>
      <c r="C10" s="5"/>
      <c r="D10" s="5"/>
      <c r="E10" s="7"/>
    </row>
    <row r="11" spans="1:5">
      <c r="A11" s="57"/>
      <c r="B11" s="53"/>
      <c r="C11" s="5" t="s">
        <v>115</v>
      </c>
      <c r="D11" s="5" t="s">
        <v>101</v>
      </c>
      <c r="E11" s="7"/>
    </row>
    <row r="12" spans="1:5">
      <c r="A12" s="54"/>
      <c r="B12" s="14"/>
      <c r="C12" s="5" t="s">
        <v>116</v>
      </c>
      <c r="D12" s="5" t="s">
        <v>101</v>
      </c>
      <c r="E12" s="7"/>
    </row>
    <row r="13" spans="1:5">
      <c r="A13" s="54"/>
      <c r="B13" s="14"/>
      <c r="C13" s="5" t="s">
        <v>117</v>
      </c>
      <c r="D13" s="5" t="s">
        <v>104</v>
      </c>
      <c r="E13" s="51" t="s">
        <v>105</v>
      </c>
    </row>
    <row r="14" spans="1:5">
      <c r="A14" s="54"/>
      <c r="B14" s="14"/>
      <c r="C14" s="5" t="s">
        <v>118</v>
      </c>
      <c r="D14" s="5" t="s">
        <v>104</v>
      </c>
      <c r="E14" s="51" t="s">
        <v>107</v>
      </c>
    </row>
    <row r="15" spans="1:5">
      <c r="A15" s="54"/>
      <c r="B15" s="14"/>
      <c r="C15" s="5" t="s">
        <v>119</v>
      </c>
      <c r="D15" s="5" t="s">
        <v>104</v>
      </c>
      <c r="E15" s="51" t="s">
        <v>107</v>
      </c>
    </row>
    <row r="16" spans="1:5">
      <c r="A16" s="54"/>
      <c r="B16" s="14"/>
      <c r="C16" s="5" t="s">
        <v>120</v>
      </c>
      <c r="D16" s="5" t="s">
        <v>109</v>
      </c>
      <c r="E16" s="51" t="s">
        <v>121</v>
      </c>
    </row>
    <row r="17" spans="1:5">
      <c r="A17" s="55"/>
      <c r="B17" s="56"/>
      <c r="C17" s="5" t="s">
        <v>122</v>
      </c>
      <c r="D17" s="5" t="s">
        <v>109</v>
      </c>
      <c r="E17" s="51" t="s">
        <v>112</v>
      </c>
    </row>
    <row r="18" spans="1:5">
      <c r="A18" s="5" t="s">
        <v>123</v>
      </c>
      <c r="B18" s="5" t="s">
        <v>51</v>
      </c>
      <c r="C18" s="5"/>
      <c r="D18" s="5"/>
      <c r="E18" s="7"/>
    </row>
    <row r="19" spans="1:5">
      <c r="A19" s="57"/>
      <c r="B19" s="53"/>
      <c r="C19" s="5" t="s">
        <v>124</v>
      </c>
      <c r="D19" s="5" t="s">
        <v>101</v>
      </c>
      <c r="E19" s="7"/>
    </row>
    <row r="20" spans="1:5">
      <c r="A20" s="54"/>
      <c r="B20" s="14"/>
      <c r="C20" s="5" t="s">
        <v>125</v>
      </c>
      <c r="D20" s="5" t="s">
        <v>101</v>
      </c>
      <c r="E20" s="7"/>
    </row>
    <row r="21" spans="1:5">
      <c r="A21" s="54"/>
      <c r="B21" s="14"/>
      <c r="C21" s="5" t="s">
        <v>126</v>
      </c>
      <c r="D21" s="5" t="s">
        <v>104</v>
      </c>
      <c r="E21" s="51" t="s">
        <v>105</v>
      </c>
    </row>
    <row r="22" spans="1:5">
      <c r="A22" s="54"/>
      <c r="B22" s="14"/>
      <c r="C22" s="5" t="s">
        <v>127</v>
      </c>
      <c r="D22" s="5" t="s">
        <v>104</v>
      </c>
      <c r="E22" s="51" t="s">
        <v>107</v>
      </c>
    </row>
    <row r="23" spans="1:5">
      <c r="A23" s="54"/>
      <c r="B23" s="14"/>
      <c r="C23" s="5" t="s">
        <v>128</v>
      </c>
      <c r="D23" s="5" t="s">
        <v>109</v>
      </c>
      <c r="E23" s="51" t="s">
        <v>121</v>
      </c>
    </row>
    <row r="24" spans="1:5">
      <c r="A24" s="55"/>
      <c r="B24" s="56"/>
      <c r="C24" s="5" t="s">
        <v>129</v>
      </c>
      <c r="D24" s="5" t="s">
        <v>109</v>
      </c>
      <c r="E24" s="51" t="s">
        <v>112</v>
      </c>
    </row>
    <row r="25" spans="1:5">
      <c r="A25" s="5" t="s">
        <v>130</v>
      </c>
      <c r="B25" s="5" t="s">
        <v>50</v>
      </c>
      <c r="C25" s="5"/>
      <c r="D25" s="5"/>
      <c r="E25" s="7"/>
    </row>
    <row r="26" spans="1:5">
      <c r="A26" s="57"/>
      <c r="B26" s="53"/>
      <c r="C26" s="5" t="s">
        <v>131</v>
      </c>
      <c r="D26" s="5" t="s">
        <v>101</v>
      </c>
      <c r="E26" s="7"/>
    </row>
    <row r="27" spans="1:5">
      <c r="A27" s="54"/>
      <c r="B27" s="14"/>
      <c r="C27" s="5" t="s">
        <v>132</v>
      </c>
      <c r="D27" s="5" t="s">
        <v>101</v>
      </c>
      <c r="E27" s="7"/>
    </row>
    <row r="28" spans="1:5">
      <c r="A28" s="54"/>
      <c r="B28" s="14"/>
      <c r="C28" s="5" t="s">
        <v>133</v>
      </c>
      <c r="D28" s="5" t="s">
        <v>104</v>
      </c>
      <c r="E28" s="51" t="s">
        <v>105</v>
      </c>
    </row>
    <row r="29" spans="1:5">
      <c r="A29" s="54"/>
      <c r="B29" s="14"/>
      <c r="C29" s="5" t="s">
        <v>134</v>
      </c>
      <c r="D29" s="5" t="s">
        <v>104</v>
      </c>
      <c r="E29" s="51" t="s">
        <v>107</v>
      </c>
    </row>
    <row r="30" spans="1:5">
      <c r="A30" s="54"/>
      <c r="B30" s="14"/>
      <c r="C30" s="5" t="s">
        <v>135</v>
      </c>
      <c r="D30" s="5" t="s">
        <v>109</v>
      </c>
      <c r="E30" s="51" t="s">
        <v>121</v>
      </c>
    </row>
    <row r="31" spans="1:5">
      <c r="A31" s="55"/>
      <c r="B31" s="56"/>
      <c r="C31" s="5" t="s">
        <v>136</v>
      </c>
      <c r="D31" s="5" t="s">
        <v>109</v>
      </c>
      <c r="E31" s="51" t="s">
        <v>112</v>
      </c>
    </row>
    <row r="32" spans="1:5">
      <c r="A32" s="5" t="s">
        <v>137</v>
      </c>
      <c r="B32" s="5" t="s">
        <v>42</v>
      </c>
      <c r="C32" s="5"/>
      <c r="D32" s="5"/>
      <c r="E32" s="7"/>
    </row>
    <row r="33" spans="1:5">
      <c r="A33" s="57"/>
      <c r="B33" s="53"/>
      <c r="C33" s="5" t="s">
        <v>138</v>
      </c>
      <c r="D33" s="5" t="s">
        <v>101</v>
      </c>
      <c r="E33" s="7"/>
    </row>
    <row r="34" spans="1:5">
      <c r="A34" s="54"/>
      <c r="B34" s="14"/>
      <c r="C34" s="5" t="s">
        <v>139</v>
      </c>
      <c r="D34" s="5" t="s">
        <v>101</v>
      </c>
      <c r="E34" s="7"/>
    </row>
    <row r="35" spans="1:5">
      <c r="A35" s="54"/>
      <c r="B35" s="14"/>
      <c r="C35" s="5" t="s">
        <v>140</v>
      </c>
      <c r="D35" s="5" t="s">
        <v>104</v>
      </c>
      <c r="E35" s="51" t="s">
        <v>105</v>
      </c>
    </row>
    <row r="36" spans="1:5">
      <c r="A36" s="54"/>
      <c r="B36" s="14"/>
      <c r="C36" s="5" t="s">
        <v>141</v>
      </c>
      <c r="D36" s="5" t="s">
        <v>104</v>
      </c>
      <c r="E36" s="51" t="s">
        <v>107</v>
      </c>
    </row>
    <row r="37" spans="1:5">
      <c r="A37" s="54"/>
      <c r="B37" s="14"/>
      <c r="C37" s="5" t="s">
        <v>142</v>
      </c>
      <c r="D37" s="5" t="s">
        <v>109</v>
      </c>
      <c r="E37" s="51" t="s">
        <v>121</v>
      </c>
    </row>
    <row r="38" spans="1:5">
      <c r="A38" s="55"/>
      <c r="B38" s="56"/>
      <c r="C38" s="5" t="s">
        <v>143</v>
      </c>
      <c r="D38" s="5" t="s">
        <v>109</v>
      </c>
      <c r="E38" s="51" t="s">
        <v>112</v>
      </c>
    </row>
    <row r="39" spans="1:5">
      <c r="A39" s="5" t="s">
        <v>144</v>
      </c>
      <c r="B39" s="5" t="s">
        <v>32</v>
      </c>
      <c r="C39" s="5"/>
      <c r="D39" s="5"/>
      <c r="E39" s="7"/>
    </row>
    <row r="40" spans="1:5">
      <c r="A40" s="57"/>
      <c r="B40" s="53"/>
      <c r="C40" s="5" t="s">
        <v>145</v>
      </c>
      <c r="D40" s="5" t="s">
        <v>101</v>
      </c>
      <c r="E40" s="7"/>
    </row>
    <row r="41" spans="1:5">
      <c r="A41" s="54"/>
      <c r="B41" s="14"/>
      <c r="C41" s="5" t="s">
        <v>146</v>
      </c>
      <c r="D41" s="5" t="s">
        <v>101</v>
      </c>
      <c r="E41" s="7"/>
    </row>
    <row r="42" spans="1:5">
      <c r="A42" s="54"/>
      <c r="B42" s="14"/>
      <c r="C42" s="5" t="s">
        <v>147</v>
      </c>
      <c r="D42" s="5" t="s">
        <v>104</v>
      </c>
      <c r="E42" s="51" t="s">
        <v>105</v>
      </c>
    </row>
    <row r="43" spans="1:5">
      <c r="A43" s="54"/>
      <c r="B43" s="14"/>
      <c r="C43" s="5" t="s">
        <v>148</v>
      </c>
      <c r="D43" s="5" t="s">
        <v>104</v>
      </c>
      <c r="E43" s="51" t="s">
        <v>107</v>
      </c>
    </row>
    <row r="44" spans="1:5">
      <c r="A44" s="54"/>
      <c r="B44" s="14"/>
      <c r="C44" s="5" t="s">
        <v>149</v>
      </c>
      <c r="D44" s="5" t="s">
        <v>104</v>
      </c>
      <c r="E44" s="51" t="s">
        <v>107</v>
      </c>
    </row>
    <row r="45" spans="1:5">
      <c r="A45" s="54"/>
      <c r="B45" s="14"/>
      <c r="C45" s="5" t="s">
        <v>150</v>
      </c>
      <c r="D45" s="5" t="s">
        <v>109</v>
      </c>
      <c r="E45" s="51" t="s">
        <v>121</v>
      </c>
    </row>
    <row r="46" spans="1:5">
      <c r="A46" s="55"/>
      <c r="B46" s="56"/>
      <c r="C46" s="5" t="s">
        <v>151</v>
      </c>
      <c r="D46" s="5" t="s">
        <v>109</v>
      </c>
      <c r="E46" s="51" t="s">
        <v>112</v>
      </c>
    </row>
    <row r="47" spans="1:5">
      <c r="A47" s="5" t="s">
        <v>41</v>
      </c>
      <c r="B47" s="5" t="s">
        <v>41</v>
      </c>
      <c r="C47" s="5"/>
      <c r="D47" s="5"/>
      <c r="E47" s="7"/>
    </row>
    <row r="48" spans="1:5">
      <c r="A48" s="57"/>
      <c r="B48" s="53"/>
      <c r="C48" s="5" t="s">
        <v>152</v>
      </c>
      <c r="D48" s="5" t="s">
        <v>101</v>
      </c>
      <c r="E48" s="7"/>
    </row>
    <row r="49" spans="1:9">
      <c r="A49" s="54"/>
      <c r="B49" s="14"/>
      <c r="C49" s="5" t="s">
        <v>153</v>
      </c>
      <c r="D49" s="5" t="s">
        <v>101</v>
      </c>
      <c r="E49" s="7"/>
    </row>
    <row r="50" spans="1:9">
      <c r="A50" s="54"/>
      <c r="B50" s="14"/>
      <c r="C50" s="5" t="s">
        <v>154</v>
      </c>
      <c r="D50" s="5" t="s">
        <v>104</v>
      </c>
      <c r="E50" s="51" t="s">
        <v>105</v>
      </c>
    </row>
    <row r="51" spans="1:9">
      <c r="A51" s="54"/>
      <c r="B51" s="14"/>
      <c r="C51" s="5" t="s">
        <v>155</v>
      </c>
      <c r="D51" s="5" t="s">
        <v>104</v>
      </c>
      <c r="E51" s="51" t="s">
        <v>107</v>
      </c>
    </row>
    <row r="52" spans="1:9">
      <c r="A52" s="54"/>
      <c r="B52" s="14"/>
      <c r="C52" s="5" t="s">
        <v>156</v>
      </c>
      <c r="D52" s="5" t="s">
        <v>109</v>
      </c>
      <c r="E52" s="51" t="s">
        <v>112</v>
      </c>
    </row>
    <row r="53" spans="1:9">
      <c r="A53" s="54"/>
      <c r="B53" s="14"/>
      <c r="C53" s="5" t="s">
        <v>157</v>
      </c>
      <c r="D53" s="5" t="s">
        <v>109</v>
      </c>
      <c r="E53" s="51" t="s">
        <v>121</v>
      </c>
    </row>
    <row r="54" spans="1:9">
      <c r="A54" s="55"/>
      <c r="B54" s="56"/>
      <c r="C54" s="5" t="s">
        <v>158</v>
      </c>
      <c r="D54" s="5" t="s">
        <v>109</v>
      </c>
      <c r="E54" s="51" t="s">
        <v>112</v>
      </c>
      <c r="F54" s="1"/>
      <c r="G54" s="1"/>
      <c r="H54" s="1"/>
      <c r="I54" s="1"/>
    </row>
    <row r="55" spans="1:9">
      <c r="A55" s="5" t="s">
        <v>159</v>
      </c>
      <c r="B55" s="5" t="s">
        <v>31</v>
      </c>
      <c r="C55" s="5"/>
      <c r="D55" s="5"/>
      <c r="E55" s="7"/>
      <c r="F55" s="1"/>
      <c r="G55" s="1"/>
      <c r="H55" s="1"/>
      <c r="I55" s="1"/>
    </row>
    <row r="56" spans="1:9">
      <c r="A56" s="57"/>
      <c r="B56" s="53"/>
      <c r="C56" s="5" t="s">
        <v>160</v>
      </c>
      <c r="D56" s="5" t="s">
        <v>101</v>
      </c>
      <c r="E56" s="7"/>
      <c r="F56" s="1"/>
      <c r="G56" s="1"/>
      <c r="H56" s="1"/>
      <c r="I56" s="1"/>
    </row>
    <row r="57" spans="1:9">
      <c r="A57" s="54"/>
      <c r="B57" s="14"/>
      <c r="C57" s="5" t="s">
        <v>161</v>
      </c>
      <c r="D57" s="5" t="s">
        <v>101</v>
      </c>
      <c r="E57" s="7"/>
      <c r="F57" s="1"/>
      <c r="G57" s="1"/>
      <c r="H57" s="1"/>
      <c r="I57" s="1"/>
    </row>
    <row r="58" spans="1:9">
      <c r="A58" s="54"/>
      <c r="B58" s="14"/>
      <c r="C58" s="5" t="s">
        <v>162</v>
      </c>
      <c r="D58" s="5" t="s">
        <v>104</v>
      </c>
      <c r="E58" s="51" t="s">
        <v>105</v>
      </c>
      <c r="F58" s="1"/>
      <c r="G58" s="1"/>
      <c r="H58" s="1"/>
      <c r="I58" s="1"/>
    </row>
    <row r="59" spans="1:9">
      <c r="A59" s="54"/>
      <c r="B59" s="14"/>
      <c r="C59" s="5" t="s">
        <v>163</v>
      </c>
      <c r="D59" s="5" t="s">
        <v>104</v>
      </c>
      <c r="E59" s="51" t="s">
        <v>105</v>
      </c>
      <c r="F59" s="1"/>
      <c r="G59" s="1"/>
      <c r="H59" s="1"/>
      <c r="I59" s="1"/>
    </row>
    <row r="60" spans="1:9">
      <c r="A60" s="54"/>
      <c r="B60" s="14"/>
      <c r="C60" s="5" t="s">
        <v>164</v>
      </c>
      <c r="D60" s="5" t="s">
        <v>104</v>
      </c>
      <c r="E60" s="51" t="s">
        <v>107</v>
      </c>
      <c r="F60" s="1"/>
      <c r="G60" s="1"/>
      <c r="H60" s="1"/>
      <c r="I60" s="1"/>
    </row>
    <row r="61" spans="1:9">
      <c r="A61" s="54"/>
      <c r="B61" s="14"/>
      <c r="C61" s="5" t="s">
        <v>165</v>
      </c>
      <c r="D61" s="5" t="s">
        <v>109</v>
      </c>
      <c r="E61" s="51" t="s">
        <v>121</v>
      </c>
      <c r="F61" s="1"/>
      <c r="G61" s="1"/>
      <c r="H61" s="1"/>
      <c r="I61" s="1"/>
    </row>
    <row r="62" spans="1:9">
      <c r="A62" s="55"/>
      <c r="B62" s="56"/>
      <c r="C62" s="5" t="s">
        <v>166</v>
      </c>
      <c r="D62" s="5" t="s">
        <v>109</v>
      </c>
      <c r="E62" s="51" t="s">
        <v>112</v>
      </c>
    </row>
    <row r="63" spans="1:9">
      <c r="A63" s="7" t="s">
        <v>167</v>
      </c>
      <c r="B63" s="7" t="s">
        <v>53</v>
      </c>
      <c r="C63" s="7"/>
      <c r="D63" s="6"/>
      <c r="E63" s="7"/>
    </row>
    <row r="64" spans="1:9">
      <c r="A64" s="58"/>
      <c r="B64" s="53"/>
      <c r="C64" s="5" t="s">
        <v>168</v>
      </c>
      <c r="D64" s="5" t="s">
        <v>101</v>
      </c>
      <c r="E64" s="7"/>
    </row>
    <row r="65" spans="1:5">
      <c r="A65" s="54"/>
      <c r="B65" s="14"/>
      <c r="C65" s="5" t="s">
        <v>169</v>
      </c>
      <c r="D65" s="5" t="s">
        <v>101</v>
      </c>
      <c r="E65" s="7"/>
    </row>
    <row r="66" spans="1:5">
      <c r="A66" s="54"/>
      <c r="B66" s="14"/>
      <c r="C66" s="5" t="s">
        <v>170</v>
      </c>
      <c r="D66" s="5" t="s">
        <v>104</v>
      </c>
      <c r="E66" s="51" t="s">
        <v>105</v>
      </c>
    </row>
    <row r="67" spans="1:5">
      <c r="A67" s="54"/>
      <c r="B67" s="14"/>
      <c r="C67" s="5" t="s">
        <v>171</v>
      </c>
      <c r="D67" s="5" t="s">
        <v>104</v>
      </c>
      <c r="E67" s="51" t="s">
        <v>107</v>
      </c>
    </row>
    <row r="68" spans="1:5">
      <c r="A68" s="54"/>
      <c r="B68" s="14"/>
      <c r="C68" s="5" t="s">
        <v>172</v>
      </c>
      <c r="D68" s="5" t="s">
        <v>109</v>
      </c>
      <c r="E68" s="51" t="s">
        <v>121</v>
      </c>
    </row>
    <row r="69" spans="1:5">
      <c r="A69" s="54"/>
      <c r="B69" s="14"/>
      <c r="C69" s="5" t="s">
        <v>173</v>
      </c>
      <c r="D69" s="5" t="s">
        <v>109</v>
      </c>
      <c r="E69" s="51" t="s">
        <v>121</v>
      </c>
    </row>
    <row r="70" spans="1:5">
      <c r="A70" s="55"/>
      <c r="B70" s="56"/>
      <c r="C70" s="5" t="s">
        <v>174</v>
      </c>
      <c r="D70" s="5" t="s">
        <v>109</v>
      </c>
      <c r="E70" s="51" t="s">
        <v>112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01"/>
  <sheetViews>
    <sheetView topLeftCell="E1" workbookViewId="0">
      <selection activeCell="R2" sqref="R2"/>
    </sheetView>
  </sheetViews>
  <sheetFormatPr baseColWidth="10" defaultRowHeight="18"/>
  <cols>
    <col min="4" max="4" width="11.140625" style="3" customWidth="1"/>
    <col min="7" max="7" width="15.42578125" style="3" customWidth="1"/>
    <col min="9" max="9" width="16.42578125" style="3" customWidth="1"/>
    <col min="10" max="10" width="10.7109375" style="3" customWidth="1"/>
    <col min="11" max="12" width="13.7109375" style="3" customWidth="1"/>
    <col min="13" max="13" width="14.5703125" style="3" customWidth="1"/>
    <col min="14" max="14" width="15.7109375" style="3" customWidth="1"/>
    <col min="15" max="15" width="17.42578125" style="3" customWidth="1"/>
    <col min="16" max="16" width="13.140625" style="3" customWidth="1"/>
    <col min="17" max="17" width="11.85546875" style="3" customWidth="1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30">
        <v>1</v>
      </c>
      <c r="B2" s="30">
        <v>1</v>
      </c>
      <c r="C2" s="30">
        <v>1</v>
      </c>
      <c r="D2" s="30">
        <v>1</v>
      </c>
      <c r="E2" s="32">
        <v>46178</v>
      </c>
      <c r="F2" s="30" t="s">
        <v>19</v>
      </c>
      <c r="G2" s="30" t="s">
        <v>20</v>
      </c>
      <c r="H2" s="30" t="s">
        <v>21</v>
      </c>
      <c r="I2" s="30" t="s">
        <v>22</v>
      </c>
      <c r="J2" s="30" t="str">
        <f t="shared" ref="J2:J33" si="0">IF(OR(I2="Antarctic Peninsula", I2="Nepal", I2="Lijiang Tower", I2="Busan", I2="Samoa", I2="Oasis", I2="Ilios"), "Control", IF(OR(I2="Route 66", I2="Watchpoint: Gibraltar", I2="Dorado", I2="Rialto", I2="Shambali Monastery", I2="Circuit Royal", I2="Junkertown", I2="Havana"), "Escort", IF(OR(I2="Neon Junction", I2="Numbani", I2="Midtown", I2="Blizzard World", I2="Eichenwalde", I2="King's Row", I2="Paraiso", I2="Hollywood"), "Hybrid", IF(OR(I2="New Queen Street", I2="Esperanca", I2="Colosseo", I2="Runasapi"), "Push", IF(OR(I2="New Junk City", I2="Suravasa", I2="Aatlis"), "Flashpoint", "")))))</f>
        <v>Control</v>
      </c>
      <c r="K2" s="34">
        <v>6.7013888888888887E-3</v>
      </c>
      <c r="L2" s="30" t="s">
        <v>20</v>
      </c>
      <c r="M2" s="30" t="s">
        <v>23</v>
      </c>
      <c r="N2" s="30" t="s">
        <v>24</v>
      </c>
      <c r="O2" s="43" t="str">
        <f t="shared" ref="O2:O33" si="1">TEXT(E2, "yymmdd") &amp; "_" &amp; G2 &amp; "_" &amp; H2 &amp; "_S" &amp; D2</f>
        <v>260605_O2_ROZE_S1</v>
      </c>
      <c r="P2">
        <v>2</v>
      </c>
      <c r="Q2">
        <v>0</v>
      </c>
      <c r="R2" t="s">
        <v>6</v>
      </c>
      <c r="S2" t="s">
        <v>23</v>
      </c>
    </row>
    <row r="3" spans="1:19">
      <c r="A3" s="30">
        <v>1</v>
      </c>
      <c r="B3" s="30">
        <v>1</v>
      </c>
      <c r="C3" s="30">
        <v>1</v>
      </c>
      <c r="D3" s="30">
        <v>2</v>
      </c>
      <c r="E3" s="32">
        <v>46178</v>
      </c>
      <c r="F3" s="30" t="s">
        <v>19</v>
      </c>
      <c r="G3" s="30" t="s">
        <v>20</v>
      </c>
      <c r="H3" s="30" t="s">
        <v>21</v>
      </c>
      <c r="I3" s="30" t="s">
        <v>25</v>
      </c>
      <c r="J3" s="30" t="str">
        <f t="shared" si="0"/>
        <v>Flashpoint</v>
      </c>
      <c r="K3" s="34">
        <v>1.041666666666667E-2</v>
      </c>
      <c r="L3" s="30" t="s">
        <v>20</v>
      </c>
      <c r="M3" s="30" t="s">
        <v>26</v>
      </c>
      <c r="N3" s="30" t="s">
        <v>27</v>
      </c>
      <c r="O3" s="43" t="str">
        <f t="shared" si="1"/>
        <v>260605_O2_ROZE_S2</v>
      </c>
      <c r="P3">
        <v>3</v>
      </c>
      <c r="Q3">
        <v>2</v>
      </c>
      <c r="R3" t="s">
        <v>6</v>
      </c>
      <c r="S3" t="s">
        <v>26</v>
      </c>
    </row>
    <row r="4" spans="1:19">
      <c r="A4" s="30">
        <v>1</v>
      </c>
      <c r="B4" s="30">
        <v>1</v>
      </c>
      <c r="C4" s="30">
        <v>1</v>
      </c>
      <c r="D4" s="30">
        <v>3</v>
      </c>
      <c r="E4" s="32">
        <v>46178</v>
      </c>
      <c r="F4" s="30" t="s">
        <v>19</v>
      </c>
      <c r="G4" s="30" t="s">
        <v>20</v>
      </c>
      <c r="H4" s="30" t="s">
        <v>21</v>
      </c>
      <c r="I4" s="30" t="s">
        <v>28</v>
      </c>
      <c r="J4" s="30" t="str">
        <f t="shared" si="0"/>
        <v>Push</v>
      </c>
      <c r="K4" s="34">
        <v>7.4074074074074077E-3</v>
      </c>
      <c r="L4" s="30" t="s">
        <v>20</v>
      </c>
      <c r="M4" s="30" t="s">
        <v>29</v>
      </c>
      <c r="N4" s="30" t="s">
        <v>30</v>
      </c>
      <c r="O4" s="43" t="str">
        <f t="shared" si="1"/>
        <v>260605_O2_ROZE_S3</v>
      </c>
      <c r="P4">
        <v>125.66</v>
      </c>
      <c r="Q4">
        <v>72.02</v>
      </c>
      <c r="R4" t="s">
        <v>7</v>
      </c>
      <c r="S4" t="s">
        <v>30</v>
      </c>
    </row>
    <row r="5" spans="1:19">
      <c r="A5" s="7">
        <v>1</v>
      </c>
      <c r="B5" s="7">
        <v>1</v>
      </c>
      <c r="C5" s="7">
        <v>2</v>
      </c>
      <c r="D5" s="7">
        <v>1</v>
      </c>
      <c r="E5" s="16">
        <v>46178</v>
      </c>
      <c r="F5" s="7" t="s">
        <v>19</v>
      </c>
      <c r="G5" s="7" t="s">
        <v>31</v>
      </c>
      <c r="H5" s="7" t="s">
        <v>32</v>
      </c>
      <c r="I5" s="7" t="s">
        <v>33</v>
      </c>
      <c r="J5" s="7" t="str">
        <f t="shared" si="0"/>
        <v>Control</v>
      </c>
      <c r="K5" s="17">
        <v>5.208333333333333E-3</v>
      </c>
      <c r="L5" s="7" t="s">
        <v>32</v>
      </c>
      <c r="M5" s="7" t="s">
        <v>34</v>
      </c>
      <c r="N5" s="7" t="s">
        <v>35</v>
      </c>
      <c r="O5" s="44" t="str">
        <f t="shared" si="1"/>
        <v>260605_FLC_CR_S1</v>
      </c>
      <c r="P5">
        <v>2</v>
      </c>
      <c r="Q5">
        <v>0</v>
      </c>
      <c r="R5" t="s">
        <v>6</v>
      </c>
      <c r="S5" t="s">
        <v>36</v>
      </c>
    </row>
    <row r="6" spans="1:19">
      <c r="A6" s="7">
        <v>1</v>
      </c>
      <c r="B6" s="7">
        <v>1</v>
      </c>
      <c r="C6" s="7">
        <v>2</v>
      </c>
      <c r="D6" s="7">
        <v>2</v>
      </c>
      <c r="E6" s="16">
        <v>46178</v>
      </c>
      <c r="F6" s="7" t="s">
        <v>19</v>
      </c>
      <c r="G6" s="7" t="s">
        <v>31</v>
      </c>
      <c r="H6" s="7" t="s">
        <v>32</v>
      </c>
      <c r="I6" s="7" t="s">
        <v>37</v>
      </c>
      <c r="J6" s="7" t="str">
        <f t="shared" si="0"/>
        <v>Hybrid</v>
      </c>
      <c r="K6" s="17">
        <v>9.780092592592592E-3</v>
      </c>
      <c r="L6" s="7" t="s">
        <v>32</v>
      </c>
      <c r="M6" s="7" t="s">
        <v>30</v>
      </c>
      <c r="N6" s="7" t="s">
        <v>29</v>
      </c>
      <c r="O6" s="44" t="str">
        <f t="shared" si="1"/>
        <v>260605_FLC_CR_S2</v>
      </c>
      <c r="P6">
        <v>1</v>
      </c>
      <c r="Q6">
        <v>2</v>
      </c>
      <c r="R6" t="s">
        <v>6</v>
      </c>
      <c r="S6" t="s">
        <v>38</v>
      </c>
    </row>
    <row r="7" spans="1:19">
      <c r="A7" s="7">
        <v>1</v>
      </c>
      <c r="B7" s="7">
        <v>1</v>
      </c>
      <c r="C7" s="7">
        <v>2</v>
      </c>
      <c r="D7" s="7">
        <v>3</v>
      </c>
      <c r="E7" s="16">
        <v>46178</v>
      </c>
      <c r="F7" s="7" t="s">
        <v>19</v>
      </c>
      <c r="G7" s="7" t="s">
        <v>31</v>
      </c>
      <c r="H7" s="7" t="s">
        <v>32</v>
      </c>
      <c r="I7" s="7" t="s">
        <v>39</v>
      </c>
      <c r="J7" s="7" t="str">
        <f t="shared" si="0"/>
        <v>Push</v>
      </c>
      <c r="K7" s="17">
        <v>7.1643518518518506E-3</v>
      </c>
      <c r="L7" s="7" t="s">
        <v>32</v>
      </c>
      <c r="M7" s="7" t="s">
        <v>40</v>
      </c>
      <c r="N7" s="7" t="s">
        <v>38</v>
      </c>
      <c r="O7" s="44" t="str">
        <f t="shared" si="1"/>
        <v>260605_FLC_CR_S3</v>
      </c>
      <c r="P7">
        <v>105.91</v>
      </c>
      <c r="Q7">
        <v>106.08</v>
      </c>
      <c r="R7" t="s">
        <v>6</v>
      </c>
      <c r="S7" t="s">
        <v>40</v>
      </c>
    </row>
    <row r="8" spans="1:19">
      <c r="A8" s="30">
        <v>1</v>
      </c>
      <c r="B8" s="30">
        <v>1</v>
      </c>
      <c r="C8" s="30">
        <v>3</v>
      </c>
      <c r="D8" s="30">
        <v>1</v>
      </c>
      <c r="E8" s="32">
        <v>46178</v>
      </c>
      <c r="F8" s="30" t="s">
        <v>19</v>
      </c>
      <c r="G8" s="30" t="s">
        <v>41</v>
      </c>
      <c r="H8" s="30" t="s">
        <v>42</v>
      </c>
      <c r="I8" s="30" t="s">
        <v>33</v>
      </c>
      <c r="J8" s="30" t="str">
        <f t="shared" si="0"/>
        <v>Control</v>
      </c>
      <c r="K8" s="34">
        <v>5.8449074074074072E-3</v>
      </c>
      <c r="L8" s="30" t="s">
        <v>41</v>
      </c>
      <c r="M8" s="30" t="s">
        <v>24</v>
      </c>
      <c r="N8" s="30" t="s">
        <v>35</v>
      </c>
      <c r="O8" s="43" t="str">
        <f t="shared" si="1"/>
        <v>260605_T1_ZETA_S1</v>
      </c>
      <c r="P8">
        <v>0</v>
      </c>
      <c r="Q8">
        <v>2</v>
      </c>
      <c r="R8" t="s">
        <v>6</v>
      </c>
      <c r="S8" t="s">
        <v>24</v>
      </c>
    </row>
    <row r="9" spans="1:19">
      <c r="A9" s="29">
        <v>1</v>
      </c>
      <c r="B9" s="29">
        <v>1</v>
      </c>
      <c r="C9" s="30">
        <v>3</v>
      </c>
      <c r="D9" s="30">
        <v>2</v>
      </c>
      <c r="E9" s="35">
        <v>46178</v>
      </c>
      <c r="F9" s="30" t="s">
        <v>19</v>
      </c>
      <c r="G9" s="30" t="s">
        <v>41</v>
      </c>
      <c r="H9" s="30" t="s">
        <v>42</v>
      </c>
      <c r="I9" s="30" t="s">
        <v>43</v>
      </c>
      <c r="J9" s="30" t="str">
        <f t="shared" si="0"/>
        <v>Escort</v>
      </c>
      <c r="K9" s="34">
        <v>1.06712962962963E-2</v>
      </c>
      <c r="L9" s="30" t="s">
        <v>42</v>
      </c>
      <c r="M9" s="30" t="s">
        <v>23</v>
      </c>
      <c r="N9" s="30" t="s">
        <v>29</v>
      </c>
      <c r="O9" s="43" t="str">
        <f t="shared" si="1"/>
        <v>260605_T1_ZETA_S2</v>
      </c>
      <c r="P9">
        <v>1</v>
      </c>
      <c r="Q9">
        <v>2</v>
      </c>
      <c r="R9" t="s">
        <v>7</v>
      </c>
      <c r="S9" t="s">
        <v>29</v>
      </c>
    </row>
    <row r="10" spans="1:19">
      <c r="A10" s="29">
        <v>1</v>
      </c>
      <c r="B10" s="29">
        <v>1</v>
      </c>
      <c r="C10" s="30">
        <v>3</v>
      </c>
      <c r="D10" s="30">
        <v>3</v>
      </c>
      <c r="E10" s="35">
        <v>46178</v>
      </c>
      <c r="F10" s="30" t="s">
        <v>19</v>
      </c>
      <c r="G10" s="30" t="s">
        <v>41</v>
      </c>
      <c r="H10" s="30" t="s">
        <v>42</v>
      </c>
      <c r="I10" s="30" t="s">
        <v>44</v>
      </c>
      <c r="J10" s="30" t="str">
        <f t="shared" si="0"/>
        <v>Flashpoint</v>
      </c>
      <c r="K10" s="34">
        <v>5.3125000000000004E-3</v>
      </c>
      <c r="L10" s="30" t="s">
        <v>41</v>
      </c>
      <c r="M10" s="30" t="s">
        <v>45</v>
      </c>
      <c r="N10" s="30" t="s">
        <v>46</v>
      </c>
      <c r="O10" s="43" t="str">
        <f t="shared" si="1"/>
        <v>260605_T1_ZETA_S3</v>
      </c>
      <c r="P10">
        <v>3</v>
      </c>
      <c r="Q10">
        <v>2</v>
      </c>
      <c r="R10" t="s">
        <v>7</v>
      </c>
      <c r="S10" t="s">
        <v>47</v>
      </c>
    </row>
    <row r="11" spans="1:19">
      <c r="A11" s="29">
        <v>1</v>
      </c>
      <c r="B11" s="29">
        <v>1</v>
      </c>
      <c r="C11" s="30">
        <v>3</v>
      </c>
      <c r="D11" s="30">
        <v>4</v>
      </c>
      <c r="E11" s="35">
        <v>46178</v>
      </c>
      <c r="F11" s="30" t="s">
        <v>19</v>
      </c>
      <c r="G11" s="30" t="s">
        <v>41</v>
      </c>
      <c r="H11" s="30" t="s">
        <v>42</v>
      </c>
      <c r="I11" s="30" t="s">
        <v>37</v>
      </c>
      <c r="J11" s="30" t="str">
        <f t="shared" si="0"/>
        <v>Hybrid</v>
      </c>
      <c r="K11" s="34">
        <v>1.134259259259259E-2</v>
      </c>
      <c r="L11" s="30" t="s">
        <v>42</v>
      </c>
      <c r="M11" s="30" t="s">
        <v>30</v>
      </c>
      <c r="N11" s="30" t="s">
        <v>48</v>
      </c>
      <c r="O11" s="43" t="str">
        <f t="shared" si="1"/>
        <v>260605_T1_ZETA_S4</v>
      </c>
      <c r="P11">
        <v>3</v>
      </c>
      <c r="Q11">
        <v>4</v>
      </c>
      <c r="R11" t="s">
        <v>7</v>
      </c>
      <c r="S11" t="s">
        <v>48</v>
      </c>
    </row>
    <row r="12" spans="1:19">
      <c r="A12" s="29">
        <v>1</v>
      </c>
      <c r="B12" s="29">
        <v>1</v>
      </c>
      <c r="C12" s="30">
        <v>3</v>
      </c>
      <c r="D12" s="30">
        <v>5</v>
      </c>
      <c r="E12" s="35">
        <v>46178</v>
      </c>
      <c r="F12" s="30" t="s">
        <v>19</v>
      </c>
      <c r="G12" s="30" t="s">
        <v>41</v>
      </c>
      <c r="H12" s="30" t="s">
        <v>42</v>
      </c>
      <c r="I12" s="30" t="s">
        <v>28</v>
      </c>
      <c r="J12" s="30" t="str">
        <f t="shared" si="0"/>
        <v>Push</v>
      </c>
      <c r="K12" s="34">
        <v>7.3379629629629628E-3</v>
      </c>
      <c r="L12" s="30" t="s">
        <v>41</v>
      </c>
      <c r="M12" s="30" t="s">
        <v>38</v>
      </c>
      <c r="N12" s="30" t="s">
        <v>49</v>
      </c>
      <c r="O12" s="43" t="str">
        <f t="shared" si="1"/>
        <v>260605_T1_ZETA_S5</v>
      </c>
      <c r="P12">
        <v>73.599999999999994</v>
      </c>
      <c r="Q12">
        <v>57.99</v>
      </c>
      <c r="R12" t="s">
        <v>6</v>
      </c>
      <c r="S12" t="s">
        <v>38</v>
      </c>
    </row>
    <row r="13" spans="1:19">
      <c r="A13" s="5">
        <v>1</v>
      </c>
      <c r="B13" s="5">
        <v>2</v>
      </c>
      <c r="C13" s="7">
        <v>1</v>
      </c>
      <c r="D13" s="7">
        <v>1</v>
      </c>
      <c r="E13" s="16">
        <v>46179</v>
      </c>
      <c r="F13" s="7" t="s">
        <v>19</v>
      </c>
      <c r="G13" s="7" t="s">
        <v>50</v>
      </c>
      <c r="H13" s="7" t="s">
        <v>51</v>
      </c>
      <c r="I13" s="7" t="s">
        <v>33</v>
      </c>
      <c r="J13" s="7" t="str">
        <f t="shared" si="0"/>
        <v>Control</v>
      </c>
      <c r="K13" s="7"/>
      <c r="L13" s="7" t="s">
        <v>51</v>
      </c>
      <c r="M13" s="7" t="s">
        <v>38</v>
      </c>
      <c r="N13" s="7" t="s">
        <v>52</v>
      </c>
      <c r="O13" s="44" t="str">
        <f t="shared" si="1"/>
        <v>260606_PF_CB_S1</v>
      </c>
      <c r="P13">
        <v>0</v>
      </c>
      <c r="Q13">
        <v>2</v>
      </c>
      <c r="R13" t="s">
        <v>6</v>
      </c>
      <c r="S13" t="s">
        <v>38</v>
      </c>
    </row>
    <row r="14" spans="1:19">
      <c r="A14" s="5">
        <v>1</v>
      </c>
      <c r="B14" s="5">
        <v>2</v>
      </c>
      <c r="C14" s="7">
        <v>1</v>
      </c>
      <c r="D14" s="7">
        <v>2</v>
      </c>
      <c r="E14" s="16">
        <v>46179</v>
      </c>
      <c r="F14" s="7" t="s">
        <v>19</v>
      </c>
      <c r="G14" s="7" t="s">
        <v>50</v>
      </c>
      <c r="H14" s="7" t="s">
        <v>51</v>
      </c>
      <c r="I14" s="7" t="s">
        <v>25</v>
      </c>
      <c r="J14" s="7" t="str">
        <f t="shared" si="0"/>
        <v>Flashpoint</v>
      </c>
      <c r="K14" s="7"/>
      <c r="L14" s="7" t="s">
        <v>51</v>
      </c>
      <c r="M14" s="7" t="s">
        <v>24</v>
      </c>
      <c r="N14" s="7" t="s">
        <v>30</v>
      </c>
      <c r="O14" s="44" t="str">
        <f t="shared" si="1"/>
        <v>260606_PF_CB_S2</v>
      </c>
      <c r="P14">
        <v>2</v>
      </c>
      <c r="Q14">
        <v>3</v>
      </c>
      <c r="R14" t="s">
        <v>6</v>
      </c>
      <c r="S14" t="s">
        <v>24</v>
      </c>
    </row>
    <row r="15" spans="1:19">
      <c r="A15" s="5">
        <v>1</v>
      </c>
      <c r="B15" s="5">
        <v>2</v>
      </c>
      <c r="C15" s="7">
        <v>1</v>
      </c>
      <c r="D15" s="7">
        <v>3</v>
      </c>
      <c r="E15" s="16">
        <v>46179</v>
      </c>
      <c r="F15" s="7" t="s">
        <v>19</v>
      </c>
      <c r="G15" s="7" t="s">
        <v>50</v>
      </c>
      <c r="H15" s="7" t="s">
        <v>51</v>
      </c>
      <c r="I15" s="7" t="s">
        <v>28</v>
      </c>
      <c r="J15" s="7" t="str">
        <f t="shared" si="0"/>
        <v>Push</v>
      </c>
      <c r="K15" s="7"/>
      <c r="L15" s="7" t="s">
        <v>51</v>
      </c>
      <c r="M15" s="7" t="s">
        <v>36</v>
      </c>
      <c r="N15" s="7" t="s">
        <v>45</v>
      </c>
      <c r="O15" s="44" t="str">
        <f t="shared" si="1"/>
        <v>260606_PF_CB_S3</v>
      </c>
      <c r="P15">
        <v>0</v>
      </c>
      <c r="Q15">
        <v>144.86000000000001</v>
      </c>
      <c r="R15" t="s">
        <v>6</v>
      </c>
      <c r="S15" t="s">
        <v>36</v>
      </c>
    </row>
    <row r="16" spans="1:19">
      <c r="A16" s="29">
        <v>1</v>
      </c>
      <c r="B16" s="29">
        <v>2</v>
      </c>
      <c r="C16" s="30">
        <v>2</v>
      </c>
      <c r="D16" s="30">
        <v>1</v>
      </c>
      <c r="E16" s="32">
        <v>46179</v>
      </c>
      <c r="F16" s="30" t="s">
        <v>19</v>
      </c>
      <c r="G16" s="30" t="s">
        <v>41</v>
      </c>
      <c r="H16" s="30" t="s">
        <v>53</v>
      </c>
      <c r="I16" s="30" t="s">
        <v>54</v>
      </c>
      <c r="J16" s="30" t="str">
        <f t="shared" si="0"/>
        <v>Control</v>
      </c>
      <c r="K16" s="30"/>
      <c r="L16" s="30" t="s">
        <v>41</v>
      </c>
      <c r="M16" s="30" t="s">
        <v>55</v>
      </c>
      <c r="N16" s="30" t="s">
        <v>45</v>
      </c>
      <c r="O16" s="43" t="str">
        <f t="shared" si="1"/>
        <v>260606_T1_SB_S1</v>
      </c>
      <c r="P16">
        <v>2</v>
      </c>
      <c r="Q16">
        <v>0</v>
      </c>
      <c r="R16" t="s">
        <v>6</v>
      </c>
      <c r="S16" t="s">
        <v>55</v>
      </c>
    </row>
    <row r="17" spans="1:19">
      <c r="A17" s="29">
        <v>1</v>
      </c>
      <c r="B17" s="29">
        <v>2</v>
      </c>
      <c r="C17" s="30">
        <v>2</v>
      </c>
      <c r="D17" s="30">
        <v>2</v>
      </c>
      <c r="E17" s="32">
        <v>46179</v>
      </c>
      <c r="F17" s="30" t="s">
        <v>19</v>
      </c>
      <c r="G17" s="30" t="s">
        <v>41</v>
      </c>
      <c r="H17" s="30" t="s">
        <v>53</v>
      </c>
      <c r="I17" s="30" t="s">
        <v>56</v>
      </c>
      <c r="J17" s="30" t="str">
        <f t="shared" si="0"/>
        <v>Hybrid</v>
      </c>
      <c r="K17" s="30"/>
      <c r="L17" s="30" t="s">
        <v>41</v>
      </c>
      <c r="M17" s="30" t="s">
        <v>57</v>
      </c>
      <c r="N17" s="30" t="s">
        <v>30</v>
      </c>
      <c r="O17" s="43" t="str">
        <f t="shared" si="1"/>
        <v>260606_T1_SB_S2</v>
      </c>
      <c r="P17">
        <v>3</v>
      </c>
      <c r="Q17">
        <v>1</v>
      </c>
      <c r="R17" t="s">
        <v>7</v>
      </c>
      <c r="S17" t="s">
        <v>30</v>
      </c>
    </row>
    <row r="18" spans="1:19">
      <c r="A18" s="29">
        <v>1</v>
      </c>
      <c r="B18" s="29">
        <v>2</v>
      </c>
      <c r="C18" s="30">
        <v>2</v>
      </c>
      <c r="D18" s="30">
        <v>3</v>
      </c>
      <c r="E18" s="32">
        <v>46179</v>
      </c>
      <c r="F18" s="30" t="s">
        <v>19</v>
      </c>
      <c r="G18" s="30" t="s">
        <v>41</v>
      </c>
      <c r="H18" s="30" t="s">
        <v>53</v>
      </c>
      <c r="I18" s="30" t="s">
        <v>44</v>
      </c>
      <c r="J18" s="30" t="str">
        <f t="shared" si="0"/>
        <v>Flashpoint</v>
      </c>
      <c r="K18" s="30"/>
      <c r="L18" s="30" t="s">
        <v>41</v>
      </c>
      <c r="M18" s="30" t="s">
        <v>46</v>
      </c>
      <c r="N18" s="30" t="s">
        <v>58</v>
      </c>
      <c r="O18" s="43" t="str">
        <f t="shared" si="1"/>
        <v>260606_T1_SB_S3</v>
      </c>
      <c r="P18">
        <v>3</v>
      </c>
      <c r="Q18">
        <v>0</v>
      </c>
      <c r="R18" t="s">
        <v>7</v>
      </c>
      <c r="S18" t="s">
        <v>58</v>
      </c>
    </row>
    <row r="19" spans="1:19">
      <c r="A19" s="5">
        <v>1</v>
      </c>
      <c r="B19" s="5">
        <v>2</v>
      </c>
      <c r="C19" s="7">
        <v>3</v>
      </c>
      <c r="D19" s="7">
        <v>1</v>
      </c>
      <c r="E19" s="16">
        <v>46179</v>
      </c>
      <c r="F19" s="7" t="s">
        <v>19</v>
      </c>
      <c r="G19" s="7" t="s">
        <v>21</v>
      </c>
      <c r="H19" s="7" t="s">
        <v>31</v>
      </c>
      <c r="I19" s="7" t="s">
        <v>54</v>
      </c>
      <c r="J19" s="7" t="str">
        <f t="shared" si="0"/>
        <v>Control</v>
      </c>
      <c r="K19" s="7"/>
      <c r="L19" s="7" t="s">
        <v>31</v>
      </c>
      <c r="M19" s="7" t="s">
        <v>30</v>
      </c>
      <c r="N19" s="7" t="s">
        <v>36</v>
      </c>
      <c r="O19" s="44" t="str">
        <f t="shared" si="1"/>
        <v>260606_ROZE_FLC_S1</v>
      </c>
      <c r="P19">
        <v>0</v>
      </c>
      <c r="Q19">
        <v>2</v>
      </c>
      <c r="R19" t="s">
        <v>7</v>
      </c>
      <c r="S19" t="s">
        <v>36</v>
      </c>
    </row>
    <row r="20" spans="1:19">
      <c r="A20" s="5">
        <v>1</v>
      </c>
      <c r="B20" s="5">
        <v>2</v>
      </c>
      <c r="C20" s="7">
        <v>3</v>
      </c>
      <c r="D20" s="7">
        <v>2</v>
      </c>
      <c r="E20" s="16">
        <v>46179</v>
      </c>
      <c r="F20" s="7" t="s">
        <v>19</v>
      </c>
      <c r="G20" s="7" t="s">
        <v>21</v>
      </c>
      <c r="H20" s="7" t="s">
        <v>31</v>
      </c>
      <c r="I20" s="7" t="s">
        <v>25</v>
      </c>
      <c r="J20" s="7" t="str">
        <f t="shared" si="0"/>
        <v>Flashpoint</v>
      </c>
      <c r="K20" s="7"/>
      <c r="L20" s="7" t="s">
        <v>31</v>
      </c>
      <c r="M20" s="7" t="s">
        <v>38</v>
      </c>
      <c r="N20" s="7" t="s">
        <v>58</v>
      </c>
      <c r="O20" s="44" t="str">
        <f t="shared" si="1"/>
        <v>260606_ROZE_FLC_S2</v>
      </c>
      <c r="P20">
        <v>1</v>
      </c>
      <c r="Q20">
        <v>3</v>
      </c>
      <c r="R20" t="s">
        <v>6</v>
      </c>
      <c r="S20" t="s">
        <v>38</v>
      </c>
    </row>
    <row r="21" spans="1:19">
      <c r="A21" s="5">
        <v>1</v>
      </c>
      <c r="B21" s="5">
        <v>2</v>
      </c>
      <c r="C21" s="7">
        <v>3</v>
      </c>
      <c r="D21" s="7">
        <v>3</v>
      </c>
      <c r="E21" s="16">
        <v>46179</v>
      </c>
      <c r="F21" s="7" t="s">
        <v>19</v>
      </c>
      <c r="G21" s="7" t="s">
        <v>21</v>
      </c>
      <c r="H21" s="7" t="s">
        <v>31</v>
      </c>
      <c r="I21" s="7" t="s">
        <v>28</v>
      </c>
      <c r="J21" s="7" t="str">
        <f t="shared" si="0"/>
        <v>Push</v>
      </c>
      <c r="K21" s="7"/>
      <c r="L21" s="7" t="s">
        <v>31</v>
      </c>
      <c r="M21" s="7" t="s">
        <v>24</v>
      </c>
      <c r="N21" s="7" t="s">
        <v>38</v>
      </c>
      <c r="O21" s="44" t="str">
        <f t="shared" si="1"/>
        <v>260606_ROZE_FLC_S3</v>
      </c>
      <c r="P21">
        <v>77.47</v>
      </c>
      <c r="Q21">
        <v>130.65</v>
      </c>
      <c r="R21" t="s">
        <v>6</v>
      </c>
      <c r="S21" t="s">
        <v>24</v>
      </c>
    </row>
    <row r="22" spans="1:19">
      <c r="A22" s="29">
        <v>1</v>
      </c>
      <c r="B22" s="29">
        <v>3</v>
      </c>
      <c r="C22" s="30">
        <v>1</v>
      </c>
      <c r="D22" s="30">
        <v>1</v>
      </c>
      <c r="E22" s="32">
        <v>46180</v>
      </c>
      <c r="F22" s="30" t="s">
        <v>19</v>
      </c>
      <c r="G22" s="30" t="s">
        <v>53</v>
      </c>
      <c r="H22" s="30" t="s">
        <v>20</v>
      </c>
      <c r="I22" s="30" t="s">
        <v>54</v>
      </c>
      <c r="J22" s="30" t="str">
        <f t="shared" si="0"/>
        <v>Control</v>
      </c>
      <c r="K22" s="30"/>
      <c r="L22" s="30" t="s">
        <v>20</v>
      </c>
      <c r="M22" s="30" t="s">
        <v>59</v>
      </c>
      <c r="N22" s="30" t="s">
        <v>29</v>
      </c>
      <c r="O22" s="43" t="str">
        <f t="shared" si="1"/>
        <v>260607_SB_O2_S1</v>
      </c>
      <c r="P22">
        <v>1</v>
      </c>
      <c r="Q22">
        <v>2</v>
      </c>
      <c r="R22" t="s">
        <v>6</v>
      </c>
      <c r="S22" t="s">
        <v>59</v>
      </c>
    </row>
    <row r="23" spans="1:19">
      <c r="A23" s="29">
        <v>1</v>
      </c>
      <c r="B23" s="29">
        <v>3</v>
      </c>
      <c r="C23" s="30">
        <v>1</v>
      </c>
      <c r="D23" s="30">
        <v>2</v>
      </c>
      <c r="E23" s="32">
        <v>46180</v>
      </c>
      <c r="F23" s="30" t="s">
        <v>19</v>
      </c>
      <c r="G23" s="30" t="s">
        <v>53</v>
      </c>
      <c r="H23" s="30" t="s">
        <v>20</v>
      </c>
      <c r="I23" s="30" t="s">
        <v>43</v>
      </c>
      <c r="J23" s="30" t="str">
        <f t="shared" si="0"/>
        <v>Escort</v>
      </c>
      <c r="K23" s="30"/>
      <c r="L23" s="30" t="s">
        <v>20</v>
      </c>
      <c r="M23" s="30" t="s">
        <v>60</v>
      </c>
      <c r="N23" s="30" t="s">
        <v>49</v>
      </c>
      <c r="O23" s="43" t="str">
        <f t="shared" si="1"/>
        <v>260607_SB_O2_S2</v>
      </c>
      <c r="P23">
        <v>0</v>
      </c>
      <c r="Q23">
        <v>2</v>
      </c>
      <c r="R23" t="s">
        <v>6</v>
      </c>
      <c r="S23" t="s">
        <v>60</v>
      </c>
    </row>
    <row r="24" spans="1:19">
      <c r="A24" s="29">
        <v>1</v>
      </c>
      <c r="B24" s="29">
        <v>3</v>
      </c>
      <c r="C24" s="30">
        <v>1</v>
      </c>
      <c r="D24" s="30">
        <v>3</v>
      </c>
      <c r="E24" s="32">
        <v>46180</v>
      </c>
      <c r="F24" s="30" t="s">
        <v>19</v>
      </c>
      <c r="G24" s="30" t="s">
        <v>53</v>
      </c>
      <c r="H24" s="30" t="s">
        <v>20</v>
      </c>
      <c r="I24" s="30" t="s">
        <v>61</v>
      </c>
      <c r="J24" s="30" t="str">
        <f t="shared" si="0"/>
        <v>Hybrid</v>
      </c>
      <c r="K24" s="30"/>
      <c r="L24" s="30" t="s">
        <v>20</v>
      </c>
      <c r="M24" s="30" t="s">
        <v>62</v>
      </c>
      <c r="N24" s="30" t="s">
        <v>35</v>
      </c>
      <c r="O24" s="43" t="str">
        <f t="shared" si="1"/>
        <v>260607_SB_O2_S3</v>
      </c>
      <c r="P24">
        <v>1</v>
      </c>
      <c r="Q24">
        <v>2</v>
      </c>
      <c r="R24" t="s">
        <v>6</v>
      </c>
      <c r="S24" t="s">
        <v>62</v>
      </c>
    </row>
    <row r="25" spans="1:19">
      <c r="A25" s="5">
        <v>1</v>
      </c>
      <c r="B25" s="5">
        <v>3</v>
      </c>
      <c r="C25" s="7">
        <v>2</v>
      </c>
      <c r="D25" s="7">
        <v>1</v>
      </c>
      <c r="E25" s="16">
        <v>46180</v>
      </c>
      <c r="F25" s="7" t="s">
        <v>19</v>
      </c>
      <c r="G25" s="7" t="s">
        <v>42</v>
      </c>
      <c r="H25" s="7" t="s">
        <v>51</v>
      </c>
      <c r="I25" s="7" t="s">
        <v>54</v>
      </c>
      <c r="J25" s="7" t="str">
        <f t="shared" si="0"/>
        <v>Control</v>
      </c>
      <c r="K25" s="7"/>
      <c r="L25" s="7" t="s">
        <v>42</v>
      </c>
      <c r="M25" s="7" t="s">
        <v>24</v>
      </c>
      <c r="N25" s="7" t="s">
        <v>62</v>
      </c>
      <c r="O25" s="44" t="str">
        <f t="shared" si="1"/>
        <v>260607_ZETA_CB_S1</v>
      </c>
      <c r="P25">
        <v>2</v>
      </c>
      <c r="Q25">
        <v>0</v>
      </c>
      <c r="R25" t="s">
        <v>7</v>
      </c>
      <c r="S25" t="s">
        <v>62</v>
      </c>
    </row>
    <row r="26" spans="1:19">
      <c r="A26" s="5">
        <v>1</v>
      </c>
      <c r="B26" s="5">
        <v>3</v>
      </c>
      <c r="C26" s="7">
        <v>2</v>
      </c>
      <c r="D26" s="7">
        <v>2</v>
      </c>
      <c r="E26" s="16">
        <v>46180</v>
      </c>
      <c r="F26" s="7" t="s">
        <v>19</v>
      </c>
      <c r="G26" s="7" t="s">
        <v>42</v>
      </c>
      <c r="H26" s="7" t="s">
        <v>51</v>
      </c>
      <c r="I26" s="7" t="s">
        <v>28</v>
      </c>
      <c r="J26" s="7" t="str">
        <f t="shared" si="0"/>
        <v>Push</v>
      </c>
      <c r="K26" s="7"/>
      <c r="L26" s="7" t="s">
        <v>42</v>
      </c>
      <c r="M26" s="7" t="s">
        <v>58</v>
      </c>
      <c r="N26" s="7" t="s">
        <v>45</v>
      </c>
      <c r="O26" s="44" t="str">
        <f t="shared" si="1"/>
        <v>260607_ZETA_CB_S2</v>
      </c>
      <c r="P26">
        <v>144.86000000000001</v>
      </c>
      <c r="Q26">
        <v>46.1</v>
      </c>
      <c r="R26" t="s">
        <v>7</v>
      </c>
      <c r="S26" t="s">
        <v>45</v>
      </c>
    </row>
    <row r="27" spans="1:19">
      <c r="A27" s="5">
        <v>1</v>
      </c>
      <c r="B27" s="5">
        <v>3</v>
      </c>
      <c r="C27" s="7">
        <v>2</v>
      </c>
      <c r="D27" s="7">
        <v>3</v>
      </c>
      <c r="E27" s="16">
        <v>46180</v>
      </c>
      <c r="F27" s="7" t="s">
        <v>19</v>
      </c>
      <c r="G27" s="7" t="s">
        <v>42</v>
      </c>
      <c r="H27" s="7" t="s">
        <v>51</v>
      </c>
      <c r="I27" s="7" t="s">
        <v>63</v>
      </c>
      <c r="J27" s="7" t="str">
        <f t="shared" si="0"/>
        <v>Escort</v>
      </c>
      <c r="K27" s="7"/>
      <c r="L27" s="7" t="s">
        <v>42</v>
      </c>
      <c r="M27" s="7" t="s">
        <v>48</v>
      </c>
      <c r="N27" s="7" t="s">
        <v>26</v>
      </c>
      <c r="O27" s="44" t="str">
        <f t="shared" si="1"/>
        <v>260607_ZETA_CB_S3</v>
      </c>
      <c r="P27">
        <v>2</v>
      </c>
      <c r="Q27">
        <v>1</v>
      </c>
      <c r="R27" t="s">
        <v>7</v>
      </c>
      <c r="S27" t="s">
        <v>26</v>
      </c>
    </row>
    <row r="28" spans="1:19">
      <c r="A28" s="29">
        <v>1</v>
      </c>
      <c r="B28" s="29">
        <v>3</v>
      </c>
      <c r="C28" s="30">
        <v>3</v>
      </c>
      <c r="D28" s="30">
        <v>1</v>
      </c>
      <c r="E28" s="32">
        <v>46180</v>
      </c>
      <c r="F28" s="30" t="s">
        <v>19</v>
      </c>
      <c r="G28" s="30" t="s">
        <v>32</v>
      </c>
      <c r="H28" s="30" t="s">
        <v>50</v>
      </c>
      <c r="I28" s="30" t="s">
        <v>22</v>
      </c>
      <c r="J28" s="30" t="str">
        <f t="shared" si="0"/>
        <v>Control</v>
      </c>
      <c r="K28" s="30"/>
      <c r="L28" s="30" t="s">
        <v>32</v>
      </c>
      <c r="M28" s="30" t="s">
        <v>40</v>
      </c>
      <c r="N28" s="30" t="s">
        <v>58</v>
      </c>
      <c r="O28" s="43" t="str">
        <f t="shared" si="1"/>
        <v>260607_CR_PF_S1</v>
      </c>
      <c r="P28">
        <v>2</v>
      </c>
      <c r="Q28">
        <v>0</v>
      </c>
      <c r="R28" t="s">
        <v>6</v>
      </c>
      <c r="S28" t="s">
        <v>40</v>
      </c>
    </row>
    <row r="29" spans="1:19">
      <c r="A29" s="29">
        <v>1</v>
      </c>
      <c r="B29" s="29">
        <v>3</v>
      </c>
      <c r="C29" s="30">
        <v>3</v>
      </c>
      <c r="D29" s="30">
        <v>2</v>
      </c>
      <c r="E29" s="32">
        <v>46180</v>
      </c>
      <c r="F29" s="30" t="s">
        <v>19</v>
      </c>
      <c r="G29" s="30" t="s">
        <v>32</v>
      </c>
      <c r="H29" s="30" t="s">
        <v>50</v>
      </c>
      <c r="I29" s="30" t="s">
        <v>25</v>
      </c>
      <c r="J29" s="30" t="str">
        <f t="shared" si="0"/>
        <v>Flashpoint</v>
      </c>
      <c r="K29" s="30"/>
      <c r="L29" s="30" t="s">
        <v>32</v>
      </c>
      <c r="M29" s="30" t="s">
        <v>35</v>
      </c>
      <c r="N29" s="30" t="s">
        <v>24</v>
      </c>
      <c r="O29" s="43" t="str">
        <f t="shared" si="1"/>
        <v>260607_CR_PF_S2</v>
      </c>
      <c r="P29">
        <v>3</v>
      </c>
      <c r="Q29">
        <v>1</v>
      </c>
      <c r="R29" t="s">
        <v>7</v>
      </c>
      <c r="S29" t="s">
        <v>24</v>
      </c>
    </row>
    <row r="30" spans="1:19">
      <c r="A30" s="29">
        <v>1</v>
      </c>
      <c r="B30" s="29">
        <v>3</v>
      </c>
      <c r="C30" s="30">
        <v>3</v>
      </c>
      <c r="D30" s="30">
        <v>3</v>
      </c>
      <c r="E30" s="32">
        <v>46180</v>
      </c>
      <c r="F30" s="30" t="s">
        <v>19</v>
      </c>
      <c r="G30" s="30" t="s">
        <v>32</v>
      </c>
      <c r="H30" s="30" t="s">
        <v>50</v>
      </c>
      <c r="I30" s="30" t="s">
        <v>28</v>
      </c>
      <c r="J30" s="30" t="str">
        <f t="shared" si="0"/>
        <v>Push</v>
      </c>
      <c r="K30" s="30"/>
      <c r="L30" s="30" t="s">
        <v>32</v>
      </c>
      <c r="M30" s="30" t="s">
        <v>29</v>
      </c>
      <c r="N30" s="30" t="s">
        <v>38</v>
      </c>
      <c r="O30" s="43" t="str">
        <f t="shared" si="1"/>
        <v>260607_CR_PF_S3</v>
      </c>
      <c r="P30">
        <v>141.66</v>
      </c>
      <c r="Q30">
        <v>55.53</v>
      </c>
      <c r="R30" t="s">
        <v>7</v>
      </c>
      <c r="S30" t="s">
        <v>38</v>
      </c>
    </row>
    <row r="31" spans="1:19">
      <c r="A31" s="5">
        <v>2</v>
      </c>
      <c r="B31" s="5">
        <v>1</v>
      </c>
      <c r="C31" s="7">
        <v>1</v>
      </c>
      <c r="D31" s="7">
        <v>1</v>
      </c>
      <c r="E31" s="16">
        <v>46185</v>
      </c>
      <c r="F31" s="7" t="s">
        <v>19</v>
      </c>
      <c r="G31" s="7" t="s">
        <v>51</v>
      </c>
      <c r="H31" s="7" t="s">
        <v>53</v>
      </c>
      <c r="I31" s="7" t="s">
        <v>22</v>
      </c>
      <c r="J31" s="7" t="str">
        <f t="shared" si="0"/>
        <v>Control</v>
      </c>
      <c r="K31" s="7"/>
      <c r="L31" s="7" t="s">
        <v>51</v>
      </c>
      <c r="M31" s="7" t="s">
        <v>29</v>
      </c>
      <c r="N31" s="7" t="s">
        <v>38</v>
      </c>
      <c r="O31" s="44" t="str">
        <f t="shared" si="1"/>
        <v>260612_CB_SB_S1</v>
      </c>
      <c r="P31">
        <v>2</v>
      </c>
      <c r="Q31">
        <v>0</v>
      </c>
      <c r="R31" t="s">
        <v>6</v>
      </c>
      <c r="S31" t="s">
        <v>29</v>
      </c>
    </row>
    <row r="32" spans="1:19">
      <c r="A32" s="5">
        <v>2</v>
      </c>
      <c r="B32" s="5">
        <v>1</v>
      </c>
      <c r="C32" s="7">
        <v>1</v>
      </c>
      <c r="D32" s="7">
        <v>2</v>
      </c>
      <c r="E32" s="16">
        <v>46185</v>
      </c>
      <c r="F32" s="7" t="s">
        <v>19</v>
      </c>
      <c r="G32" s="7" t="s">
        <v>51</v>
      </c>
      <c r="H32" s="7" t="s">
        <v>53</v>
      </c>
      <c r="I32" s="7" t="s">
        <v>44</v>
      </c>
      <c r="J32" s="7" t="str">
        <f t="shared" si="0"/>
        <v>Flashpoint</v>
      </c>
      <c r="K32" s="7"/>
      <c r="L32" s="7" t="s">
        <v>51</v>
      </c>
      <c r="M32" s="7" t="s">
        <v>35</v>
      </c>
      <c r="N32" s="7" t="s">
        <v>47</v>
      </c>
      <c r="O32" s="44" t="str">
        <f t="shared" si="1"/>
        <v>260612_CB_SB_S2</v>
      </c>
      <c r="P32">
        <v>3</v>
      </c>
      <c r="Q32">
        <v>2</v>
      </c>
      <c r="R32" t="s">
        <v>7</v>
      </c>
      <c r="S32" t="s">
        <v>64</v>
      </c>
    </row>
    <row r="33" spans="1:19">
      <c r="A33" s="5">
        <v>2</v>
      </c>
      <c r="B33" s="5">
        <v>1</v>
      </c>
      <c r="C33" s="7">
        <v>1</v>
      </c>
      <c r="D33" s="7">
        <v>3</v>
      </c>
      <c r="E33" s="16">
        <v>46185</v>
      </c>
      <c r="F33" s="7" t="s">
        <v>19</v>
      </c>
      <c r="G33" s="7" t="s">
        <v>51</v>
      </c>
      <c r="H33" s="7" t="s">
        <v>53</v>
      </c>
      <c r="I33" s="7" t="s">
        <v>37</v>
      </c>
      <c r="J33" s="7" t="str">
        <f t="shared" si="0"/>
        <v>Hybrid</v>
      </c>
      <c r="K33" s="7"/>
      <c r="L33" s="7" t="s">
        <v>51</v>
      </c>
      <c r="M33" s="7" t="s">
        <v>65</v>
      </c>
      <c r="N33" s="7" t="s">
        <v>30</v>
      </c>
      <c r="O33" s="44" t="str">
        <f t="shared" si="1"/>
        <v>260612_CB_SB_S3</v>
      </c>
      <c r="P33">
        <v>2</v>
      </c>
      <c r="Q33">
        <v>1</v>
      </c>
      <c r="R33" t="s">
        <v>7</v>
      </c>
      <c r="S33" t="s">
        <v>30</v>
      </c>
    </row>
    <row r="34" spans="1:19">
      <c r="A34" s="29">
        <v>2</v>
      </c>
      <c r="B34" s="29">
        <v>1</v>
      </c>
      <c r="C34" s="30">
        <v>2</v>
      </c>
      <c r="D34" s="30">
        <v>1</v>
      </c>
      <c r="E34" s="32">
        <v>46185</v>
      </c>
      <c r="F34" s="30" t="s">
        <v>19</v>
      </c>
      <c r="G34" s="30" t="s">
        <v>20</v>
      </c>
      <c r="H34" s="30" t="s">
        <v>42</v>
      </c>
      <c r="I34" s="30" t="s">
        <v>54</v>
      </c>
      <c r="J34" s="30" t="str">
        <f t="shared" ref="J34:J65" si="2">IF(OR(I34="Antarctic Peninsula", I34="Nepal", I34="Lijiang Tower", I34="Busan", I34="Samoa", I34="Oasis", I34="Ilios"), "Control", IF(OR(I34="Route 66", I34="Watchpoint: Gibraltar", I34="Dorado", I34="Rialto", I34="Shambali Monastery", I34="Circuit Royal", I34="Junkertown", I34="Havana"), "Escort", IF(OR(I34="Neon Junction", I34="Numbani", I34="Midtown", I34="Blizzard World", I34="Eichenwalde", I34="King's Row", I34="Paraiso", I34="Hollywood"), "Hybrid", IF(OR(I34="New Queen Street", I34="Esperanca", I34="Colosseo", I34="Runasapi"), "Push", IF(OR(I34="New Junk City", I34="Suravasa", I34="Aatlis"), "Flashpoint", "")))))</f>
        <v>Control</v>
      </c>
      <c r="K34" s="30"/>
      <c r="L34" s="30" t="s">
        <v>42</v>
      </c>
      <c r="M34" s="30" t="s">
        <v>24</v>
      </c>
      <c r="N34" s="30" t="s">
        <v>66</v>
      </c>
      <c r="O34" s="43" t="str">
        <f t="shared" ref="O34:O65" si="3">TEXT(E34, "yymmdd") &amp; "_" &amp; G34 &amp; "_" &amp; H34 &amp; "_S" &amp; D34</f>
        <v>260612_O2_ZETA_S1</v>
      </c>
      <c r="P34">
        <v>0</v>
      </c>
      <c r="Q34">
        <v>2</v>
      </c>
      <c r="R34" t="s">
        <v>7</v>
      </c>
      <c r="S34" t="s">
        <v>66</v>
      </c>
    </row>
    <row r="35" spans="1:19">
      <c r="A35" s="29">
        <v>2</v>
      </c>
      <c r="B35" s="29">
        <v>1</v>
      </c>
      <c r="C35" s="30">
        <v>2</v>
      </c>
      <c r="D35" s="30">
        <v>2</v>
      </c>
      <c r="E35" s="32">
        <v>46185</v>
      </c>
      <c r="F35" s="30" t="s">
        <v>19</v>
      </c>
      <c r="G35" s="30" t="s">
        <v>20</v>
      </c>
      <c r="H35" s="30" t="s">
        <v>42</v>
      </c>
      <c r="I35" s="30" t="s">
        <v>44</v>
      </c>
      <c r="J35" s="30" t="str">
        <f t="shared" si="2"/>
        <v>Flashpoint</v>
      </c>
      <c r="K35" s="30"/>
      <c r="L35" s="30" t="s">
        <v>42</v>
      </c>
      <c r="M35" s="30" t="s">
        <v>49</v>
      </c>
      <c r="N35" s="30" t="s">
        <v>62</v>
      </c>
      <c r="O35" s="43" t="str">
        <f t="shared" si="3"/>
        <v>260612_O2_ZETA_S2</v>
      </c>
      <c r="P35">
        <v>0</v>
      </c>
      <c r="Q35">
        <v>3</v>
      </c>
      <c r="R35" t="s">
        <v>6</v>
      </c>
      <c r="S35" t="s">
        <v>49</v>
      </c>
    </row>
    <row r="36" spans="1:19">
      <c r="A36" s="29">
        <v>2</v>
      </c>
      <c r="B36" s="29">
        <v>1</v>
      </c>
      <c r="C36" s="30">
        <v>2</v>
      </c>
      <c r="D36" s="30">
        <v>3</v>
      </c>
      <c r="E36" s="32">
        <v>46185</v>
      </c>
      <c r="F36" s="30" t="s">
        <v>19</v>
      </c>
      <c r="G36" s="30" t="s">
        <v>20</v>
      </c>
      <c r="H36" s="30" t="s">
        <v>42</v>
      </c>
      <c r="I36" s="30" t="s">
        <v>28</v>
      </c>
      <c r="J36" s="30" t="str">
        <f t="shared" si="2"/>
        <v>Push</v>
      </c>
      <c r="K36" s="30"/>
      <c r="L36" s="30" t="s">
        <v>42</v>
      </c>
      <c r="M36" s="30" t="s">
        <v>23</v>
      </c>
      <c r="N36" s="30" t="s">
        <v>24</v>
      </c>
      <c r="O36" s="43" t="str">
        <f t="shared" si="3"/>
        <v>260612_O2_ZETA_S3</v>
      </c>
      <c r="P36">
        <v>0</v>
      </c>
      <c r="Q36">
        <v>144.86000000000001</v>
      </c>
      <c r="R36" t="s">
        <v>6</v>
      </c>
      <c r="S36" t="s">
        <v>23</v>
      </c>
    </row>
    <row r="37" spans="1:19">
      <c r="A37" s="5">
        <v>2</v>
      </c>
      <c r="B37" s="5">
        <v>1</v>
      </c>
      <c r="C37" s="7">
        <v>3</v>
      </c>
      <c r="D37" s="7">
        <v>1</v>
      </c>
      <c r="E37" s="16">
        <v>46185</v>
      </c>
      <c r="F37" s="7" t="s">
        <v>19</v>
      </c>
      <c r="G37" s="7" t="s">
        <v>32</v>
      </c>
      <c r="H37" s="7" t="s">
        <v>21</v>
      </c>
      <c r="I37" s="7" t="s">
        <v>33</v>
      </c>
      <c r="J37" s="7" t="str">
        <f t="shared" si="2"/>
        <v>Control</v>
      </c>
      <c r="K37" s="7"/>
      <c r="L37" s="7" t="s">
        <v>32</v>
      </c>
      <c r="M37" s="7" t="s">
        <v>29</v>
      </c>
      <c r="N37" s="7" t="s">
        <v>36</v>
      </c>
      <c r="O37" s="44" t="str">
        <f t="shared" si="3"/>
        <v>260612_CR_ROZE_S1</v>
      </c>
      <c r="P37">
        <v>2</v>
      </c>
      <c r="Q37">
        <v>0</v>
      </c>
      <c r="R37" t="s">
        <v>7</v>
      </c>
      <c r="S37" t="s">
        <v>67</v>
      </c>
    </row>
    <row r="38" spans="1:19">
      <c r="A38" s="5">
        <v>2</v>
      </c>
      <c r="B38" s="5">
        <v>1</v>
      </c>
      <c r="C38" s="7">
        <v>3</v>
      </c>
      <c r="D38" s="7">
        <v>2</v>
      </c>
      <c r="E38" s="16">
        <v>46185</v>
      </c>
      <c r="F38" s="7" t="s">
        <v>19</v>
      </c>
      <c r="G38" s="7" t="s">
        <v>32</v>
      </c>
      <c r="H38" s="7" t="s">
        <v>21</v>
      </c>
      <c r="I38" s="7" t="s">
        <v>61</v>
      </c>
      <c r="J38" s="7" t="str">
        <f t="shared" si="2"/>
        <v>Hybrid</v>
      </c>
      <c r="K38" s="7"/>
      <c r="L38" s="7" t="s">
        <v>32</v>
      </c>
      <c r="M38" s="7" t="s">
        <v>55</v>
      </c>
      <c r="N38" s="7" t="s">
        <v>59</v>
      </c>
      <c r="O38" s="44" t="str">
        <f t="shared" si="3"/>
        <v>260612_CR_ROZE_S2</v>
      </c>
      <c r="P38">
        <v>1</v>
      </c>
      <c r="Q38">
        <v>0</v>
      </c>
      <c r="R38" t="s">
        <v>7</v>
      </c>
      <c r="S38" t="s">
        <v>59</v>
      </c>
    </row>
    <row r="39" spans="1:19">
      <c r="A39" s="5">
        <v>2</v>
      </c>
      <c r="B39" s="5">
        <v>1</v>
      </c>
      <c r="C39" s="7">
        <v>3</v>
      </c>
      <c r="D39" s="7">
        <v>3</v>
      </c>
      <c r="E39" s="16">
        <v>46185</v>
      </c>
      <c r="F39" s="7" t="s">
        <v>19</v>
      </c>
      <c r="G39" s="7" t="s">
        <v>32</v>
      </c>
      <c r="H39" s="7" t="s">
        <v>21</v>
      </c>
      <c r="I39" s="7" t="s">
        <v>28</v>
      </c>
      <c r="J39" s="7" t="str">
        <f t="shared" si="2"/>
        <v>Push</v>
      </c>
      <c r="K39" s="7"/>
      <c r="L39" s="7" t="s">
        <v>32</v>
      </c>
      <c r="M39" s="7" t="s">
        <v>46</v>
      </c>
      <c r="N39" s="7" t="s">
        <v>24</v>
      </c>
      <c r="O39" s="44" t="str">
        <f t="shared" si="3"/>
        <v>260612_CR_ROZE_S3</v>
      </c>
      <c r="P39">
        <v>144.86000000000001</v>
      </c>
      <c r="Q39">
        <v>46.27</v>
      </c>
      <c r="R39" t="s">
        <v>7</v>
      </c>
      <c r="S39" t="s">
        <v>24</v>
      </c>
    </row>
    <row r="40" spans="1:19">
      <c r="A40" s="29">
        <v>2</v>
      </c>
      <c r="B40" s="29">
        <v>2</v>
      </c>
      <c r="C40" s="30">
        <v>1</v>
      </c>
      <c r="D40" s="30">
        <v>1</v>
      </c>
      <c r="E40" s="32">
        <v>46186</v>
      </c>
      <c r="F40" s="30" t="s">
        <v>19</v>
      </c>
      <c r="G40" s="30" t="s">
        <v>50</v>
      </c>
      <c r="H40" s="30" t="s">
        <v>31</v>
      </c>
      <c r="I40" s="30" t="s">
        <v>22</v>
      </c>
      <c r="J40" s="30" t="str">
        <f t="shared" si="2"/>
        <v>Control</v>
      </c>
      <c r="K40" s="30"/>
      <c r="L40" s="30" t="s">
        <v>31</v>
      </c>
      <c r="M40" s="30" t="s">
        <v>23</v>
      </c>
      <c r="N40" s="30" t="s">
        <v>60</v>
      </c>
      <c r="O40" s="43" t="str">
        <f t="shared" si="3"/>
        <v>260613_PF_FLC_S1</v>
      </c>
      <c r="P40">
        <v>0</v>
      </c>
      <c r="Q40">
        <v>2</v>
      </c>
      <c r="R40" t="s">
        <v>6</v>
      </c>
      <c r="S40" t="s">
        <v>23</v>
      </c>
    </row>
    <row r="41" spans="1:19">
      <c r="A41" s="29">
        <v>2</v>
      </c>
      <c r="B41" s="29">
        <v>2</v>
      </c>
      <c r="C41" s="30">
        <v>1</v>
      </c>
      <c r="D41" s="30">
        <v>2</v>
      </c>
      <c r="E41" s="32">
        <v>46186</v>
      </c>
      <c r="F41" s="30" t="s">
        <v>19</v>
      </c>
      <c r="G41" s="30" t="s">
        <v>50</v>
      </c>
      <c r="H41" s="30" t="s">
        <v>31</v>
      </c>
      <c r="I41" s="30" t="s">
        <v>25</v>
      </c>
      <c r="J41" s="30" t="str">
        <f t="shared" si="2"/>
        <v>Flashpoint</v>
      </c>
      <c r="K41" s="30"/>
      <c r="L41" s="30" t="s">
        <v>31</v>
      </c>
      <c r="M41" s="30" t="s">
        <v>24</v>
      </c>
      <c r="N41" s="30" t="s">
        <v>40</v>
      </c>
      <c r="O41" s="43" t="str">
        <f t="shared" si="3"/>
        <v>260613_PF_FLC_S2</v>
      </c>
      <c r="P41">
        <v>0</v>
      </c>
      <c r="Q41">
        <v>3</v>
      </c>
      <c r="R41" t="s">
        <v>6</v>
      </c>
      <c r="S41" t="s">
        <v>24</v>
      </c>
    </row>
    <row r="42" spans="1:19">
      <c r="A42" s="29">
        <v>2</v>
      </c>
      <c r="B42" s="29">
        <v>2</v>
      </c>
      <c r="C42" s="30">
        <v>1</v>
      </c>
      <c r="D42" s="30">
        <v>3</v>
      </c>
      <c r="E42" s="32">
        <v>46186</v>
      </c>
      <c r="F42" s="30" t="s">
        <v>19</v>
      </c>
      <c r="G42" s="30" t="s">
        <v>50</v>
      </c>
      <c r="H42" s="30" t="s">
        <v>31</v>
      </c>
      <c r="I42" s="30" t="s">
        <v>28</v>
      </c>
      <c r="J42" s="30" t="str">
        <f t="shared" si="2"/>
        <v>Push</v>
      </c>
      <c r="K42" s="30"/>
      <c r="L42" s="30" t="s">
        <v>31</v>
      </c>
      <c r="M42" s="30" t="s">
        <v>38</v>
      </c>
      <c r="N42" s="30" t="s">
        <v>48</v>
      </c>
      <c r="O42" s="43" t="str">
        <f t="shared" si="3"/>
        <v>260613_PF_FLC_S3</v>
      </c>
      <c r="P42">
        <v>24.28</v>
      </c>
      <c r="Q42">
        <v>144.86000000000001</v>
      </c>
      <c r="R42" t="s">
        <v>6</v>
      </c>
      <c r="S42" t="s">
        <v>38</v>
      </c>
    </row>
    <row r="43" spans="1:19">
      <c r="A43" s="5">
        <v>2</v>
      </c>
      <c r="B43" s="5">
        <v>2</v>
      </c>
      <c r="C43" s="7">
        <v>2</v>
      </c>
      <c r="D43" s="7">
        <v>1</v>
      </c>
      <c r="E43" s="16">
        <v>46186</v>
      </c>
      <c r="F43" s="7" t="s">
        <v>19</v>
      </c>
      <c r="G43" s="7" t="s">
        <v>41</v>
      </c>
      <c r="H43" s="7" t="s">
        <v>20</v>
      </c>
      <c r="I43" s="7" t="s">
        <v>22</v>
      </c>
      <c r="J43" s="7" t="str">
        <f t="shared" si="2"/>
        <v>Control</v>
      </c>
      <c r="K43" s="7"/>
      <c r="L43" s="7" t="s">
        <v>41</v>
      </c>
      <c r="M43" s="7" t="s">
        <v>38</v>
      </c>
      <c r="N43" s="7" t="s">
        <v>68</v>
      </c>
      <c r="O43" s="44" t="str">
        <f t="shared" si="3"/>
        <v>260613_T1_O2_S1</v>
      </c>
      <c r="P43">
        <v>2</v>
      </c>
      <c r="Q43">
        <v>0</v>
      </c>
      <c r="R43" t="s">
        <v>6</v>
      </c>
      <c r="S43" t="s">
        <v>38</v>
      </c>
    </row>
    <row r="44" spans="1:19">
      <c r="A44" s="5">
        <v>2</v>
      </c>
      <c r="B44" s="5">
        <v>2</v>
      </c>
      <c r="C44" s="7">
        <v>2</v>
      </c>
      <c r="D44" s="7">
        <v>2</v>
      </c>
      <c r="E44" s="16">
        <v>46186</v>
      </c>
      <c r="F44" s="7" t="s">
        <v>19</v>
      </c>
      <c r="G44" s="7" t="s">
        <v>41</v>
      </c>
      <c r="H44" s="7" t="s">
        <v>20</v>
      </c>
      <c r="I44" s="7" t="s">
        <v>69</v>
      </c>
      <c r="J44" s="7" t="str">
        <f t="shared" si="2"/>
        <v>Escort</v>
      </c>
      <c r="K44" s="7"/>
      <c r="L44" s="7" t="s">
        <v>41</v>
      </c>
      <c r="M44" s="7" t="s">
        <v>58</v>
      </c>
      <c r="N44" s="7" t="s">
        <v>65</v>
      </c>
      <c r="O44" s="44" t="str">
        <f t="shared" si="3"/>
        <v>260613_T1_O2_S2</v>
      </c>
      <c r="P44">
        <v>1</v>
      </c>
      <c r="Q44">
        <v>0</v>
      </c>
      <c r="R44" t="s">
        <v>7</v>
      </c>
      <c r="S44" t="s">
        <v>65</v>
      </c>
    </row>
    <row r="45" spans="1:19">
      <c r="A45" s="5">
        <v>2</v>
      </c>
      <c r="B45" s="5">
        <v>2</v>
      </c>
      <c r="C45" s="7">
        <v>2</v>
      </c>
      <c r="D45" s="7">
        <v>3</v>
      </c>
      <c r="E45" s="16">
        <v>46186</v>
      </c>
      <c r="F45" s="7" t="s">
        <v>19</v>
      </c>
      <c r="G45" s="7" t="s">
        <v>41</v>
      </c>
      <c r="H45" s="7" t="s">
        <v>20</v>
      </c>
      <c r="I45" s="7" t="s">
        <v>37</v>
      </c>
      <c r="J45" s="7" t="str">
        <f t="shared" si="2"/>
        <v>Hybrid</v>
      </c>
      <c r="K45" s="7"/>
      <c r="L45" s="7" t="s">
        <v>41</v>
      </c>
      <c r="M45" s="7" t="s">
        <v>60</v>
      </c>
      <c r="N45" s="7" t="s">
        <v>49</v>
      </c>
      <c r="O45" s="44" t="str">
        <f t="shared" si="3"/>
        <v>260613_T1_O2_S3</v>
      </c>
      <c r="P45">
        <v>3</v>
      </c>
      <c r="Q45">
        <v>2</v>
      </c>
      <c r="R45" t="s">
        <v>7</v>
      </c>
      <c r="S45" t="s">
        <v>49</v>
      </c>
    </row>
    <row r="46" spans="1:19">
      <c r="A46" s="29">
        <v>2</v>
      </c>
      <c r="B46" s="29">
        <v>2</v>
      </c>
      <c r="C46" s="30">
        <v>3</v>
      </c>
      <c r="D46" s="30">
        <v>1</v>
      </c>
      <c r="E46" s="32">
        <v>46186</v>
      </c>
      <c r="F46" s="30" t="s">
        <v>19</v>
      </c>
      <c r="G46" s="30" t="s">
        <v>53</v>
      </c>
      <c r="H46" s="30" t="s">
        <v>42</v>
      </c>
      <c r="I46" s="30" t="s">
        <v>33</v>
      </c>
      <c r="J46" s="30" t="str">
        <f t="shared" si="2"/>
        <v>Control</v>
      </c>
      <c r="K46" s="30"/>
      <c r="L46" s="30" t="s">
        <v>42</v>
      </c>
      <c r="M46" s="30" t="s">
        <v>60</v>
      </c>
      <c r="N46" s="30" t="s">
        <v>66</v>
      </c>
      <c r="O46" s="43" t="str">
        <f t="shared" si="3"/>
        <v>260613_SB_ZETA_S1</v>
      </c>
      <c r="P46">
        <v>0</v>
      </c>
      <c r="Q46">
        <v>2</v>
      </c>
      <c r="R46" t="s">
        <v>6</v>
      </c>
      <c r="S46" t="s">
        <v>60</v>
      </c>
    </row>
    <row r="47" spans="1:19">
      <c r="A47" s="29">
        <v>2</v>
      </c>
      <c r="B47" s="29">
        <v>2</v>
      </c>
      <c r="C47" s="30">
        <v>3</v>
      </c>
      <c r="D47" s="30">
        <v>2</v>
      </c>
      <c r="E47" s="32">
        <v>46186</v>
      </c>
      <c r="F47" s="30" t="s">
        <v>19</v>
      </c>
      <c r="G47" s="30" t="s">
        <v>53</v>
      </c>
      <c r="H47" s="30" t="s">
        <v>42</v>
      </c>
      <c r="I47" s="30" t="s">
        <v>44</v>
      </c>
      <c r="J47" s="30" t="str">
        <f t="shared" si="2"/>
        <v>Flashpoint</v>
      </c>
      <c r="K47" s="30"/>
      <c r="L47" s="30" t="s">
        <v>42</v>
      </c>
      <c r="M47" s="30" t="s">
        <v>47</v>
      </c>
      <c r="N47" s="30" t="s">
        <v>36</v>
      </c>
      <c r="O47" s="43" t="str">
        <f t="shared" si="3"/>
        <v>260613_SB_ZETA_S2</v>
      </c>
      <c r="P47">
        <v>0</v>
      </c>
      <c r="Q47">
        <v>3</v>
      </c>
      <c r="R47" t="s">
        <v>6</v>
      </c>
      <c r="S47" t="s">
        <v>47</v>
      </c>
    </row>
    <row r="48" spans="1:19">
      <c r="A48" s="29">
        <v>2</v>
      </c>
      <c r="B48" s="29">
        <v>2</v>
      </c>
      <c r="C48" s="30">
        <v>3</v>
      </c>
      <c r="D48" s="30">
        <v>3</v>
      </c>
      <c r="E48" s="32">
        <v>46186</v>
      </c>
      <c r="F48" s="30" t="s">
        <v>19</v>
      </c>
      <c r="G48" s="30" t="s">
        <v>53</v>
      </c>
      <c r="H48" s="30" t="s">
        <v>42</v>
      </c>
      <c r="I48" s="30" t="s">
        <v>37</v>
      </c>
      <c r="J48" s="30" t="str">
        <f t="shared" si="2"/>
        <v>Hybrid</v>
      </c>
      <c r="K48" s="30"/>
      <c r="L48" s="30" t="s">
        <v>42</v>
      </c>
      <c r="M48" s="30" t="s">
        <v>24</v>
      </c>
      <c r="N48" s="30" t="s">
        <v>26</v>
      </c>
      <c r="O48" s="43" t="str">
        <f t="shared" si="3"/>
        <v>260613_SB_ZETA_S3</v>
      </c>
      <c r="P48">
        <v>3</v>
      </c>
      <c r="Q48">
        <v>4</v>
      </c>
      <c r="R48" t="s">
        <v>6</v>
      </c>
      <c r="S48" t="s">
        <v>24</v>
      </c>
    </row>
    <row r="49" spans="1:19">
      <c r="A49" s="5">
        <v>2</v>
      </c>
      <c r="B49" s="5">
        <v>3</v>
      </c>
      <c r="C49" s="7">
        <v>1</v>
      </c>
      <c r="D49" s="7">
        <v>1</v>
      </c>
      <c r="E49" s="16">
        <v>46187</v>
      </c>
      <c r="F49" s="7" t="s">
        <v>19</v>
      </c>
      <c r="G49" s="7" t="s">
        <v>21</v>
      </c>
      <c r="H49" s="7" t="s">
        <v>50</v>
      </c>
      <c r="I49" s="7" t="s">
        <v>54</v>
      </c>
      <c r="J49" s="7" t="str">
        <f t="shared" si="2"/>
        <v>Control</v>
      </c>
      <c r="K49" s="7"/>
      <c r="L49" s="7" t="s">
        <v>21</v>
      </c>
      <c r="M49" s="7" t="s">
        <v>70</v>
      </c>
      <c r="N49" s="7" t="s">
        <v>24</v>
      </c>
      <c r="O49" s="44" t="str">
        <f t="shared" si="3"/>
        <v>260614_ROZE_PF_S1</v>
      </c>
      <c r="P49">
        <v>2</v>
      </c>
      <c r="Q49">
        <v>0</v>
      </c>
      <c r="R49" t="s">
        <v>7</v>
      </c>
      <c r="S49" t="s">
        <v>24</v>
      </c>
    </row>
    <row r="50" spans="1:19">
      <c r="A50" s="5">
        <v>2</v>
      </c>
      <c r="B50" s="5">
        <v>3</v>
      </c>
      <c r="C50" s="7">
        <v>1</v>
      </c>
      <c r="D50" s="7">
        <v>2</v>
      </c>
      <c r="E50" s="16">
        <v>46187</v>
      </c>
      <c r="F50" s="7" t="s">
        <v>19</v>
      </c>
      <c r="G50" s="7" t="s">
        <v>21</v>
      </c>
      <c r="H50" s="7" t="s">
        <v>50</v>
      </c>
      <c r="I50" s="7" t="s">
        <v>25</v>
      </c>
      <c r="J50" s="7" t="str">
        <f t="shared" si="2"/>
        <v>Flashpoint</v>
      </c>
      <c r="K50" s="7"/>
      <c r="L50" s="7" t="s">
        <v>21</v>
      </c>
      <c r="M50" s="7" t="s">
        <v>68</v>
      </c>
      <c r="N50" s="7" t="s">
        <v>38</v>
      </c>
      <c r="O50" s="44" t="str">
        <f t="shared" si="3"/>
        <v>260614_ROZE_PF_S2</v>
      </c>
      <c r="P50">
        <v>3</v>
      </c>
      <c r="Q50">
        <v>1</v>
      </c>
      <c r="R50" t="s">
        <v>7</v>
      </c>
      <c r="S50" t="s">
        <v>38</v>
      </c>
    </row>
    <row r="51" spans="1:19">
      <c r="A51" s="5">
        <v>2</v>
      </c>
      <c r="B51" s="5">
        <v>3</v>
      </c>
      <c r="C51" s="7">
        <v>1</v>
      </c>
      <c r="D51" s="7">
        <v>3</v>
      </c>
      <c r="E51" s="16">
        <v>46187</v>
      </c>
      <c r="F51" s="7" t="s">
        <v>19</v>
      </c>
      <c r="G51" s="7" t="s">
        <v>21</v>
      </c>
      <c r="H51" s="7" t="s">
        <v>50</v>
      </c>
      <c r="I51" s="7" t="s">
        <v>28</v>
      </c>
      <c r="J51" s="7" t="str">
        <f t="shared" si="2"/>
        <v>Push</v>
      </c>
      <c r="K51" s="7"/>
      <c r="L51" s="7" t="s">
        <v>21</v>
      </c>
      <c r="M51" s="7" t="s">
        <v>29</v>
      </c>
      <c r="N51" s="7" t="s">
        <v>30</v>
      </c>
      <c r="O51" s="44" t="str">
        <f t="shared" si="3"/>
        <v>260614_ROZE_PF_S3</v>
      </c>
      <c r="P51">
        <v>144.86000000000001</v>
      </c>
      <c r="Q51">
        <v>0</v>
      </c>
      <c r="R51" t="s">
        <v>7</v>
      </c>
      <c r="S51" t="s">
        <v>30</v>
      </c>
    </row>
    <row r="52" spans="1:19">
      <c r="A52" s="29">
        <v>2</v>
      </c>
      <c r="B52" s="29">
        <v>3</v>
      </c>
      <c r="C52" s="30">
        <v>2</v>
      </c>
      <c r="D52" s="30">
        <v>1</v>
      </c>
      <c r="E52" s="32">
        <v>46187</v>
      </c>
      <c r="F52" s="30" t="s">
        <v>19</v>
      </c>
      <c r="G52" s="30" t="s">
        <v>32</v>
      </c>
      <c r="H52" s="30" t="s">
        <v>51</v>
      </c>
      <c r="I52" s="30" t="s">
        <v>54</v>
      </c>
      <c r="J52" s="30" t="str">
        <f t="shared" si="2"/>
        <v>Control</v>
      </c>
      <c r="K52" s="30"/>
      <c r="L52" s="30" t="s">
        <v>32</v>
      </c>
      <c r="M52" s="30" t="s">
        <v>29</v>
      </c>
      <c r="N52" s="30" t="s">
        <v>30</v>
      </c>
      <c r="O52" s="43" t="str">
        <f t="shared" si="3"/>
        <v>260614_CR_CB_S1</v>
      </c>
      <c r="P52">
        <v>2</v>
      </c>
      <c r="Q52">
        <v>0</v>
      </c>
      <c r="R52" t="s">
        <v>7</v>
      </c>
      <c r="S52" t="s">
        <v>30</v>
      </c>
    </row>
    <row r="53" spans="1:19">
      <c r="A53" s="29">
        <v>2</v>
      </c>
      <c r="B53" s="29">
        <v>3</v>
      </c>
      <c r="C53" s="30">
        <v>2</v>
      </c>
      <c r="D53" s="30">
        <v>2</v>
      </c>
      <c r="E53" s="32">
        <v>46187</v>
      </c>
      <c r="F53" s="30" t="s">
        <v>19</v>
      </c>
      <c r="G53" s="30" t="s">
        <v>32</v>
      </c>
      <c r="H53" s="30" t="s">
        <v>51</v>
      </c>
      <c r="I53" s="30" t="s">
        <v>28</v>
      </c>
      <c r="J53" s="30" t="str">
        <f t="shared" si="2"/>
        <v>Push</v>
      </c>
      <c r="K53" s="30"/>
      <c r="L53" s="30" t="s">
        <v>32</v>
      </c>
      <c r="M53" s="30" t="s">
        <v>71</v>
      </c>
      <c r="N53" s="30" t="s">
        <v>62</v>
      </c>
      <c r="O53" s="43" t="str">
        <f t="shared" si="3"/>
        <v>260614_CR_CB_S2</v>
      </c>
      <c r="P53">
        <v>144.86000000000001</v>
      </c>
      <c r="Q53">
        <v>40.74</v>
      </c>
      <c r="R53" t="s">
        <v>7</v>
      </c>
      <c r="S53" t="s">
        <v>62</v>
      </c>
    </row>
    <row r="54" spans="1:19">
      <c r="A54" s="29">
        <v>2</v>
      </c>
      <c r="B54" s="29">
        <v>3</v>
      </c>
      <c r="C54" s="30">
        <v>2</v>
      </c>
      <c r="D54" s="30">
        <v>3</v>
      </c>
      <c r="E54" s="32">
        <v>46187</v>
      </c>
      <c r="F54" s="30" t="s">
        <v>19</v>
      </c>
      <c r="G54" s="30" t="s">
        <v>32</v>
      </c>
      <c r="H54" s="30" t="s">
        <v>51</v>
      </c>
      <c r="I54" s="30" t="s">
        <v>25</v>
      </c>
      <c r="J54" s="30" t="str">
        <f t="shared" si="2"/>
        <v>Flashpoint</v>
      </c>
      <c r="K54" s="30"/>
      <c r="L54" s="30" t="s">
        <v>32</v>
      </c>
      <c r="M54" s="30" t="s">
        <v>40</v>
      </c>
      <c r="N54" s="30" t="s">
        <v>45</v>
      </c>
      <c r="O54" s="43" t="str">
        <f t="shared" si="3"/>
        <v>260614_CR_CB_S3</v>
      </c>
      <c r="P54">
        <v>3</v>
      </c>
      <c r="Q54">
        <v>1</v>
      </c>
      <c r="R54" t="s">
        <v>7</v>
      </c>
      <c r="S54" t="s">
        <v>45</v>
      </c>
    </row>
    <row r="55" spans="1:19">
      <c r="A55" s="5">
        <v>2</v>
      </c>
      <c r="B55" s="5">
        <v>3</v>
      </c>
      <c r="C55" s="7">
        <v>3</v>
      </c>
      <c r="D55" s="7">
        <v>1</v>
      </c>
      <c r="E55" s="16">
        <v>46187</v>
      </c>
      <c r="F55" s="7" t="s">
        <v>19</v>
      </c>
      <c r="G55" s="7" t="s">
        <v>31</v>
      </c>
      <c r="H55" s="7" t="s">
        <v>41</v>
      </c>
      <c r="I55" s="7" t="s">
        <v>33</v>
      </c>
      <c r="J55" s="7" t="str">
        <f t="shared" si="2"/>
        <v>Control</v>
      </c>
      <c r="K55" s="7"/>
      <c r="L55" s="7" t="s">
        <v>41</v>
      </c>
      <c r="M55" s="7" t="s">
        <v>24</v>
      </c>
      <c r="N55" s="7" t="s">
        <v>47</v>
      </c>
      <c r="O55" s="44" t="str">
        <f t="shared" si="3"/>
        <v>260614_FLC_T1_S1</v>
      </c>
      <c r="P55">
        <v>1</v>
      </c>
      <c r="Q55">
        <v>2</v>
      </c>
      <c r="R55" t="s">
        <v>7</v>
      </c>
      <c r="S55" t="s">
        <v>24</v>
      </c>
    </row>
    <row r="56" spans="1:19">
      <c r="A56" s="5">
        <v>2</v>
      </c>
      <c r="B56" s="5">
        <v>3</v>
      </c>
      <c r="C56" s="7">
        <v>3</v>
      </c>
      <c r="D56" s="7">
        <v>2</v>
      </c>
      <c r="E56" s="16">
        <v>46187</v>
      </c>
      <c r="F56" s="7" t="s">
        <v>19</v>
      </c>
      <c r="G56" s="7" t="s">
        <v>31</v>
      </c>
      <c r="H56" s="7" t="s">
        <v>41</v>
      </c>
      <c r="I56" s="7" t="s">
        <v>61</v>
      </c>
      <c r="J56" s="7" t="str">
        <f t="shared" si="2"/>
        <v>Hybrid</v>
      </c>
      <c r="K56" s="7"/>
      <c r="L56" s="7" t="s">
        <v>31</v>
      </c>
      <c r="M56" s="7" t="s">
        <v>45</v>
      </c>
      <c r="N56" s="7" t="s">
        <v>46</v>
      </c>
      <c r="O56" s="44" t="str">
        <f t="shared" si="3"/>
        <v>260614_FLC_T1_S2</v>
      </c>
      <c r="P56">
        <v>2</v>
      </c>
      <c r="Q56">
        <v>1</v>
      </c>
      <c r="R56" t="s">
        <v>6</v>
      </c>
      <c r="S56" t="s">
        <v>46</v>
      </c>
    </row>
    <row r="57" spans="1:19">
      <c r="A57" s="5">
        <v>2</v>
      </c>
      <c r="B57" s="5">
        <v>3</v>
      </c>
      <c r="C57" s="7">
        <v>3</v>
      </c>
      <c r="D57" s="7">
        <v>3</v>
      </c>
      <c r="E57" s="16">
        <v>46187</v>
      </c>
      <c r="F57" s="7" t="s">
        <v>19</v>
      </c>
      <c r="G57" s="7" t="s">
        <v>31</v>
      </c>
      <c r="H57" s="7" t="s">
        <v>41</v>
      </c>
      <c r="I57" s="7" t="s">
        <v>44</v>
      </c>
      <c r="J57" s="7" t="str">
        <f t="shared" si="2"/>
        <v>Flashpoint</v>
      </c>
      <c r="K57" s="7"/>
      <c r="L57" s="7" t="s">
        <v>41</v>
      </c>
      <c r="M57" s="7" t="s">
        <v>72</v>
      </c>
      <c r="N57" s="7" t="s">
        <v>73</v>
      </c>
      <c r="O57" s="44" t="str">
        <f t="shared" si="3"/>
        <v>260614_FLC_T1_S3</v>
      </c>
      <c r="P57">
        <v>0</v>
      </c>
      <c r="Q57">
        <v>3</v>
      </c>
      <c r="R57" t="s">
        <v>7</v>
      </c>
      <c r="S57" t="s">
        <v>72</v>
      </c>
    </row>
    <row r="58" spans="1:19">
      <c r="A58" s="5">
        <v>2</v>
      </c>
      <c r="B58" s="5">
        <v>3</v>
      </c>
      <c r="C58" s="7">
        <v>3</v>
      </c>
      <c r="D58" s="7">
        <v>4</v>
      </c>
      <c r="E58" s="16">
        <v>46187</v>
      </c>
      <c r="F58" s="7" t="s">
        <v>19</v>
      </c>
      <c r="G58" s="7" t="s">
        <v>31</v>
      </c>
      <c r="H58" s="7" t="s">
        <v>41</v>
      </c>
      <c r="I58" s="7" t="s">
        <v>43</v>
      </c>
      <c r="J58" s="7" t="str">
        <f t="shared" si="2"/>
        <v>Escort</v>
      </c>
      <c r="K58" s="7"/>
      <c r="L58" s="7" t="s">
        <v>31</v>
      </c>
      <c r="M58" s="7" t="s">
        <v>23</v>
      </c>
      <c r="N58" s="7" t="s">
        <v>74</v>
      </c>
      <c r="O58" s="44" t="str">
        <f t="shared" si="3"/>
        <v>260614_FLC_T1_S4</v>
      </c>
      <c r="P58">
        <v>1</v>
      </c>
      <c r="Q58">
        <v>0</v>
      </c>
      <c r="R58" t="s">
        <v>6</v>
      </c>
      <c r="S58" t="s">
        <v>74</v>
      </c>
    </row>
    <row r="59" spans="1:19">
      <c r="A59" s="5">
        <v>2</v>
      </c>
      <c r="B59" s="5">
        <v>3</v>
      </c>
      <c r="C59" s="7">
        <v>3</v>
      </c>
      <c r="D59" s="7">
        <v>5</v>
      </c>
      <c r="E59" s="16">
        <v>46187</v>
      </c>
      <c r="F59" s="7" t="s">
        <v>19</v>
      </c>
      <c r="G59" s="7" t="s">
        <v>31</v>
      </c>
      <c r="H59" s="7" t="s">
        <v>41</v>
      </c>
      <c r="I59" s="7" t="s">
        <v>28</v>
      </c>
      <c r="J59" s="7" t="str">
        <f t="shared" si="2"/>
        <v>Push</v>
      </c>
      <c r="K59" s="7"/>
      <c r="L59" s="7" t="s">
        <v>31</v>
      </c>
      <c r="M59" s="7" t="s">
        <v>38</v>
      </c>
      <c r="N59" s="7" t="s">
        <v>29</v>
      </c>
      <c r="O59" s="44" t="str">
        <f t="shared" si="3"/>
        <v>260614_FLC_T1_S5</v>
      </c>
      <c r="P59">
        <v>131.18</v>
      </c>
      <c r="Q59">
        <v>63.72</v>
      </c>
      <c r="R59" t="s">
        <v>7</v>
      </c>
      <c r="S59" t="s">
        <v>38</v>
      </c>
    </row>
    <row r="60" spans="1:19">
      <c r="A60" s="29">
        <v>3</v>
      </c>
      <c r="B60" s="30">
        <v>1</v>
      </c>
      <c r="C60" s="30">
        <v>1</v>
      </c>
      <c r="D60" s="30">
        <v>1</v>
      </c>
      <c r="E60" s="32">
        <v>46192</v>
      </c>
      <c r="F60" s="30" t="s">
        <v>19</v>
      </c>
      <c r="G60" s="30" t="s">
        <v>21</v>
      </c>
      <c r="H60" s="30" t="s">
        <v>51</v>
      </c>
      <c r="I60" s="30" t="s">
        <v>22</v>
      </c>
      <c r="J60" s="30" t="str">
        <f t="shared" si="2"/>
        <v>Control</v>
      </c>
      <c r="K60" s="30"/>
      <c r="L60" s="30" t="s">
        <v>21</v>
      </c>
      <c r="M60" s="30" t="s">
        <v>46</v>
      </c>
      <c r="N60" s="30" t="s">
        <v>29</v>
      </c>
      <c r="O60" s="43" t="str">
        <f t="shared" si="3"/>
        <v>260619_ROZE_CB_S1</v>
      </c>
      <c r="P60">
        <v>2</v>
      </c>
      <c r="Q60">
        <v>1</v>
      </c>
      <c r="R60" t="s">
        <v>6</v>
      </c>
      <c r="S60" t="s">
        <v>46</v>
      </c>
    </row>
    <row r="61" spans="1:19">
      <c r="A61" s="29">
        <v>3</v>
      </c>
      <c r="B61" s="30">
        <v>1</v>
      </c>
      <c r="C61" s="30">
        <v>1</v>
      </c>
      <c r="D61" s="30">
        <v>2</v>
      </c>
      <c r="E61" s="32">
        <v>46192</v>
      </c>
      <c r="F61" s="30" t="s">
        <v>19</v>
      </c>
      <c r="G61" s="30" t="s">
        <v>21</v>
      </c>
      <c r="H61" s="30" t="s">
        <v>51</v>
      </c>
      <c r="I61" s="30" t="s">
        <v>69</v>
      </c>
      <c r="J61" s="30" t="str">
        <f t="shared" si="2"/>
        <v>Escort</v>
      </c>
      <c r="K61" s="30"/>
      <c r="L61" s="30" t="s">
        <v>51</v>
      </c>
      <c r="M61" s="30" t="s">
        <v>26</v>
      </c>
      <c r="N61" s="30" t="s">
        <v>52</v>
      </c>
      <c r="O61" s="43" t="str">
        <f t="shared" si="3"/>
        <v>260619_ROZE_CB_S2</v>
      </c>
      <c r="P61">
        <v>3</v>
      </c>
      <c r="Q61">
        <v>4</v>
      </c>
      <c r="R61" t="s">
        <v>7</v>
      </c>
      <c r="S61" t="s">
        <v>52</v>
      </c>
    </row>
    <row r="62" spans="1:19">
      <c r="A62" s="29">
        <v>3</v>
      </c>
      <c r="B62" s="30">
        <v>1</v>
      </c>
      <c r="C62" s="30">
        <v>1</v>
      </c>
      <c r="D62" s="30">
        <v>3</v>
      </c>
      <c r="E62" s="32">
        <v>46192</v>
      </c>
      <c r="F62" s="30" t="s">
        <v>19</v>
      </c>
      <c r="G62" s="30" t="s">
        <v>21</v>
      </c>
      <c r="H62" s="30" t="s">
        <v>51</v>
      </c>
      <c r="I62" s="30" t="s">
        <v>28</v>
      </c>
      <c r="J62" s="30" t="str">
        <f t="shared" si="2"/>
        <v>Push</v>
      </c>
      <c r="K62" s="30"/>
      <c r="L62" s="30" t="s">
        <v>21</v>
      </c>
      <c r="M62" s="30" t="s">
        <v>68</v>
      </c>
      <c r="N62" s="30" t="s">
        <v>30</v>
      </c>
      <c r="O62" s="43" t="str">
        <f t="shared" si="3"/>
        <v>260619_ROZE_CB_S3</v>
      </c>
      <c r="P62">
        <v>144.86000000000001</v>
      </c>
      <c r="Q62">
        <v>1.48</v>
      </c>
      <c r="R62" t="s">
        <v>6</v>
      </c>
      <c r="S62" t="s">
        <v>68</v>
      </c>
    </row>
    <row r="63" spans="1:19">
      <c r="A63" s="29">
        <v>3</v>
      </c>
      <c r="B63" s="30">
        <v>1</v>
      </c>
      <c r="C63" s="30">
        <v>1</v>
      </c>
      <c r="D63" s="30">
        <v>4</v>
      </c>
      <c r="E63" s="32">
        <v>46192</v>
      </c>
      <c r="F63" s="30" t="s">
        <v>19</v>
      </c>
      <c r="G63" s="30" t="s">
        <v>21</v>
      </c>
      <c r="H63" s="30" t="s">
        <v>51</v>
      </c>
      <c r="I63" s="30" t="s">
        <v>61</v>
      </c>
      <c r="J63" s="30" t="str">
        <f t="shared" si="2"/>
        <v>Hybrid</v>
      </c>
      <c r="K63" s="30"/>
      <c r="L63" s="30" t="s">
        <v>21</v>
      </c>
      <c r="M63" s="30" t="s">
        <v>64</v>
      </c>
      <c r="N63" s="30" t="s">
        <v>46</v>
      </c>
      <c r="O63" s="43" t="str">
        <f t="shared" si="3"/>
        <v>260619_ROZE_CB_S4</v>
      </c>
      <c r="P63">
        <v>3</v>
      </c>
      <c r="Q63">
        <v>2</v>
      </c>
      <c r="R63" t="s">
        <v>7</v>
      </c>
      <c r="S63" t="s">
        <v>46</v>
      </c>
    </row>
    <row r="64" spans="1:19">
      <c r="A64" s="5">
        <v>3</v>
      </c>
      <c r="B64" s="7">
        <v>1</v>
      </c>
      <c r="C64" s="7">
        <v>2</v>
      </c>
      <c r="D64" s="7">
        <v>1</v>
      </c>
      <c r="E64" s="16">
        <v>46192</v>
      </c>
      <c r="F64" s="7" t="s">
        <v>19</v>
      </c>
      <c r="G64" s="7" t="s">
        <v>31</v>
      </c>
      <c r="H64" s="7" t="s">
        <v>20</v>
      </c>
      <c r="I64" s="7" t="s">
        <v>22</v>
      </c>
      <c r="J64" s="7" t="str">
        <f t="shared" si="2"/>
        <v>Control</v>
      </c>
      <c r="K64" s="7"/>
      <c r="L64" s="6" t="s">
        <v>31</v>
      </c>
      <c r="M64" s="7" t="s">
        <v>24</v>
      </c>
      <c r="N64" s="7" t="s">
        <v>46</v>
      </c>
      <c r="O64" s="44" t="str">
        <f t="shared" si="3"/>
        <v>260619_FLC_O2_S1</v>
      </c>
      <c r="P64">
        <v>2</v>
      </c>
      <c r="Q64">
        <v>0</v>
      </c>
      <c r="R64" t="s">
        <v>6</v>
      </c>
      <c r="S64" t="s">
        <v>24</v>
      </c>
    </row>
    <row r="65" spans="1:19">
      <c r="A65" s="5">
        <v>3</v>
      </c>
      <c r="B65" s="7">
        <v>1</v>
      </c>
      <c r="C65" s="7">
        <v>2</v>
      </c>
      <c r="D65" s="7">
        <v>2</v>
      </c>
      <c r="E65" s="16">
        <v>46192</v>
      </c>
      <c r="F65" s="7" t="s">
        <v>19</v>
      </c>
      <c r="G65" s="7" t="s">
        <v>31</v>
      </c>
      <c r="H65" s="7" t="s">
        <v>20</v>
      </c>
      <c r="I65" s="7" t="s">
        <v>56</v>
      </c>
      <c r="J65" s="7" t="str">
        <f t="shared" si="2"/>
        <v>Hybrid</v>
      </c>
      <c r="K65" s="7"/>
      <c r="L65" s="6" t="s">
        <v>31</v>
      </c>
      <c r="M65" s="7" t="s">
        <v>36</v>
      </c>
      <c r="N65" s="7" t="s">
        <v>45</v>
      </c>
      <c r="O65" s="44" t="str">
        <f t="shared" si="3"/>
        <v>260619_FLC_O2_S2</v>
      </c>
      <c r="P65">
        <v>3</v>
      </c>
      <c r="Q65">
        <v>1</v>
      </c>
      <c r="R65" t="s">
        <v>7</v>
      </c>
      <c r="S65" t="s">
        <v>45</v>
      </c>
    </row>
    <row r="66" spans="1:19">
      <c r="A66" s="5">
        <v>3</v>
      </c>
      <c r="B66" s="7">
        <v>1</v>
      </c>
      <c r="C66" s="7">
        <v>2</v>
      </c>
      <c r="D66" s="7">
        <v>3</v>
      </c>
      <c r="E66" s="16">
        <v>46192</v>
      </c>
      <c r="F66" s="7" t="s">
        <v>19</v>
      </c>
      <c r="G66" s="7" t="s">
        <v>31</v>
      </c>
      <c r="H66" s="7" t="s">
        <v>20</v>
      </c>
      <c r="I66" s="7" t="s">
        <v>69</v>
      </c>
      <c r="J66" s="7" t="str">
        <f t="shared" ref="J66:J97" si="4">IF(OR(I66="Antarctic Peninsula", I66="Nepal", I66="Lijiang Tower", I66="Busan", I66="Samoa", I66="Oasis", I66="Ilios"), "Control", IF(OR(I66="Route 66", I66="Watchpoint: Gibraltar", I66="Dorado", I66="Rialto", I66="Shambali Monastery", I66="Circuit Royal", I66="Junkertown", I66="Havana"), "Escort", IF(OR(I66="Neon Junction", I66="Numbani", I66="Midtown", I66="Blizzard World", I66="Eichenwalde", I66="King's Row", I66="Paraiso", I66="Hollywood"), "Hybrid", IF(OR(I66="New Queen Street", I66="Esperanca", I66="Colosseo", I66="Runasapi"), "Push", IF(OR(I66="New Junk City", I66="Suravasa", I66="Aatlis"), "Flashpoint", "")))))</f>
        <v>Escort</v>
      </c>
      <c r="K66" s="7"/>
      <c r="L66" s="6" t="s">
        <v>31</v>
      </c>
      <c r="M66" s="7" t="s">
        <v>65</v>
      </c>
      <c r="N66" s="7" t="s">
        <v>38</v>
      </c>
      <c r="O66" s="44" t="str">
        <f t="shared" ref="O66:O97" si="5">TEXT(E66, "yymmdd") &amp; "_" &amp; G66 &amp; "_" &amp; H66 &amp; "_S" &amp; D66</f>
        <v>260619_FLC_O2_S3</v>
      </c>
      <c r="P66">
        <v>3</v>
      </c>
      <c r="Q66">
        <v>0</v>
      </c>
      <c r="R66" t="s">
        <v>7</v>
      </c>
      <c r="S66" t="s">
        <v>38</v>
      </c>
    </row>
    <row r="67" spans="1:19">
      <c r="A67" s="29">
        <v>3</v>
      </c>
      <c r="B67" s="30">
        <v>1</v>
      </c>
      <c r="C67" s="30">
        <v>3</v>
      </c>
      <c r="D67" s="30">
        <v>1</v>
      </c>
      <c r="E67" s="32">
        <v>46192</v>
      </c>
      <c r="F67" s="30" t="s">
        <v>19</v>
      </c>
      <c r="G67" s="30" t="s">
        <v>41</v>
      </c>
      <c r="H67" s="30" t="s">
        <v>32</v>
      </c>
      <c r="I67" s="30" t="s">
        <v>22</v>
      </c>
      <c r="J67" s="30" t="str">
        <f t="shared" si="4"/>
        <v>Control</v>
      </c>
      <c r="K67" s="30"/>
      <c r="L67" s="36" t="s">
        <v>32</v>
      </c>
      <c r="M67" s="30" t="s">
        <v>40</v>
      </c>
      <c r="N67" s="30" t="s">
        <v>71</v>
      </c>
      <c r="O67" s="43" t="str">
        <f t="shared" si="5"/>
        <v>260619_T1_CR_S1</v>
      </c>
      <c r="P67">
        <v>0</v>
      </c>
      <c r="Q67">
        <v>2</v>
      </c>
      <c r="R67" t="s">
        <v>7</v>
      </c>
      <c r="S67" t="s">
        <v>71</v>
      </c>
    </row>
    <row r="68" spans="1:19">
      <c r="A68" s="29">
        <v>3</v>
      </c>
      <c r="B68" s="30">
        <v>1</v>
      </c>
      <c r="C68" s="30">
        <v>3</v>
      </c>
      <c r="D68" s="30">
        <v>2</v>
      </c>
      <c r="E68" s="32">
        <v>46192</v>
      </c>
      <c r="F68" s="30" t="s">
        <v>19</v>
      </c>
      <c r="G68" s="30" t="s">
        <v>41</v>
      </c>
      <c r="H68" s="30" t="s">
        <v>32</v>
      </c>
      <c r="I68" s="30" t="s">
        <v>37</v>
      </c>
      <c r="J68" s="30" t="str">
        <f t="shared" si="4"/>
        <v>Hybrid</v>
      </c>
      <c r="K68" s="30"/>
      <c r="L68" s="36" t="s">
        <v>32</v>
      </c>
      <c r="M68" s="30" t="s">
        <v>30</v>
      </c>
      <c r="N68" s="30" t="s">
        <v>40</v>
      </c>
      <c r="O68" s="43" t="str">
        <f t="shared" si="5"/>
        <v>260619_T1_CR_S2</v>
      </c>
      <c r="P68">
        <v>1</v>
      </c>
      <c r="Q68">
        <v>2</v>
      </c>
      <c r="R68" t="s">
        <v>6</v>
      </c>
      <c r="S68" t="s">
        <v>30</v>
      </c>
    </row>
    <row r="69" spans="1:19">
      <c r="A69" s="29">
        <v>3</v>
      </c>
      <c r="B69" s="30">
        <v>1</v>
      </c>
      <c r="C69" s="30">
        <v>3</v>
      </c>
      <c r="D69" s="30">
        <v>3</v>
      </c>
      <c r="E69" s="32">
        <v>46192</v>
      </c>
      <c r="F69" s="30" t="s">
        <v>19</v>
      </c>
      <c r="G69" s="30" t="s">
        <v>41</v>
      </c>
      <c r="H69" s="30" t="s">
        <v>32</v>
      </c>
      <c r="I69" s="30" t="s">
        <v>44</v>
      </c>
      <c r="J69" s="30" t="str">
        <f t="shared" si="4"/>
        <v>Flashpoint</v>
      </c>
      <c r="K69" s="30"/>
      <c r="L69" s="36" t="s">
        <v>41</v>
      </c>
      <c r="M69" s="30" t="s">
        <v>58</v>
      </c>
      <c r="N69" s="30" t="s">
        <v>68</v>
      </c>
      <c r="O69" s="43" t="str">
        <f t="shared" si="5"/>
        <v>260619_T1_CR_S3</v>
      </c>
      <c r="P69">
        <v>2</v>
      </c>
      <c r="Q69">
        <v>3</v>
      </c>
      <c r="R69" t="s">
        <v>7</v>
      </c>
      <c r="S69" t="s">
        <v>47</v>
      </c>
    </row>
    <row r="70" spans="1:19">
      <c r="A70" s="29">
        <v>3</v>
      </c>
      <c r="B70" s="30">
        <v>1</v>
      </c>
      <c r="C70" s="30">
        <v>3</v>
      </c>
      <c r="D70" s="30">
        <v>4</v>
      </c>
      <c r="E70" s="32">
        <v>46192</v>
      </c>
      <c r="F70" s="30" t="s">
        <v>19</v>
      </c>
      <c r="G70" s="30" t="s">
        <v>41</v>
      </c>
      <c r="H70" s="30" t="s">
        <v>32</v>
      </c>
      <c r="I70" s="30" t="s">
        <v>69</v>
      </c>
      <c r="J70" s="30" t="str">
        <f t="shared" si="4"/>
        <v>Escort</v>
      </c>
      <c r="K70" s="30"/>
      <c r="L70" s="36" t="s">
        <v>32</v>
      </c>
      <c r="M70" s="30" t="s">
        <v>57</v>
      </c>
      <c r="N70" s="30" t="s">
        <v>47</v>
      </c>
      <c r="O70" s="43" t="str">
        <f t="shared" si="5"/>
        <v>260619_T1_CR_S4</v>
      </c>
      <c r="P70">
        <v>2</v>
      </c>
      <c r="Q70">
        <v>3</v>
      </c>
      <c r="R70" t="s">
        <v>6</v>
      </c>
      <c r="S70" t="s">
        <v>75</v>
      </c>
    </row>
    <row r="71" spans="1:19">
      <c r="A71" s="5">
        <v>3</v>
      </c>
      <c r="B71" s="7">
        <v>2</v>
      </c>
      <c r="C71" s="7">
        <v>1</v>
      </c>
      <c r="D71" s="7">
        <v>1</v>
      </c>
      <c r="E71" s="45">
        <v>46193</v>
      </c>
      <c r="F71" s="7" t="s">
        <v>19</v>
      </c>
      <c r="G71" s="7" t="s">
        <v>50</v>
      </c>
      <c r="H71" s="7" t="s">
        <v>53</v>
      </c>
      <c r="I71" s="7" t="s">
        <v>33</v>
      </c>
      <c r="J71" s="7" t="str">
        <f t="shared" si="4"/>
        <v>Control</v>
      </c>
      <c r="K71" s="6"/>
      <c r="L71" s="6" t="s">
        <v>53</v>
      </c>
      <c r="M71" s="7" t="s">
        <v>24</v>
      </c>
      <c r="N71" s="7" t="s">
        <v>65</v>
      </c>
      <c r="O71" s="44" t="str">
        <f t="shared" si="5"/>
        <v>260620_PF_SB_S1</v>
      </c>
      <c r="P71">
        <v>1</v>
      </c>
      <c r="Q71">
        <v>2</v>
      </c>
      <c r="R71" t="s">
        <v>6</v>
      </c>
      <c r="S71" t="s">
        <v>24</v>
      </c>
    </row>
    <row r="72" spans="1:19">
      <c r="A72" s="5">
        <v>3</v>
      </c>
      <c r="B72" s="7">
        <v>2</v>
      </c>
      <c r="C72" s="7">
        <v>1</v>
      </c>
      <c r="D72" s="7">
        <v>2</v>
      </c>
      <c r="E72" s="45">
        <v>46193</v>
      </c>
      <c r="F72" s="7" t="s">
        <v>19</v>
      </c>
      <c r="G72" s="7" t="s">
        <v>50</v>
      </c>
      <c r="H72" s="7" t="s">
        <v>53</v>
      </c>
      <c r="I72" s="7" t="s">
        <v>44</v>
      </c>
      <c r="J72" s="7" t="str">
        <f t="shared" si="4"/>
        <v>Flashpoint</v>
      </c>
      <c r="K72" s="6"/>
      <c r="L72" s="6" t="s">
        <v>50</v>
      </c>
      <c r="M72" s="7" t="s">
        <v>34</v>
      </c>
      <c r="N72" s="7" t="s">
        <v>29</v>
      </c>
      <c r="O72" s="44" t="str">
        <f t="shared" si="5"/>
        <v>260620_PF_SB_S2</v>
      </c>
      <c r="P72">
        <v>3</v>
      </c>
      <c r="Q72">
        <v>1</v>
      </c>
      <c r="R72" t="s">
        <v>6</v>
      </c>
      <c r="S72" t="s">
        <v>34</v>
      </c>
    </row>
    <row r="73" spans="1:19">
      <c r="A73" s="5">
        <v>3</v>
      </c>
      <c r="B73" s="7">
        <v>2</v>
      </c>
      <c r="C73" s="7">
        <v>1</v>
      </c>
      <c r="D73" s="7">
        <v>3</v>
      </c>
      <c r="E73" s="45">
        <v>46193</v>
      </c>
      <c r="F73" s="7" t="s">
        <v>19</v>
      </c>
      <c r="G73" s="7" t="s">
        <v>50</v>
      </c>
      <c r="H73" s="7" t="s">
        <v>53</v>
      </c>
      <c r="I73" s="7" t="s">
        <v>61</v>
      </c>
      <c r="J73" s="7" t="str">
        <f t="shared" si="4"/>
        <v>Hybrid</v>
      </c>
      <c r="K73" s="6"/>
      <c r="L73" s="6" t="s">
        <v>53</v>
      </c>
      <c r="M73" s="7" t="s">
        <v>36</v>
      </c>
      <c r="N73" s="7" t="s">
        <v>59</v>
      </c>
      <c r="O73" s="44" t="str">
        <f t="shared" si="5"/>
        <v>260620_PF_SB_S3</v>
      </c>
      <c r="P73">
        <v>0</v>
      </c>
      <c r="Q73">
        <v>1</v>
      </c>
      <c r="R73" t="s">
        <v>7</v>
      </c>
      <c r="S73" t="s">
        <v>59</v>
      </c>
    </row>
    <row r="74" spans="1:19">
      <c r="A74" s="5">
        <v>3</v>
      </c>
      <c r="B74" s="7">
        <v>2</v>
      </c>
      <c r="C74" s="7">
        <v>1</v>
      </c>
      <c r="D74" s="7">
        <v>4</v>
      </c>
      <c r="E74" s="45">
        <v>46193</v>
      </c>
      <c r="F74" s="7" t="s">
        <v>19</v>
      </c>
      <c r="G74" s="7" t="s">
        <v>50</v>
      </c>
      <c r="H74" s="7" t="s">
        <v>53</v>
      </c>
      <c r="I74" s="7" t="s">
        <v>28</v>
      </c>
      <c r="J74" s="7" t="str">
        <f t="shared" si="4"/>
        <v>Push</v>
      </c>
      <c r="K74" s="6"/>
      <c r="L74" s="6" t="s">
        <v>50</v>
      </c>
      <c r="M74" s="7" t="s">
        <v>38</v>
      </c>
      <c r="N74" s="7" t="s">
        <v>46</v>
      </c>
      <c r="O74" s="44" t="str">
        <f t="shared" si="5"/>
        <v>260620_PF_SB_S4</v>
      </c>
      <c r="P74">
        <v>118.97</v>
      </c>
      <c r="Q74">
        <v>116.88</v>
      </c>
      <c r="R74" t="s">
        <v>6</v>
      </c>
      <c r="S74" t="s">
        <v>38</v>
      </c>
    </row>
    <row r="75" spans="1:19">
      <c r="A75" s="5">
        <v>3</v>
      </c>
      <c r="B75" s="7">
        <v>2</v>
      </c>
      <c r="C75" s="7">
        <v>1</v>
      </c>
      <c r="D75" s="7">
        <v>5</v>
      </c>
      <c r="E75" s="45">
        <v>46193</v>
      </c>
      <c r="F75" s="7" t="s">
        <v>19</v>
      </c>
      <c r="G75" s="7" t="s">
        <v>50</v>
      </c>
      <c r="H75" s="7" t="s">
        <v>53</v>
      </c>
      <c r="I75" s="7" t="s">
        <v>69</v>
      </c>
      <c r="J75" s="7" t="str">
        <f t="shared" si="4"/>
        <v>Escort</v>
      </c>
      <c r="K75" s="6"/>
      <c r="L75" s="6" t="s">
        <v>53</v>
      </c>
      <c r="M75" s="7" t="s">
        <v>30</v>
      </c>
      <c r="N75" s="7" t="s">
        <v>52</v>
      </c>
      <c r="O75" s="44" t="str">
        <f t="shared" si="5"/>
        <v>260620_PF_SB_S5</v>
      </c>
      <c r="P75">
        <v>0</v>
      </c>
      <c r="Q75">
        <v>1</v>
      </c>
      <c r="R75" t="s">
        <v>7</v>
      </c>
      <c r="S75" t="s">
        <v>52</v>
      </c>
    </row>
    <row r="76" spans="1:19">
      <c r="A76" s="29">
        <v>3</v>
      </c>
      <c r="B76" s="30">
        <v>2</v>
      </c>
      <c r="C76" s="30">
        <v>2</v>
      </c>
      <c r="D76" s="30">
        <v>1</v>
      </c>
      <c r="E76" s="46">
        <v>46193</v>
      </c>
      <c r="F76" s="30" t="s">
        <v>19</v>
      </c>
      <c r="G76" s="30" t="s">
        <v>42</v>
      </c>
      <c r="H76" s="30" t="s">
        <v>21</v>
      </c>
      <c r="I76" s="30" t="s">
        <v>22</v>
      </c>
      <c r="J76" s="30" t="str">
        <f t="shared" si="4"/>
        <v>Control</v>
      </c>
      <c r="K76" s="36"/>
      <c r="L76" s="36" t="s">
        <v>21</v>
      </c>
      <c r="M76" s="30" t="s">
        <v>45</v>
      </c>
      <c r="N76" s="30" t="s">
        <v>24</v>
      </c>
      <c r="O76" s="43" t="str">
        <f t="shared" si="5"/>
        <v>260620_ZETA_ROZE_S1</v>
      </c>
      <c r="P76">
        <v>1</v>
      </c>
      <c r="Q76">
        <v>2</v>
      </c>
      <c r="R76" t="s">
        <v>7</v>
      </c>
      <c r="S76" t="s">
        <v>24</v>
      </c>
    </row>
    <row r="77" spans="1:19">
      <c r="A77" s="29">
        <v>3</v>
      </c>
      <c r="B77" s="30">
        <v>2</v>
      </c>
      <c r="C77" s="30">
        <v>2</v>
      </c>
      <c r="D77" s="30">
        <v>2</v>
      </c>
      <c r="E77" s="46">
        <v>46193</v>
      </c>
      <c r="F77" s="30" t="s">
        <v>19</v>
      </c>
      <c r="G77" s="30" t="s">
        <v>42</v>
      </c>
      <c r="H77" s="30" t="s">
        <v>21</v>
      </c>
      <c r="I77" s="30" t="s">
        <v>44</v>
      </c>
      <c r="J77" s="30" t="str">
        <f t="shared" si="4"/>
        <v>Flashpoint</v>
      </c>
      <c r="K77" s="36"/>
      <c r="L77" s="36" t="s">
        <v>42</v>
      </c>
      <c r="M77" s="30" t="s">
        <v>65</v>
      </c>
      <c r="N77" s="30" t="s">
        <v>47</v>
      </c>
      <c r="O77" s="43" t="str">
        <f t="shared" si="5"/>
        <v>260620_ZETA_ROZE_S2</v>
      </c>
      <c r="P77">
        <v>3</v>
      </c>
      <c r="Q77">
        <v>1</v>
      </c>
      <c r="R77" t="s">
        <v>6</v>
      </c>
      <c r="S77" t="s">
        <v>65</v>
      </c>
    </row>
    <row r="78" spans="1:19">
      <c r="A78" s="29">
        <v>3</v>
      </c>
      <c r="B78" s="30">
        <v>2</v>
      </c>
      <c r="C78" s="30">
        <v>2</v>
      </c>
      <c r="D78" s="30">
        <v>3</v>
      </c>
      <c r="E78" s="46">
        <v>46193</v>
      </c>
      <c r="F78" s="30" t="s">
        <v>19</v>
      </c>
      <c r="G78" s="30" t="s">
        <v>42</v>
      </c>
      <c r="H78" s="30" t="s">
        <v>21</v>
      </c>
      <c r="I78" s="30" t="s">
        <v>28</v>
      </c>
      <c r="J78" s="30" t="str">
        <f t="shared" si="4"/>
        <v>Push</v>
      </c>
      <c r="K78" s="36"/>
      <c r="L78" s="36" t="s">
        <v>21</v>
      </c>
      <c r="M78" s="30" t="s">
        <v>52</v>
      </c>
      <c r="N78" s="30" t="s">
        <v>38</v>
      </c>
      <c r="O78" s="43" t="str">
        <f t="shared" si="5"/>
        <v>260620_ZETA_ROZE_S3</v>
      </c>
      <c r="P78">
        <v>45.8</v>
      </c>
      <c r="Q78">
        <v>144.86000000000001</v>
      </c>
      <c r="R78" t="s">
        <v>7</v>
      </c>
      <c r="S78" t="s">
        <v>38</v>
      </c>
    </row>
    <row r="79" spans="1:19">
      <c r="A79" s="29">
        <v>3</v>
      </c>
      <c r="B79" s="30">
        <v>2</v>
      </c>
      <c r="C79" s="30">
        <v>2</v>
      </c>
      <c r="D79" s="30">
        <v>4</v>
      </c>
      <c r="E79" s="46">
        <v>46193</v>
      </c>
      <c r="F79" s="30" t="s">
        <v>19</v>
      </c>
      <c r="G79" s="30" t="s">
        <v>42</v>
      </c>
      <c r="H79" s="30" t="s">
        <v>21</v>
      </c>
      <c r="I79" s="30" t="s">
        <v>63</v>
      </c>
      <c r="J79" s="30" t="str">
        <f t="shared" si="4"/>
        <v>Escort</v>
      </c>
      <c r="K79" s="36"/>
      <c r="L79" s="36" t="s">
        <v>42</v>
      </c>
      <c r="M79" s="30" t="s">
        <v>48</v>
      </c>
      <c r="N79" s="30" t="s">
        <v>76</v>
      </c>
      <c r="O79" s="43" t="str">
        <f t="shared" si="5"/>
        <v>260620_ZETA_ROZE_S4</v>
      </c>
      <c r="P79">
        <v>3</v>
      </c>
      <c r="Q79">
        <v>1</v>
      </c>
      <c r="R79" t="s">
        <v>6</v>
      </c>
      <c r="S79" t="s">
        <v>48</v>
      </c>
    </row>
    <row r="80" spans="1:19">
      <c r="A80" s="29">
        <v>3</v>
      </c>
      <c r="B80" s="30">
        <v>2</v>
      </c>
      <c r="C80" s="30">
        <v>2</v>
      </c>
      <c r="D80" s="30">
        <v>5</v>
      </c>
      <c r="E80" s="46">
        <v>46193</v>
      </c>
      <c r="F80" s="30" t="s">
        <v>19</v>
      </c>
      <c r="G80" s="30" t="s">
        <v>42</v>
      </c>
      <c r="H80" s="30" t="s">
        <v>21</v>
      </c>
      <c r="I80" s="30" t="s">
        <v>37</v>
      </c>
      <c r="J80" s="30" t="str">
        <f t="shared" si="4"/>
        <v>Hybrid</v>
      </c>
      <c r="K80" s="36"/>
      <c r="L80" s="36" t="s">
        <v>42</v>
      </c>
      <c r="M80" s="30" t="s">
        <v>46</v>
      </c>
      <c r="N80" s="30" t="s">
        <v>60</v>
      </c>
      <c r="O80" s="43" t="str">
        <f t="shared" si="5"/>
        <v>260620_ZETA_ROZE_S5</v>
      </c>
      <c r="P80">
        <v>5</v>
      </c>
      <c r="Q80">
        <v>4</v>
      </c>
      <c r="R80" t="s">
        <v>7</v>
      </c>
      <c r="S80" t="s">
        <v>60</v>
      </c>
    </row>
    <row r="81" spans="1:19">
      <c r="A81" s="13">
        <v>3</v>
      </c>
      <c r="B81" s="15">
        <v>2</v>
      </c>
      <c r="C81">
        <v>3</v>
      </c>
      <c r="D81" s="15">
        <v>1</v>
      </c>
      <c r="E81" s="18">
        <v>46193</v>
      </c>
      <c r="F81" s="42" t="s">
        <v>19</v>
      </c>
      <c r="G81" s="15" t="s">
        <v>51</v>
      </c>
      <c r="H81" s="15" t="s">
        <v>41</v>
      </c>
      <c r="I81" s="15" t="s">
        <v>54</v>
      </c>
      <c r="J81" s="15" t="str">
        <f t="shared" si="4"/>
        <v>Control</v>
      </c>
      <c r="L81" s="19" t="s">
        <v>41</v>
      </c>
      <c r="M81" s="15" t="s">
        <v>30</v>
      </c>
      <c r="N81" s="15" t="s">
        <v>46</v>
      </c>
      <c r="O81" s="2" t="str">
        <f t="shared" si="5"/>
        <v>260620_CB_T1_S1</v>
      </c>
      <c r="P81">
        <v>1</v>
      </c>
      <c r="Q81">
        <v>2</v>
      </c>
      <c r="R81" t="s">
        <v>7</v>
      </c>
      <c r="S81" t="s">
        <v>46</v>
      </c>
    </row>
    <row r="82" spans="1:19">
      <c r="A82" s="13">
        <v>3</v>
      </c>
      <c r="B82" s="15">
        <v>2</v>
      </c>
      <c r="C82">
        <v>3</v>
      </c>
      <c r="D82" s="15">
        <v>2</v>
      </c>
      <c r="E82" s="18">
        <v>46193</v>
      </c>
      <c r="F82" s="7" t="s">
        <v>19</v>
      </c>
      <c r="G82" s="15" t="s">
        <v>51</v>
      </c>
      <c r="H82" s="15" t="s">
        <v>41</v>
      </c>
      <c r="I82" s="15" t="s">
        <v>43</v>
      </c>
      <c r="J82" s="15" t="str">
        <f t="shared" si="4"/>
        <v>Escort</v>
      </c>
      <c r="L82" s="19" t="s">
        <v>41</v>
      </c>
      <c r="M82" s="15" t="s">
        <v>26</v>
      </c>
      <c r="N82" s="15" t="s">
        <v>24</v>
      </c>
      <c r="O82" s="2" t="str">
        <f t="shared" si="5"/>
        <v>260620_CB_T1_S2</v>
      </c>
      <c r="P82">
        <v>0</v>
      </c>
      <c r="Q82">
        <v>1</v>
      </c>
      <c r="R82" t="s">
        <v>6</v>
      </c>
      <c r="S82" t="s">
        <v>26</v>
      </c>
    </row>
    <row r="83" spans="1:19">
      <c r="A83" s="13">
        <v>3</v>
      </c>
      <c r="B83" s="15">
        <v>2</v>
      </c>
      <c r="C83">
        <v>3</v>
      </c>
      <c r="D83" s="15">
        <v>3</v>
      </c>
      <c r="E83" s="18">
        <v>46193</v>
      </c>
      <c r="F83" s="7" t="s">
        <v>19</v>
      </c>
      <c r="G83" s="15" t="s">
        <v>51</v>
      </c>
      <c r="H83" s="15" t="s">
        <v>41</v>
      </c>
      <c r="I83" s="15" t="s">
        <v>25</v>
      </c>
      <c r="J83" s="15" t="str">
        <f t="shared" si="4"/>
        <v>Flashpoint</v>
      </c>
      <c r="L83" s="19" t="s">
        <v>41</v>
      </c>
      <c r="M83" s="15" t="s">
        <v>45</v>
      </c>
      <c r="N83" s="15" t="s">
        <v>48</v>
      </c>
      <c r="O83" s="2" t="str">
        <f t="shared" si="5"/>
        <v>260620_CB_T1_S3</v>
      </c>
      <c r="P83">
        <v>0</v>
      </c>
      <c r="Q83">
        <v>3</v>
      </c>
      <c r="R83" t="s">
        <v>6</v>
      </c>
      <c r="S83" t="s">
        <v>45</v>
      </c>
    </row>
    <row r="84" spans="1:19">
      <c r="A84" s="37">
        <v>3</v>
      </c>
      <c r="B84" s="31">
        <v>3</v>
      </c>
      <c r="C84" s="38">
        <v>1</v>
      </c>
      <c r="D84" s="40">
        <v>1</v>
      </c>
      <c r="E84" s="39">
        <v>46194</v>
      </c>
      <c r="F84" s="31" t="s">
        <v>19</v>
      </c>
      <c r="G84" s="31" t="s">
        <v>31</v>
      </c>
      <c r="H84" s="31" t="s">
        <v>53</v>
      </c>
      <c r="I84" s="31" t="s">
        <v>54</v>
      </c>
      <c r="J84" s="31" t="str">
        <f t="shared" si="4"/>
        <v>Control</v>
      </c>
      <c r="K84" s="40"/>
      <c r="L84" s="41" t="s">
        <v>31</v>
      </c>
      <c r="M84" s="31" t="s">
        <v>40</v>
      </c>
      <c r="N84" s="31" t="s">
        <v>64</v>
      </c>
      <c r="O84" s="33" t="str">
        <f t="shared" si="5"/>
        <v>260621_FLC_SB_S1</v>
      </c>
      <c r="P84">
        <v>2</v>
      </c>
      <c r="Q84">
        <v>0</v>
      </c>
      <c r="R84" t="s">
        <v>6</v>
      </c>
      <c r="S84" t="s">
        <v>40</v>
      </c>
    </row>
    <row r="85" spans="1:19">
      <c r="A85" s="37">
        <v>3</v>
      </c>
      <c r="B85" s="31">
        <v>3</v>
      </c>
      <c r="C85" s="38">
        <v>1</v>
      </c>
      <c r="D85" s="38">
        <v>2</v>
      </c>
      <c r="E85" s="39">
        <v>46194</v>
      </c>
      <c r="F85" s="31" t="s">
        <v>19</v>
      </c>
      <c r="G85" s="31" t="s">
        <v>31</v>
      </c>
      <c r="H85" s="31" t="s">
        <v>53</v>
      </c>
      <c r="I85" s="31" t="s">
        <v>44</v>
      </c>
      <c r="J85" s="31" t="str">
        <f t="shared" si="4"/>
        <v>Flashpoint</v>
      </c>
      <c r="K85" s="40"/>
      <c r="L85" s="41" t="s">
        <v>31</v>
      </c>
      <c r="M85" s="31" t="s">
        <v>65</v>
      </c>
      <c r="N85" s="31" t="s">
        <v>26</v>
      </c>
      <c r="O85" s="33" t="str">
        <f t="shared" si="5"/>
        <v>260621_FLC_SB_S2</v>
      </c>
      <c r="P85">
        <v>3</v>
      </c>
      <c r="Q85">
        <v>0</v>
      </c>
      <c r="R85" t="s">
        <v>7</v>
      </c>
      <c r="S85" t="s">
        <v>26</v>
      </c>
    </row>
    <row r="86" spans="1:19">
      <c r="A86" s="37">
        <v>3</v>
      </c>
      <c r="B86" s="31">
        <v>3</v>
      </c>
      <c r="C86" s="38">
        <v>1</v>
      </c>
      <c r="D86" s="38">
        <v>3</v>
      </c>
      <c r="E86" s="39">
        <v>46194</v>
      </c>
      <c r="F86" s="31" t="s">
        <v>19</v>
      </c>
      <c r="G86" s="31" t="s">
        <v>31</v>
      </c>
      <c r="H86" s="31" t="s">
        <v>53</v>
      </c>
      <c r="I86" s="31" t="s">
        <v>61</v>
      </c>
      <c r="J86" s="31" t="str">
        <f t="shared" si="4"/>
        <v>Hybrid</v>
      </c>
      <c r="K86" s="40"/>
      <c r="L86" s="41" t="s">
        <v>31</v>
      </c>
      <c r="M86" s="31" t="s">
        <v>58</v>
      </c>
      <c r="N86" s="31" t="s">
        <v>38</v>
      </c>
      <c r="O86" s="33" t="str">
        <f t="shared" si="5"/>
        <v>260621_FLC_SB_S3</v>
      </c>
      <c r="P86">
        <v>3</v>
      </c>
      <c r="Q86">
        <v>0</v>
      </c>
      <c r="R86" t="s">
        <v>7</v>
      </c>
      <c r="S86" t="s">
        <v>38</v>
      </c>
    </row>
    <row r="87" spans="1:19">
      <c r="A87" s="13">
        <v>3</v>
      </c>
      <c r="B87" s="15">
        <v>3</v>
      </c>
      <c r="C87">
        <v>2</v>
      </c>
      <c r="D87">
        <v>1</v>
      </c>
      <c r="E87" s="18">
        <v>46194</v>
      </c>
      <c r="F87" s="15" t="s">
        <v>19</v>
      </c>
      <c r="G87" s="15" t="s">
        <v>20</v>
      </c>
      <c r="H87" s="15" t="s">
        <v>32</v>
      </c>
      <c r="I87" s="15" t="s">
        <v>54</v>
      </c>
      <c r="J87" s="15" t="str">
        <f t="shared" si="4"/>
        <v>Control</v>
      </c>
      <c r="L87" s="19" t="s">
        <v>20</v>
      </c>
      <c r="M87" s="15" t="s">
        <v>24</v>
      </c>
      <c r="N87" s="15" t="s">
        <v>47</v>
      </c>
      <c r="O87" s="2" t="str">
        <f t="shared" si="5"/>
        <v>260621_O2_CR_S1</v>
      </c>
      <c r="P87">
        <v>2</v>
      </c>
      <c r="Q87">
        <v>0</v>
      </c>
      <c r="R87" t="s">
        <v>6</v>
      </c>
      <c r="S87" t="s">
        <v>24</v>
      </c>
    </row>
    <row r="88" spans="1:19">
      <c r="A88" s="13">
        <v>3</v>
      </c>
      <c r="B88" s="15">
        <v>3</v>
      </c>
      <c r="C88">
        <v>2</v>
      </c>
      <c r="D88">
        <v>2</v>
      </c>
      <c r="E88" s="18">
        <v>46194</v>
      </c>
      <c r="F88" s="15" t="s">
        <v>19</v>
      </c>
      <c r="G88" s="15" t="s">
        <v>20</v>
      </c>
      <c r="H88" s="15" t="s">
        <v>32</v>
      </c>
      <c r="I88" s="15" t="s">
        <v>69</v>
      </c>
      <c r="J88" s="15" t="str">
        <f t="shared" si="4"/>
        <v>Escort</v>
      </c>
      <c r="L88" s="19" t="s">
        <v>32</v>
      </c>
      <c r="M88" s="15" t="s">
        <v>58</v>
      </c>
      <c r="N88" s="15" t="s">
        <v>55</v>
      </c>
      <c r="O88" s="2" t="str">
        <f t="shared" si="5"/>
        <v>260621_O2_CR_S2</v>
      </c>
      <c r="P88">
        <v>0</v>
      </c>
      <c r="Q88">
        <v>3</v>
      </c>
      <c r="R88" t="s">
        <v>7</v>
      </c>
      <c r="S88" t="s">
        <v>55</v>
      </c>
    </row>
    <row r="89" spans="1:19">
      <c r="A89" s="13">
        <v>3</v>
      </c>
      <c r="B89" s="15">
        <v>3</v>
      </c>
      <c r="C89">
        <v>2</v>
      </c>
      <c r="D89">
        <v>3</v>
      </c>
      <c r="E89" s="18">
        <v>46194</v>
      </c>
      <c r="F89" s="15" t="s">
        <v>19</v>
      </c>
      <c r="G89" s="15" t="s">
        <v>20</v>
      </c>
      <c r="H89" s="15" t="s">
        <v>32</v>
      </c>
      <c r="I89" s="15" t="s">
        <v>44</v>
      </c>
      <c r="J89" s="15" t="str">
        <f t="shared" si="4"/>
        <v>Flashpoint</v>
      </c>
      <c r="L89" s="19" t="s">
        <v>32</v>
      </c>
      <c r="M89" s="15" t="s">
        <v>23</v>
      </c>
      <c r="N89" s="15" t="s">
        <v>77</v>
      </c>
      <c r="O89" s="2" t="str">
        <f t="shared" si="5"/>
        <v>260621_O2_CR_S3</v>
      </c>
      <c r="P89">
        <v>0</v>
      </c>
      <c r="Q89">
        <v>3</v>
      </c>
      <c r="R89" t="s">
        <v>6</v>
      </c>
      <c r="S89" t="s">
        <v>23</v>
      </c>
    </row>
    <row r="90" spans="1:19">
      <c r="A90" s="13">
        <v>3</v>
      </c>
      <c r="B90" s="15">
        <v>3</v>
      </c>
      <c r="C90">
        <v>2</v>
      </c>
      <c r="D90">
        <v>4</v>
      </c>
      <c r="E90" s="18">
        <v>46194</v>
      </c>
      <c r="F90" s="15" t="s">
        <v>19</v>
      </c>
      <c r="G90" s="15" t="s">
        <v>20</v>
      </c>
      <c r="H90" s="15" t="s">
        <v>32</v>
      </c>
      <c r="I90" s="15" t="s">
        <v>39</v>
      </c>
      <c r="J90" s="15" t="str">
        <f t="shared" si="4"/>
        <v>Push</v>
      </c>
      <c r="L90" s="19" t="s">
        <v>32</v>
      </c>
      <c r="M90" s="15" t="s">
        <v>29</v>
      </c>
      <c r="N90" s="15" t="s">
        <v>40</v>
      </c>
      <c r="O90" s="2" t="str">
        <f t="shared" si="5"/>
        <v>260621_O2_CR_S4</v>
      </c>
      <c r="P90">
        <v>128.11000000000001</v>
      </c>
      <c r="Q90">
        <v>56.35</v>
      </c>
      <c r="R90" t="s">
        <v>6</v>
      </c>
      <c r="S90" t="s">
        <v>29</v>
      </c>
    </row>
    <row r="91" spans="1:19">
      <c r="A91" s="37">
        <v>3</v>
      </c>
      <c r="B91" s="31">
        <v>3</v>
      </c>
      <c r="C91" s="38">
        <v>3</v>
      </c>
      <c r="D91" s="38">
        <v>1</v>
      </c>
      <c r="E91" s="39">
        <v>46194</v>
      </c>
      <c r="F91" s="31" t="s">
        <v>19</v>
      </c>
      <c r="G91" s="31" t="s">
        <v>42</v>
      </c>
      <c r="H91" s="31" t="s">
        <v>50</v>
      </c>
      <c r="I91" s="31" t="s">
        <v>22</v>
      </c>
      <c r="J91" s="31" t="str">
        <f t="shared" si="4"/>
        <v>Control</v>
      </c>
      <c r="K91" s="40"/>
      <c r="L91" s="41" t="s">
        <v>42</v>
      </c>
      <c r="M91" s="31" t="s">
        <v>78</v>
      </c>
      <c r="N91" s="31" t="s">
        <v>38</v>
      </c>
      <c r="O91" s="33" t="str">
        <f t="shared" si="5"/>
        <v>260621_ZETA_PF_S1</v>
      </c>
      <c r="P91">
        <v>2</v>
      </c>
      <c r="Q91">
        <v>0</v>
      </c>
      <c r="R91" t="s">
        <v>6</v>
      </c>
      <c r="S91" t="s">
        <v>78</v>
      </c>
    </row>
    <row r="92" spans="1:19">
      <c r="A92" s="37">
        <v>3</v>
      </c>
      <c r="B92" s="31">
        <v>3</v>
      </c>
      <c r="C92" s="38">
        <v>3</v>
      </c>
      <c r="D92" s="38">
        <v>2</v>
      </c>
      <c r="E92" s="39">
        <v>46194</v>
      </c>
      <c r="F92" s="31" t="s">
        <v>19</v>
      </c>
      <c r="G92" s="31" t="s">
        <v>42</v>
      </c>
      <c r="H92" s="31" t="s">
        <v>50</v>
      </c>
      <c r="I92" s="31" t="s">
        <v>44</v>
      </c>
      <c r="J92" s="31" t="str">
        <f t="shared" si="4"/>
        <v>Flashpoint</v>
      </c>
      <c r="K92" s="40"/>
      <c r="L92" s="41" t="s">
        <v>42</v>
      </c>
      <c r="M92" s="31" t="s">
        <v>79</v>
      </c>
      <c r="N92" s="31" t="s">
        <v>36</v>
      </c>
      <c r="O92" s="33" t="str">
        <f t="shared" si="5"/>
        <v>260621_ZETA_PF_S2</v>
      </c>
      <c r="P92">
        <v>3</v>
      </c>
      <c r="Q92">
        <v>0</v>
      </c>
      <c r="R92" t="s">
        <v>7</v>
      </c>
      <c r="S92" t="s">
        <v>36</v>
      </c>
    </row>
    <row r="93" spans="1:19">
      <c r="A93" s="37">
        <v>3</v>
      </c>
      <c r="B93" s="31">
        <v>3</v>
      </c>
      <c r="C93" s="38">
        <v>3</v>
      </c>
      <c r="D93" s="38">
        <v>3</v>
      </c>
      <c r="E93" s="39">
        <v>46194</v>
      </c>
      <c r="F93" s="31" t="s">
        <v>19</v>
      </c>
      <c r="G93" s="31" t="s">
        <v>42</v>
      </c>
      <c r="H93" s="31" t="s">
        <v>50</v>
      </c>
      <c r="I93" s="31" t="s">
        <v>28</v>
      </c>
      <c r="J93" s="31" t="str">
        <f t="shared" si="4"/>
        <v>Push</v>
      </c>
      <c r="K93" s="40"/>
      <c r="L93" s="41" t="s">
        <v>42</v>
      </c>
      <c r="M93" s="31" t="s">
        <v>80</v>
      </c>
      <c r="N93" s="31" t="s">
        <v>24</v>
      </c>
      <c r="O93" s="33" t="str">
        <f t="shared" si="5"/>
        <v>260621_ZETA_PF_S3</v>
      </c>
      <c r="P93">
        <v>144.86000000000001</v>
      </c>
      <c r="Q93">
        <v>52.73</v>
      </c>
      <c r="R93" t="s">
        <v>7</v>
      </c>
      <c r="S93" t="s">
        <v>24</v>
      </c>
    </row>
    <row r="94" spans="1:19">
      <c r="A94" s="13">
        <v>4</v>
      </c>
      <c r="B94" s="15">
        <v>1</v>
      </c>
      <c r="C94">
        <v>1</v>
      </c>
      <c r="D94">
        <v>1</v>
      </c>
      <c r="E94" s="18">
        <v>46199</v>
      </c>
      <c r="F94" s="15" t="s">
        <v>19</v>
      </c>
      <c r="G94" s="15" t="s">
        <v>51</v>
      </c>
      <c r="H94" s="15" t="s">
        <v>20</v>
      </c>
      <c r="I94" s="15" t="s">
        <v>33</v>
      </c>
      <c r="J94" s="15" t="str">
        <f t="shared" si="4"/>
        <v>Control</v>
      </c>
      <c r="L94" s="19" t="s">
        <v>20</v>
      </c>
      <c r="M94" s="15" t="s">
        <v>59</v>
      </c>
      <c r="N94" s="15" t="s">
        <v>81</v>
      </c>
      <c r="O94" s="2" t="str">
        <f t="shared" si="5"/>
        <v>260626_CB_O2_S1</v>
      </c>
      <c r="P94">
        <v>1</v>
      </c>
      <c r="Q94">
        <v>2</v>
      </c>
      <c r="R94" t="s">
        <v>7</v>
      </c>
      <c r="S94" t="s">
        <v>23</v>
      </c>
    </row>
    <row r="95" spans="1:19">
      <c r="A95" s="13">
        <v>4</v>
      </c>
      <c r="B95" s="15">
        <v>1</v>
      </c>
      <c r="C95">
        <v>1</v>
      </c>
      <c r="D95">
        <v>2</v>
      </c>
      <c r="E95" s="18">
        <v>46199</v>
      </c>
      <c r="F95" s="15" t="s">
        <v>19</v>
      </c>
      <c r="G95" s="15" t="s">
        <v>51</v>
      </c>
      <c r="H95" s="15" t="s">
        <v>20</v>
      </c>
      <c r="I95" s="15" t="s">
        <v>37</v>
      </c>
      <c r="J95" s="15" t="str">
        <f t="shared" si="4"/>
        <v>Hybrid</v>
      </c>
      <c r="L95" s="19" t="s">
        <v>20</v>
      </c>
      <c r="M95" s="15" t="s">
        <v>29</v>
      </c>
      <c r="N95" s="15" t="s">
        <v>23</v>
      </c>
      <c r="O95" s="2" t="str">
        <f t="shared" si="5"/>
        <v>260626_CB_O2_S2</v>
      </c>
      <c r="P95">
        <v>3</v>
      </c>
      <c r="Q95">
        <v>4</v>
      </c>
      <c r="R95" t="s">
        <v>6</v>
      </c>
      <c r="S95" t="s">
        <v>29</v>
      </c>
    </row>
    <row r="96" spans="1:19">
      <c r="A96" s="13">
        <v>4</v>
      </c>
      <c r="B96" s="15">
        <v>1</v>
      </c>
      <c r="C96">
        <v>1</v>
      </c>
      <c r="D96">
        <v>3</v>
      </c>
      <c r="E96" s="18">
        <v>46199</v>
      </c>
      <c r="F96" s="15" t="s">
        <v>19</v>
      </c>
      <c r="G96" s="15" t="s">
        <v>51</v>
      </c>
      <c r="H96" s="15" t="s">
        <v>20</v>
      </c>
      <c r="I96" s="15" t="s">
        <v>28</v>
      </c>
      <c r="J96" s="15" t="str">
        <f t="shared" si="4"/>
        <v>Push</v>
      </c>
      <c r="L96" s="19" t="s">
        <v>51</v>
      </c>
      <c r="M96" s="15" t="s">
        <v>30</v>
      </c>
      <c r="N96" s="15" t="s">
        <v>24</v>
      </c>
      <c r="O96" s="2" t="str">
        <f t="shared" si="5"/>
        <v>260626_CB_O2_S3</v>
      </c>
      <c r="P96">
        <v>144.86000000000001</v>
      </c>
      <c r="Q96">
        <v>63.9</v>
      </c>
      <c r="R96" t="s">
        <v>6</v>
      </c>
      <c r="S96" t="s">
        <v>30</v>
      </c>
    </row>
    <row r="97" spans="1:19">
      <c r="A97" s="13">
        <v>4</v>
      </c>
      <c r="B97" s="15">
        <v>1</v>
      </c>
      <c r="C97">
        <v>1</v>
      </c>
      <c r="D97">
        <v>4</v>
      </c>
      <c r="E97" s="18">
        <v>46199</v>
      </c>
      <c r="F97" s="15" t="s">
        <v>19</v>
      </c>
      <c r="G97" s="15" t="s">
        <v>51</v>
      </c>
      <c r="H97" s="15" t="s">
        <v>20</v>
      </c>
      <c r="I97" s="15" t="s">
        <v>44</v>
      </c>
      <c r="J97" s="15" t="str">
        <f t="shared" si="4"/>
        <v>Flashpoint</v>
      </c>
      <c r="L97" s="19" t="s">
        <v>20</v>
      </c>
      <c r="M97" s="15" t="s">
        <v>47</v>
      </c>
      <c r="N97" s="15" t="s">
        <v>36</v>
      </c>
      <c r="O97" s="2" t="str">
        <f t="shared" si="5"/>
        <v>260626_CB_O2_S4</v>
      </c>
      <c r="P97">
        <v>0</v>
      </c>
      <c r="Q97">
        <v>3</v>
      </c>
      <c r="R97" t="s">
        <v>7</v>
      </c>
      <c r="S97" t="s">
        <v>59</v>
      </c>
    </row>
    <row r="98" spans="1:19">
      <c r="A98" s="37">
        <v>4</v>
      </c>
      <c r="B98" s="31">
        <v>1</v>
      </c>
      <c r="C98" s="38">
        <v>2</v>
      </c>
      <c r="D98" s="38">
        <v>1</v>
      </c>
      <c r="E98" s="39">
        <v>46199</v>
      </c>
      <c r="F98" s="31" t="s">
        <v>19</v>
      </c>
      <c r="G98" s="31" t="s">
        <v>42</v>
      </c>
      <c r="H98" s="31" t="s">
        <v>31</v>
      </c>
      <c r="I98" s="31" t="s">
        <v>54</v>
      </c>
      <c r="J98" s="31" t="str">
        <f t="shared" ref="J98:J129" si="6">IF(OR(I98="Antarctic Peninsula", I98="Nepal", I98="Lijiang Tower", I98="Busan", I98="Samoa", I98="Oasis", I98="Ilios"), "Control", IF(OR(I98="Route 66", I98="Watchpoint: Gibraltar", I98="Dorado", I98="Rialto", I98="Shambali Monastery", I98="Circuit Royal", I98="Junkertown", I98="Havana"), "Escort", IF(OR(I98="Neon Junction", I98="Numbani", I98="Midtown", I98="Blizzard World", I98="Eichenwalde", I98="King's Row", I98="Paraiso", I98="Hollywood"), "Hybrid", IF(OR(I98="New Queen Street", I98="Esperanca", I98="Colosseo", I98="Runasapi"), "Push", IF(OR(I98="New Junk City", I98="Suravasa", I98="Aatlis"), "Flashpoint", "")))))</f>
        <v>Control</v>
      </c>
      <c r="K98" s="40"/>
      <c r="L98" s="41" t="s">
        <v>42</v>
      </c>
      <c r="M98" s="31" t="s">
        <v>29</v>
      </c>
      <c r="N98" s="31" t="s">
        <v>36</v>
      </c>
      <c r="O98" s="33" t="str">
        <f t="shared" ref="O98:O129" si="7">TEXT(E98, "yymmdd") &amp; "_" &amp; G98 &amp; "_" &amp; H98 &amp; "_S" &amp; D98</f>
        <v>260626_ZETA_FLC_S1</v>
      </c>
      <c r="P98">
        <v>2</v>
      </c>
      <c r="Q98">
        <v>0</v>
      </c>
      <c r="R98" t="s">
        <v>6</v>
      </c>
      <c r="S98" t="s">
        <v>29</v>
      </c>
    </row>
    <row r="99" spans="1:19">
      <c r="A99" s="37">
        <v>4</v>
      </c>
      <c r="B99" s="31">
        <v>1</v>
      </c>
      <c r="C99" s="38">
        <v>2</v>
      </c>
      <c r="D99" s="38">
        <v>2</v>
      </c>
      <c r="E99" s="39">
        <v>46199</v>
      </c>
      <c r="F99" s="31" t="s">
        <v>19</v>
      </c>
      <c r="G99" s="31" t="s">
        <v>42</v>
      </c>
      <c r="H99" s="31" t="s">
        <v>31</v>
      </c>
      <c r="I99" s="31" t="s">
        <v>44</v>
      </c>
      <c r="J99" s="31" t="str">
        <f t="shared" si="6"/>
        <v>Flashpoint</v>
      </c>
      <c r="K99" s="40"/>
      <c r="L99" s="41" t="s">
        <v>42</v>
      </c>
      <c r="M99" s="31" t="s">
        <v>45</v>
      </c>
      <c r="N99" s="31" t="s">
        <v>49</v>
      </c>
      <c r="O99" s="33" t="str">
        <f t="shared" si="7"/>
        <v>260626_ZETA_FLC_S2</v>
      </c>
      <c r="P99">
        <v>3</v>
      </c>
      <c r="Q99">
        <v>0</v>
      </c>
      <c r="R99" t="s">
        <v>6</v>
      </c>
      <c r="S99" t="s">
        <v>29</v>
      </c>
    </row>
    <row r="100" spans="1:19">
      <c r="A100" s="37">
        <v>4</v>
      </c>
      <c r="B100" s="31">
        <v>1</v>
      </c>
      <c r="C100" s="38">
        <v>2</v>
      </c>
      <c r="D100" s="38">
        <v>3</v>
      </c>
      <c r="E100" s="39">
        <v>46199</v>
      </c>
      <c r="F100" s="31" t="s">
        <v>19</v>
      </c>
      <c r="G100" s="31" t="s">
        <v>42</v>
      </c>
      <c r="H100" s="31" t="s">
        <v>31</v>
      </c>
      <c r="I100" s="31" t="s">
        <v>69</v>
      </c>
      <c r="J100" s="31" t="str">
        <f t="shared" si="6"/>
        <v>Escort</v>
      </c>
      <c r="K100" s="40"/>
      <c r="L100" s="41" t="s">
        <v>42</v>
      </c>
      <c r="M100" s="31" t="s">
        <v>35</v>
      </c>
      <c r="N100" s="31" t="s">
        <v>30</v>
      </c>
      <c r="O100" s="33" t="str">
        <f t="shared" si="7"/>
        <v>260626_ZETA_FLC_S3</v>
      </c>
      <c r="P100">
        <v>2</v>
      </c>
      <c r="Q100">
        <v>3</v>
      </c>
      <c r="R100" t="s">
        <v>7</v>
      </c>
      <c r="S100" t="s">
        <v>24</v>
      </c>
    </row>
    <row r="101" spans="1:19">
      <c r="A101" s="13">
        <v>4</v>
      </c>
      <c r="B101" s="15">
        <v>1</v>
      </c>
      <c r="C101">
        <v>3</v>
      </c>
      <c r="D101">
        <v>1</v>
      </c>
      <c r="E101" s="18">
        <v>46199</v>
      </c>
      <c r="F101" s="15" t="s">
        <v>19</v>
      </c>
      <c r="G101" s="15" t="s">
        <v>53</v>
      </c>
      <c r="H101" s="15" t="s">
        <v>21</v>
      </c>
      <c r="I101" s="15" t="s">
        <v>33</v>
      </c>
      <c r="J101" s="15" t="str">
        <f t="shared" si="6"/>
        <v>Control</v>
      </c>
      <c r="L101" s="19" t="s">
        <v>21</v>
      </c>
      <c r="M101" s="15" t="s">
        <v>35</v>
      </c>
      <c r="N101" s="15" t="s">
        <v>30</v>
      </c>
      <c r="O101" s="2" t="str">
        <f t="shared" si="7"/>
        <v>260626_SB_ROZE_S1</v>
      </c>
      <c r="P101">
        <v>1</v>
      </c>
      <c r="Q101">
        <v>2</v>
      </c>
      <c r="R101" t="s">
        <v>6</v>
      </c>
      <c r="S101" t="s">
        <v>35</v>
      </c>
    </row>
    <row r="102" spans="1:19">
      <c r="A102" s="13">
        <v>4</v>
      </c>
      <c r="B102" s="15">
        <v>1</v>
      </c>
      <c r="C102">
        <v>3</v>
      </c>
      <c r="D102">
        <v>2</v>
      </c>
      <c r="E102" s="18">
        <v>46199</v>
      </c>
      <c r="F102" s="15" t="s">
        <v>19</v>
      </c>
      <c r="G102" s="15" t="s">
        <v>53</v>
      </c>
      <c r="H102" s="15" t="s">
        <v>21</v>
      </c>
      <c r="I102" s="15" t="s">
        <v>61</v>
      </c>
      <c r="J102" s="15" t="str">
        <f t="shared" si="6"/>
        <v>Hybrid</v>
      </c>
      <c r="L102" s="19" t="s">
        <v>21</v>
      </c>
      <c r="M102" s="15" t="s">
        <v>59</v>
      </c>
      <c r="N102" s="15" t="s">
        <v>65</v>
      </c>
      <c r="O102" s="2" t="str">
        <f t="shared" si="7"/>
        <v>260626_SB_ROZE_S2</v>
      </c>
      <c r="P102">
        <v>1</v>
      </c>
      <c r="Q102">
        <v>3</v>
      </c>
      <c r="R102" t="s">
        <v>6</v>
      </c>
      <c r="S102" t="s">
        <v>59</v>
      </c>
    </row>
    <row r="103" spans="1:19">
      <c r="A103" s="13">
        <v>4</v>
      </c>
      <c r="B103" s="15">
        <v>1</v>
      </c>
      <c r="C103">
        <v>3</v>
      </c>
      <c r="D103">
        <v>3</v>
      </c>
      <c r="E103" s="18">
        <v>46199</v>
      </c>
      <c r="F103" s="15" t="s">
        <v>19</v>
      </c>
      <c r="G103" s="15" t="s">
        <v>53</v>
      </c>
      <c r="H103" s="15" t="s">
        <v>21</v>
      </c>
      <c r="I103" s="15" t="s">
        <v>69</v>
      </c>
      <c r="J103" s="15" t="str">
        <f t="shared" si="6"/>
        <v>Escort</v>
      </c>
      <c r="L103" s="19" t="s">
        <v>53</v>
      </c>
      <c r="M103" s="15" t="s">
        <v>52</v>
      </c>
      <c r="N103" s="15" t="s">
        <v>38</v>
      </c>
      <c r="O103" s="2" t="str">
        <f t="shared" si="7"/>
        <v>260626_SB_ROZE_S3</v>
      </c>
      <c r="P103">
        <v>2</v>
      </c>
      <c r="Q103">
        <v>1</v>
      </c>
      <c r="R103" t="s">
        <v>6</v>
      </c>
      <c r="S103" t="s">
        <v>52</v>
      </c>
    </row>
    <row r="104" spans="1:19">
      <c r="A104" s="13">
        <v>4</v>
      </c>
      <c r="B104" s="15">
        <v>1</v>
      </c>
      <c r="C104">
        <v>3</v>
      </c>
      <c r="D104">
        <v>4</v>
      </c>
      <c r="E104" s="18">
        <v>46199</v>
      </c>
      <c r="F104" s="15" t="s">
        <v>19</v>
      </c>
      <c r="G104" s="15" t="s">
        <v>53</v>
      </c>
      <c r="H104" s="15" t="s">
        <v>21</v>
      </c>
      <c r="I104" s="15" t="s">
        <v>28</v>
      </c>
      <c r="J104" s="15" t="str">
        <f t="shared" si="6"/>
        <v>Push</v>
      </c>
      <c r="L104" s="19" t="s">
        <v>21</v>
      </c>
      <c r="M104" s="15" t="s">
        <v>64</v>
      </c>
      <c r="N104" s="15" t="s">
        <v>24</v>
      </c>
      <c r="O104" s="2" t="str">
        <f t="shared" si="7"/>
        <v>260626_SB_ROZE_S4</v>
      </c>
      <c r="P104">
        <v>97.31</v>
      </c>
      <c r="Q104">
        <v>97.3</v>
      </c>
      <c r="R104" t="s">
        <v>7</v>
      </c>
      <c r="S104" t="s">
        <v>24</v>
      </c>
    </row>
    <row r="105" spans="1:19">
      <c r="A105" s="37">
        <v>4</v>
      </c>
      <c r="B105" s="31">
        <v>2</v>
      </c>
      <c r="C105" s="38">
        <v>1</v>
      </c>
      <c r="D105" s="38">
        <v>1</v>
      </c>
      <c r="E105" s="39">
        <v>46200</v>
      </c>
      <c r="F105" s="31" t="s">
        <v>19</v>
      </c>
      <c r="G105" s="31" t="s">
        <v>50</v>
      </c>
      <c r="H105" s="31" t="s">
        <v>41</v>
      </c>
      <c r="I105" s="31" t="s">
        <v>54</v>
      </c>
      <c r="J105" s="31" t="str">
        <f t="shared" si="6"/>
        <v>Control</v>
      </c>
      <c r="K105" s="40"/>
      <c r="L105" s="41" t="s">
        <v>41</v>
      </c>
      <c r="M105" s="31" t="s">
        <v>24</v>
      </c>
      <c r="N105" s="31" t="s">
        <v>65</v>
      </c>
      <c r="O105" s="33" t="str">
        <f t="shared" si="7"/>
        <v>260627_PF_T1_S1</v>
      </c>
      <c r="P105">
        <v>0</v>
      </c>
      <c r="Q105">
        <v>2</v>
      </c>
      <c r="R105" t="s">
        <v>7</v>
      </c>
      <c r="S105" t="s">
        <v>65</v>
      </c>
    </row>
    <row r="106" spans="1:19">
      <c r="A106" s="37">
        <v>4</v>
      </c>
      <c r="B106" s="31">
        <v>2</v>
      </c>
      <c r="C106" s="38">
        <v>1</v>
      </c>
      <c r="D106" s="38">
        <v>2</v>
      </c>
      <c r="E106" s="39">
        <v>46200</v>
      </c>
      <c r="F106" s="31" t="s">
        <v>19</v>
      </c>
      <c r="G106" s="31" t="s">
        <v>50</v>
      </c>
      <c r="H106" s="31" t="s">
        <v>41</v>
      </c>
      <c r="I106" s="31" t="s">
        <v>44</v>
      </c>
      <c r="J106" s="31" t="str">
        <f t="shared" si="6"/>
        <v>Flashpoint</v>
      </c>
      <c r="K106" s="40"/>
      <c r="L106" s="41" t="s">
        <v>41</v>
      </c>
      <c r="M106" s="31" t="s">
        <v>67</v>
      </c>
      <c r="N106" s="31" t="s">
        <v>52</v>
      </c>
      <c r="O106" s="33" t="str">
        <f t="shared" si="7"/>
        <v>260627_PF_T1_S2</v>
      </c>
      <c r="P106">
        <v>1</v>
      </c>
      <c r="Q106">
        <v>3</v>
      </c>
      <c r="R106" t="s">
        <v>6</v>
      </c>
      <c r="S106" t="s">
        <v>67</v>
      </c>
    </row>
    <row r="107" spans="1:19">
      <c r="A107" s="37">
        <v>4</v>
      </c>
      <c r="B107" s="31">
        <v>2</v>
      </c>
      <c r="C107" s="38">
        <v>1</v>
      </c>
      <c r="D107" s="38">
        <v>3</v>
      </c>
      <c r="E107" s="39">
        <v>46200</v>
      </c>
      <c r="F107" s="31" t="s">
        <v>19</v>
      </c>
      <c r="G107" s="31" t="s">
        <v>50</v>
      </c>
      <c r="H107" s="31" t="s">
        <v>41</v>
      </c>
      <c r="I107" s="31" t="s">
        <v>28</v>
      </c>
      <c r="J107" s="31" t="str">
        <f t="shared" si="6"/>
        <v>Push</v>
      </c>
      <c r="K107" s="40"/>
      <c r="L107" s="41" t="s">
        <v>41</v>
      </c>
      <c r="M107" s="31" t="s">
        <v>38</v>
      </c>
      <c r="N107" s="31" t="s">
        <v>82</v>
      </c>
      <c r="O107" s="33" t="str">
        <f t="shared" si="7"/>
        <v>260627_PF_T1_S3</v>
      </c>
      <c r="P107">
        <v>10.48</v>
      </c>
      <c r="Q107">
        <v>144.86000000000001</v>
      </c>
      <c r="R107" t="s">
        <v>6</v>
      </c>
      <c r="S107" t="s">
        <v>38</v>
      </c>
    </row>
    <row r="108" spans="1:19">
      <c r="A108" s="13">
        <v>4</v>
      </c>
      <c r="B108" s="15">
        <v>2</v>
      </c>
      <c r="C108">
        <v>2</v>
      </c>
      <c r="D108">
        <v>1</v>
      </c>
      <c r="E108" s="18">
        <v>46200</v>
      </c>
      <c r="F108" s="15" t="s">
        <v>19</v>
      </c>
      <c r="G108" s="15" t="s">
        <v>51</v>
      </c>
      <c r="H108" s="15" t="s">
        <v>31</v>
      </c>
      <c r="I108" s="15" t="s">
        <v>22</v>
      </c>
      <c r="J108" s="15" t="str">
        <f t="shared" si="6"/>
        <v>Control</v>
      </c>
      <c r="L108" s="19" t="s">
        <v>31</v>
      </c>
      <c r="M108" s="15" t="s">
        <v>29</v>
      </c>
      <c r="N108" s="15" t="s">
        <v>40</v>
      </c>
      <c r="O108" s="2" t="str">
        <f t="shared" si="7"/>
        <v>260627_CB_FLC_S1</v>
      </c>
      <c r="P108">
        <v>0</v>
      </c>
      <c r="Q108">
        <v>2</v>
      </c>
      <c r="R108" t="s">
        <v>6</v>
      </c>
      <c r="S108" t="s">
        <v>29</v>
      </c>
    </row>
    <row r="109" spans="1:19">
      <c r="A109" s="13">
        <v>4</v>
      </c>
      <c r="B109" s="15">
        <v>2</v>
      </c>
      <c r="C109">
        <v>2</v>
      </c>
      <c r="D109">
        <v>2</v>
      </c>
      <c r="E109" s="18">
        <v>46200</v>
      </c>
      <c r="F109" s="15" t="s">
        <v>19</v>
      </c>
      <c r="G109" s="15" t="s">
        <v>51</v>
      </c>
      <c r="H109" s="15" t="s">
        <v>31</v>
      </c>
      <c r="I109" s="15" t="s">
        <v>44</v>
      </c>
      <c r="J109" s="15" t="str">
        <f t="shared" si="6"/>
        <v>Flashpoint</v>
      </c>
      <c r="L109" s="19" t="s">
        <v>31</v>
      </c>
      <c r="M109" s="15" t="s">
        <v>47</v>
      </c>
      <c r="N109" s="15" t="s">
        <v>57</v>
      </c>
      <c r="O109" s="2" t="str">
        <f t="shared" si="7"/>
        <v>260627_CB_FLC_S2</v>
      </c>
      <c r="P109">
        <v>0</v>
      </c>
      <c r="Q109">
        <v>3</v>
      </c>
      <c r="R109" t="s">
        <v>6</v>
      </c>
      <c r="S109" t="s">
        <v>47</v>
      </c>
    </row>
    <row r="110" spans="1:19">
      <c r="A110" s="13">
        <v>4</v>
      </c>
      <c r="B110" s="15">
        <v>2</v>
      </c>
      <c r="C110">
        <v>2</v>
      </c>
      <c r="D110">
        <v>3</v>
      </c>
      <c r="E110" s="18">
        <v>46200</v>
      </c>
      <c r="F110" s="15" t="s">
        <v>19</v>
      </c>
      <c r="G110" s="15" t="s">
        <v>51</v>
      </c>
      <c r="H110" s="15" t="s">
        <v>31</v>
      </c>
      <c r="I110" s="15" t="s">
        <v>28</v>
      </c>
      <c r="J110" s="15" t="str">
        <f t="shared" si="6"/>
        <v>Push</v>
      </c>
      <c r="L110" s="19" t="s">
        <v>31</v>
      </c>
      <c r="M110" s="15" t="s">
        <v>58</v>
      </c>
      <c r="N110" s="15" t="s">
        <v>35</v>
      </c>
      <c r="O110" s="2" t="str">
        <f t="shared" si="7"/>
        <v>260627_CB_FLC_S3</v>
      </c>
      <c r="P110">
        <v>0</v>
      </c>
      <c r="Q110">
        <v>144.86000000000001</v>
      </c>
      <c r="R110" t="s">
        <v>7</v>
      </c>
      <c r="S110" t="s">
        <v>35</v>
      </c>
    </row>
    <row r="111" spans="1:19">
      <c r="A111" s="37">
        <v>4</v>
      </c>
      <c r="B111" s="31">
        <v>2</v>
      </c>
      <c r="C111" s="38">
        <v>3</v>
      </c>
      <c r="D111" s="38">
        <v>1</v>
      </c>
      <c r="E111" s="39">
        <v>46200</v>
      </c>
      <c r="F111" s="31" t="s">
        <v>19</v>
      </c>
      <c r="G111" s="31" t="s">
        <v>53</v>
      </c>
      <c r="H111" s="31" t="s">
        <v>32</v>
      </c>
      <c r="I111" s="31" t="s">
        <v>54</v>
      </c>
      <c r="J111" s="31" t="str">
        <f t="shared" si="6"/>
        <v>Control</v>
      </c>
      <c r="K111" s="40"/>
      <c r="L111" s="41" t="s">
        <v>32</v>
      </c>
      <c r="M111" s="31" t="s">
        <v>46</v>
      </c>
      <c r="N111" s="31" t="s">
        <v>79</v>
      </c>
      <c r="O111" s="33" t="str">
        <f t="shared" si="7"/>
        <v>260627_SB_CR_S1</v>
      </c>
      <c r="P111">
        <v>0</v>
      </c>
      <c r="Q111">
        <v>2</v>
      </c>
      <c r="R111" t="s">
        <v>7</v>
      </c>
      <c r="S111" t="s">
        <v>79</v>
      </c>
    </row>
    <row r="112" spans="1:19">
      <c r="A112" s="37">
        <v>4</v>
      </c>
      <c r="B112" s="31">
        <v>2</v>
      </c>
      <c r="C112" s="38">
        <v>3</v>
      </c>
      <c r="D112" s="38">
        <v>2</v>
      </c>
      <c r="E112" s="39">
        <v>46200</v>
      </c>
      <c r="F112" s="31" t="s">
        <v>19</v>
      </c>
      <c r="G112" s="31" t="s">
        <v>53</v>
      </c>
      <c r="H112" s="31" t="s">
        <v>32</v>
      </c>
      <c r="I112" s="31" t="s">
        <v>44</v>
      </c>
      <c r="J112" s="31" t="str">
        <f t="shared" si="6"/>
        <v>Flashpoint</v>
      </c>
      <c r="K112" s="40"/>
      <c r="L112" s="41" t="s">
        <v>32</v>
      </c>
      <c r="M112" s="31" t="s">
        <v>64</v>
      </c>
      <c r="N112" s="31" t="s">
        <v>83</v>
      </c>
      <c r="O112" s="33" t="str">
        <f t="shared" si="7"/>
        <v>260627_SB_CR_S2</v>
      </c>
      <c r="P112">
        <v>1</v>
      </c>
      <c r="Q112">
        <v>3</v>
      </c>
      <c r="R112" t="s">
        <v>6</v>
      </c>
      <c r="S112" t="s">
        <v>64</v>
      </c>
    </row>
    <row r="113" spans="1:19">
      <c r="A113" s="37">
        <v>4</v>
      </c>
      <c r="B113" s="31">
        <v>2</v>
      </c>
      <c r="C113" s="38">
        <v>3</v>
      </c>
      <c r="D113" s="38">
        <v>3</v>
      </c>
      <c r="E113" s="39">
        <v>46200</v>
      </c>
      <c r="F113" s="31" t="s">
        <v>19</v>
      </c>
      <c r="G113" s="31" t="s">
        <v>53</v>
      </c>
      <c r="H113" s="31" t="s">
        <v>32</v>
      </c>
      <c r="I113" s="31" t="s">
        <v>69</v>
      </c>
      <c r="J113" s="31" t="str">
        <f t="shared" si="6"/>
        <v>Escort</v>
      </c>
      <c r="K113" s="40"/>
      <c r="L113" s="41" t="s">
        <v>32</v>
      </c>
      <c r="M113" s="31" t="s">
        <v>52</v>
      </c>
      <c r="N113" s="31" t="s">
        <v>40</v>
      </c>
      <c r="O113" s="33" t="str">
        <f t="shared" si="7"/>
        <v>260627_SB_CR_S3</v>
      </c>
      <c r="P113">
        <v>1</v>
      </c>
      <c r="Q113">
        <v>2</v>
      </c>
      <c r="R113" t="s">
        <v>6</v>
      </c>
      <c r="S113" t="s">
        <v>52</v>
      </c>
    </row>
    <row r="114" spans="1:19">
      <c r="A114" s="13">
        <v>4</v>
      </c>
      <c r="B114" s="15">
        <v>3</v>
      </c>
      <c r="C114">
        <v>1</v>
      </c>
      <c r="D114">
        <v>1</v>
      </c>
      <c r="E114" s="18">
        <v>46201</v>
      </c>
      <c r="F114" s="15" t="s">
        <v>19</v>
      </c>
      <c r="G114" s="15" t="s">
        <v>20</v>
      </c>
      <c r="H114" s="15" t="s">
        <v>50</v>
      </c>
      <c r="I114" s="15" t="s">
        <v>33</v>
      </c>
      <c r="J114" s="15" t="str">
        <f t="shared" si="6"/>
        <v>Control</v>
      </c>
      <c r="L114" s="19" t="s">
        <v>20</v>
      </c>
      <c r="M114" s="15" t="s">
        <v>68</v>
      </c>
      <c r="N114" s="15" t="s">
        <v>67</v>
      </c>
      <c r="O114" s="2" t="str">
        <f t="shared" si="7"/>
        <v>260628_O2_PF_S1</v>
      </c>
      <c r="P114">
        <v>2</v>
      </c>
      <c r="Q114">
        <v>0</v>
      </c>
      <c r="R114" t="s">
        <v>7</v>
      </c>
      <c r="S114" t="s">
        <v>67</v>
      </c>
    </row>
    <row r="115" spans="1:19">
      <c r="A115" s="13">
        <v>4</v>
      </c>
      <c r="B115" s="15">
        <v>3</v>
      </c>
      <c r="C115">
        <v>1</v>
      </c>
      <c r="D115">
        <v>2</v>
      </c>
      <c r="E115" s="18">
        <v>46201</v>
      </c>
      <c r="F115" s="15" t="s">
        <v>19</v>
      </c>
      <c r="G115" s="15" t="s">
        <v>20</v>
      </c>
      <c r="H115" s="15" t="s">
        <v>50</v>
      </c>
      <c r="I115" s="15" t="s">
        <v>44</v>
      </c>
      <c r="J115" s="15" t="str">
        <f t="shared" si="6"/>
        <v>Flashpoint</v>
      </c>
      <c r="L115" s="19" t="s">
        <v>20</v>
      </c>
      <c r="M115" s="15" t="s">
        <v>52</v>
      </c>
      <c r="N115" s="15" t="s">
        <v>64</v>
      </c>
      <c r="O115" s="2" t="str">
        <f t="shared" si="7"/>
        <v>260628_O2_PF_S2</v>
      </c>
      <c r="P115">
        <v>3</v>
      </c>
      <c r="Q115">
        <v>2</v>
      </c>
      <c r="R115" t="s">
        <v>7</v>
      </c>
      <c r="S115" t="s">
        <v>64</v>
      </c>
    </row>
    <row r="116" spans="1:19">
      <c r="A116" s="13">
        <v>4</v>
      </c>
      <c r="B116" s="15">
        <v>3</v>
      </c>
      <c r="C116">
        <v>1</v>
      </c>
      <c r="D116">
        <v>3</v>
      </c>
      <c r="E116" s="18">
        <v>46201</v>
      </c>
      <c r="F116" s="15" t="s">
        <v>19</v>
      </c>
      <c r="G116" s="15" t="s">
        <v>20</v>
      </c>
      <c r="H116" s="15" t="s">
        <v>50</v>
      </c>
      <c r="I116" s="15" t="s">
        <v>28</v>
      </c>
      <c r="J116" s="15" t="str">
        <f t="shared" si="6"/>
        <v>Push</v>
      </c>
      <c r="L116" s="19" t="s">
        <v>50</v>
      </c>
      <c r="M116" s="15" t="s">
        <v>72</v>
      </c>
      <c r="N116" s="15" t="s">
        <v>38</v>
      </c>
      <c r="O116" s="2" t="str">
        <f t="shared" si="7"/>
        <v>260628_O2_PF_S3</v>
      </c>
      <c r="P116">
        <v>35.1</v>
      </c>
      <c r="Q116">
        <v>141.91999999999999</v>
      </c>
      <c r="R116" t="s">
        <v>7</v>
      </c>
      <c r="S116" t="s">
        <v>38</v>
      </c>
    </row>
    <row r="117" spans="1:19">
      <c r="A117" s="13">
        <v>4</v>
      </c>
      <c r="B117" s="15">
        <v>3</v>
      </c>
      <c r="C117">
        <v>1</v>
      </c>
      <c r="D117">
        <v>4</v>
      </c>
      <c r="E117" s="18">
        <v>46201</v>
      </c>
      <c r="F117" s="15" t="s">
        <v>19</v>
      </c>
      <c r="G117" s="15" t="s">
        <v>20</v>
      </c>
      <c r="H117" s="15" t="s">
        <v>50</v>
      </c>
      <c r="I117" s="15" t="s">
        <v>37</v>
      </c>
      <c r="J117" s="15" t="str">
        <f t="shared" si="6"/>
        <v>Hybrid</v>
      </c>
      <c r="L117" s="19" t="s">
        <v>20</v>
      </c>
      <c r="M117" s="15" t="s">
        <v>35</v>
      </c>
      <c r="N117" s="15" t="s">
        <v>30</v>
      </c>
      <c r="O117" s="2" t="str">
        <f t="shared" si="7"/>
        <v>260628_O2_PF_S4</v>
      </c>
      <c r="P117">
        <v>5</v>
      </c>
      <c r="Q117">
        <v>4</v>
      </c>
      <c r="R117" t="s">
        <v>6</v>
      </c>
      <c r="S117" t="s">
        <v>35</v>
      </c>
    </row>
    <row r="118" spans="1:19">
      <c r="A118" s="37">
        <v>4</v>
      </c>
      <c r="B118" s="31">
        <v>3</v>
      </c>
      <c r="C118" s="38">
        <v>2</v>
      </c>
      <c r="D118" s="38">
        <v>1</v>
      </c>
      <c r="E118" s="39">
        <v>46201</v>
      </c>
      <c r="F118" s="31" t="s">
        <v>19</v>
      </c>
      <c r="G118" s="31" t="s">
        <v>21</v>
      </c>
      <c r="H118" s="31" t="s">
        <v>41</v>
      </c>
      <c r="I118" s="31" t="s">
        <v>33</v>
      </c>
      <c r="J118" s="31" t="str">
        <f t="shared" si="6"/>
        <v>Control</v>
      </c>
      <c r="K118" s="40"/>
      <c r="L118" s="41" t="s">
        <v>41</v>
      </c>
      <c r="M118" s="31" t="s">
        <v>83</v>
      </c>
      <c r="N118" s="31" t="s">
        <v>78</v>
      </c>
      <c r="O118" s="33" t="str">
        <f t="shared" si="7"/>
        <v>260628_ROZE_T1_S1</v>
      </c>
      <c r="P118">
        <v>1</v>
      </c>
      <c r="Q118">
        <v>2</v>
      </c>
      <c r="R118" t="s">
        <v>6</v>
      </c>
      <c r="S118" t="s">
        <v>83</v>
      </c>
    </row>
    <row r="119" spans="1:19">
      <c r="A119" s="37">
        <v>4</v>
      </c>
      <c r="B119" s="31">
        <v>3</v>
      </c>
      <c r="C119" s="38">
        <v>2</v>
      </c>
      <c r="D119" s="38">
        <v>2</v>
      </c>
      <c r="E119" s="39">
        <v>46201</v>
      </c>
      <c r="F119" s="31" t="s">
        <v>19</v>
      </c>
      <c r="G119" s="31" t="s">
        <v>21</v>
      </c>
      <c r="H119" s="31" t="s">
        <v>41</v>
      </c>
      <c r="I119" s="31" t="s">
        <v>28</v>
      </c>
      <c r="J119" s="31" t="str">
        <f t="shared" si="6"/>
        <v>Push</v>
      </c>
      <c r="K119" s="40"/>
      <c r="L119" s="41" t="s">
        <v>41</v>
      </c>
      <c r="M119" s="31" t="s">
        <v>59</v>
      </c>
      <c r="N119" s="31" t="s">
        <v>84</v>
      </c>
      <c r="O119" s="33" t="str">
        <f t="shared" si="7"/>
        <v>260628_ROZE_T1_S2</v>
      </c>
      <c r="P119">
        <v>103.99</v>
      </c>
      <c r="Q119">
        <v>141.55000000000001</v>
      </c>
      <c r="R119" t="s">
        <v>6</v>
      </c>
      <c r="S119" t="s">
        <v>59</v>
      </c>
    </row>
    <row r="120" spans="1:19">
      <c r="A120" s="37">
        <v>4</v>
      </c>
      <c r="B120" s="31">
        <v>3</v>
      </c>
      <c r="C120" s="38">
        <v>2</v>
      </c>
      <c r="D120" s="38">
        <v>3</v>
      </c>
      <c r="E120" s="39">
        <v>46201</v>
      </c>
      <c r="F120" s="31" t="s">
        <v>19</v>
      </c>
      <c r="G120" s="31" t="s">
        <v>21</v>
      </c>
      <c r="H120" s="31" t="s">
        <v>41</v>
      </c>
      <c r="I120" s="31" t="s">
        <v>44</v>
      </c>
      <c r="J120" s="31" t="str">
        <f t="shared" si="6"/>
        <v>Flashpoint</v>
      </c>
      <c r="K120" s="40"/>
      <c r="L120" s="41" t="s">
        <v>41</v>
      </c>
      <c r="M120" s="31" t="s">
        <v>48</v>
      </c>
      <c r="N120" s="31" t="s">
        <v>64</v>
      </c>
      <c r="O120" s="33" t="str">
        <f t="shared" si="7"/>
        <v>260628_ROZE_T1_S3</v>
      </c>
      <c r="P120">
        <v>0</v>
      </c>
      <c r="Q120">
        <v>3</v>
      </c>
      <c r="R120" t="s">
        <v>6</v>
      </c>
      <c r="S120" t="s">
        <v>83</v>
      </c>
    </row>
    <row r="121" spans="1:19">
      <c r="A121" s="13">
        <v>4</v>
      </c>
      <c r="B121" s="15">
        <v>3</v>
      </c>
      <c r="C121">
        <v>3</v>
      </c>
      <c r="D121">
        <v>1</v>
      </c>
      <c r="E121" s="18">
        <v>46201</v>
      </c>
      <c r="F121" s="15" t="s">
        <v>19</v>
      </c>
      <c r="G121" s="15" t="s">
        <v>32</v>
      </c>
      <c r="H121" s="15" t="s">
        <v>42</v>
      </c>
      <c r="I121" s="15" t="s">
        <v>33</v>
      </c>
      <c r="J121" s="15" t="str">
        <f t="shared" si="6"/>
        <v>Control</v>
      </c>
      <c r="L121" s="19" t="s">
        <v>32</v>
      </c>
      <c r="M121" s="15" t="s">
        <v>24</v>
      </c>
      <c r="N121" s="15" t="s">
        <v>36</v>
      </c>
      <c r="O121" s="2" t="str">
        <f t="shared" si="7"/>
        <v>260628_CR_ZETA_S1</v>
      </c>
      <c r="P121">
        <v>2</v>
      </c>
      <c r="Q121">
        <v>1</v>
      </c>
      <c r="R121" t="s">
        <v>7</v>
      </c>
      <c r="S121" t="s">
        <v>59</v>
      </c>
    </row>
    <row r="122" spans="1:19">
      <c r="A122" s="13">
        <v>4</v>
      </c>
      <c r="B122" s="15">
        <v>3</v>
      </c>
      <c r="C122">
        <v>3</v>
      </c>
      <c r="D122">
        <v>2</v>
      </c>
      <c r="E122" s="18">
        <v>46201</v>
      </c>
      <c r="F122" s="15" t="s">
        <v>19</v>
      </c>
      <c r="G122" s="15" t="s">
        <v>32</v>
      </c>
      <c r="H122" s="15" t="s">
        <v>42</v>
      </c>
      <c r="I122" s="15" t="s">
        <v>43</v>
      </c>
      <c r="J122" s="15" t="str">
        <f t="shared" si="6"/>
        <v>Escort</v>
      </c>
      <c r="L122" s="19" t="s">
        <v>42</v>
      </c>
      <c r="M122" s="15" t="s">
        <v>38</v>
      </c>
      <c r="N122" s="15" t="s">
        <v>58</v>
      </c>
      <c r="O122" s="2" t="str">
        <f t="shared" si="7"/>
        <v>260628_CR_ZETA_S2</v>
      </c>
      <c r="P122">
        <v>2</v>
      </c>
      <c r="Q122">
        <v>3</v>
      </c>
      <c r="R122" t="s">
        <v>7</v>
      </c>
      <c r="S122" t="s">
        <v>58</v>
      </c>
    </row>
    <row r="123" spans="1:19">
      <c r="A123" s="13">
        <v>4</v>
      </c>
      <c r="B123" s="15">
        <v>3</v>
      </c>
      <c r="C123">
        <v>3</v>
      </c>
      <c r="D123">
        <v>3</v>
      </c>
      <c r="E123" s="18">
        <v>46201</v>
      </c>
      <c r="F123" s="15" t="s">
        <v>19</v>
      </c>
      <c r="G123" s="15" t="s">
        <v>32</v>
      </c>
      <c r="H123" s="15" t="s">
        <v>42</v>
      </c>
      <c r="I123" s="15" t="s">
        <v>37</v>
      </c>
      <c r="J123" s="15" t="str">
        <f t="shared" si="6"/>
        <v>Hybrid</v>
      </c>
      <c r="L123" s="19" t="s">
        <v>32</v>
      </c>
      <c r="M123" s="15" t="s">
        <v>47</v>
      </c>
      <c r="N123" s="15" t="s">
        <v>35</v>
      </c>
      <c r="O123" s="2" t="str">
        <f t="shared" si="7"/>
        <v>260628_CR_ZETA_S3</v>
      </c>
      <c r="P123">
        <v>1</v>
      </c>
      <c r="Q123">
        <v>2</v>
      </c>
      <c r="R123" t="s">
        <v>7</v>
      </c>
      <c r="S123" t="s">
        <v>48</v>
      </c>
    </row>
    <row r="124" spans="1:19">
      <c r="A124" s="13">
        <v>4</v>
      </c>
      <c r="B124" s="15">
        <v>3</v>
      </c>
      <c r="C124">
        <v>3</v>
      </c>
      <c r="D124">
        <v>4</v>
      </c>
      <c r="E124" s="18">
        <v>46201</v>
      </c>
      <c r="F124" s="15" t="s">
        <v>19</v>
      </c>
      <c r="G124" s="15" t="s">
        <v>32</v>
      </c>
      <c r="H124" s="15" t="s">
        <v>42</v>
      </c>
      <c r="I124" s="15" t="s">
        <v>25</v>
      </c>
      <c r="J124" s="15" t="str">
        <f t="shared" si="6"/>
        <v>Flashpoint</v>
      </c>
      <c r="L124" s="19" t="s">
        <v>42</v>
      </c>
      <c r="M124" s="15" t="s">
        <v>46</v>
      </c>
      <c r="N124" s="15" t="s">
        <v>48</v>
      </c>
      <c r="O124" s="2" t="str">
        <f t="shared" si="7"/>
        <v>260628_CR_ZETA_S4</v>
      </c>
      <c r="P124">
        <v>0</v>
      </c>
      <c r="Q124">
        <v>3</v>
      </c>
      <c r="R124" t="s">
        <v>7</v>
      </c>
      <c r="S124" t="s">
        <v>48</v>
      </c>
    </row>
    <row r="125" spans="1:19">
      <c r="A125" s="13">
        <v>4</v>
      </c>
      <c r="B125" s="15">
        <v>3</v>
      </c>
      <c r="C125">
        <v>3</v>
      </c>
      <c r="D125">
        <v>5</v>
      </c>
      <c r="E125" s="18">
        <v>46201</v>
      </c>
      <c r="F125" s="15" t="s">
        <v>19</v>
      </c>
      <c r="G125" s="15" t="s">
        <v>32</v>
      </c>
      <c r="H125" s="15" t="s">
        <v>42</v>
      </c>
      <c r="I125" s="15" t="s">
        <v>28</v>
      </c>
      <c r="J125" s="15" t="str">
        <f t="shared" si="6"/>
        <v>Push</v>
      </c>
      <c r="L125" s="19" t="s">
        <v>42</v>
      </c>
      <c r="M125" s="15" t="s">
        <v>64</v>
      </c>
      <c r="N125" s="15" t="s">
        <v>29</v>
      </c>
      <c r="O125" s="2" t="str">
        <f t="shared" si="7"/>
        <v>260628_CR_ZETA_S5</v>
      </c>
      <c r="P125">
        <v>51.52</v>
      </c>
      <c r="Q125">
        <v>135.44</v>
      </c>
      <c r="R125" t="s">
        <v>6</v>
      </c>
      <c r="S125" t="s">
        <v>64</v>
      </c>
    </row>
    <row r="126" spans="1:19">
      <c r="A126" s="37">
        <v>5</v>
      </c>
      <c r="B126" s="31">
        <v>1</v>
      </c>
      <c r="C126" s="38">
        <v>1</v>
      </c>
      <c r="D126" s="38">
        <v>1</v>
      </c>
      <c r="E126" s="39">
        <v>46206</v>
      </c>
      <c r="F126" s="31" t="s">
        <v>85</v>
      </c>
      <c r="G126" s="31" t="s">
        <v>20</v>
      </c>
      <c r="H126" s="31" t="s">
        <v>21</v>
      </c>
      <c r="I126" s="31" t="s">
        <v>33</v>
      </c>
      <c r="J126" s="31" t="str">
        <f t="shared" si="6"/>
        <v>Control</v>
      </c>
      <c r="K126" s="40"/>
      <c r="L126" s="41" t="s">
        <v>21</v>
      </c>
      <c r="M126" s="31" t="s">
        <v>47</v>
      </c>
      <c r="N126" s="31" t="s">
        <v>83</v>
      </c>
      <c r="O126" s="33" t="str">
        <f t="shared" si="7"/>
        <v>260703_O2_ROZE_S1</v>
      </c>
      <c r="P126">
        <v>0</v>
      </c>
      <c r="Q126">
        <v>2</v>
      </c>
      <c r="R126" t="s">
        <v>6</v>
      </c>
      <c r="S126" t="s">
        <v>47</v>
      </c>
    </row>
    <row r="127" spans="1:19">
      <c r="A127" s="37">
        <v>5</v>
      </c>
      <c r="B127" s="31">
        <v>1</v>
      </c>
      <c r="C127" s="38">
        <v>1</v>
      </c>
      <c r="D127" s="38">
        <v>2</v>
      </c>
      <c r="E127" s="39">
        <v>46206</v>
      </c>
      <c r="F127" s="31" t="s">
        <v>85</v>
      </c>
      <c r="G127" s="31" t="s">
        <v>20</v>
      </c>
      <c r="H127" s="31" t="s">
        <v>21</v>
      </c>
      <c r="I127" s="31" t="s">
        <v>37</v>
      </c>
      <c r="J127" s="31" t="str">
        <f t="shared" si="6"/>
        <v>Hybrid</v>
      </c>
      <c r="K127" s="40"/>
      <c r="L127" s="41" t="s">
        <v>21</v>
      </c>
      <c r="M127" s="31" t="s">
        <v>46</v>
      </c>
      <c r="N127" s="31" t="s">
        <v>30</v>
      </c>
      <c r="O127" s="33" t="str">
        <f t="shared" si="7"/>
        <v>260703_O2_ROZE_S2</v>
      </c>
      <c r="P127">
        <v>3</v>
      </c>
      <c r="Q127">
        <v>4</v>
      </c>
      <c r="R127" t="s">
        <v>6</v>
      </c>
      <c r="S127" t="s">
        <v>46</v>
      </c>
    </row>
    <row r="128" spans="1:19">
      <c r="A128" s="37">
        <v>5</v>
      </c>
      <c r="B128" s="31">
        <v>1</v>
      </c>
      <c r="C128" s="38">
        <v>1</v>
      </c>
      <c r="D128" s="38">
        <v>3</v>
      </c>
      <c r="E128" s="39">
        <v>46206</v>
      </c>
      <c r="F128" s="31" t="s">
        <v>85</v>
      </c>
      <c r="G128" s="31" t="s">
        <v>20</v>
      </c>
      <c r="H128" s="31" t="s">
        <v>21</v>
      </c>
      <c r="I128" s="31" t="s">
        <v>69</v>
      </c>
      <c r="J128" s="31" t="str">
        <f t="shared" si="6"/>
        <v>Escort</v>
      </c>
      <c r="K128" s="40"/>
      <c r="L128" s="41" t="s">
        <v>21</v>
      </c>
      <c r="M128" s="31" t="s">
        <v>65</v>
      </c>
      <c r="N128" s="31" t="s">
        <v>59</v>
      </c>
      <c r="O128" s="33" t="str">
        <f t="shared" si="7"/>
        <v>260703_O2_ROZE_S3</v>
      </c>
      <c r="P128">
        <v>2</v>
      </c>
      <c r="Q128">
        <v>3</v>
      </c>
      <c r="R128" t="s">
        <v>6</v>
      </c>
      <c r="S128" t="s">
        <v>65</v>
      </c>
    </row>
    <row r="129" spans="1:19">
      <c r="A129" s="13">
        <v>5</v>
      </c>
      <c r="B129" s="15">
        <v>1</v>
      </c>
      <c r="C129">
        <v>2</v>
      </c>
      <c r="D129">
        <v>1</v>
      </c>
      <c r="E129" s="18">
        <v>46206</v>
      </c>
      <c r="F129" s="15" t="s">
        <v>86</v>
      </c>
      <c r="G129" s="15" t="s">
        <v>32</v>
      </c>
      <c r="H129" s="15" t="s">
        <v>31</v>
      </c>
      <c r="I129" s="15" t="s">
        <v>33</v>
      </c>
      <c r="J129" s="15" t="str">
        <f t="shared" si="6"/>
        <v>Control</v>
      </c>
      <c r="L129" s="19" t="s">
        <v>31</v>
      </c>
      <c r="M129" s="15" t="s">
        <v>70</v>
      </c>
      <c r="N129" s="15" t="s">
        <v>36</v>
      </c>
      <c r="O129" s="2" t="str">
        <f t="shared" si="7"/>
        <v>260703_CR_FLC_S1</v>
      </c>
      <c r="P129">
        <v>0</v>
      </c>
      <c r="Q129">
        <v>2</v>
      </c>
      <c r="R129" t="s">
        <v>7</v>
      </c>
      <c r="S129" t="s">
        <v>36</v>
      </c>
    </row>
    <row r="130" spans="1:19">
      <c r="A130" s="13">
        <v>5</v>
      </c>
      <c r="B130" s="15">
        <v>1</v>
      </c>
      <c r="C130">
        <v>2</v>
      </c>
      <c r="D130">
        <v>2</v>
      </c>
      <c r="E130" s="18">
        <v>46206</v>
      </c>
      <c r="F130" s="15" t="s">
        <v>86</v>
      </c>
      <c r="G130" s="15" t="s">
        <v>32</v>
      </c>
      <c r="H130" s="15" t="s">
        <v>31</v>
      </c>
      <c r="I130" s="15" t="s">
        <v>69</v>
      </c>
      <c r="J130" s="15" t="str">
        <f t="shared" ref="J130:J161" si="8">IF(OR(I130="Antarctic Peninsula", I130="Nepal", I130="Lijiang Tower", I130="Busan", I130="Samoa", I130="Oasis", I130="Ilios"), "Control", IF(OR(I130="Route 66", I130="Watchpoint: Gibraltar", I130="Dorado", I130="Rialto", I130="Shambali Monastery", I130="Circuit Royal", I130="Junkertown", I130="Havana"), "Escort", IF(OR(I130="Neon Junction", I130="Numbani", I130="Midtown", I130="Blizzard World", I130="Eichenwalde", I130="King's Row", I130="Paraiso", I130="Hollywood"), "Hybrid", IF(OR(I130="New Queen Street", I130="Esperanca", I130="Colosseo", I130="Runasapi"), "Push", IF(OR(I130="New Junk City", I130="Suravasa", I130="Aatlis"), "Flashpoint", "")))))</f>
        <v>Escort</v>
      </c>
      <c r="L130" s="19" t="s">
        <v>32</v>
      </c>
      <c r="M130" s="15" t="s">
        <v>35</v>
      </c>
      <c r="N130" s="15" t="s">
        <v>30</v>
      </c>
      <c r="O130" s="2" t="str">
        <f t="shared" ref="O130:O161" si="9">TEXT(E130, "yymmdd") &amp; "_" &amp; G130 &amp; "_" &amp; H130 &amp; "_S" &amp; D130</f>
        <v>260703_CR_FLC_S2</v>
      </c>
      <c r="P130">
        <v>3</v>
      </c>
      <c r="Q130">
        <v>1</v>
      </c>
      <c r="R130" t="s">
        <v>6</v>
      </c>
      <c r="S130" t="s">
        <v>35</v>
      </c>
    </row>
    <row r="131" spans="1:19">
      <c r="A131" s="13">
        <v>5</v>
      </c>
      <c r="B131" s="15">
        <v>1</v>
      </c>
      <c r="C131">
        <v>2</v>
      </c>
      <c r="D131">
        <v>3</v>
      </c>
      <c r="E131" s="18">
        <v>46206</v>
      </c>
      <c r="F131" s="15" t="s">
        <v>86</v>
      </c>
      <c r="G131" s="15" t="s">
        <v>32</v>
      </c>
      <c r="H131" s="15" t="s">
        <v>31</v>
      </c>
      <c r="I131" s="15" t="s">
        <v>44</v>
      </c>
      <c r="J131" s="15" t="str">
        <f t="shared" si="8"/>
        <v>Flashpoint</v>
      </c>
      <c r="L131" s="14" t="s">
        <v>32</v>
      </c>
      <c r="M131" s="15" t="s">
        <v>26</v>
      </c>
      <c r="N131" s="15" t="s">
        <v>27</v>
      </c>
      <c r="O131" s="2" t="str">
        <f t="shared" si="9"/>
        <v>260703_CR_FLC_S3</v>
      </c>
      <c r="P131">
        <v>3</v>
      </c>
      <c r="Q131">
        <v>1</v>
      </c>
      <c r="R131" t="s">
        <v>7</v>
      </c>
      <c r="S131" t="s">
        <v>27</v>
      </c>
    </row>
    <row r="132" spans="1:19">
      <c r="A132" s="13">
        <v>5</v>
      </c>
      <c r="B132" s="15">
        <v>1</v>
      </c>
      <c r="C132">
        <v>2</v>
      </c>
      <c r="D132">
        <v>4</v>
      </c>
      <c r="E132" s="18">
        <v>46206</v>
      </c>
      <c r="F132" s="15" t="s">
        <v>86</v>
      </c>
      <c r="G132" s="15" t="s">
        <v>32</v>
      </c>
      <c r="H132" s="15" t="s">
        <v>31</v>
      </c>
      <c r="I132" s="15" t="s">
        <v>37</v>
      </c>
      <c r="J132" s="15" t="str">
        <f t="shared" si="8"/>
        <v>Hybrid</v>
      </c>
      <c r="L132" s="14" t="s">
        <v>32</v>
      </c>
      <c r="M132" s="15" t="s">
        <v>24</v>
      </c>
      <c r="N132" s="15" t="s">
        <v>38</v>
      </c>
      <c r="O132" s="2" t="str">
        <f t="shared" si="9"/>
        <v>260703_CR_FLC_S4</v>
      </c>
      <c r="P132">
        <v>2</v>
      </c>
      <c r="Q132">
        <v>1</v>
      </c>
      <c r="R132" t="s">
        <v>7</v>
      </c>
      <c r="S132" t="s">
        <v>38</v>
      </c>
    </row>
    <row r="133" spans="1:19">
      <c r="A133" s="37">
        <v>5</v>
      </c>
      <c r="B133" s="31">
        <v>1</v>
      </c>
      <c r="C133" s="38">
        <v>3</v>
      </c>
      <c r="D133" s="38">
        <v>1</v>
      </c>
      <c r="E133" s="39">
        <v>46206</v>
      </c>
      <c r="F133" s="31" t="s">
        <v>86</v>
      </c>
      <c r="G133" s="31" t="s">
        <v>42</v>
      </c>
      <c r="H133" s="31" t="s">
        <v>41</v>
      </c>
      <c r="I133" s="31" t="s">
        <v>87</v>
      </c>
      <c r="J133" s="31" t="str">
        <f t="shared" si="8"/>
        <v>Control</v>
      </c>
      <c r="K133" s="40"/>
      <c r="L133" s="47" t="s">
        <v>41</v>
      </c>
      <c r="M133" s="31" t="s">
        <v>29</v>
      </c>
      <c r="N133" s="31" t="s">
        <v>38</v>
      </c>
      <c r="O133" s="33" t="str">
        <f t="shared" si="9"/>
        <v>260703_ZETA_T1_S1</v>
      </c>
      <c r="P133">
        <v>1</v>
      </c>
      <c r="Q133">
        <v>2</v>
      </c>
      <c r="R133" t="s">
        <v>6</v>
      </c>
      <c r="S133" t="s">
        <v>29</v>
      </c>
    </row>
    <row r="134" spans="1:19">
      <c r="A134" s="37">
        <v>5</v>
      </c>
      <c r="B134" s="31">
        <v>1</v>
      </c>
      <c r="C134" s="38">
        <v>3</v>
      </c>
      <c r="D134" s="38">
        <v>2</v>
      </c>
      <c r="E134" s="39">
        <v>46206</v>
      </c>
      <c r="F134" s="31" t="s">
        <v>86</v>
      </c>
      <c r="G134" s="31" t="s">
        <v>42</v>
      </c>
      <c r="H134" s="31" t="s">
        <v>41</v>
      </c>
      <c r="I134" s="31" t="s">
        <v>44</v>
      </c>
      <c r="J134" s="31" t="str">
        <f t="shared" si="8"/>
        <v>Flashpoint</v>
      </c>
      <c r="K134" s="40"/>
      <c r="L134" s="47" t="s">
        <v>41</v>
      </c>
      <c r="M134" s="31" t="s">
        <v>47</v>
      </c>
      <c r="N134" s="31" t="s">
        <v>24</v>
      </c>
      <c r="O134" s="33" t="str">
        <f t="shared" si="9"/>
        <v>260703_ZETA_T1_S2</v>
      </c>
      <c r="P134">
        <v>2</v>
      </c>
      <c r="Q134">
        <v>3</v>
      </c>
      <c r="R134" t="s">
        <v>6</v>
      </c>
      <c r="S134" t="s">
        <v>47</v>
      </c>
    </row>
    <row r="135" spans="1:19">
      <c r="A135" s="37">
        <v>5</v>
      </c>
      <c r="B135" s="31">
        <v>1</v>
      </c>
      <c r="C135" s="38">
        <v>3</v>
      </c>
      <c r="D135" s="38">
        <v>3</v>
      </c>
      <c r="E135" s="39">
        <v>46206</v>
      </c>
      <c r="F135" s="31" t="s">
        <v>86</v>
      </c>
      <c r="G135" s="31" t="s">
        <v>42</v>
      </c>
      <c r="H135" s="48" t="s">
        <v>41</v>
      </c>
      <c r="I135" s="31" t="s">
        <v>69</v>
      </c>
      <c r="J135" s="31" t="str">
        <f t="shared" si="8"/>
        <v>Escort</v>
      </c>
      <c r="K135" s="40"/>
      <c r="L135" s="47" t="s">
        <v>41</v>
      </c>
      <c r="M135" s="31" t="s">
        <v>59</v>
      </c>
      <c r="N135" s="31" t="s">
        <v>60</v>
      </c>
      <c r="O135" s="33" t="str">
        <f t="shared" si="9"/>
        <v>260703_ZETA_T1_S3</v>
      </c>
      <c r="P135">
        <v>2</v>
      </c>
      <c r="Q135">
        <v>1</v>
      </c>
      <c r="R135" t="s">
        <v>7</v>
      </c>
      <c r="S135" t="s">
        <v>57</v>
      </c>
    </row>
    <row r="136" spans="1:19">
      <c r="A136" s="13">
        <v>5</v>
      </c>
      <c r="B136" s="15">
        <v>2</v>
      </c>
      <c r="C136">
        <v>1</v>
      </c>
      <c r="D136">
        <v>1</v>
      </c>
      <c r="E136" s="18">
        <v>46207</v>
      </c>
      <c r="F136" s="15" t="s">
        <v>85</v>
      </c>
      <c r="G136" s="15" t="s">
        <v>51</v>
      </c>
      <c r="H136" s="20" t="s">
        <v>53</v>
      </c>
      <c r="I136" s="15" t="s">
        <v>87</v>
      </c>
      <c r="J136" s="15" t="str">
        <f t="shared" si="8"/>
        <v>Control</v>
      </c>
      <c r="L136" s="14" t="s">
        <v>51</v>
      </c>
      <c r="M136" s="15" t="s">
        <v>36</v>
      </c>
      <c r="N136" s="15" t="s">
        <v>38</v>
      </c>
      <c r="O136" s="2" t="str">
        <f t="shared" si="9"/>
        <v>260704_CB_SB_S1</v>
      </c>
      <c r="P136">
        <v>2</v>
      </c>
      <c r="Q136">
        <v>0</v>
      </c>
      <c r="R136" t="s">
        <v>6</v>
      </c>
      <c r="S136" t="s">
        <v>36</v>
      </c>
    </row>
    <row r="137" spans="1:19">
      <c r="A137" s="13">
        <v>5</v>
      </c>
      <c r="B137" s="15">
        <v>2</v>
      </c>
      <c r="C137">
        <v>1</v>
      </c>
      <c r="D137">
        <v>2</v>
      </c>
      <c r="E137" s="18">
        <v>46207</v>
      </c>
      <c r="F137" s="15" t="s">
        <v>85</v>
      </c>
      <c r="G137" s="15" t="s">
        <v>51</v>
      </c>
      <c r="H137" s="20" t="s">
        <v>53</v>
      </c>
      <c r="I137" s="15" t="s">
        <v>88</v>
      </c>
      <c r="J137" s="15" t="str">
        <f t="shared" si="8"/>
        <v>Flashpoint</v>
      </c>
      <c r="L137" s="14" t="s">
        <v>51</v>
      </c>
      <c r="M137" s="15" t="s">
        <v>58</v>
      </c>
      <c r="N137" t="s">
        <v>64</v>
      </c>
      <c r="O137" s="2" t="str">
        <f t="shared" si="9"/>
        <v>260704_CB_SB_S2</v>
      </c>
    </row>
    <row r="138" spans="1:19">
      <c r="A138" s="13">
        <v>5</v>
      </c>
      <c r="B138" s="15">
        <v>2</v>
      </c>
      <c r="C138">
        <v>1</v>
      </c>
      <c r="D138">
        <v>3</v>
      </c>
      <c r="E138" s="18">
        <v>46207</v>
      </c>
      <c r="F138" s="15" t="s">
        <v>85</v>
      </c>
      <c r="G138" s="15" t="s">
        <v>51</v>
      </c>
      <c r="H138" s="20" t="s">
        <v>53</v>
      </c>
      <c r="I138" s="15" t="s">
        <v>89</v>
      </c>
      <c r="J138" s="15" t="str">
        <f t="shared" si="8"/>
        <v>Hybrid</v>
      </c>
      <c r="L138" s="14" t="s">
        <v>51</v>
      </c>
      <c r="M138" s="15" t="s">
        <v>45</v>
      </c>
      <c r="N138" t="s">
        <v>49</v>
      </c>
      <c r="O138" s="2" t="str">
        <f t="shared" si="9"/>
        <v>260704_CB_SB_S3</v>
      </c>
      <c r="P138">
        <v>3</v>
      </c>
      <c r="Q138">
        <v>1</v>
      </c>
      <c r="R138" t="s">
        <v>7</v>
      </c>
      <c r="S138" t="s">
        <v>49</v>
      </c>
    </row>
    <row r="139" spans="1:19">
      <c r="A139" s="37">
        <v>5</v>
      </c>
      <c r="B139" s="31">
        <v>2</v>
      </c>
      <c r="C139" s="38">
        <v>2</v>
      </c>
      <c r="D139" s="38">
        <v>1</v>
      </c>
      <c r="E139" s="39">
        <v>46207</v>
      </c>
      <c r="F139" s="31" t="s">
        <v>86</v>
      </c>
      <c r="G139" s="31" t="s">
        <v>32</v>
      </c>
      <c r="H139" s="48" t="s">
        <v>41</v>
      </c>
      <c r="I139" s="31" t="s">
        <v>33</v>
      </c>
      <c r="J139" s="31" t="str">
        <f t="shared" si="8"/>
        <v>Control</v>
      </c>
      <c r="K139" s="40"/>
      <c r="L139" s="47" t="s">
        <v>41</v>
      </c>
      <c r="M139" s="31" t="s">
        <v>55</v>
      </c>
      <c r="N139" s="38" t="s">
        <v>24</v>
      </c>
      <c r="O139" s="33" t="str">
        <f t="shared" si="9"/>
        <v>260704_CR_T1_S1</v>
      </c>
      <c r="P139">
        <v>0</v>
      </c>
      <c r="Q139">
        <v>2</v>
      </c>
      <c r="R139" t="s">
        <v>7</v>
      </c>
      <c r="S139" t="s">
        <v>24</v>
      </c>
    </row>
    <row r="140" spans="1:19">
      <c r="A140" s="37">
        <v>5</v>
      </c>
      <c r="B140" s="31">
        <v>2</v>
      </c>
      <c r="C140" s="38">
        <v>2</v>
      </c>
      <c r="D140" s="38">
        <v>2</v>
      </c>
      <c r="E140" s="39">
        <v>46207</v>
      </c>
      <c r="F140" s="31" t="s">
        <v>86</v>
      </c>
      <c r="G140" s="31" t="s">
        <v>32</v>
      </c>
      <c r="H140" s="48" t="s">
        <v>41</v>
      </c>
      <c r="I140" s="31" t="s">
        <v>69</v>
      </c>
      <c r="J140" s="31" t="str">
        <f t="shared" si="8"/>
        <v>Escort</v>
      </c>
      <c r="K140" s="40"/>
      <c r="L140" s="47" t="s">
        <v>32</v>
      </c>
      <c r="M140" s="31" t="s">
        <v>57</v>
      </c>
      <c r="N140" s="38" t="s">
        <v>75</v>
      </c>
      <c r="O140" s="33" t="str">
        <f t="shared" si="9"/>
        <v>260704_CR_T1_S2</v>
      </c>
      <c r="P140">
        <v>3</v>
      </c>
      <c r="Q140">
        <v>2</v>
      </c>
      <c r="R140" t="s">
        <v>7</v>
      </c>
      <c r="S140" t="s">
        <v>75</v>
      </c>
    </row>
    <row r="141" spans="1:19">
      <c r="A141" s="37">
        <v>5</v>
      </c>
      <c r="B141" s="31">
        <v>2</v>
      </c>
      <c r="C141" s="38">
        <v>2</v>
      </c>
      <c r="D141" s="38">
        <v>3</v>
      </c>
      <c r="E141" s="39">
        <v>46207</v>
      </c>
      <c r="F141" s="31" t="s">
        <v>86</v>
      </c>
      <c r="G141" s="31" t="s">
        <v>32</v>
      </c>
      <c r="H141" s="48" t="s">
        <v>41</v>
      </c>
      <c r="I141" s="31" t="s">
        <v>44</v>
      </c>
      <c r="J141" s="31" t="str">
        <f t="shared" si="8"/>
        <v>Flashpoint</v>
      </c>
      <c r="K141" s="40"/>
      <c r="L141" s="47" t="s">
        <v>32</v>
      </c>
      <c r="M141" s="31" t="s">
        <v>47</v>
      </c>
      <c r="N141" s="38" t="s">
        <v>23</v>
      </c>
      <c r="O141" s="33" t="str">
        <f t="shared" si="9"/>
        <v>260704_CR_T1_S3</v>
      </c>
      <c r="P141">
        <v>3</v>
      </c>
      <c r="Q141">
        <v>2</v>
      </c>
      <c r="R141" t="s">
        <v>6</v>
      </c>
      <c r="S141" t="s">
        <v>47</v>
      </c>
    </row>
    <row r="142" spans="1:19">
      <c r="A142" s="37">
        <v>5</v>
      </c>
      <c r="B142" s="31">
        <v>2</v>
      </c>
      <c r="C142" s="38">
        <v>2</v>
      </c>
      <c r="D142" s="38">
        <v>4</v>
      </c>
      <c r="E142" s="39">
        <v>46207</v>
      </c>
      <c r="F142" s="38" t="s">
        <v>86</v>
      </c>
      <c r="G142" s="31" t="s">
        <v>32</v>
      </c>
      <c r="H142" s="48" t="s">
        <v>41</v>
      </c>
      <c r="I142" s="31" t="s">
        <v>61</v>
      </c>
      <c r="J142" s="31" t="str">
        <f t="shared" si="8"/>
        <v>Hybrid</v>
      </c>
      <c r="K142" s="40"/>
      <c r="L142" s="47" t="s">
        <v>32</v>
      </c>
      <c r="M142" s="31" t="s">
        <v>38</v>
      </c>
      <c r="N142" s="38" t="s">
        <v>46</v>
      </c>
      <c r="O142" s="33" t="str">
        <f t="shared" si="9"/>
        <v>260704_CR_T1_S4</v>
      </c>
      <c r="P142">
        <v>4</v>
      </c>
      <c r="Q142">
        <v>3</v>
      </c>
      <c r="R142" t="s">
        <v>7</v>
      </c>
      <c r="S142" t="s">
        <v>38</v>
      </c>
    </row>
    <row r="143" spans="1:19">
      <c r="A143" s="13">
        <v>5</v>
      </c>
      <c r="B143" s="15">
        <v>2</v>
      </c>
      <c r="C143">
        <v>3</v>
      </c>
      <c r="D143">
        <v>1</v>
      </c>
      <c r="E143" s="18">
        <v>46207</v>
      </c>
      <c r="F143" s="15" t="s">
        <v>86</v>
      </c>
      <c r="G143" s="15" t="s">
        <v>42</v>
      </c>
      <c r="H143" s="20" t="s">
        <v>31</v>
      </c>
      <c r="I143" s="15" t="s">
        <v>22</v>
      </c>
      <c r="J143" s="15" t="str">
        <f t="shared" si="8"/>
        <v>Control</v>
      </c>
      <c r="L143" s="14" t="s">
        <v>31</v>
      </c>
      <c r="M143" s="15" t="s">
        <v>23</v>
      </c>
      <c r="N143" t="s">
        <v>38</v>
      </c>
      <c r="O143" s="2" t="str">
        <f t="shared" si="9"/>
        <v>260704_ZETA_FLC_S1</v>
      </c>
      <c r="P143">
        <v>1</v>
      </c>
      <c r="Q143">
        <v>2</v>
      </c>
      <c r="R143" t="s">
        <v>6</v>
      </c>
      <c r="S143" t="s">
        <v>23</v>
      </c>
    </row>
    <row r="144" spans="1:19">
      <c r="A144" s="13">
        <v>5</v>
      </c>
      <c r="B144" s="15">
        <v>2</v>
      </c>
      <c r="C144">
        <v>3</v>
      </c>
      <c r="D144">
        <v>2</v>
      </c>
      <c r="E144" s="18">
        <v>46207</v>
      </c>
      <c r="F144" s="15" t="s">
        <v>86</v>
      </c>
      <c r="G144" s="15" t="s">
        <v>42</v>
      </c>
      <c r="H144" s="20" t="s">
        <v>31</v>
      </c>
      <c r="I144" s="15" t="s">
        <v>37</v>
      </c>
      <c r="J144" s="15" t="str">
        <f t="shared" si="8"/>
        <v>Hybrid</v>
      </c>
      <c r="L144" s="14" t="s">
        <v>42</v>
      </c>
      <c r="M144" s="15" t="s">
        <v>35</v>
      </c>
      <c r="N144" t="s">
        <v>58</v>
      </c>
      <c r="O144" s="2" t="str">
        <f t="shared" si="9"/>
        <v>260704_ZETA_FLC_S2</v>
      </c>
      <c r="P144">
        <v>3</v>
      </c>
      <c r="Q144">
        <v>2</v>
      </c>
      <c r="R144" t="s">
        <v>6</v>
      </c>
      <c r="S144" t="s">
        <v>35</v>
      </c>
    </row>
    <row r="145" spans="1:19">
      <c r="A145" s="13">
        <v>5</v>
      </c>
      <c r="B145" s="15">
        <v>2</v>
      </c>
      <c r="C145">
        <v>3</v>
      </c>
      <c r="D145">
        <v>3</v>
      </c>
      <c r="E145" s="18">
        <v>46207</v>
      </c>
      <c r="F145" s="15" t="s">
        <v>86</v>
      </c>
      <c r="G145" s="15" t="s">
        <v>42</v>
      </c>
      <c r="H145" s="20" t="s">
        <v>31</v>
      </c>
      <c r="I145" s="15" t="s">
        <v>90</v>
      </c>
      <c r="J145" s="15" t="str">
        <f t="shared" si="8"/>
        <v>Push</v>
      </c>
      <c r="L145" s="14" t="s">
        <v>42</v>
      </c>
      <c r="M145" s="15" t="s">
        <v>26</v>
      </c>
      <c r="N145" t="s">
        <v>49</v>
      </c>
      <c r="O145" s="2" t="str">
        <f t="shared" si="9"/>
        <v>260704_ZETA_FLC_S3</v>
      </c>
      <c r="P145">
        <v>108.72</v>
      </c>
      <c r="Q145">
        <v>108.71</v>
      </c>
      <c r="R145" t="s">
        <v>7</v>
      </c>
      <c r="S145" t="s">
        <v>49</v>
      </c>
    </row>
    <row r="146" spans="1:19">
      <c r="A146" s="13">
        <v>5</v>
      </c>
      <c r="B146" s="15">
        <v>2</v>
      </c>
      <c r="C146">
        <v>3</v>
      </c>
      <c r="D146">
        <v>4</v>
      </c>
      <c r="E146" s="18">
        <v>46207</v>
      </c>
      <c r="F146" s="15" t="s">
        <v>86</v>
      </c>
      <c r="G146" s="15" t="s">
        <v>42</v>
      </c>
      <c r="H146" s="20" t="s">
        <v>31</v>
      </c>
      <c r="I146" s="15" t="s">
        <v>69</v>
      </c>
      <c r="J146" s="15" t="str">
        <f t="shared" si="8"/>
        <v>Escort</v>
      </c>
      <c r="L146" s="14" t="s">
        <v>31</v>
      </c>
      <c r="M146" s="15" t="s">
        <v>36</v>
      </c>
      <c r="N146" t="s">
        <v>24</v>
      </c>
      <c r="O146" s="2" t="str">
        <f t="shared" si="9"/>
        <v>260704_ZETA_FLC_S4</v>
      </c>
      <c r="P146">
        <v>2</v>
      </c>
      <c r="Q146">
        <v>3</v>
      </c>
      <c r="R146" t="s">
        <v>7</v>
      </c>
      <c r="S146" t="s">
        <v>24</v>
      </c>
    </row>
    <row r="147" spans="1:19">
      <c r="A147" s="13">
        <v>5</v>
      </c>
      <c r="B147" s="15">
        <v>2</v>
      </c>
      <c r="C147">
        <v>3</v>
      </c>
      <c r="D147">
        <v>5</v>
      </c>
      <c r="E147" s="18">
        <v>46207</v>
      </c>
      <c r="F147" s="15" t="s">
        <v>86</v>
      </c>
      <c r="G147" s="15" t="s">
        <v>42</v>
      </c>
      <c r="H147" s="20" t="s">
        <v>31</v>
      </c>
      <c r="I147" s="15" t="s">
        <v>44</v>
      </c>
      <c r="J147" s="15" t="str">
        <f t="shared" si="8"/>
        <v>Flashpoint</v>
      </c>
      <c r="L147" s="14" t="s">
        <v>42</v>
      </c>
      <c r="M147" s="15" t="s">
        <v>29</v>
      </c>
      <c r="N147" t="s">
        <v>23</v>
      </c>
      <c r="O147" s="2" t="str">
        <f t="shared" si="9"/>
        <v>260704_ZETA_FLC_S5</v>
      </c>
      <c r="P147">
        <v>3</v>
      </c>
      <c r="Q147">
        <v>0</v>
      </c>
      <c r="R147" t="s">
        <v>6</v>
      </c>
      <c r="S147" t="s">
        <v>29</v>
      </c>
    </row>
    <row r="148" spans="1:19">
      <c r="A148" s="37">
        <v>5</v>
      </c>
      <c r="B148" s="31">
        <v>3</v>
      </c>
      <c r="C148" s="38">
        <v>1</v>
      </c>
      <c r="D148" s="38">
        <v>1</v>
      </c>
      <c r="E148" s="39">
        <v>46208</v>
      </c>
      <c r="F148" s="31" t="s">
        <v>85</v>
      </c>
      <c r="G148" s="31" t="s">
        <v>20</v>
      </c>
      <c r="H148" s="48" t="s">
        <v>51</v>
      </c>
      <c r="I148" s="31" t="s">
        <v>33</v>
      </c>
      <c r="J148" s="31" t="str">
        <f t="shared" si="8"/>
        <v>Control</v>
      </c>
      <c r="K148" s="40"/>
      <c r="L148" s="47" t="s">
        <v>20</v>
      </c>
      <c r="M148" s="31" t="s">
        <v>23</v>
      </c>
      <c r="N148" s="38" t="s">
        <v>29</v>
      </c>
      <c r="O148" s="33" t="str">
        <f t="shared" si="9"/>
        <v>260705_O2_CB_S1</v>
      </c>
      <c r="P148">
        <v>2</v>
      </c>
      <c r="Q148">
        <v>1</v>
      </c>
      <c r="R148" t="s">
        <v>6</v>
      </c>
      <c r="S148" t="s">
        <v>23</v>
      </c>
    </row>
    <row r="149" spans="1:19">
      <c r="A149" s="37">
        <v>5</v>
      </c>
      <c r="B149" s="31">
        <v>3</v>
      </c>
      <c r="C149" s="38">
        <v>1</v>
      </c>
      <c r="D149" s="38">
        <v>2</v>
      </c>
      <c r="E149" s="39">
        <v>46208</v>
      </c>
      <c r="F149" s="31" t="s">
        <v>85</v>
      </c>
      <c r="G149" s="31" t="s">
        <v>20</v>
      </c>
      <c r="H149" s="48" t="s">
        <v>51</v>
      </c>
      <c r="I149" s="31" t="s">
        <v>89</v>
      </c>
      <c r="J149" s="31" t="str">
        <f t="shared" si="8"/>
        <v>Hybrid</v>
      </c>
      <c r="K149" s="40"/>
      <c r="L149" s="47" t="s">
        <v>91</v>
      </c>
      <c r="M149" s="31" t="s">
        <v>46</v>
      </c>
      <c r="N149" s="38" t="s">
        <v>58</v>
      </c>
      <c r="O149" s="33" t="str">
        <f t="shared" si="9"/>
        <v>260705_O2_CB_S2</v>
      </c>
      <c r="P149">
        <v>1</v>
      </c>
      <c r="Q149">
        <v>2</v>
      </c>
      <c r="R149" t="s">
        <v>7</v>
      </c>
      <c r="S149" t="s">
        <v>58</v>
      </c>
    </row>
    <row r="150" spans="1:19">
      <c r="A150" s="37">
        <v>5</v>
      </c>
      <c r="B150" s="31">
        <v>3</v>
      </c>
      <c r="C150" s="38">
        <v>1</v>
      </c>
      <c r="D150" s="38">
        <v>3</v>
      </c>
      <c r="E150" s="39">
        <v>46208</v>
      </c>
      <c r="F150" s="31" t="s">
        <v>85</v>
      </c>
      <c r="G150" s="31" t="s">
        <v>20</v>
      </c>
      <c r="H150" s="48" t="s">
        <v>51</v>
      </c>
      <c r="I150" s="31" t="s">
        <v>44</v>
      </c>
      <c r="J150" s="31" t="str">
        <f t="shared" si="8"/>
        <v>Flashpoint</v>
      </c>
      <c r="K150" s="40"/>
      <c r="L150" s="47" t="s">
        <v>20</v>
      </c>
      <c r="M150" s="31" t="s">
        <v>59</v>
      </c>
      <c r="N150" s="38" t="s">
        <v>46</v>
      </c>
      <c r="O150" s="33" t="str">
        <f t="shared" si="9"/>
        <v>260705_O2_CB_S3</v>
      </c>
      <c r="P150">
        <v>3</v>
      </c>
      <c r="Q150">
        <v>0</v>
      </c>
      <c r="R150" t="s">
        <v>6</v>
      </c>
      <c r="S150" t="s">
        <v>59</v>
      </c>
    </row>
    <row r="151" spans="1:19">
      <c r="A151" s="37">
        <v>5</v>
      </c>
      <c r="B151" s="31">
        <v>3</v>
      </c>
      <c r="C151" s="38">
        <v>1</v>
      </c>
      <c r="D151" s="38">
        <v>4</v>
      </c>
      <c r="E151" s="39">
        <v>46208</v>
      </c>
      <c r="F151" s="31" t="s">
        <v>85</v>
      </c>
      <c r="G151" s="31" t="s">
        <v>20</v>
      </c>
      <c r="H151" s="48" t="s">
        <v>51</v>
      </c>
      <c r="I151" s="31" t="s">
        <v>90</v>
      </c>
      <c r="J151" s="31" t="str">
        <f t="shared" si="8"/>
        <v>Push</v>
      </c>
      <c r="K151" s="40"/>
      <c r="L151" s="47" t="s">
        <v>20</v>
      </c>
      <c r="M151" s="31" t="s">
        <v>38</v>
      </c>
      <c r="N151" s="38" t="s">
        <v>60</v>
      </c>
      <c r="O151" s="33" t="str">
        <f t="shared" si="9"/>
        <v>260705_O2_CB_S4</v>
      </c>
      <c r="P151">
        <v>54.38</v>
      </c>
      <c r="Q151">
        <v>54.37</v>
      </c>
      <c r="R151" t="s">
        <v>7</v>
      </c>
      <c r="S151" t="s">
        <v>60</v>
      </c>
    </row>
    <row r="152" spans="1:19">
      <c r="A152" s="13">
        <v>5</v>
      </c>
      <c r="B152" s="15">
        <v>3</v>
      </c>
      <c r="C152">
        <v>2</v>
      </c>
      <c r="D152">
        <v>1</v>
      </c>
      <c r="E152" s="18">
        <v>46208</v>
      </c>
      <c r="F152" t="s">
        <v>86</v>
      </c>
      <c r="G152" s="15" t="s">
        <v>32</v>
      </c>
      <c r="H152" s="20" t="s">
        <v>42</v>
      </c>
      <c r="I152" s="15" t="s">
        <v>33</v>
      </c>
      <c r="J152" s="15" t="str">
        <f t="shared" si="8"/>
        <v>Control</v>
      </c>
      <c r="L152" s="14" t="s">
        <v>42</v>
      </c>
      <c r="M152" s="15" t="s">
        <v>55</v>
      </c>
      <c r="N152" t="s">
        <v>34</v>
      </c>
      <c r="O152" s="2" t="str">
        <f t="shared" si="9"/>
        <v>260705_CR_ZETA_S1</v>
      </c>
      <c r="P152">
        <v>2</v>
      </c>
      <c r="Q152">
        <v>1</v>
      </c>
      <c r="R152" t="s">
        <v>7</v>
      </c>
      <c r="S152" t="s">
        <v>59</v>
      </c>
    </row>
    <row r="153" spans="1:19">
      <c r="A153" s="13">
        <v>5</v>
      </c>
      <c r="B153" s="15">
        <v>3</v>
      </c>
      <c r="C153">
        <v>2</v>
      </c>
      <c r="D153">
        <v>2</v>
      </c>
      <c r="E153" s="18">
        <v>46208</v>
      </c>
      <c r="F153" t="s">
        <v>86</v>
      </c>
      <c r="G153" s="15" t="s">
        <v>32</v>
      </c>
      <c r="H153" s="20" t="s">
        <v>42</v>
      </c>
      <c r="I153" s="15" t="s">
        <v>37</v>
      </c>
      <c r="J153" s="15" t="str">
        <f t="shared" si="8"/>
        <v>Hybrid</v>
      </c>
      <c r="L153" s="14" t="s">
        <v>32</v>
      </c>
      <c r="M153" s="15" t="s">
        <v>46</v>
      </c>
      <c r="N153" t="s">
        <v>26</v>
      </c>
      <c r="O153" s="2" t="str">
        <f t="shared" si="9"/>
        <v>260705_CR_ZETA_S2</v>
      </c>
      <c r="P153">
        <v>1</v>
      </c>
      <c r="Q153">
        <v>2</v>
      </c>
      <c r="R153" t="s">
        <v>7</v>
      </c>
      <c r="S153" t="s">
        <v>48</v>
      </c>
    </row>
    <row r="154" spans="1:19">
      <c r="A154" s="13">
        <v>5</v>
      </c>
      <c r="B154" s="15">
        <v>3</v>
      </c>
      <c r="C154">
        <v>2</v>
      </c>
      <c r="D154">
        <v>3</v>
      </c>
      <c r="E154" s="18">
        <v>46208</v>
      </c>
      <c r="F154" t="s">
        <v>86</v>
      </c>
      <c r="G154" s="15" t="s">
        <v>32</v>
      </c>
      <c r="H154" s="20" t="s">
        <v>42</v>
      </c>
      <c r="I154" s="15" t="s">
        <v>90</v>
      </c>
      <c r="J154" s="15" t="str">
        <f t="shared" si="8"/>
        <v>Push</v>
      </c>
      <c r="L154" s="14" t="s">
        <v>32</v>
      </c>
      <c r="M154" s="15" t="s">
        <v>57</v>
      </c>
      <c r="N154" t="s">
        <v>36</v>
      </c>
      <c r="O154" s="2" t="str">
        <f t="shared" si="9"/>
        <v>260705_CR_ZETA_S3</v>
      </c>
      <c r="P154">
        <v>77.53</v>
      </c>
      <c r="Q154">
        <v>103.51</v>
      </c>
      <c r="R154" t="s">
        <v>7</v>
      </c>
      <c r="S154" t="s">
        <v>58</v>
      </c>
    </row>
    <row r="155" spans="1:19">
      <c r="A155" s="13">
        <v>5</v>
      </c>
      <c r="B155" s="15">
        <v>3</v>
      </c>
      <c r="C155">
        <v>2</v>
      </c>
      <c r="D155">
        <v>4</v>
      </c>
      <c r="E155" s="18">
        <v>46208</v>
      </c>
      <c r="F155" s="1" t="s">
        <v>86</v>
      </c>
      <c r="G155" s="13" t="s">
        <v>32</v>
      </c>
      <c r="H155" s="1" t="s">
        <v>42</v>
      </c>
      <c r="I155" s="15" t="s">
        <v>44</v>
      </c>
      <c r="J155" s="15" t="str">
        <f t="shared" si="8"/>
        <v>Flashpoint</v>
      </c>
      <c r="L155" s="14" t="s">
        <v>32</v>
      </c>
      <c r="M155" s="15" t="s">
        <v>71</v>
      </c>
      <c r="N155" t="s">
        <v>55</v>
      </c>
      <c r="O155" s="2" t="str">
        <f t="shared" si="9"/>
        <v>260705_CR_ZETA_S4</v>
      </c>
      <c r="P155">
        <v>2</v>
      </c>
      <c r="Q155">
        <v>3</v>
      </c>
      <c r="R155" t="s">
        <v>6</v>
      </c>
      <c r="S155" t="s">
        <v>66</v>
      </c>
    </row>
    <row r="156" spans="1:19">
      <c r="A156" s="37">
        <v>5</v>
      </c>
      <c r="B156" s="31">
        <v>3</v>
      </c>
      <c r="C156" s="38">
        <v>3</v>
      </c>
      <c r="D156" s="38">
        <v>1</v>
      </c>
      <c r="E156" s="39">
        <v>46208</v>
      </c>
      <c r="F156" s="38" t="s">
        <v>86</v>
      </c>
      <c r="G156" s="31" t="s">
        <v>41</v>
      </c>
      <c r="H156" s="48" t="s">
        <v>31</v>
      </c>
      <c r="I156" s="31" t="s">
        <v>22</v>
      </c>
      <c r="J156" s="31" t="str">
        <f t="shared" si="8"/>
        <v>Control</v>
      </c>
      <c r="K156" s="40"/>
      <c r="L156" s="48" t="s">
        <v>41</v>
      </c>
      <c r="M156" s="48" t="s">
        <v>23</v>
      </c>
      <c r="N156" s="48" t="s">
        <v>60</v>
      </c>
      <c r="O156" s="33" t="str">
        <f t="shared" si="9"/>
        <v>260705_T1_FLC_S1</v>
      </c>
      <c r="P156">
        <v>2</v>
      </c>
      <c r="Q156">
        <v>0</v>
      </c>
      <c r="R156" t="s">
        <v>6</v>
      </c>
      <c r="S156" t="s">
        <v>23</v>
      </c>
    </row>
    <row r="157" spans="1:19">
      <c r="A157" s="37">
        <v>5</v>
      </c>
      <c r="B157" s="31">
        <v>3</v>
      </c>
      <c r="C157" s="38">
        <v>3</v>
      </c>
      <c r="D157" s="38">
        <v>2</v>
      </c>
      <c r="E157" s="39">
        <v>46208</v>
      </c>
      <c r="F157" s="38" t="s">
        <v>86</v>
      </c>
      <c r="G157" s="31" t="s">
        <v>41</v>
      </c>
      <c r="H157" s="48" t="s">
        <v>31</v>
      </c>
      <c r="I157" s="31" t="s">
        <v>37</v>
      </c>
      <c r="J157" s="31" t="str">
        <f t="shared" si="8"/>
        <v>Hybrid</v>
      </c>
      <c r="K157" s="40"/>
      <c r="L157" s="48" t="s">
        <v>41</v>
      </c>
      <c r="M157" s="48" t="s">
        <v>26</v>
      </c>
      <c r="N157" s="48" t="s">
        <v>49</v>
      </c>
      <c r="O157" s="33" t="str">
        <f t="shared" si="9"/>
        <v>260705_T1_FLC_S2</v>
      </c>
      <c r="P157">
        <v>3</v>
      </c>
      <c r="Q157">
        <v>2</v>
      </c>
      <c r="R157" t="s">
        <v>7</v>
      </c>
      <c r="S157" t="s">
        <v>49</v>
      </c>
    </row>
    <row r="158" spans="1:19">
      <c r="A158" s="37">
        <v>5</v>
      </c>
      <c r="B158" s="31">
        <v>3</v>
      </c>
      <c r="C158" s="38">
        <v>3</v>
      </c>
      <c r="D158" s="38">
        <v>3</v>
      </c>
      <c r="E158" s="39">
        <v>46208</v>
      </c>
      <c r="F158" s="49" t="s">
        <v>86</v>
      </c>
      <c r="G158" s="31" t="s">
        <v>41</v>
      </c>
      <c r="H158" s="48" t="s">
        <v>31</v>
      </c>
      <c r="I158" s="31" t="s">
        <v>90</v>
      </c>
      <c r="J158" s="31" t="str">
        <f t="shared" si="8"/>
        <v>Push</v>
      </c>
      <c r="K158" s="40"/>
      <c r="L158" s="48" t="s">
        <v>41</v>
      </c>
      <c r="M158" s="48" t="s">
        <v>29</v>
      </c>
      <c r="N158" s="48" t="s">
        <v>47</v>
      </c>
      <c r="O158" s="33" t="str">
        <f t="shared" si="9"/>
        <v>260705_T1_FLC_S3</v>
      </c>
      <c r="P158">
        <v>139.62</v>
      </c>
      <c r="Q158">
        <v>28.22</v>
      </c>
      <c r="R158" t="s">
        <v>7</v>
      </c>
      <c r="S158" t="s">
        <v>47</v>
      </c>
    </row>
    <row r="159" spans="1:19">
      <c r="A159" s="13">
        <v>6</v>
      </c>
      <c r="B159" s="15">
        <v>1</v>
      </c>
      <c r="C159">
        <v>1</v>
      </c>
      <c r="D159">
        <v>1</v>
      </c>
      <c r="E159" s="18">
        <v>46213</v>
      </c>
      <c r="F159" t="s">
        <v>92</v>
      </c>
      <c r="G159" s="15" t="s">
        <v>31</v>
      </c>
      <c r="H159" s="20" t="s">
        <v>21</v>
      </c>
      <c r="I159" s="15" t="s">
        <v>33</v>
      </c>
      <c r="J159" s="15" t="str">
        <f t="shared" si="8"/>
        <v>Control</v>
      </c>
      <c r="L159" s="20" t="s">
        <v>21</v>
      </c>
      <c r="M159" s="20" t="s">
        <v>68</v>
      </c>
      <c r="N159" s="20" t="s">
        <v>67</v>
      </c>
      <c r="O159" s="2" t="str">
        <f t="shared" si="9"/>
        <v>260710_FLC_ROZE_S1</v>
      </c>
      <c r="P159">
        <v>1</v>
      </c>
      <c r="Q159">
        <v>2</v>
      </c>
      <c r="R159" t="s">
        <v>7</v>
      </c>
      <c r="S159" t="s">
        <v>67</v>
      </c>
    </row>
    <row r="160" spans="1:19">
      <c r="A160" s="13">
        <v>6</v>
      </c>
      <c r="B160" s="15">
        <v>1</v>
      </c>
      <c r="C160">
        <v>1</v>
      </c>
      <c r="D160">
        <v>2</v>
      </c>
      <c r="E160" s="18">
        <v>46213</v>
      </c>
      <c r="F160" t="s">
        <v>92</v>
      </c>
      <c r="G160" s="15" t="s">
        <v>31</v>
      </c>
      <c r="H160" s="20" t="s">
        <v>21</v>
      </c>
      <c r="I160" s="15" t="s">
        <v>44</v>
      </c>
      <c r="J160" s="15" t="str">
        <f t="shared" si="8"/>
        <v>Flashpoint</v>
      </c>
      <c r="L160" s="20" t="s">
        <v>21</v>
      </c>
      <c r="M160" s="20" t="s">
        <v>78</v>
      </c>
      <c r="N160" s="52" t="s">
        <v>62</v>
      </c>
      <c r="O160" s="2" t="str">
        <f t="shared" si="9"/>
        <v>260710_FLC_ROZE_S2</v>
      </c>
      <c r="P160">
        <v>0</v>
      </c>
      <c r="Q160">
        <v>3</v>
      </c>
      <c r="R160" t="s">
        <v>7</v>
      </c>
      <c r="S160" t="s">
        <v>62</v>
      </c>
    </row>
    <row r="161" spans="1:19">
      <c r="A161" s="13">
        <v>6</v>
      </c>
      <c r="B161" s="15">
        <v>1</v>
      </c>
      <c r="C161">
        <v>1</v>
      </c>
      <c r="D161">
        <v>3</v>
      </c>
      <c r="E161" s="18">
        <v>46213</v>
      </c>
      <c r="F161" t="s">
        <v>92</v>
      </c>
      <c r="G161" s="15" t="s">
        <v>31</v>
      </c>
      <c r="H161" s="20" t="s">
        <v>21</v>
      </c>
      <c r="I161" s="15" t="s">
        <v>69</v>
      </c>
      <c r="J161" s="15" t="str">
        <f t="shared" si="8"/>
        <v>Escort</v>
      </c>
      <c r="L161" s="20" t="s">
        <v>31</v>
      </c>
      <c r="M161" s="20" t="s">
        <v>49</v>
      </c>
      <c r="N161" s="20" t="s">
        <v>52</v>
      </c>
      <c r="O161" s="2" t="str">
        <f t="shared" si="9"/>
        <v>260710_FLC_ROZE_S3</v>
      </c>
      <c r="P161">
        <v>3</v>
      </c>
      <c r="Q161">
        <v>2</v>
      </c>
      <c r="R161" t="s">
        <v>6</v>
      </c>
      <c r="S161" t="s">
        <v>49</v>
      </c>
    </row>
    <row r="162" spans="1:19">
      <c r="A162" s="13">
        <v>6</v>
      </c>
      <c r="B162" s="15">
        <v>1</v>
      </c>
      <c r="C162">
        <v>1</v>
      </c>
      <c r="D162">
        <v>4</v>
      </c>
      <c r="E162" s="18">
        <v>46213</v>
      </c>
      <c r="F162" t="s">
        <v>92</v>
      </c>
      <c r="G162" s="15" t="s">
        <v>31</v>
      </c>
      <c r="H162" s="20" t="s">
        <v>21</v>
      </c>
      <c r="I162" s="15" t="s">
        <v>89</v>
      </c>
      <c r="J162" s="15" t="str">
        <f t="shared" ref="J162:J193" si="10">IF(OR(I162="Antarctic Peninsula", I162="Nepal", I162="Lijiang Tower", I162="Busan", I162="Samoa", I162="Oasis", I162="Ilios"), "Control", IF(OR(I162="Route 66", I162="Watchpoint: Gibraltar", I162="Dorado", I162="Rialto", I162="Shambali Monastery", I162="Circuit Royal", I162="Junkertown", I162="Havana"), "Escort", IF(OR(I162="Neon Junction", I162="Numbani", I162="Midtown", I162="Blizzard World", I162="Eichenwalde", I162="King's Row", I162="Paraiso", I162="Hollywood"), "Hybrid", IF(OR(I162="New Queen Street", I162="Esperanca", I162="Colosseo", I162="Runasapi"), "Push", IF(OR(I162="New Junk City", I162="Suravasa", I162="Aatlis"), "Flashpoint", "")))))</f>
        <v>Hybrid</v>
      </c>
      <c r="L162" s="20" t="s">
        <v>31</v>
      </c>
      <c r="M162" s="20" t="s">
        <v>46</v>
      </c>
      <c r="N162" s="20" t="s">
        <v>30</v>
      </c>
      <c r="O162" s="2" t="str">
        <f t="shared" ref="O162:O189" si="11">TEXT(E162, "yymmdd") &amp; "_" &amp; G162 &amp; "_" &amp; H162 &amp; "_S" &amp; D162</f>
        <v>260710_FLC_ROZE_S4</v>
      </c>
      <c r="P162">
        <v>2</v>
      </c>
      <c r="Q162">
        <v>0</v>
      </c>
      <c r="R162" t="s">
        <v>7</v>
      </c>
      <c r="S162" t="s">
        <v>30</v>
      </c>
    </row>
    <row r="163" spans="1:19">
      <c r="A163" s="13">
        <v>6</v>
      </c>
      <c r="B163" s="15">
        <v>1</v>
      </c>
      <c r="C163">
        <v>1</v>
      </c>
      <c r="D163">
        <v>5</v>
      </c>
      <c r="E163" s="18">
        <v>46213</v>
      </c>
      <c r="F163" t="s">
        <v>92</v>
      </c>
      <c r="G163" s="15" t="s">
        <v>31</v>
      </c>
      <c r="H163" s="20" t="s">
        <v>21</v>
      </c>
      <c r="I163" s="15" t="s">
        <v>90</v>
      </c>
      <c r="J163" s="15" t="str">
        <f t="shared" si="10"/>
        <v>Push</v>
      </c>
      <c r="L163" s="20" t="s">
        <v>21</v>
      </c>
      <c r="M163" s="20" t="s">
        <v>79</v>
      </c>
      <c r="N163" s="20" t="s">
        <v>26</v>
      </c>
      <c r="O163" s="2" t="str">
        <f t="shared" si="11"/>
        <v>260710_FLC_ROZE_S5</v>
      </c>
      <c r="P163">
        <v>85.17</v>
      </c>
      <c r="Q163">
        <v>97.71</v>
      </c>
      <c r="R163" t="s">
        <v>7</v>
      </c>
      <c r="S163" t="s">
        <v>26</v>
      </c>
    </row>
    <row r="164" spans="1:19">
      <c r="A164" s="13">
        <v>6</v>
      </c>
      <c r="B164" s="15">
        <v>1</v>
      </c>
      <c r="C164">
        <v>1</v>
      </c>
      <c r="D164">
        <v>6</v>
      </c>
      <c r="E164" s="18">
        <v>46213</v>
      </c>
      <c r="F164" t="s">
        <v>92</v>
      </c>
      <c r="G164" s="15" t="s">
        <v>31</v>
      </c>
      <c r="H164" s="20" t="s">
        <v>21</v>
      </c>
      <c r="I164" s="15" t="s">
        <v>87</v>
      </c>
      <c r="J164" s="15" t="str">
        <f t="shared" si="10"/>
        <v>Control</v>
      </c>
      <c r="L164" s="20" t="s">
        <v>21</v>
      </c>
      <c r="M164" s="20" t="s">
        <v>47</v>
      </c>
      <c r="N164" s="20" t="s">
        <v>36</v>
      </c>
      <c r="O164" s="2" t="str">
        <f t="shared" si="11"/>
        <v>260710_FLC_ROZE_S6</v>
      </c>
      <c r="P164">
        <v>0</v>
      </c>
      <c r="Q164">
        <v>2</v>
      </c>
      <c r="R164" t="s">
        <v>6</v>
      </c>
      <c r="S164" t="s">
        <v>47</v>
      </c>
    </row>
    <row r="165" spans="1:19">
      <c r="A165" s="37">
        <v>6</v>
      </c>
      <c r="B165" s="31">
        <v>1</v>
      </c>
      <c r="C165" s="38">
        <v>2</v>
      </c>
      <c r="D165" s="38">
        <v>1</v>
      </c>
      <c r="E165" s="39">
        <v>46213</v>
      </c>
      <c r="F165" s="38" t="s">
        <v>92</v>
      </c>
      <c r="G165" s="31" t="s">
        <v>42</v>
      </c>
      <c r="H165" s="48" t="s">
        <v>20</v>
      </c>
      <c r="I165" s="31" t="s">
        <v>33</v>
      </c>
      <c r="J165" s="31" t="str">
        <f t="shared" si="10"/>
        <v>Control</v>
      </c>
      <c r="K165" s="40"/>
      <c r="L165" s="48" t="s">
        <v>42</v>
      </c>
      <c r="M165" s="48" t="s">
        <v>47</v>
      </c>
      <c r="N165" s="48" t="s">
        <v>24</v>
      </c>
      <c r="O165" s="33" t="str">
        <f t="shared" si="11"/>
        <v>260710_ZETA_O2_S1</v>
      </c>
      <c r="P165">
        <v>2</v>
      </c>
      <c r="Q165">
        <v>0</v>
      </c>
      <c r="R165" t="s">
        <v>7</v>
      </c>
      <c r="S165" t="s">
        <v>24</v>
      </c>
    </row>
    <row r="166" spans="1:19">
      <c r="A166" s="37">
        <v>6</v>
      </c>
      <c r="B166" s="31">
        <v>1</v>
      </c>
      <c r="C166" s="38">
        <v>2</v>
      </c>
      <c r="D166" s="38">
        <v>2</v>
      </c>
      <c r="E166" s="39">
        <v>46213</v>
      </c>
      <c r="F166" s="38" t="s">
        <v>92</v>
      </c>
      <c r="G166" s="31" t="s">
        <v>42</v>
      </c>
      <c r="H166" s="48" t="s">
        <v>20</v>
      </c>
      <c r="I166" s="31" t="s">
        <v>88</v>
      </c>
      <c r="J166" s="31" t="str">
        <f t="shared" si="10"/>
        <v>Flashpoint</v>
      </c>
      <c r="K166" s="40"/>
      <c r="L166" s="48" t="s">
        <v>42</v>
      </c>
      <c r="M166" s="48" t="s">
        <v>29</v>
      </c>
      <c r="N166" s="48" t="s">
        <v>23</v>
      </c>
      <c r="O166" s="33" t="str">
        <f t="shared" si="11"/>
        <v>260710_ZETA_O2_S2</v>
      </c>
      <c r="P166">
        <v>3</v>
      </c>
      <c r="Q166">
        <v>2</v>
      </c>
      <c r="R166" t="s">
        <v>7</v>
      </c>
      <c r="S166" t="s">
        <v>23</v>
      </c>
    </row>
    <row r="167" spans="1:19">
      <c r="A167" s="37">
        <v>6</v>
      </c>
      <c r="B167" s="31">
        <v>1</v>
      </c>
      <c r="C167" s="38">
        <v>2</v>
      </c>
      <c r="D167" s="38">
        <v>3</v>
      </c>
      <c r="E167" s="39">
        <v>46213</v>
      </c>
      <c r="F167" s="38" t="s">
        <v>92</v>
      </c>
      <c r="G167" s="31" t="s">
        <v>42</v>
      </c>
      <c r="H167" s="48" t="s">
        <v>20</v>
      </c>
      <c r="I167" s="31" t="s">
        <v>90</v>
      </c>
      <c r="J167" s="31" t="str">
        <f t="shared" si="10"/>
        <v>Push</v>
      </c>
      <c r="K167" s="40"/>
      <c r="L167" s="48" t="s">
        <v>42</v>
      </c>
      <c r="M167" s="48" t="s">
        <v>58</v>
      </c>
      <c r="N167" s="48" t="s">
        <v>36</v>
      </c>
      <c r="O167" s="33" t="str">
        <f t="shared" si="11"/>
        <v>260710_ZETA_O2_S3</v>
      </c>
      <c r="P167">
        <v>133.78</v>
      </c>
      <c r="Q167">
        <v>64.55</v>
      </c>
      <c r="R167" t="s">
        <v>7</v>
      </c>
      <c r="S167" t="s">
        <v>36</v>
      </c>
    </row>
    <row r="168" spans="1:19">
      <c r="A168" s="37">
        <v>6</v>
      </c>
      <c r="B168" s="31">
        <v>1</v>
      </c>
      <c r="C168" s="38">
        <v>2</v>
      </c>
      <c r="D168" s="38">
        <v>4</v>
      </c>
      <c r="E168" s="39">
        <v>46213</v>
      </c>
      <c r="F168" s="38" t="s">
        <v>92</v>
      </c>
      <c r="G168" s="31" t="s">
        <v>42</v>
      </c>
      <c r="H168" s="48" t="s">
        <v>20</v>
      </c>
      <c r="I168" s="31" t="s">
        <v>61</v>
      </c>
      <c r="J168" s="31" t="str">
        <f t="shared" si="10"/>
        <v>Hybrid</v>
      </c>
      <c r="K168" s="40"/>
      <c r="L168" s="48" t="s">
        <v>42</v>
      </c>
      <c r="M168" s="48" t="s">
        <v>48</v>
      </c>
      <c r="N168" s="48" t="s">
        <v>35</v>
      </c>
      <c r="O168" s="33" t="str">
        <f t="shared" si="11"/>
        <v>260710_ZETA_O2_S4</v>
      </c>
      <c r="P168">
        <v>3</v>
      </c>
      <c r="Q168">
        <v>1</v>
      </c>
      <c r="R168" t="s">
        <v>7</v>
      </c>
      <c r="S168" t="s">
        <v>35</v>
      </c>
    </row>
    <row r="169" spans="1:19">
      <c r="A169" s="13">
        <v>6</v>
      </c>
      <c r="B169" s="15">
        <v>2</v>
      </c>
      <c r="C169">
        <v>1</v>
      </c>
      <c r="D169">
        <v>1</v>
      </c>
      <c r="E169" s="18">
        <v>46214</v>
      </c>
      <c r="F169" t="s">
        <v>92</v>
      </c>
      <c r="G169" s="15" t="s">
        <v>32</v>
      </c>
      <c r="H169" s="20" t="s">
        <v>21</v>
      </c>
      <c r="I169" s="15" t="s">
        <v>33</v>
      </c>
      <c r="J169" s="15" t="str">
        <f t="shared" si="10"/>
        <v>Control</v>
      </c>
      <c r="L169" s="20" t="s">
        <v>32</v>
      </c>
      <c r="M169" s="20" t="s">
        <v>46</v>
      </c>
      <c r="N169" s="20" t="s">
        <v>67</v>
      </c>
      <c r="O169" s="2" t="str">
        <f t="shared" si="11"/>
        <v>260711_CR_ROZE_S1</v>
      </c>
      <c r="P169">
        <v>2</v>
      </c>
      <c r="Q169">
        <v>0</v>
      </c>
      <c r="R169" t="s">
        <v>7</v>
      </c>
      <c r="S169" t="s">
        <v>67</v>
      </c>
    </row>
    <row r="170" spans="1:19">
      <c r="A170" s="13">
        <v>6</v>
      </c>
      <c r="B170" s="15">
        <v>2</v>
      </c>
      <c r="C170">
        <v>1</v>
      </c>
      <c r="D170">
        <v>2</v>
      </c>
      <c r="E170" s="18">
        <v>46214</v>
      </c>
      <c r="F170" t="s">
        <v>92</v>
      </c>
      <c r="G170" s="15" t="s">
        <v>32</v>
      </c>
      <c r="H170" s="20" t="s">
        <v>21</v>
      </c>
      <c r="I170" s="15" t="s">
        <v>44</v>
      </c>
      <c r="J170" s="15" t="str">
        <f t="shared" si="10"/>
        <v>Flashpoint</v>
      </c>
      <c r="L170" s="20" t="s">
        <v>32</v>
      </c>
      <c r="M170" s="20" t="s">
        <v>48</v>
      </c>
      <c r="N170" s="20" t="s">
        <v>45</v>
      </c>
      <c r="O170" s="2" t="str">
        <f t="shared" si="11"/>
        <v>260711_CR_ROZE_S2</v>
      </c>
      <c r="P170">
        <v>3</v>
      </c>
      <c r="Q170">
        <v>2</v>
      </c>
      <c r="R170" t="s">
        <v>7</v>
      </c>
      <c r="S170" t="s">
        <v>45</v>
      </c>
    </row>
    <row r="171" spans="1:19">
      <c r="A171" s="13">
        <v>6</v>
      </c>
      <c r="B171" s="15">
        <v>2</v>
      </c>
      <c r="C171">
        <v>1</v>
      </c>
      <c r="D171">
        <v>3</v>
      </c>
      <c r="E171" s="18">
        <v>46214</v>
      </c>
      <c r="F171" t="s">
        <v>92</v>
      </c>
      <c r="G171" s="15" t="s">
        <v>32</v>
      </c>
      <c r="H171" s="20" t="s">
        <v>21</v>
      </c>
      <c r="I171" s="15" t="s">
        <v>90</v>
      </c>
      <c r="J171" s="15" t="str">
        <f t="shared" si="10"/>
        <v>Push</v>
      </c>
      <c r="L171" s="20" t="s">
        <v>21</v>
      </c>
      <c r="M171" s="20" t="s">
        <v>29</v>
      </c>
      <c r="N171" s="20" t="s">
        <v>26</v>
      </c>
      <c r="O171" s="2" t="str">
        <f t="shared" si="11"/>
        <v>260711_CR_ROZE_S3</v>
      </c>
      <c r="P171">
        <v>84.42</v>
      </c>
      <c r="Q171">
        <v>128.9</v>
      </c>
      <c r="R171" t="s">
        <v>7</v>
      </c>
      <c r="S171" t="s">
        <v>26</v>
      </c>
    </row>
    <row r="172" spans="1:19">
      <c r="A172" s="13">
        <v>6</v>
      </c>
      <c r="B172" s="15">
        <v>2</v>
      </c>
      <c r="C172">
        <v>1</v>
      </c>
      <c r="D172">
        <v>4</v>
      </c>
      <c r="E172" s="18">
        <v>46214</v>
      </c>
      <c r="F172" t="s">
        <v>92</v>
      </c>
      <c r="G172" s="15" t="s">
        <v>32</v>
      </c>
      <c r="H172" s="20" t="s">
        <v>21</v>
      </c>
      <c r="I172" s="15" t="s">
        <v>69</v>
      </c>
      <c r="J172" s="15" t="str">
        <f t="shared" si="10"/>
        <v>Escort</v>
      </c>
      <c r="L172" s="20" t="s">
        <v>32</v>
      </c>
      <c r="M172" s="20" t="s">
        <v>35</v>
      </c>
      <c r="N172" s="20" t="s">
        <v>24</v>
      </c>
      <c r="O172" s="2" t="str">
        <f t="shared" si="11"/>
        <v>260711_CR_ROZE_S4</v>
      </c>
      <c r="P172">
        <v>3</v>
      </c>
      <c r="Q172">
        <v>2</v>
      </c>
      <c r="R172" t="s">
        <v>6</v>
      </c>
      <c r="S172" t="s">
        <v>35</v>
      </c>
    </row>
    <row r="173" spans="1:19">
      <c r="A173" s="13">
        <v>6</v>
      </c>
      <c r="B173" s="15">
        <v>2</v>
      </c>
      <c r="C173">
        <v>1</v>
      </c>
      <c r="D173">
        <v>5</v>
      </c>
      <c r="E173" s="18">
        <v>46214</v>
      </c>
      <c r="F173" t="s">
        <v>92</v>
      </c>
      <c r="G173" s="15" t="s">
        <v>32</v>
      </c>
      <c r="H173" s="20" t="s">
        <v>21</v>
      </c>
      <c r="I173" s="15" t="s">
        <v>89</v>
      </c>
      <c r="J173" s="15" t="str">
        <f t="shared" si="10"/>
        <v>Hybrid</v>
      </c>
      <c r="L173" s="20" t="s">
        <v>32</v>
      </c>
      <c r="M173" s="20" t="s">
        <v>47</v>
      </c>
      <c r="N173" s="20" t="s">
        <v>36</v>
      </c>
      <c r="O173" s="2" t="str">
        <f t="shared" si="11"/>
        <v>260711_CR_ROZE_S5</v>
      </c>
      <c r="P173">
        <v>2</v>
      </c>
      <c r="Q173">
        <v>1</v>
      </c>
      <c r="R173" t="s">
        <v>7</v>
      </c>
      <c r="S173" t="s">
        <v>36</v>
      </c>
    </row>
    <row r="174" spans="1:19">
      <c r="A174" s="37">
        <v>6</v>
      </c>
      <c r="B174" s="31">
        <v>2</v>
      </c>
      <c r="C174" s="38">
        <v>2</v>
      </c>
      <c r="D174" s="38">
        <v>1</v>
      </c>
      <c r="E174" s="39">
        <v>46214</v>
      </c>
      <c r="F174" s="38" t="s">
        <v>92</v>
      </c>
      <c r="G174" s="31" t="s">
        <v>41</v>
      </c>
      <c r="H174" s="48" t="s">
        <v>42</v>
      </c>
      <c r="I174" s="31" t="s">
        <v>33</v>
      </c>
      <c r="J174" s="31" t="str">
        <f t="shared" si="10"/>
        <v>Control</v>
      </c>
      <c r="K174" s="40"/>
      <c r="L174" s="48" t="s">
        <v>42</v>
      </c>
      <c r="M174" s="48" t="s">
        <v>24</v>
      </c>
      <c r="N174" s="48" t="s">
        <v>93</v>
      </c>
      <c r="O174" s="33" t="str">
        <f t="shared" si="11"/>
        <v>260711_T1_ZETA_S1</v>
      </c>
      <c r="P174">
        <v>0</v>
      </c>
      <c r="Q174">
        <v>2</v>
      </c>
      <c r="R174" t="s">
        <v>6</v>
      </c>
      <c r="S174" t="s">
        <v>24</v>
      </c>
    </row>
    <row r="175" spans="1:19">
      <c r="A175" s="37">
        <v>6</v>
      </c>
      <c r="B175" s="31">
        <v>2</v>
      </c>
      <c r="C175" s="38">
        <v>2</v>
      </c>
      <c r="D175" s="38">
        <v>2</v>
      </c>
      <c r="E175" s="39">
        <v>46214</v>
      </c>
      <c r="F175" s="38" t="s">
        <v>92</v>
      </c>
      <c r="G175" s="31" t="s">
        <v>41</v>
      </c>
      <c r="H175" s="48" t="s">
        <v>42</v>
      </c>
      <c r="I175" s="31" t="s">
        <v>69</v>
      </c>
      <c r="J175" s="31" t="str">
        <f t="shared" si="10"/>
        <v>Escort</v>
      </c>
      <c r="K175" s="40"/>
      <c r="L175" s="48" t="s">
        <v>42</v>
      </c>
      <c r="M175" s="48" t="s">
        <v>57</v>
      </c>
      <c r="N175" s="48" t="s">
        <v>36</v>
      </c>
      <c r="O175" s="33" t="str">
        <f t="shared" si="11"/>
        <v>260711_T1_ZETA_S2</v>
      </c>
      <c r="P175">
        <v>1</v>
      </c>
      <c r="Q175">
        <v>2</v>
      </c>
      <c r="R175" t="s">
        <v>6</v>
      </c>
      <c r="S175" t="s">
        <v>57</v>
      </c>
    </row>
    <row r="176" spans="1:19">
      <c r="A176" s="37">
        <v>6</v>
      </c>
      <c r="B176" s="31">
        <v>2</v>
      </c>
      <c r="C176" s="38">
        <v>2</v>
      </c>
      <c r="D176" s="38">
        <v>3</v>
      </c>
      <c r="E176" s="39">
        <v>46214</v>
      </c>
      <c r="F176" s="38" t="s">
        <v>92</v>
      </c>
      <c r="G176" s="31" t="s">
        <v>41</v>
      </c>
      <c r="H176" s="48" t="s">
        <v>42</v>
      </c>
      <c r="I176" s="31" t="s">
        <v>88</v>
      </c>
      <c r="J176" s="31" t="str">
        <f t="shared" si="10"/>
        <v>Flashpoint</v>
      </c>
      <c r="K176" s="40"/>
      <c r="L176" s="48" t="s">
        <v>41</v>
      </c>
      <c r="M176" s="48" t="s">
        <v>38</v>
      </c>
      <c r="N176" s="48" t="s">
        <v>40</v>
      </c>
      <c r="O176" s="33" t="str">
        <f t="shared" si="11"/>
        <v>260711_T1_ZETA_S3</v>
      </c>
      <c r="P176">
        <v>3</v>
      </c>
      <c r="Q176">
        <v>2</v>
      </c>
      <c r="R176" t="s">
        <v>7</v>
      </c>
      <c r="S176" t="s">
        <v>40</v>
      </c>
    </row>
    <row r="177" spans="1:19">
      <c r="A177" s="37">
        <v>6</v>
      </c>
      <c r="B177" s="31">
        <v>2</v>
      </c>
      <c r="C177" s="38">
        <v>2</v>
      </c>
      <c r="D177" s="38">
        <v>4</v>
      </c>
      <c r="E177" s="39">
        <v>46214</v>
      </c>
      <c r="F177" s="38" t="s">
        <v>92</v>
      </c>
      <c r="G177" s="31" t="s">
        <v>41</v>
      </c>
      <c r="H177" s="48" t="s">
        <v>42</v>
      </c>
      <c r="I177" s="31" t="s">
        <v>90</v>
      </c>
      <c r="J177" s="31" t="str">
        <f t="shared" si="10"/>
        <v>Push</v>
      </c>
      <c r="K177" s="40"/>
      <c r="L177" s="48" t="s">
        <v>42</v>
      </c>
      <c r="M177" s="48" t="s">
        <v>23</v>
      </c>
      <c r="N177" s="48" t="s">
        <v>29</v>
      </c>
      <c r="O177" s="33" t="str">
        <f t="shared" si="11"/>
        <v>260711_T1_ZETA_S4</v>
      </c>
      <c r="P177">
        <v>93.92</v>
      </c>
      <c r="Q177">
        <v>93.93</v>
      </c>
      <c r="R177" t="s">
        <v>7</v>
      </c>
      <c r="S177" t="s">
        <v>29</v>
      </c>
    </row>
    <row r="178" spans="1:19">
      <c r="A178" s="37">
        <v>6</v>
      </c>
      <c r="B178" s="31">
        <v>2</v>
      </c>
      <c r="C178" s="38">
        <v>2</v>
      </c>
      <c r="D178" s="38">
        <v>5</v>
      </c>
      <c r="E178" s="39">
        <v>46214</v>
      </c>
      <c r="F178" s="38" t="s">
        <v>92</v>
      </c>
      <c r="G178" s="31" t="s">
        <v>41</v>
      </c>
      <c r="H178" s="48" t="s">
        <v>42</v>
      </c>
      <c r="I178" s="31" t="s">
        <v>89</v>
      </c>
      <c r="J178" s="31" t="str">
        <f t="shared" si="10"/>
        <v>Hybrid</v>
      </c>
      <c r="K178" s="40"/>
      <c r="L178" s="48" t="s">
        <v>42</v>
      </c>
      <c r="M178" s="48" t="s">
        <v>36</v>
      </c>
      <c r="N178" s="48" t="s">
        <v>48</v>
      </c>
      <c r="O178" s="33" t="str">
        <f t="shared" si="11"/>
        <v>260711_T1_ZETA_S5</v>
      </c>
      <c r="P178">
        <v>1</v>
      </c>
      <c r="Q178">
        <v>2</v>
      </c>
      <c r="R178" t="s">
        <v>6</v>
      </c>
      <c r="S178" t="s">
        <v>36</v>
      </c>
    </row>
    <row r="179" spans="1:19">
      <c r="A179" s="13">
        <v>6</v>
      </c>
      <c r="B179" s="15">
        <v>3</v>
      </c>
      <c r="C179">
        <v>1</v>
      </c>
      <c r="D179">
        <v>1</v>
      </c>
      <c r="E179" s="18">
        <v>46215</v>
      </c>
      <c r="F179" t="s">
        <v>92</v>
      </c>
      <c r="G179" s="15" t="s">
        <v>21</v>
      </c>
      <c r="H179" s="20" t="s">
        <v>41</v>
      </c>
      <c r="I179" s="15" t="s">
        <v>22</v>
      </c>
      <c r="J179" s="15" t="str">
        <f t="shared" si="10"/>
        <v>Control</v>
      </c>
      <c r="L179" s="20" t="s">
        <v>41</v>
      </c>
      <c r="M179" s="20" t="s">
        <v>46</v>
      </c>
      <c r="N179" s="20" t="s">
        <v>29</v>
      </c>
      <c r="O179" s="2" t="str">
        <f t="shared" si="11"/>
        <v>260712_ROZE_T1_S1</v>
      </c>
      <c r="P179">
        <v>0</v>
      </c>
      <c r="Q179">
        <v>2</v>
      </c>
      <c r="R179" t="s">
        <v>7</v>
      </c>
      <c r="S179" t="s">
        <v>29</v>
      </c>
    </row>
    <row r="180" spans="1:19">
      <c r="A180" s="13">
        <v>6</v>
      </c>
      <c r="B180" s="15">
        <v>3</v>
      </c>
      <c r="C180">
        <v>1</v>
      </c>
      <c r="D180">
        <v>2</v>
      </c>
      <c r="E180" s="18">
        <v>46215</v>
      </c>
      <c r="F180" t="s">
        <v>92</v>
      </c>
      <c r="G180" s="15" t="s">
        <v>21</v>
      </c>
      <c r="H180" s="20" t="s">
        <v>41</v>
      </c>
      <c r="I180" s="15" t="s">
        <v>69</v>
      </c>
      <c r="J180" s="15" t="str">
        <f t="shared" si="10"/>
        <v>Escort</v>
      </c>
      <c r="L180" s="20" t="s">
        <v>41</v>
      </c>
      <c r="M180" s="20" t="s">
        <v>36</v>
      </c>
      <c r="N180" s="20" t="s">
        <v>48</v>
      </c>
      <c r="O180" s="2" t="str">
        <f t="shared" si="11"/>
        <v>260712_ROZE_T1_S2</v>
      </c>
      <c r="P180">
        <v>2</v>
      </c>
      <c r="Q180">
        <v>3</v>
      </c>
      <c r="R180" t="s">
        <v>6</v>
      </c>
      <c r="S180" t="s">
        <v>36</v>
      </c>
    </row>
    <row r="181" spans="1:19">
      <c r="A181" s="13">
        <v>6</v>
      </c>
      <c r="B181" s="15">
        <v>3</v>
      </c>
      <c r="C181">
        <v>1</v>
      </c>
      <c r="D181">
        <v>3</v>
      </c>
      <c r="E181" s="18">
        <v>46215</v>
      </c>
      <c r="F181" t="s">
        <v>92</v>
      </c>
      <c r="G181" s="15" t="s">
        <v>21</v>
      </c>
      <c r="H181" s="20" t="s">
        <v>41</v>
      </c>
      <c r="I181" s="15" t="s">
        <v>44</v>
      </c>
      <c r="J181" s="15" t="str">
        <f t="shared" si="10"/>
        <v>Flashpoint</v>
      </c>
      <c r="L181" s="20" t="s">
        <v>41</v>
      </c>
      <c r="M181" s="20" t="s">
        <v>83</v>
      </c>
      <c r="N181" s="20" t="s">
        <v>64</v>
      </c>
      <c r="O181" s="2" t="str">
        <f t="shared" si="11"/>
        <v>260712_ROZE_T1_S3</v>
      </c>
      <c r="P181">
        <v>0</v>
      </c>
      <c r="Q181">
        <v>3</v>
      </c>
      <c r="R181" t="s">
        <v>6</v>
      </c>
      <c r="S181" t="s">
        <v>83</v>
      </c>
    </row>
    <row r="182" spans="1:19">
      <c r="A182" s="13">
        <v>6</v>
      </c>
      <c r="B182" s="15">
        <v>3</v>
      </c>
      <c r="C182">
        <v>1</v>
      </c>
      <c r="D182">
        <v>4</v>
      </c>
      <c r="E182" s="18">
        <v>46215</v>
      </c>
      <c r="F182" t="s">
        <v>92</v>
      </c>
      <c r="G182" s="15" t="s">
        <v>21</v>
      </c>
      <c r="H182" s="20" t="s">
        <v>41</v>
      </c>
      <c r="I182" s="15" t="s">
        <v>90</v>
      </c>
      <c r="J182" s="15" t="str">
        <f t="shared" si="10"/>
        <v>Push</v>
      </c>
      <c r="L182" s="20" t="s">
        <v>21</v>
      </c>
      <c r="M182" s="20" t="s">
        <v>59</v>
      </c>
      <c r="N182" s="20" t="s">
        <v>24</v>
      </c>
      <c r="O182" s="2" t="str">
        <f t="shared" si="11"/>
        <v>260712_ROZE_T1_S4</v>
      </c>
      <c r="P182">
        <v>93.3</v>
      </c>
      <c r="Q182">
        <v>82.27</v>
      </c>
      <c r="R182" t="s">
        <v>6</v>
      </c>
      <c r="S182" t="s">
        <v>59</v>
      </c>
    </row>
    <row r="183" spans="1:19">
      <c r="A183" s="13">
        <v>6</v>
      </c>
      <c r="B183" s="15">
        <v>3</v>
      </c>
      <c r="C183">
        <v>1</v>
      </c>
      <c r="D183">
        <v>5</v>
      </c>
      <c r="E183" s="18">
        <v>46215</v>
      </c>
      <c r="F183" t="s">
        <v>92</v>
      </c>
      <c r="G183" s="15" t="s">
        <v>21</v>
      </c>
      <c r="H183" s="20" t="s">
        <v>41</v>
      </c>
      <c r="I183" s="15" t="s">
        <v>89</v>
      </c>
      <c r="J183" s="15" t="str">
        <f t="shared" si="10"/>
        <v>Hybrid</v>
      </c>
      <c r="L183" s="20" t="s">
        <v>41</v>
      </c>
      <c r="M183" s="20" t="s">
        <v>26</v>
      </c>
      <c r="N183" s="20" t="s">
        <v>46</v>
      </c>
      <c r="O183" s="2" t="str">
        <f t="shared" si="11"/>
        <v>260712_ROZE_T1_S5</v>
      </c>
      <c r="P183">
        <v>0</v>
      </c>
      <c r="Q183">
        <v>3</v>
      </c>
      <c r="R183" t="s">
        <v>7</v>
      </c>
      <c r="S183" t="s">
        <v>46</v>
      </c>
    </row>
    <row r="184" spans="1:19">
      <c r="A184" s="37">
        <v>6</v>
      </c>
      <c r="B184" s="31">
        <v>3</v>
      </c>
      <c r="C184" s="38">
        <v>2</v>
      </c>
      <c r="D184" s="38">
        <v>1</v>
      </c>
      <c r="E184" s="39">
        <v>46215</v>
      </c>
      <c r="F184" s="38" t="s">
        <v>92</v>
      </c>
      <c r="G184" s="31" t="s">
        <v>32</v>
      </c>
      <c r="H184" s="48" t="s">
        <v>42</v>
      </c>
      <c r="I184" s="31" t="s">
        <v>33</v>
      </c>
      <c r="J184" s="31" t="str">
        <f t="shared" si="10"/>
        <v>Control</v>
      </c>
      <c r="K184" s="40"/>
      <c r="L184" s="48" t="s">
        <v>32</v>
      </c>
      <c r="M184" s="48" t="s">
        <v>71</v>
      </c>
      <c r="N184" s="48" t="s">
        <v>59</v>
      </c>
      <c r="O184" s="33" t="str">
        <f t="shared" si="11"/>
        <v>260712_CR_ZETA_S1</v>
      </c>
      <c r="P184">
        <v>2</v>
      </c>
      <c r="Q184">
        <v>1</v>
      </c>
      <c r="R184" t="s">
        <v>7</v>
      </c>
      <c r="S184" t="s">
        <v>59</v>
      </c>
    </row>
    <row r="185" spans="1:19">
      <c r="A185" s="37">
        <v>6</v>
      </c>
      <c r="B185" s="31">
        <v>3</v>
      </c>
      <c r="C185" s="38">
        <v>2</v>
      </c>
      <c r="D185" s="38">
        <v>2</v>
      </c>
      <c r="E185" s="39">
        <v>46215</v>
      </c>
      <c r="F185" s="38" t="s">
        <v>92</v>
      </c>
      <c r="G185" s="31" t="s">
        <v>32</v>
      </c>
      <c r="H185" s="48" t="s">
        <v>42</v>
      </c>
      <c r="I185" s="31" t="s">
        <v>44</v>
      </c>
      <c r="J185" s="31" t="str">
        <f t="shared" si="10"/>
        <v>Flashpoint</v>
      </c>
      <c r="K185" s="40"/>
      <c r="L185" s="48" t="s">
        <v>42</v>
      </c>
      <c r="M185" s="48" t="s">
        <v>66</v>
      </c>
      <c r="N185" s="48" t="s">
        <v>81</v>
      </c>
      <c r="O185" s="33" t="str">
        <f t="shared" si="11"/>
        <v>260712_CR_ZETA_S2</v>
      </c>
      <c r="P185">
        <v>2</v>
      </c>
      <c r="Q185">
        <v>3</v>
      </c>
      <c r="R185" t="s">
        <v>6</v>
      </c>
      <c r="S185" t="s">
        <v>66</v>
      </c>
    </row>
    <row r="186" spans="1:19">
      <c r="A186" s="37">
        <v>6</v>
      </c>
      <c r="B186" s="31">
        <v>3</v>
      </c>
      <c r="C186" s="38">
        <v>2</v>
      </c>
      <c r="D186" s="38">
        <v>3</v>
      </c>
      <c r="E186" s="39">
        <v>46215</v>
      </c>
      <c r="F186" s="38" t="s">
        <v>92</v>
      </c>
      <c r="G186" s="31" t="s">
        <v>32</v>
      </c>
      <c r="H186" s="48" t="s">
        <v>42</v>
      </c>
      <c r="I186" s="31" t="s">
        <v>37</v>
      </c>
      <c r="J186" s="31" t="str">
        <f t="shared" si="10"/>
        <v>Hybrid</v>
      </c>
      <c r="K186" s="40"/>
      <c r="L186" s="48" t="s">
        <v>42</v>
      </c>
      <c r="M186" s="48" t="s">
        <v>46</v>
      </c>
      <c r="N186" s="48" t="s">
        <v>48</v>
      </c>
      <c r="O186" s="33" t="str">
        <f t="shared" si="11"/>
        <v>260712_CR_ZETA_S3</v>
      </c>
      <c r="P186">
        <v>1</v>
      </c>
      <c r="Q186">
        <v>2</v>
      </c>
      <c r="R186" t="s">
        <v>7</v>
      </c>
      <c r="S186" t="s">
        <v>48</v>
      </c>
    </row>
    <row r="187" spans="1:19">
      <c r="A187" s="37">
        <v>6</v>
      </c>
      <c r="B187" s="31">
        <v>3</v>
      </c>
      <c r="C187" s="38">
        <v>2</v>
      </c>
      <c r="D187" s="38">
        <v>4</v>
      </c>
      <c r="E187" s="39">
        <v>46215</v>
      </c>
      <c r="F187" s="38" t="s">
        <v>92</v>
      </c>
      <c r="G187" s="31" t="s">
        <v>32</v>
      </c>
      <c r="H187" s="48" t="s">
        <v>42</v>
      </c>
      <c r="I187" s="31" t="s">
        <v>69</v>
      </c>
      <c r="J187" s="31" t="str">
        <f t="shared" si="10"/>
        <v>Escort</v>
      </c>
      <c r="K187" s="40"/>
      <c r="L187" s="48" t="s">
        <v>32</v>
      </c>
      <c r="M187" s="48" t="s">
        <v>55</v>
      </c>
      <c r="N187" s="48" t="s">
        <v>52</v>
      </c>
      <c r="O187" s="33" t="str">
        <f t="shared" si="11"/>
        <v>260712_CR_ZETA_S4</v>
      </c>
      <c r="P187">
        <v>3</v>
      </c>
      <c r="Q187">
        <v>2</v>
      </c>
      <c r="R187" t="s">
        <v>6</v>
      </c>
      <c r="S187" t="s">
        <v>55</v>
      </c>
    </row>
    <row r="188" spans="1:19">
      <c r="A188" s="37">
        <v>6</v>
      </c>
      <c r="B188" s="31">
        <v>3</v>
      </c>
      <c r="C188" s="38">
        <v>2</v>
      </c>
      <c r="D188" s="38">
        <v>5</v>
      </c>
      <c r="E188" s="39">
        <v>46215</v>
      </c>
      <c r="F188" s="38" t="s">
        <v>92</v>
      </c>
      <c r="G188" s="31" t="s">
        <v>32</v>
      </c>
      <c r="H188" s="48" t="s">
        <v>42</v>
      </c>
      <c r="I188" s="31" t="s">
        <v>90</v>
      </c>
      <c r="J188" s="31" t="str">
        <f t="shared" si="10"/>
        <v>Push</v>
      </c>
      <c r="K188" s="40"/>
      <c r="L188" s="48" t="s">
        <v>42</v>
      </c>
      <c r="M188" s="48" t="s">
        <v>47</v>
      </c>
      <c r="N188" s="48" t="s">
        <v>58</v>
      </c>
      <c r="O188" s="33" t="str">
        <f t="shared" si="11"/>
        <v>260712_CR_ZETA_S5</v>
      </c>
      <c r="P188">
        <v>77.53</v>
      </c>
      <c r="Q188">
        <v>103.51</v>
      </c>
      <c r="R188" t="s">
        <v>7</v>
      </c>
      <c r="S188" t="s">
        <v>58</v>
      </c>
    </row>
    <row r="189" spans="1:19">
      <c r="A189" s="37">
        <v>6</v>
      </c>
      <c r="B189" s="31">
        <v>3</v>
      </c>
      <c r="C189" s="38">
        <v>2</v>
      </c>
      <c r="D189" s="38">
        <v>6</v>
      </c>
      <c r="E189" s="39">
        <v>46215</v>
      </c>
      <c r="F189" s="38" t="s">
        <v>92</v>
      </c>
      <c r="G189" s="31" t="s">
        <v>32</v>
      </c>
      <c r="H189" s="48" t="s">
        <v>42</v>
      </c>
      <c r="I189" s="31" t="s">
        <v>89</v>
      </c>
      <c r="J189" s="31" t="str">
        <f t="shared" si="10"/>
        <v>Hybrid</v>
      </c>
      <c r="K189" s="40"/>
      <c r="L189" s="48" t="s">
        <v>42</v>
      </c>
      <c r="M189" s="48" t="s">
        <v>27</v>
      </c>
      <c r="N189" s="48" t="s">
        <v>34</v>
      </c>
      <c r="O189" s="33" t="str">
        <f t="shared" si="11"/>
        <v>260712_CR_ZETA_S6</v>
      </c>
      <c r="P189">
        <v>4</v>
      </c>
      <c r="Q189">
        <v>5</v>
      </c>
      <c r="R189" t="s">
        <v>6</v>
      </c>
      <c r="S189" t="s">
        <v>27</v>
      </c>
    </row>
    <row r="190" spans="1:19">
      <c r="G190"/>
      <c r="J190"/>
    </row>
    <row r="191" spans="1:19">
      <c r="G191"/>
      <c r="J191"/>
    </row>
    <row r="192" spans="1:19">
      <c r="G192"/>
      <c r="J192"/>
    </row>
    <row r="193" spans="7:10">
      <c r="G193"/>
      <c r="J193"/>
    </row>
    <row r="194" spans="7:10">
      <c r="G194"/>
      <c r="J194"/>
    </row>
    <row r="195" spans="7:10">
      <c r="G195"/>
      <c r="J195"/>
    </row>
    <row r="196" spans="7:10">
      <c r="G196"/>
      <c r="J196"/>
    </row>
    <row r="197" spans="7:10">
      <c r="G197"/>
      <c r="J197"/>
    </row>
    <row r="198" spans="7:10">
      <c r="G198"/>
      <c r="J198"/>
    </row>
    <row r="199" spans="7:10">
      <c r="G199"/>
      <c r="J199"/>
    </row>
    <row r="200" spans="7:10">
      <c r="G200"/>
      <c r="J200"/>
    </row>
    <row r="201" spans="7:10">
      <c r="G201"/>
      <c r="J201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1"/>
  <sheetViews>
    <sheetView workbookViewId="0"/>
  </sheetViews>
  <sheetFormatPr baseColWidth="10" defaultColWidth="8.7109375" defaultRowHeight="18"/>
  <cols>
    <col min="1" max="1" width="8.7109375" style="23" customWidth="1"/>
    <col min="2" max="2" width="10.85546875" style="25" customWidth="1"/>
    <col min="3" max="3" width="8.7109375" style="23" customWidth="1"/>
    <col min="4" max="4" width="15.28515625" style="23" customWidth="1"/>
    <col min="5" max="12" width="8.7109375" style="23" customWidth="1"/>
    <col min="13" max="13" width="16.7109375" style="23" customWidth="1"/>
    <col min="14" max="14" width="17.42578125" style="23" customWidth="1"/>
    <col min="15" max="15" width="8.7109375" style="23" customWidth="1"/>
    <col min="16" max="16384" width="8.7109375" style="23"/>
  </cols>
  <sheetData>
    <row r="1" spans="1:14">
      <c r="A1" s="4" t="s">
        <v>175</v>
      </c>
      <c r="B1" s="4" t="s">
        <v>176</v>
      </c>
      <c r="C1" s="4" t="s">
        <v>177</v>
      </c>
      <c r="D1" s="4" t="s">
        <v>178</v>
      </c>
      <c r="E1" s="4" t="s">
        <v>179</v>
      </c>
      <c r="F1" s="4" t="s">
        <v>180</v>
      </c>
      <c r="G1" s="4" t="s">
        <v>181</v>
      </c>
      <c r="H1" s="4" t="s">
        <v>182</v>
      </c>
      <c r="I1" s="4" t="s">
        <v>183</v>
      </c>
      <c r="J1" s="4" t="s">
        <v>184</v>
      </c>
      <c r="K1" s="4" t="s">
        <v>185</v>
      </c>
      <c r="L1" s="4" t="s">
        <v>186</v>
      </c>
      <c r="M1" s="4" t="s">
        <v>187</v>
      </c>
      <c r="N1" s="21" t="s">
        <v>14</v>
      </c>
    </row>
    <row r="2" spans="1:14">
      <c r="A2" s="23" t="s">
        <v>20</v>
      </c>
      <c r="B2" s="23" t="s">
        <v>100</v>
      </c>
      <c r="C2" s="23" t="s">
        <v>101</v>
      </c>
      <c r="D2" s="23" t="s">
        <v>22</v>
      </c>
      <c r="E2" s="23" t="s">
        <v>188</v>
      </c>
      <c r="F2" s="23">
        <v>22</v>
      </c>
      <c r="G2" s="23">
        <v>2</v>
      </c>
      <c r="H2" s="23">
        <v>5</v>
      </c>
      <c r="I2" s="23">
        <v>6120</v>
      </c>
      <c r="J2" s="23">
        <v>1714</v>
      </c>
      <c r="K2" s="23">
        <v>4420</v>
      </c>
      <c r="L2" s="23" t="s">
        <v>189</v>
      </c>
      <c r="M2" s="23">
        <f t="shared" ref="M2:M65" si="0">L2*86400</f>
        <v>579</v>
      </c>
      <c r="N2" s="24" t="str">
        <f t="array" ref="N2">INDEX('MATCH INFO'!O:O, INT((ROW()-2)/10)+2)</f>
        <v>260605_O2_ROZE_S1</v>
      </c>
    </row>
    <row r="3" spans="1:14">
      <c r="A3" s="23" t="s">
        <v>20</v>
      </c>
      <c r="B3" s="23" t="s">
        <v>103</v>
      </c>
      <c r="C3" s="23" t="s">
        <v>104</v>
      </c>
      <c r="D3" s="23" t="s">
        <v>22</v>
      </c>
      <c r="E3" s="23" t="s">
        <v>188</v>
      </c>
      <c r="F3" s="23">
        <v>23</v>
      </c>
      <c r="G3" s="23">
        <v>3</v>
      </c>
      <c r="H3" s="23">
        <v>4</v>
      </c>
      <c r="I3" s="23">
        <v>10396</v>
      </c>
      <c r="J3" s="23">
        <v>60</v>
      </c>
      <c r="K3" s="23">
        <v>0</v>
      </c>
      <c r="L3" s="23" t="s">
        <v>189</v>
      </c>
      <c r="M3" s="23">
        <f t="shared" si="0"/>
        <v>579</v>
      </c>
      <c r="N3" s="24" t="str">
        <f t="array" ref="N3">INDEX('MATCH INFO'!O:O, INT((ROW()-2)/10)+2)</f>
        <v>260605_O2_ROZE_S1</v>
      </c>
    </row>
    <row r="4" spans="1:14">
      <c r="A4" s="23" t="s">
        <v>20</v>
      </c>
      <c r="B4" s="23" t="s">
        <v>106</v>
      </c>
      <c r="C4" s="23" t="s">
        <v>104</v>
      </c>
      <c r="D4" s="23" t="s">
        <v>22</v>
      </c>
      <c r="E4" s="23" t="s">
        <v>188</v>
      </c>
      <c r="F4" s="23">
        <v>25</v>
      </c>
      <c r="G4" s="23">
        <v>2</v>
      </c>
      <c r="H4" s="23">
        <v>0</v>
      </c>
      <c r="I4" s="23">
        <v>10213</v>
      </c>
      <c r="J4" s="23">
        <v>0</v>
      </c>
      <c r="K4" s="23">
        <v>0</v>
      </c>
      <c r="L4" s="23" t="s">
        <v>189</v>
      </c>
      <c r="M4" s="23">
        <f t="shared" si="0"/>
        <v>579</v>
      </c>
      <c r="N4" s="24" t="str">
        <f t="array" ref="N4">INDEX('MATCH INFO'!O:O, INT((ROW()-2)/10)+2)</f>
        <v>260605_O2_ROZE_S1</v>
      </c>
    </row>
    <row r="5" spans="1:14">
      <c r="A5" s="23" t="s">
        <v>20</v>
      </c>
      <c r="B5" s="23" t="s">
        <v>108</v>
      </c>
      <c r="C5" s="23" t="s">
        <v>109</v>
      </c>
      <c r="D5" s="23" t="s">
        <v>22</v>
      </c>
      <c r="E5" s="23" t="s">
        <v>188</v>
      </c>
      <c r="F5" s="23">
        <v>12</v>
      </c>
      <c r="G5" s="23">
        <v>4</v>
      </c>
      <c r="H5" s="23">
        <v>18</v>
      </c>
      <c r="I5" s="23">
        <v>3677</v>
      </c>
      <c r="J5" s="23">
        <v>6457</v>
      </c>
      <c r="K5" s="23">
        <v>3491</v>
      </c>
      <c r="L5" s="23" t="s">
        <v>189</v>
      </c>
      <c r="M5" s="23">
        <f t="shared" si="0"/>
        <v>579</v>
      </c>
      <c r="N5" s="24" t="str">
        <f t="array" ref="N5">INDEX('MATCH INFO'!O:O, INT((ROW()-2)/10)+2)</f>
        <v>260605_O2_ROZE_S1</v>
      </c>
    </row>
    <row r="6" spans="1:14">
      <c r="A6" s="23" t="s">
        <v>20</v>
      </c>
      <c r="B6" s="23" t="s">
        <v>111</v>
      </c>
      <c r="C6" s="23" t="s">
        <v>109</v>
      </c>
      <c r="D6" s="23" t="s">
        <v>22</v>
      </c>
      <c r="E6" s="23" t="s">
        <v>188</v>
      </c>
      <c r="F6" s="23">
        <v>12</v>
      </c>
      <c r="G6" s="23">
        <v>17</v>
      </c>
      <c r="H6" s="23">
        <v>5</v>
      </c>
      <c r="I6" s="23">
        <v>3185</v>
      </c>
      <c r="J6" s="23">
        <v>6147</v>
      </c>
      <c r="K6" s="23">
        <v>469</v>
      </c>
      <c r="L6" s="23" t="s">
        <v>189</v>
      </c>
      <c r="M6" s="23">
        <f t="shared" si="0"/>
        <v>579</v>
      </c>
      <c r="N6" s="24" t="str">
        <f t="array" ref="N6">INDEX('MATCH INFO'!O:O, INT((ROW()-2)/10)+2)</f>
        <v>260605_O2_ROZE_S1</v>
      </c>
    </row>
    <row r="7" spans="1:14">
      <c r="A7" s="23" t="s">
        <v>21</v>
      </c>
      <c r="B7" s="23" t="s">
        <v>115</v>
      </c>
      <c r="C7" s="23" t="s">
        <v>101</v>
      </c>
      <c r="D7" s="23" t="s">
        <v>22</v>
      </c>
      <c r="E7" s="23" t="s">
        <v>188</v>
      </c>
      <c r="F7" s="23">
        <v>8</v>
      </c>
      <c r="G7" s="23">
        <v>8</v>
      </c>
      <c r="H7" s="23">
        <v>5</v>
      </c>
      <c r="I7" s="23">
        <v>6686</v>
      </c>
      <c r="J7" s="23">
        <v>686</v>
      </c>
      <c r="K7" s="23">
        <v>3654</v>
      </c>
      <c r="L7" s="23" t="s">
        <v>189</v>
      </c>
      <c r="M7" s="23">
        <f t="shared" si="0"/>
        <v>579</v>
      </c>
      <c r="N7" s="24" t="str">
        <f t="array" ref="N7">INDEX('MATCH INFO'!O:O, INT((ROW()-2)/10)+2)</f>
        <v>260605_O2_ROZE_S1</v>
      </c>
    </row>
    <row r="8" spans="1:14">
      <c r="A8" s="23" t="s">
        <v>21</v>
      </c>
      <c r="B8" s="23" t="s">
        <v>117</v>
      </c>
      <c r="C8" s="23" t="s">
        <v>104</v>
      </c>
      <c r="D8" s="23" t="s">
        <v>22</v>
      </c>
      <c r="E8" s="23" t="s">
        <v>188</v>
      </c>
      <c r="F8" s="23">
        <v>10</v>
      </c>
      <c r="G8" s="23">
        <v>6</v>
      </c>
      <c r="H8" s="23">
        <v>1</v>
      </c>
      <c r="I8" s="23">
        <v>6624</v>
      </c>
      <c r="J8" s="23">
        <v>220</v>
      </c>
      <c r="K8" s="23">
        <v>933</v>
      </c>
      <c r="L8" s="23" t="s">
        <v>189</v>
      </c>
      <c r="M8" s="23">
        <f t="shared" si="0"/>
        <v>579</v>
      </c>
      <c r="N8" s="24" t="str">
        <f t="array" ref="N8">INDEX('MATCH INFO'!O:O, INT((ROW()-2)/10)+2)</f>
        <v>260605_O2_ROZE_S1</v>
      </c>
    </row>
    <row r="9" spans="1:14">
      <c r="A9" s="23" t="s">
        <v>21</v>
      </c>
      <c r="B9" s="23" t="s">
        <v>118</v>
      </c>
      <c r="C9" s="23" t="s">
        <v>104</v>
      </c>
      <c r="D9" s="23" t="s">
        <v>22</v>
      </c>
      <c r="E9" s="23" t="s">
        <v>188</v>
      </c>
      <c r="F9" s="23">
        <v>10</v>
      </c>
      <c r="G9" s="23">
        <v>9</v>
      </c>
      <c r="H9" s="23">
        <v>0</v>
      </c>
      <c r="I9" s="23">
        <v>9396</v>
      </c>
      <c r="J9" s="23">
        <v>244</v>
      </c>
      <c r="K9" s="23">
        <v>142</v>
      </c>
      <c r="L9" s="23" t="s">
        <v>189</v>
      </c>
      <c r="M9" s="23">
        <f t="shared" si="0"/>
        <v>579</v>
      </c>
      <c r="N9" s="24" t="str">
        <f t="array" ref="N9">INDEX('MATCH INFO'!O:O, INT((ROW()-2)/10)+2)</f>
        <v>260605_O2_ROZE_S1</v>
      </c>
    </row>
    <row r="10" spans="1:14">
      <c r="A10" s="23" t="s">
        <v>21</v>
      </c>
      <c r="B10" s="23" t="s">
        <v>120</v>
      </c>
      <c r="C10" s="23" t="s">
        <v>109</v>
      </c>
      <c r="D10" s="23" t="s">
        <v>22</v>
      </c>
      <c r="E10" s="23" t="s">
        <v>188</v>
      </c>
      <c r="F10" s="23">
        <v>5</v>
      </c>
      <c r="G10" s="23">
        <v>6</v>
      </c>
      <c r="H10" s="23">
        <v>11</v>
      </c>
      <c r="I10" s="23">
        <v>2641</v>
      </c>
      <c r="J10" s="23">
        <v>6350</v>
      </c>
      <c r="K10" s="23">
        <v>600</v>
      </c>
      <c r="L10" s="23" t="s">
        <v>189</v>
      </c>
      <c r="M10" s="23">
        <f t="shared" si="0"/>
        <v>579</v>
      </c>
      <c r="N10" s="24" t="str">
        <f t="array" ref="N10">INDEX('MATCH INFO'!O:O, INT((ROW()-2)/10)+2)</f>
        <v>260605_O2_ROZE_S1</v>
      </c>
    </row>
    <row r="11" spans="1:14">
      <c r="A11" s="23" t="s">
        <v>21</v>
      </c>
      <c r="B11" s="23" t="s">
        <v>122</v>
      </c>
      <c r="C11" s="23" t="s">
        <v>109</v>
      </c>
      <c r="D11" s="23" t="s">
        <v>22</v>
      </c>
      <c r="E11" s="23" t="s">
        <v>188</v>
      </c>
      <c r="F11" s="23">
        <v>4</v>
      </c>
      <c r="G11" s="23">
        <v>7</v>
      </c>
      <c r="H11" s="23">
        <v>13</v>
      </c>
      <c r="I11" s="23">
        <v>3521</v>
      </c>
      <c r="J11" s="23">
        <v>9034</v>
      </c>
      <c r="K11" s="23">
        <v>0</v>
      </c>
      <c r="L11" s="23" t="s">
        <v>189</v>
      </c>
      <c r="M11" s="23">
        <f t="shared" si="0"/>
        <v>579</v>
      </c>
      <c r="N11" s="24" t="str">
        <f t="array" ref="N11">INDEX('MATCH INFO'!O:O, INT((ROW()-2)/10)+2)</f>
        <v>260605_O2_ROZE_S1</v>
      </c>
    </row>
    <row r="12" spans="1:14">
      <c r="A12" s="23" t="s">
        <v>20</v>
      </c>
      <c r="B12" s="23" t="s">
        <v>102</v>
      </c>
      <c r="C12" s="23" t="s">
        <v>101</v>
      </c>
      <c r="D12" s="23" t="s">
        <v>25</v>
      </c>
      <c r="E12" s="23" t="s">
        <v>190</v>
      </c>
      <c r="F12" s="23">
        <v>20</v>
      </c>
      <c r="G12" s="23">
        <v>5</v>
      </c>
      <c r="H12" s="23">
        <v>2</v>
      </c>
      <c r="I12" s="23">
        <v>15181</v>
      </c>
      <c r="J12" s="23">
        <v>0</v>
      </c>
      <c r="K12" s="23">
        <v>31167</v>
      </c>
      <c r="L12" s="23" t="s">
        <v>191</v>
      </c>
      <c r="M12" s="23">
        <f t="shared" si="0"/>
        <v>900</v>
      </c>
      <c r="N12" s="24" t="str">
        <f t="array" ref="N12">INDEX('MATCH INFO'!O:O, INT((ROW()-2)/10)+2)</f>
        <v>260605_O2_ROZE_S2</v>
      </c>
    </row>
    <row r="13" spans="1:14">
      <c r="A13" s="23" t="s">
        <v>20</v>
      </c>
      <c r="B13" s="23" t="s">
        <v>103</v>
      </c>
      <c r="C13" s="23" t="s">
        <v>104</v>
      </c>
      <c r="D13" s="23" t="s">
        <v>25</v>
      </c>
      <c r="E13" s="23" t="s">
        <v>190</v>
      </c>
      <c r="F13" s="23">
        <v>17</v>
      </c>
      <c r="G13" s="23">
        <v>7</v>
      </c>
      <c r="H13" s="23">
        <v>0</v>
      </c>
      <c r="I13" s="23">
        <v>10272</v>
      </c>
      <c r="J13" s="23">
        <v>165</v>
      </c>
      <c r="K13" s="23">
        <v>0</v>
      </c>
      <c r="L13" s="23" t="s">
        <v>191</v>
      </c>
      <c r="M13" s="23">
        <f t="shared" si="0"/>
        <v>900</v>
      </c>
      <c r="N13" s="24" t="str">
        <f t="array" ref="N13">INDEX('MATCH INFO'!O:O, INT((ROW()-2)/10)+2)</f>
        <v>260605_O2_ROZE_S2</v>
      </c>
    </row>
    <row r="14" spans="1:14">
      <c r="A14" s="23" t="s">
        <v>20</v>
      </c>
      <c r="B14" s="23" t="s">
        <v>106</v>
      </c>
      <c r="C14" s="23" t="s">
        <v>104</v>
      </c>
      <c r="D14" s="23" t="s">
        <v>25</v>
      </c>
      <c r="E14" s="23" t="s">
        <v>190</v>
      </c>
      <c r="F14" s="23">
        <v>23</v>
      </c>
      <c r="G14" s="23">
        <v>9</v>
      </c>
      <c r="H14" s="23">
        <v>0</v>
      </c>
      <c r="I14" s="23">
        <v>10353</v>
      </c>
      <c r="J14" s="23">
        <v>0</v>
      </c>
      <c r="K14" s="23">
        <v>0</v>
      </c>
      <c r="L14" s="23" t="s">
        <v>191</v>
      </c>
      <c r="M14" s="23">
        <f t="shared" si="0"/>
        <v>900</v>
      </c>
      <c r="N14" s="24" t="str">
        <f t="array" ref="N14">INDEX('MATCH INFO'!O:O, INT((ROW()-2)/10)+2)</f>
        <v>260605_O2_ROZE_S2</v>
      </c>
    </row>
    <row r="15" spans="1:14">
      <c r="A15" s="23" t="s">
        <v>20</v>
      </c>
      <c r="B15" s="23" t="s">
        <v>108</v>
      </c>
      <c r="C15" s="23" t="s">
        <v>109</v>
      </c>
      <c r="D15" s="23" t="s">
        <v>25</v>
      </c>
      <c r="E15" s="23" t="s">
        <v>190</v>
      </c>
      <c r="F15" s="23">
        <v>17</v>
      </c>
      <c r="G15" s="23">
        <v>5</v>
      </c>
      <c r="H15" s="23">
        <v>18</v>
      </c>
      <c r="I15" s="23">
        <v>5340</v>
      </c>
      <c r="J15" s="23">
        <v>10974</v>
      </c>
      <c r="K15" s="23">
        <v>2289</v>
      </c>
      <c r="L15" s="23" t="s">
        <v>191</v>
      </c>
      <c r="M15" s="23">
        <f t="shared" si="0"/>
        <v>900</v>
      </c>
      <c r="N15" s="24" t="str">
        <f t="array" ref="N15">INDEX('MATCH INFO'!O:O, INT((ROW()-2)/10)+2)</f>
        <v>260605_O2_ROZE_S2</v>
      </c>
    </row>
    <row r="16" spans="1:14">
      <c r="A16" s="23" t="s">
        <v>20</v>
      </c>
      <c r="B16" s="23" t="s">
        <v>111</v>
      </c>
      <c r="C16" s="23" t="s">
        <v>109</v>
      </c>
      <c r="D16" s="23" t="s">
        <v>25</v>
      </c>
      <c r="E16" s="23" t="s">
        <v>190</v>
      </c>
      <c r="F16" s="23">
        <v>13</v>
      </c>
      <c r="G16" s="23">
        <v>3</v>
      </c>
      <c r="H16" s="23">
        <v>23</v>
      </c>
      <c r="I16" s="23">
        <v>5135</v>
      </c>
      <c r="J16" s="23">
        <v>16124</v>
      </c>
      <c r="K16" s="23">
        <v>0</v>
      </c>
      <c r="L16" s="23" t="s">
        <v>191</v>
      </c>
      <c r="M16" s="23">
        <f t="shared" si="0"/>
        <v>900</v>
      </c>
      <c r="N16" s="24" t="str">
        <f t="array" ref="N16">INDEX('MATCH INFO'!O:O, INT((ROW()-2)/10)+2)</f>
        <v>260605_O2_ROZE_S2</v>
      </c>
    </row>
    <row r="17" spans="1:14">
      <c r="A17" s="23" t="s">
        <v>21</v>
      </c>
      <c r="B17" s="23" t="s">
        <v>115</v>
      </c>
      <c r="C17" s="23" t="s">
        <v>101</v>
      </c>
      <c r="D17" s="23" t="s">
        <v>25</v>
      </c>
      <c r="E17" s="23" t="s">
        <v>190</v>
      </c>
      <c r="F17" s="23">
        <v>19</v>
      </c>
      <c r="G17" s="23">
        <v>7</v>
      </c>
      <c r="H17" s="23">
        <v>1</v>
      </c>
      <c r="I17" s="23">
        <v>11586</v>
      </c>
      <c r="J17" s="23">
        <v>69</v>
      </c>
      <c r="K17" s="23">
        <v>25042</v>
      </c>
      <c r="L17" s="23" t="s">
        <v>191</v>
      </c>
      <c r="M17" s="23">
        <f t="shared" si="0"/>
        <v>900</v>
      </c>
      <c r="N17" s="24" t="str">
        <f t="array" ref="N17">INDEX('MATCH INFO'!O:O, INT((ROW()-2)/10)+2)</f>
        <v>260605_O2_ROZE_S2</v>
      </c>
    </row>
    <row r="18" spans="1:14">
      <c r="A18" s="23" t="s">
        <v>21</v>
      </c>
      <c r="B18" s="23" t="s">
        <v>117</v>
      </c>
      <c r="C18" s="23" t="s">
        <v>104</v>
      </c>
      <c r="D18" s="23" t="s">
        <v>25</v>
      </c>
      <c r="E18" s="23" t="s">
        <v>190</v>
      </c>
      <c r="F18" s="23">
        <v>11</v>
      </c>
      <c r="G18" s="23">
        <v>12</v>
      </c>
      <c r="H18" s="23">
        <v>2</v>
      </c>
      <c r="I18" s="23">
        <v>8055</v>
      </c>
      <c r="J18" s="23">
        <v>1040</v>
      </c>
      <c r="K18" s="23">
        <v>4453</v>
      </c>
      <c r="L18" s="23" t="s">
        <v>191</v>
      </c>
      <c r="M18" s="23">
        <f t="shared" si="0"/>
        <v>900</v>
      </c>
      <c r="N18" s="24" t="str">
        <f t="array" ref="N18">INDEX('MATCH INFO'!O:O, INT((ROW()-2)/10)+2)</f>
        <v>260605_O2_ROZE_S2</v>
      </c>
    </row>
    <row r="19" spans="1:14">
      <c r="A19" s="23" t="s">
        <v>21</v>
      </c>
      <c r="B19" s="23" t="s">
        <v>118</v>
      </c>
      <c r="C19" s="23" t="s">
        <v>104</v>
      </c>
      <c r="D19" s="23" t="s">
        <v>25</v>
      </c>
      <c r="E19" s="23" t="s">
        <v>190</v>
      </c>
      <c r="F19" s="23">
        <v>20</v>
      </c>
      <c r="G19" s="23">
        <v>4</v>
      </c>
      <c r="H19" s="23">
        <v>0</v>
      </c>
      <c r="I19" s="23">
        <v>14107</v>
      </c>
      <c r="J19" s="23">
        <v>0</v>
      </c>
      <c r="K19" s="23">
        <v>0</v>
      </c>
      <c r="L19" s="23" t="s">
        <v>191</v>
      </c>
      <c r="M19" s="23">
        <f t="shared" si="0"/>
        <v>900</v>
      </c>
      <c r="N19" s="24" t="str">
        <f t="array" ref="N19">INDEX('MATCH INFO'!O:O, INT((ROW()-2)/10)+2)</f>
        <v>260605_O2_ROZE_S2</v>
      </c>
    </row>
    <row r="20" spans="1:14">
      <c r="A20" s="23" t="s">
        <v>21</v>
      </c>
      <c r="B20" s="23" t="s">
        <v>120</v>
      </c>
      <c r="C20" s="23" t="s">
        <v>109</v>
      </c>
      <c r="D20" s="23" t="s">
        <v>25</v>
      </c>
      <c r="E20" s="23" t="s">
        <v>190</v>
      </c>
      <c r="F20" s="23">
        <v>9</v>
      </c>
      <c r="G20" s="23">
        <v>8</v>
      </c>
      <c r="H20" s="23">
        <v>16</v>
      </c>
      <c r="I20" s="23">
        <v>5763</v>
      </c>
      <c r="J20" s="23">
        <v>12323</v>
      </c>
      <c r="K20" s="23">
        <v>2339</v>
      </c>
      <c r="L20" s="23" t="s">
        <v>191</v>
      </c>
      <c r="M20" s="23">
        <f t="shared" si="0"/>
        <v>900</v>
      </c>
      <c r="N20" s="24" t="str">
        <f t="array" ref="N20">INDEX('MATCH INFO'!O:O, INT((ROW()-2)/10)+2)</f>
        <v>260605_O2_ROZE_S2</v>
      </c>
    </row>
    <row r="21" spans="1:14">
      <c r="A21" s="23" t="s">
        <v>21</v>
      </c>
      <c r="B21" s="23" t="s">
        <v>122</v>
      </c>
      <c r="C21" s="23" t="s">
        <v>109</v>
      </c>
      <c r="D21" s="23" t="s">
        <v>25</v>
      </c>
      <c r="E21" s="23" t="s">
        <v>190</v>
      </c>
      <c r="F21" s="23">
        <v>14</v>
      </c>
      <c r="G21" s="23">
        <v>4</v>
      </c>
      <c r="H21" s="23">
        <v>18</v>
      </c>
      <c r="I21" s="23">
        <v>4507</v>
      </c>
      <c r="J21" s="23">
        <v>16727</v>
      </c>
      <c r="K21" s="23">
        <v>0</v>
      </c>
      <c r="L21" s="23" t="s">
        <v>191</v>
      </c>
      <c r="M21" s="23">
        <f t="shared" si="0"/>
        <v>900</v>
      </c>
      <c r="N21" s="24" t="str">
        <f t="array" ref="N21">INDEX('MATCH INFO'!O:O, INT((ROW()-2)/10)+2)</f>
        <v>260605_O2_ROZE_S2</v>
      </c>
    </row>
    <row r="22" spans="1:14">
      <c r="A22" s="23" t="s">
        <v>20</v>
      </c>
      <c r="B22" s="23" t="s">
        <v>102</v>
      </c>
      <c r="C22" s="23" t="s">
        <v>101</v>
      </c>
      <c r="D22" s="23" t="s">
        <v>28</v>
      </c>
      <c r="E22" s="23" t="s">
        <v>192</v>
      </c>
      <c r="F22" s="23">
        <v>18</v>
      </c>
      <c r="G22" s="23">
        <v>4</v>
      </c>
      <c r="H22" s="23">
        <v>6</v>
      </c>
      <c r="I22" s="23">
        <v>11241</v>
      </c>
      <c r="J22" s="23">
        <v>485</v>
      </c>
      <c r="K22" s="23">
        <v>14366</v>
      </c>
      <c r="L22" s="23" t="s">
        <v>193</v>
      </c>
      <c r="M22" s="23">
        <f t="shared" si="0"/>
        <v>640</v>
      </c>
      <c r="N22" s="24" t="str">
        <f t="array" ref="N22">INDEX('MATCH INFO'!O:O, INT((ROW()-2)/10)+2)</f>
        <v>260605_O2_ROZE_S3</v>
      </c>
    </row>
    <row r="23" spans="1:14">
      <c r="A23" s="23" t="s">
        <v>20</v>
      </c>
      <c r="B23" s="23" t="s">
        <v>103</v>
      </c>
      <c r="C23" s="23" t="s">
        <v>104</v>
      </c>
      <c r="D23" s="23" t="s">
        <v>28</v>
      </c>
      <c r="E23" s="23" t="s">
        <v>192</v>
      </c>
      <c r="F23" s="23">
        <v>20</v>
      </c>
      <c r="G23" s="23">
        <v>4</v>
      </c>
      <c r="H23" s="23">
        <v>0</v>
      </c>
      <c r="I23" s="23">
        <v>7299</v>
      </c>
      <c r="J23" s="23">
        <v>36</v>
      </c>
      <c r="K23" s="23">
        <v>141</v>
      </c>
      <c r="L23" s="23" t="s">
        <v>193</v>
      </c>
      <c r="M23" s="23">
        <f t="shared" si="0"/>
        <v>640</v>
      </c>
      <c r="N23" s="24" t="str">
        <f t="array" ref="N23">INDEX('MATCH INFO'!O:O, INT((ROW()-2)/10)+2)</f>
        <v>260605_O2_ROZE_S3</v>
      </c>
    </row>
    <row r="24" spans="1:14">
      <c r="A24" s="23" t="s">
        <v>20</v>
      </c>
      <c r="B24" s="23" t="s">
        <v>106</v>
      </c>
      <c r="C24" s="23" t="s">
        <v>104</v>
      </c>
      <c r="D24" s="23" t="s">
        <v>28</v>
      </c>
      <c r="E24" s="23" t="s">
        <v>192</v>
      </c>
      <c r="F24" s="23">
        <v>21</v>
      </c>
      <c r="G24" s="23">
        <v>4</v>
      </c>
      <c r="H24" s="23">
        <v>3</v>
      </c>
      <c r="I24" s="23">
        <v>13703</v>
      </c>
      <c r="J24" s="23">
        <v>19</v>
      </c>
      <c r="K24" s="23">
        <v>749</v>
      </c>
      <c r="L24" s="23" t="s">
        <v>193</v>
      </c>
      <c r="M24" s="23">
        <f t="shared" si="0"/>
        <v>640</v>
      </c>
      <c r="N24" s="24" t="str">
        <f t="array" ref="N24">INDEX('MATCH INFO'!O:O, INT((ROW()-2)/10)+2)</f>
        <v>260605_O2_ROZE_S3</v>
      </c>
    </row>
    <row r="25" spans="1:14">
      <c r="A25" s="23" t="s">
        <v>20</v>
      </c>
      <c r="B25" s="23" t="s">
        <v>108</v>
      </c>
      <c r="C25" s="23" t="s">
        <v>109</v>
      </c>
      <c r="D25" s="23" t="s">
        <v>28</v>
      </c>
      <c r="E25" s="23" t="s">
        <v>192</v>
      </c>
      <c r="F25" s="23">
        <v>9</v>
      </c>
      <c r="G25" s="23">
        <v>16</v>
      </c>
      <c r="H25" s="23">
        <v>3</v>
      </c>
      <c r="I25" s="23">
        <v>1606</v>
      </c>
      <c r="J25" s="23">
        <v>7562</v>
      </c>
      <c r="K25" s="23">
        <v>0</v>
      </c>
      <c r="L25" s="23" t="s">
        <v>193</v>
      </c>
      <c r="M25" s="23">
        <f t="shared" si="0"/>
        <v>640</v>
      </c>
      <c r="N25" s="24" t="str">
        <f t="array" ref="N25">INDEX('MATCH INFO'!O:O, INT((ROW()-2)/10)+2)</f>
        <v>260605_O2_ROZE_S3</v>
      </c>
    </row>
    <row r="26" spans="1:14">
      <c r="A26" s="23" t="s">
        <v>20</v>
      </c>
      <c r="B26" s="23" t="s">
        <v>111</v>
      </c>
      <c r="C26" s="23" t="s">
        <v>109</v>
      </c>
      <c r="D26" s="23" t="s">
        <v>28</v>
      </c>
      <c r="E26" s="23" t="s">
        <v>192</v>
      </c>
      <c r="F26" s="23">
        <v>14</v>
      </c>
      <c r="G26" s="23">
        <v>13</v>
      </c>
      <c r="H26" s="23">
        <v>6</v>
      </c>
      <c r="I26" s="23">
        <v>4690</v>
      </c>
      <c r="J26" s="23">
        <v>8770</v>
      </c>
      <c r="K26" s="23">
        <v>0</v>
      </c>
      <c r="L26" s="23" t="s">
        <v>193</v>
      </c>
      <c r="M26" s="23">
        <f t="shared" si="0"/>
        <v>640</v>
      </c>
      <c r="N26" s="24" t="str">
        <f t="array" ref="N26">INDEX('MATCH INFO'!O:O, INT((ROW()-2)/10)+2)</f>
        <v>260605_O2_ROZE_S3</v>
      </c>
    </row>
    <row r="27" spans="1:14">
      <c r="A27" s="23" t="s">
        <v>21</v>
      </c>
      <c r="B27" s="23" t="s">
        <v>115</v>
      </c>
      <c r="C27" s="23" t="s">
        <v>101</v>
      </c>
      <c r="D27" s="23" t="s">
        <v>28</v>
      </c>
      <c r="E27" s="23" t="s">
        <v>192</v>
      </c>
      <c r="F27" s="23">
        <v>13</v>
      </c>
      <c r="G27" s="23">
        <v>6</v>
      </c>
      <c r="H27" s="23">
        <v>4</v>
      </c>
      <c r="I27" s="23">
        <v>7427</v>
      </c>
      <c r="J27" s="23">
        <v>1151</v>
      </c>
      <c r="K27" s="23">
        <v>13703</v>
      </c>
      <c r="L27" s="23" t="s">
        <v>193</v>
      </c>
      <c r="M27" s="23">
        <f t="shared" si="0"/>
        <v>640</v>
      </c>
      <c r="N27" s="24" t="str">
        <f t="array" ref="N27">INDEX('MATCH INFO'!O:O, INT((ROW()-2)/10)+2)</f>
        <v>260605_O2_ROZE_S3</v>
      </c>
    </row>
    <row r="28" spans="1:14">
      <c r="A28" s="23" t="s">
        <v>21</v>
      </c>
      <c r="B28" s="23" t="s">
        <v>117</v>
      </c>
      <c r="C28" s="23" t="s">
        <v>104</v>
      </c>
      <c r="D28" s="23" t="s">
        <v>28</v>
      </c>
      <c r="E28" s="23" t="s">
        <v>192</v>
      </c>
      <c r="F28" s="23">
        <v>12</v>
      </c>
      <c r="G28" s="23">
        <v>9</v>
      </c>
      <c r="H28" s="23">
        <v>1</v>
      </c>
      <c r="I28" s="23">
        <v>6634</v>
      </c>
      <c r="J28" s="23">
        <v>149</v>
      </c>
      <c r="K28" s="23">
        <v>3298</v>
      </c>
      <c r="L28" s="23" t="s">
        <v>193</v>
      </c>
      <c r="M28" s="23">
        <f t="shared" si="0"/>
        <v>640</v>
      </c>
      <c r="N28" s="24" t="str">
        <f t="array" ref="N28">INDEX('MATCH INFO'!O:O, INT((ROW()-2)/10)+2)</f>
        <v>260605_O2_ROZE_S3</v>
      </c>
    </row>
    <row r="29" spans="1:14">
      <c r="A29" s="23" t="s">
        <v>21</v>
      </c>
      <c r="B29" s="23" t="s">
        <v>118</v>
      </c>
      <c r="C29" s="23" t="s">
        <v>104</v>
      </c>
      <c r="D29" s="23" t="s">
        <v>28</v>
      </c>
      <c r="E29" s="23" t="s">
        <v>192</v>
      </c>
      <c r="F29" s="23">
        <v>11</v>
      </c>
      <c r="G29" s="23">
        <v>7</v>
      </c>
      <c r="H29" s="23">
        <v>1</v>
      </c>
      <c r="I29" s="23">
        <v>10275</v>
      </c>
      <c r="J29" s="23">
        <v>0</v>
      </c>
      <c r="K29" s="23">
        <v>749</v>
      </c>
      <c r="L29" s="23" t="s">
        <v>193</v>
      </c>
      <c r="M29" s="23">
        <f t="shared" si="0"/>
        <v>640</v>
      </c>
      <c r="N29" s="24" t="str">
        <f t="array" ref="N29">INDEX('MATCH INFO'!O:O, INT((ROW()-2)/10)+2)</f>
        <v>260605_O2_ROZE_S3</v>
      </c>
    </row>
    <row r="30" spans="1:14">
      <c r="A30" s="23" t="s">
        <v>21</v>
      </c>
      <c r="B30" s="23" t="s">
        <v>120</v>
      </c>
      <c r="C30" s="23" t="s">
        <v>109</v>
      </c>
      <c r="D30" s="23" t="s">
        <v>28</v>
      </c>
      <c r="E30" s="23" t="s">
        <v>192</v>
      </c>
      <c r="F30" s="23">
        <v>5</v>
      </c>
      <c r="G30" s="23">
        <v>5</v>
      </c>
      <c r="H30" s="23">
        <v>14</v>
      </c>
      <c r="I30" s="23">
        <v>2937</v>
      </c>
      <c r="J30" s="23">
        <v>9505</v>
      </c>
      <c r="K30" s="23">
        <v>865</v>
      </c>
      <c r="L30" s="23" t="s">
        <v>193</v>
      </c>
      <c r="M30" s="23">
        <f t="shared" si="0"/>
        <v>640</v>
      </c>
      <c r="N30" s="24" t="str">
        <f t="array" ref="N30">INDEX('MATCH INFO'!O:O, INT((ROW()-2)/10)+2)</f>
        <v>260605_O2_ROZE_S3</v>
      </c>
    </row>
    <row r="31" spans="1:14">
      <c r="A31" s="23" t="s">
        <v>21</v>
      </c>
      <c r="B31" s="23" t="s">
        <v>122</v>
      </c>
      <c r="C31" s="23" t="s">
        <v>109</v>
      </c>
      <c r="D31" s="23" t="s">
        <v>28</v>
      </c>
      <c r="E31" s="23" t="s">
        <v>192</v>
      </c>
      <c r="F31" s="23">
        <v>8</v>
      </c>
      <c r="G31" s="23">
        <v>5</v>
      </c>
      <c r="H31" s="23">
        <v>14</v>
      </c>
      <c r="I31" s="23">
        <v>4617</v>
      </c>
      <c r="J31" s="23">
        <v>11864</v>
      </c>
      <c r="K31" s="23">
        <v>0</v>
      </c>
      <c r="L31" s="23" t="s">
        <v>193</v>
      </c>
      <c r="M31" s="23">
        <f t="shared" si="0"/>
        <v>640</v>
      </c>
      <c r="N31" s="24" t="str">
        <f t="array" ref="N31">INDEX('MATCH INFO'!O:O, INT((ROW()-2)/10)+2)</f>
        <v>260605_O2_ROZE_S3</v>
      </c>
    </row>
    <row r="32" spans="1:14">
      <c r="A32" s="23" t="s">
        <v>31</v>
      </c>
      <c r="B32" s="23" t="s">
        <v>160</v>
      </c>
      <c r="C32" s="23" t="s">
        <v>101</v>
      </c>
      <c r="D32" s="23" t="s">
        <v>194</v>
      </c>
      <c r="E32" s="23" t="s">
        <v>188</v>
      </c>
      <c r="F32" s="23">
        <v>5</v>
      </c>
      <c r="G32" s="23">
        <v>6</v>
      </c>
      <c r="H32" s="23">
        <v>2</v>
      </c>
      <c r="I32" s="23">
        <v>8413</v>
      </c>
      <c r="J32" s="23">
        <v>275</v>
      </c>
      <c r="K32" s="23">
        <v>13583</v>
      </c>
      <c r="L32" s="23" t="s">
        <v>195</v>
      </c>
      <c r="M32" s="23">
        <f t="shared" si="0"/>
        <v>450</v>
      </c>
      <c r="N32" s="24" t="str">
        <f t="array" ref="N32">INDEX('MATCH INFO'!O:O, INT((ROW()-2)/10)+2)</f>
        <v>260605_FLC_CR_S1</v>
      </c>
    </row>
    <row r="33" spans="1:14">
      <c r="A33" s="23" t="s">
        <v>31</v>
      </c>
      <c r="B33" s="23" t="s">
        <v>163</v>
      </c>
      <c r="C33" s="23" t="s">
        <v>104</v>
      </c>
      <c r="D33" s="23" t="s">
        <v>194</v>
      </c>
      <c r="E33" s="23" t="s">
        <v>188</v>
      </c>
      <c r="F33" s="23">
        <v>6</v>
      </c>
      <c r="G33" s="23">
        <v>8</v>
      </c>
      <c r="H33" s="23">
        <v>3</v>
      </c>
      <c r="I33" s="23">
        <v>5914</v>
      </c>
      <c r="J33" s="23">
        <v>477</v>
      </c>
      <c r="K33" s="23">
        <v>3542</v>
      </c>
      <c r="L33" s="23" t="s">
        <v>195</v>
      </c>
      <c r="M33" s="23">
        <f t="shared" si="0"/>
        <v>450</v>
      </c>
      <c r="N33" s="24" t="str">
        <f t="array" ref="N33">INDEX('MATCH INFO'!O:O, INT((ROW()-2)/10)+2)</f>
        <v>260605_FLC_CR_S1</v>
      </c>
    </row>
    <row r="34" spans="1:14">
      <c r="A34" s="23" t="s">
        <v>31</v>
      </c>
      <c r="B34" s="23" t="s">
        <v>164</v>
      </c>
      <c r="C34" s="23" t="s">
        <v>104</v>
      </c>
      <c r="D34" s="23" t="s">
        <v>194</v>
      </c>
      <c r="E34" s="23" t="s">
        <v>188</v>
      </c>
      <c r="F34" s="23">
        <v>6</v>
      </c>
      <c r="G34" s="23">
        <v>8</v>
      </c>
      <c r="H34" s="23">
        <v>0</v>
      </c>
      <c r="I34" s="23">
        <v>8526</v>
      </c>
      <c r="J34" s="23">
        <v>0</v>
      </c>
      <c r="K34" s="23">
        <v>781</v>
      </c>
      <c r="L34" s="23" t="s">
        <v>195</v>
      </c>
      <c r="M34" s="23">
        <f t="shared" si="0"/>
        <v>450</v>
      </c>
      <c r="N34" s="24" t="str">
        <f t="array" ref="N34">INDEX('MATCH INFO'!O:O, INT((ROW()-2)/10)+2)</f>
        <v>260605_FLC_CR_S1</v>
      </c>
    </row>
    <row r="35" spans="1:14">
      <c r="A35" s="23" t="s">
        <v>31</v>
      </c>
      <c r="B35" s="23" t="s">
        <v>165</v>
      </c>
      <c r="C35" s="23" t="s">
        <v>109</v>
      </c>
      <c r="D35" s="23" t="s">
        <v>194</v>
      </c>
      <c r="E35" s="23" t="s">
        <v>188</v>
      </c>
      <c r="F35" s="23">
        <v>5</v>
      </c>
      <c r="G35" s="23">
        <v>5</v>
      </c>
      <c r="H35" s="23">
        <v>6</v>
      </c>
      <c r="I35" s="23">
        <v>2194</v>
      </c>
      <c r="J35" s="23">
        <v>10954</v>
      </c>
      <c r="K35" s="23">
        <v>1094</v>
      </c>
      <c r="L35" s="23" t="s">
        <v>195</v>
      </c>
      <c r="M35" s="23">
        <f t="shared" si="0"/>
        <v>450</v>
      </c>
      <c r="N35" s="24" t="str">
        <f t="array" ref="N35">INDEX('MATCH INFO'!O:O, INT((ROW()-2)/10)+2)</f>
        <v>260605_FLC_CR_S1</v>
      </c>
    </row>
    <row r="36" spans="1:14">
      <c r="A36" s="23" t="s">
        <v>31</v>
      </c>
      <c r="B36" s="23" t="s">
        <v>166</v>
      </c>
      <c r="C36" s="23" t="s">
        <v>109</v>
      </c>
      <c r="D36" s="23" t="s">
        <v>194</v>
      </c>
      <c r="E36" s="23" t="s">
        <v>188</v>
      </c>
      <c r="F36" s="23">
        <v>5</v>
      </c>
      <c r="G36" s="23">
        <v>6</v>
      </c>
      <c r="H36" s="23">
        <v>6</v>
      </c>
      <c r="I36" s="23">
        <v>3912</v>
      </c>
      <c r="J36" s="23">
        <v>10217</v>
      </c>
      <c r="K36" s="23">
        <v>1755</v>
      </c>
      <c r="L36" s="23" t="s">
        <v>195</v>
      </c>
      <c r="M36" s="23">
        <f t="shared" si="0"/>
        <v>450</v>
      </c>
      <c r="N36" s="24" t="str">
        <f t="array" ref="N36">INDEX('MATCH INFO'!O:O, INT((ROW()-2)/10)+2)</f>
        <v>260605_FLC_CR_S1</v>
      </c>
    </row>
    <row r="37" spans="1:14">
      <c r="A37" s="23" t="s">
        <v>32</v>
      </c>
      <c r="B37" s="23" t="s">
        <v>146</v>
      </c>
      <c r="C37" s="23" t="s">
        <v>101</v>
      </c>
      <c r="D37" s="23" t="s">
        <v>194</v>
      </c>
      <c r="E37" s="23" t="s">
        <v>188</v>
      </c>
      <c r="F37" s="23">
        <v>21</v>
      </c>
      <c r="G37" s="23">
        <v>1</v>
      </c>
      <c r="H37" s="23">
        <v>7</v>
      </c>
      <c r="I37" s="23">
        <v>12538</v>
      </c>
      <c r="J37" s="23">
        <v>0</v>
      </c>
      <c r="K37" s="23">
        <v>14389</v>
      </c>
      <c r="L37" s="23" t="s">
        <v>195</v>
      </c>
      <c r="M37" s="23">
        <f t="shared" si="0"/>
        <v>450</v>
      </c>
      <c r="N37" s="24" t="str">
        <f t="array" ref="N37">INDEX('MATCH INFO'!O:O, INT((ROW()-2)/10)+2)</f>
        <v>260605_FLC_CR_S1</v>
      </c>
    </row>
    <row r="38" spans="1:14">
      <c r="A38" s="23" t="s">
        <v>32</v>
      </c>
      <c r="B38" s="23" t="s">
        <v>147</v>
      </c>
      <c r="C38" s="23" t="s">
        <v>104</v>
      </c>
      <c r="D38" s="23" t="s">
        <v>194</v>
      </c>
      <c r="E38" s="23" t="s">
        <v>188</v>
      </c>
      <c r="F38" s="23">
        <v>21</v>
      </c>
      <c r="G38" s="23">
        <v>4</v>
      </c>
      <c r="H38" s="23">
        <v>7</v>
      </c>
      <c r="I38" s="23">
        <v>7494</v>
      </c>
      <c r="J38" s="23">
        <v>648</v>
      </c>
      <c r="K38" s="23">
        <v>3193</v>
      </c>
      <c r="L38" s="23" t="s">
        <v>195</v>
      </c>
      <c r="M38" s="23">
        <f t="shared" si="0"/>
        <v>450</v>
      </c>
      <c r="N38" s="24" t="str">
        <f t="array" ref="N38">INDEX('MATCH INFO'!O:O, INT((ROW()-2)/10)+2)</f>
        <v>260605_FLC_CR_S1</v>
      </c>
    </row>
    <row r="39" spans="1:14">
      <c r="A39" s="23" t="s">
        <v>32</v>
      </c>
      <c r="B39" s="23" t="s">
        <v>149</v>
      </c>
      <c r="C39" s="23" t="s">
        <v>104</v>
      </c>
      <c r="D39" s="23" t="s">
        <v>194</v>
      </c>
      <c r="E39" s="23" t="s">
        <v>188</v>
      </c>
      <c r="F39" s="23">
        <v>22</v>
      </c>
      <c r="G39" s="23">
        <v>2</v>
      </c>
      <c r="H39" s="23">
        <v>5</v>
      </c>
      <c r="I39" s="23">
        <v>10387</v>
      </c>
      <c r="J39" s="23">
        <v>169</v>
      </c>
      <c r="K39" s="23">
        <v>633</v>
      </c>
      <c r="L39" s="23" t="s">
        <v>195</v>
      </c>
      <c r="M39" s="23">
        <f t="shared" si="0"/>
        <v>450</v>
      </c>
      <c r="N39" s="24" t="str">
        <f t="array" ref="N39">INDEX('MATCH INFO'!O:O, INT((ROW()-2)/10)+2)</f>
        <v>260605_FLC_CR_S1</v>
      </c>
    </row>
    <row r="40" spans="1:14">
      <c r="A40" s="23" t="s">
        <v>32</v>
      </c>
      <c r="B40" s="23" t="s">
        <v>150</v>
      </c>
      <c r="C40" s="23" t="s">
        <v>109</v>
      </c>
      <c r="D40" s="23" t="s">
        <v>194</v>
      </c>
      <c r="E40" s="23" t="s">
        <v>188</v>
      </c>
      <c r="F40" s="23">
        <v>16</v>
      </c>
      <c r="G40" s="23">
        <v>3</v>
      </c>
      <c r="H40" s="23">
        <v>19</v>
      </c>
      <c r="I40" s="23">
        <v>4864</v>
      </c>
      <c r="J40" s="23">
        <v>9528</v>
      </c>
      <c r="K40" s="23">
        <v>1993</v>
      </c>
      <c r="L40" s="23" t="s">
        <v>195</v>
      </c>
      <c r="M40" s="23">
        <f t="shared" si="0"/>
        <v>450</v>
      </c>
      <c r="N40" s="24" t="str">
        <f t="array" ref="N40">INDEX('MATCH INFO'!O:O, INT((ROW()-2)/10)+2)</f>
        <v>260605_FLC_CR_S1</v>
      </c>
    </row>
    <row r="41" spans="1:14">
      <c r="A41" s="23" t="s">
        <v>32</v>
      </c>
      <c r="B41" s="23" t="s">
        <v>151</v>
      </c>
      <c r="C41" s="23" t="s">
        <v>109</v>
      </c>
      <c r="D41" s="23" t="s">
        <v>194</v>
      </c>
      <c r="E41" s="23" t="s">
        <v>188</v>
      </c>
      <c r="F41" s="23">
        <v>11</v>
      </c>
      <c r="G41" s="23">
        <v>1</v>
      </c>
      <c r="H41" s="23">
        <v>21</v>
      </c>
      <c r="I41" s="23">
        <v>2405</v>
      </c>
      <c r="J41" s="23">
        <v>11566</v>
      </c>
      <c r="K41" s="23">
        <v>0</v>
      </c>
      <c r="L41" s="23" t="s">
        <v>195</v>
      </c>
      <c r="M41" s="23">
        <f t="shared" si="0"/>
        <v>450</v>
      </c>
      <c r="N41" s="24" t="str">
        <f t="array" ref="N41">INDEX('MATCH INFO'!O:O, INT((ROW()-2)/10)+2)</f>
        <v>260605_FLC_CR_S1</v>
      </c>
    </row>
    <row r="42" spans="1:14">
      <c r="A42" s="23" t="s">
        <v>32</v>
      </c>
      <c r="B42" s="23" t="s">
        <v>150</v>
      </c>
      <c r="C42" s="23" t="s">
        <v>109</v>
      </c>
      <c r="D42" s="23" t="s">
        <v>37</v>
      </c>
      <c r="E42" s="23" t="s">
        <v>196</v>
      </c>
      <c r="F42" s="23">
        <v>18</v>
      </c>
      <c r="G42" s="23">
        <v>7</v>
      </c>
      <c r="H42" s="23">
        <v>23</v>
      </c>
      <c r="I42" s="23">
        <v>7320</v>
      </c>
      <c r="J42" s="23">
        <v>15474</v>
      </c>
      <c r="K42" s="23">
        <v>4794</v>
      </c>
      <c r="L42" s="23" t="s">
        <v>197</v>
      </c>
      <c r="M42" s="23">
        <f t="shared" si="0"/>
        <v>845</v>
      </c>
      <c r="N42" s="24" t="str">
        <f t="array" ref="N42">INDEX('MATCH INFO'!O:O, INT((ROW()-2)/10)+2)</f>
        <v>260605_FLC_CR_S2</v>
      </c>
    </row>
    <row r="43" spans="1:14">
      <c r="A43" s="23" t="s">
        <v>32</v>
      </c>
      <c r="B43" s="23" t="s">
        <v>147</v>
      </c>
      <c r="C43" s="23" t="s">
        <v>104</v>
      </c>
      <c r="D43" s="23" t="s">
        <v>37</v>
      </c>
      <c r="E43" s="23" t="s">
        <v>196</v>
      </c>
      <c r="F43" s="23">
        <v>22</v>
      </c>
      <c r="G43" s="23">
        <v>6</v>
      </c>
      <c r="H43" s="23">
        <v>5</v>
      </c>
      <c r="I43" s="23">
        <v>13037</v>
      </c>
      <c r="J43" s="23">
        <v>1475</v>
      </c>
      <c r="K43" s="23">
        <v>9201</v>
      </c>
      <c r="L43" s="23" t="s">
        <v>197</v>
      </c>
      <c r="M43" s="23">
        <f t="shared" si="0"/>
        <v>845</v>
      </c>
      <c r="N43" s="24" t="str">
        <f t="array" ref="N43">INDEX('MATCH INFO'!O:O, INT((ROW()-2)/10)+2)</f>
        <v>260605_FLC_CR_S2</v>
      </c>
    </row>
    <row r="44" spans="1:14">
      <c r="A44" s="23" t="s">
        <v>32</v>
      </c>
      <c r="B44" s="23" t="s">
        <v>146</v>
      </c>
      <c r="C44" s="23" t="s">
        <v>101</v>
      </c>
      <c r="D44" s="23" t="s">
        <v>37</v>
      </c>
      <c r="E44" s="23" t="s">
        <v>196</v>
      </c>
      <c r="F44" s="23">
        <v>25</v>
      </c>
      <c r="G44" s="23">
        <v>6</v>
      </c>
      <c r="H44" s="23">
        <v>3</v>
      </c>
      <c r="I44" s="23">
        <v>18391</v>
      </c>
      <c r="J44" s="23">
        <v>0</v>
      </c>
      <c r="K44" s="23">
        <v>29417</v>
      </c>
      <c r="L44" s="23" t="s">
        <v>197</v>
      </c>
      <c r="M44" s="23">
        <f t="shared" si="0"/>
        <v>845</v>
      </c>
      <c r="N44" s="24" t="str">
        <f t="array" ref="N44">INDEX('MATCH INFO'!O:O, INT((ROW()-2)/10)+2)</f>
        <v>260605_FLC_CR_S2</v>
      </c>
    </row>
    <row r="45" spans="1:14">
      <c r="A45" s="23" t="s">
        <v>32</v>
      </c>
      <c r="B45" s="23" t="s">
        <v>149</v>
      </c>
      <c r="C45" s="23" t="s">
        <v>104</v>
      </c>
      <c r="D45" s="23" t="s">
        <v>37</v>
      </c>
      <c r="E45" s="23" t="s">
        <v>196</v>
      </c>
      <c r="F45" s="23">
        <v>29</v>
      </c>
      <c r="G45" s="23">
        <v>8</v>
      </c>
      <c r="H45" s="23">
        <v>3</v>
      </c>
      <c r="I45" s="23">
        <v>15071</v>
      </c>
      <c r="J45" s="23">
        <v>569</v>
      </c>
      <c r="K45" s="23">
        <v>4418</v>
      </c>
      <c r="L45" s="23" t="s">
        <v>197</v>
      </c>
      <c r="M45" s="23">
        <f t="shared" si="0"/>
        <v>845</v>
      </c>
      <c r="N45" s="24" t="str">
        <f t="array" ref="N45">INDEX('MATCH INFO'!O:O, INT((ROW()-2)/10)+2)</f>
        <v>260605_FLC_CR_S2</v>
      </c>
    </row>
    <row r="46" spans="1:14">
      <c r="A46" s="23" t="s">
        <v>32</v>
      </c>
      <c r="B46" s="23" t="s">
        <v>151</v>
      </c>
      <c r="C46" s="23" t="s">
        <v>109</v>
      </c>
      <c r="D46" s="23" t="s">
        <v>37</v>
      </c>
      <c r="E46" s="23" t="s">
        <v>196</v>
      </c>
      <c r="F46" s="23">
        <v>15</v>
      </c>
      <c r="G46" s="23">
        <v>30</v>
      </c>
      <c r="H46" s="23">
        <v>6</v>
      </c>
      <c r="I46" s="23">
        <v>4431</v>
      </c>
      <c r="J46" s="23">
        <v>20436</v>
      </c>
      <c r="K46" s="23">
        <v>0</v>
      </c>
      <c r="L46" s="23" t="s">
        <v>197</v>
      </c>
      <c r="M46" s="23">
        <f t="shared" si="0"/>
        <v>845</v>
      </c>
      <c r="N46" s="24" t="str">
        <f t="array" ref="N46">INDEX('MATCH INFO'!O:O, INT((ROW()-2)/10)+2)</f>
        <v>260605_FLC_CR_S2</v>
      </c>
    </row>
    <row r="47" spans="1:14">
      <c r="A47" s="23" t="s">
        <v>31</v>
      </c>
      <c r="B47" s="23" t="s">
        <v>163</v>
      </c>
      <c r="C47" s="23" t="s">
        <v>104</v>
      </c>
      <c r="D47" s="23" t="s">
        <v>37</v>
      </c>
      <c r="E47" s="23" t="s">
        <v>196</v>
      </c>
      <c r="F47" s="23">
        <v>24</v>
      </c>
      <c r="G47" s="23">
        <v>9</v>
      </c>
      <c r="H47" s="23">
        <v>8</v>
      </c>
      <c r="I47" s="23">
        <v>11579</v>
      </c>
      <c r="J47" s="23">
        <v>1791</v>
      </c>
      <c r="K47" s="23">
        <v>9785</v>
      </c>
      <c r="L47" s="23" t="s">
        <v>197</v>
      </c>
      <c r="M47" s="23">
        <f t="shared" si="0"/>
        <v>845</v>
      </c>
      <c r="N47" s="24" t="str">
        <f t="array" ref="N47">INDEX('MATCH INFO'!O:O, INT((ROW()-2)/10)+2)</f>
        <v>260605_FLC_CR_S2</v>
      </c>
    </row>
    <row r="48" spans="1:14">
      <c r="A48" s="23" t="s">
        <v>31</v>
      </c>
      <c r="B48" s="23" t="s">
        <v>165</v>
      </c>
      <c r="C48" s="23" t="s">
        <v>109</v>
      </c>
      <c r="D48" s="23" t="s">
        <v>37</v>
      </c>
      <c r="E48" s="23" t="s">
        <v>196</v>
      </c>
      <c r="F48" s="23">
        <v>13</v>
      </c>
      <c r="G48" s="23">
        <v>7</v>
      </c>
      <c r="H48" s="23">
        <v>19</v>
      </c>
      <c r="I48" s="23">
        <v>6242</v>
      </c>
      <c r="J48" s="23">
        <v>17368</v>
      </c>
      <c r="K48" s="23">
        <v>788</v>
      </c>
      <c r="L48" s="23" t="s">
        <v>197</v>
      </c>
      <c r="M48" s="23">
        <f t="shared" si="0"/>
        <v>845</v>
      </c>
      <c r="N48" s="24" t="str">
        <f t="array" ref="N48">INDEX('MATCH INFO'!O:O, INT((ROW()-2)/10)+2)</f>
        <v>260605_FLC_CR_S2</v>
      </c>
    </row>
    <row r="49" spans="1:14">
      <c r="A49" s="23" t="s">
        <v>31</v>
      </c>
      <c r="B49" s="23" t="s">
        <v>166</v>
      </c>
      <c r="C49" s="23" t="s">
        <v>109</v>
      </c>
      <c r="D49" s="23" t="s">
        <v>37</v>
      </c>
      <c r="E49" s="23" t="s">
        <v>196</v>
      </c>
      <c r="F49" s="23">
        <v>13</v>
      </c>
      <c r="G49" s="23">
        <v>8</v>
      </c>
      <c r="H49" s="23">
        <v>24</v>
      </c>
      <c r="I49" s="23">
        <v>6799</v>
      </c>
      <c r="J49" s="23">
        <v>18411</v>
      </c>
      <c r="K49" s="23">
        <v>0</v>
      </c>
      <c r="L49" s="23" t="s">
        <v>197</v>
      </c>
      <c r="M49" s="23">
        <f t="shared" si="0"/>
        <v>845</v>
      </c>
      <c r="N49" s="24" t="str">
        <f t="array" ref="N49">INDEX('MATCH INFO'!O:O, INT((ROW()-2)/10)+2)</f>
        <v>260605_FLC_CR_S2</v>
      </c>
    </row>
    <row r="50" spans="1:14">
      <c r="A50" s="23" t="s">
        <v>31</v>
      </c>
      <c r="B50" s="23" t="s">
        <v>164</v>
      </c>
      <c r="C50" s="23" t="s">
        <v>104</v>
      </c>
      <c r="D50" s="23" t="s">
        <v>37</v>
      </c>
      <c r="E50" s="23" t="s">
        <v>196</v>
      </c>
      <c r="F50" s="23">
        <v>24</v>
      </c>
      <c r="G50" s="23">
        <v>9</v>
      </c>
      <c r="H50" s="23">
        <v>3</v>
      </c>
      <c r="I50" s="23">
        <v>16790</v>
      </c>
      <c r="J50" s="23">
        <v>541</v>
      </c>
      <c r="K50" s="23">
        <v>845</v>
      </c>
      <c r="L50" s="23" t="s">
        <v>197</v>
      </c>
      <c r="M50" s="23">
        <f t="shared" si="0"/>
        <v>845</v>
      </c>
      <c r="N50" s="24" t="str">
        <f t="array" ref="N50">INDEX('MATCH INFO'!O:O, INT((ROW()-2)/10)+2)</f>
        <v>260605_FLC_CR_S2</v>
      </c>
    </row>
    <row r="51" spans="1:14">
      <c r="A51" s="23" t="s">
        <v>31</v>
      </c>
      <c r="B51" s="23" t="s">
        <v>160</v>
      </c>
      <c r="C51" s="23" t="s">
        <v>101</v>
      </c>
      <c r="D51" s="23" t="s">
        <v>37</v>
      </c>
      <c r="E51" s="23" t="s">
        <v>196</v>
      </c>
      <c r="F51" s="23">
        <v>25</v>
      </c>
      <c r="G51" s="23">
        <v>6</v>
      </c>
      <c r="H51" s="23">
        <v>2</v>
      </c>
      <c r="I51" s="23">
        <v>14465</v>
      </c>
      <c r="J51" s="23">
        <v>0</v>
      </c>
      <c r="K51" s="23">
        <v>25427</v>
      </c>
      <c r="L51" s="23" t="s">
        <v>197</v>
      </c>
      <c r="M51" s="23">
        <f t="shared" si="0"/>
        <v>845</v>
      </c>
      <c r="N51" s="24" t="str">
        <f t="array" ref="N51">INDEX('MATCH INFO'!O:O, INT((ROW()-2)/10)+2)</f>
        <v>260605_FLC_CR_S2</v>
      </c>
    </row>
    <row r="52" spans="1:14">
      <c r="A52" s="23" t="s">
        <v>31</v>
      </c>
      <c r="B52" s="23" t="s">
        <v>165</v>
      </c>
      <c r="C52" s="23" t="s">
        <v>109</v>
      </c>
      <c r="D52" s="23" t="s">
        <v>39</v>
      </c>
      <c r="E52" s="23" t="s">
        <v>192</v>
      </c>
      <c r="F52" s="23">
        <v>14</v>
      </c>
      <c r="G52" s="23">
        <v>7</v>
      </c>
      <c r="H52" s="23">
        <v>16</v>
      </c>
      <c r="I52" s="23">
        <v>2839</v>
      </c>
      <c r="J52" s="23">
        <v>13187</v>
      </c>
      <c r="K52" s="23">
        <v>0</v>
      </c>
      <c r="L52" s="23" t="s">
        <v>198</v>
      </c>
      <c r="M52" s="23">
        <f t="shared" si="0"/>
        <v>619</v>
      </c>
      <c r="N52" s="24" t="str">
        <f t="array" ref="N52">INDEX('MATCH INFO'!O:O, INT((ROW()-2)/10)+2)</f>
        <v>260605_FLC_CR_S3</v>
      </c>
    </row>
    <row r="53" spans="1:14">
      <c r="A53" s="23" t="s">
        <v>31</v>
      </c>
      <c r="B53" s="23" t="s">
        <v>166</v>
      </c>
      <c r="C53" s="23" t="s">
        <v>109</v>
      </c>
      <c r="D53" s="23" t="s">
        <v>39</v>
      </c>
      <c r="E53" s="23" t="s">
        <v>192</v>
      </c>
      <c r="F53" s="23">
        <v>16</v>
      </c>
      <c r="G53" s="23">
        <v>6</v>
      </c>
      <c r="H53" s="23">
        <v>24</v>
      </c>
      <c r="I53" s="23">
        <v>5459</v>
      </c>
      <c r="J53" s="23">
        <v>11660</v>
      </c>
      <c r="K53" s="23">
        <v>2865</v>
      </c>
      <c r="L53" s="23" t="s">
        <v>198</v>
      </c>
      <c r="M53" s="23">
        <f t="shared" si="0"/>
        <v>619</v>
      </c>
      <c r="N53" s="24" t="str">
        <f t="array" ref="N53">INDEX('MATCH INFO'!O:O, INT((ROW()-2)/10)+2)</f>
        <v>260605_FLC_CR_S3</v>
      </c>
    </row>
    <row r="54" spans="1:14">
      <c r="A54" s="23" t="s">
        <v>31</v>
      </c>
      <c r="B54" s="23" t="s">
        <v>161</v>
      </c>
      <c r="C54" s="23" t="s">
        <v>101</v>
      </c>
      <c r="D54" s="23" t="s">
        <v>39</v>
      </c>
      <c r="E54" s="23" t="s">
        <v>192</v>
      </c>
      <c r="F54" s="23">
        <v>21</v>
      </c>
      <c r="G54" s="23">
        <v>8</v>
      </c>
      <c r="H54" s="23">
        <v>11</v>
      </c>
      <c r="I54" s="23">
        <v>12501</v>
      </c>
      <c r="J54" s="23">
        <v>2883</v>
      </c>
      <c r="K54" s="23">
        <v>8303</v>
      </c>
      <c r="L54" s="23" t="s">
        <v>198</v>
      </c>
      <c r="M54" s="23">
        <f t="shared" si="0"/>
        <v>619</v>
      </c>
      <c r="N54" s="24" t="str">
        <f t="array" ref="N54">INDEX('MATCH INFO'!O:O, INT((ROW()-2)/10)+2)</f>
        <v>260605_FLC_CR_S3</v>
      </c>
    </row>
    <row r="55" spans="1:14">
      <c r="A55" s="23" t="s">
        <v>31</v>
      </c>
      <c r="B55" s="23" t="s">
        <v>164</v>
      </c>
      <c r="C55" s="23" t="s">
        <v>104</v>
      </c>
      <c r="D55" s="23" t="s">
        <v>39</v>
      </c>
      <c r="E55" s="23" t="s">
        <v>192</v>
      </c>
      <c r="F55" s="23">
        <v>21</v>
      </c>
      <c r="G55" s="23">
        <v>8</v>
      </c>
      <c r="H55" s="23">
        <v>0</v>
      </c>
      <c r="I55" s="23">
        <v>9888</v>
      </c>
      <c r="J55" s="23">
        <v>0</v>
      </c>
      <c r="K55" s="23">
        <v>0</v>
      </c>
      <c r="L55" s="23" t="s">
        <v>198</v>
      </c>
      <c r="M55" s="23">
        <f t="shared" si="0"/>
        <v>619</v>
      </c>
      <c r="N55" s="24" t="str">
        <f t="array" ref="N55">INDEX('MATCH INFO'!O:O, INT((ROW()-2)/10)+2)</f>
        <v>260605_FLC_CR_S3</v>
      </c>
    </row>
    <row r="56" spans="1:14">
      <c r="A56" s="23" t="s">
        <v>31</v>
      </c>
      <c r="B56" s="23" t="s">
        <v>162</v>
      </c>
      <c r="C56" s="23" t="s">
        <v>104</v>
      </c>
      <c r="D56" s="23" t="s">
        <v>39</v>
      </c>
      <c r="E56" s="23" t="s">
        <v>192</v>
      </c>
      <c r="F56" s="23">
        <v>19</v>
      </c>
      <c r="G56" s="23">
        <v>8</v>
      </c>
      <c r="H56" s="23">
        <v>0</v>
      </c>
      <c r="I56" s="23">
        <v>10052</v>
      </c>
      <c r="J56" s="23">
        <v>804</v>
      </c>
      <c r="K56" s="23">
        <v>0</v>
      </c>
      <c r="L56" s="23" t="s">
        <v>198</v>
      </c>
      <c r="M56" s="23">
        <f t="shared" si="0"/>
        <v>619</v>
      </c>
      <c r="N56" s="24" t="str">
        <f t="array" ref="N56">INDEX('MATCH INFO'!O:O, INT((ROW()-2)/10)+2)</f>
        <v>260605_FLC_CR_S3</v>
      </c>
    </row>
    <row r="57" spans="1:14">
      <c r="A57" s="23" t="s">
        <v>32</v>
      </c>
      <c r="B57" s="23" t="s">
        <v>150</v>
      </c>
      <c r="C57" s="23" t="s">
        <v>109</v>
      </c>
      <c r="D57" s="23" t="s">
        <v>39</v>
      </c>
      <c r="E57" s="23" t="s">
        <v>192</v>
      </c>
      <c r="F57" s="23">
        <v>21</v>
      </c>
      <c r="G57" s="23">
        <v>8</v>
      </c>
      <c r="H57" s="23">
        <v>25</v>
      </c>
      <c r="I57" s="23">
        <v>6207</v>
      </c>
      <c r="J57" s="23">
        <v>7490</v>
      </c>
      <c r="K57" s="23">
        <v>1950</v>
      </c>
      <c r="L57" s="23" t="s">
        <v>198</v>
      </c>
      <c r="M57" s="23">
        <f t="shared" si="0"/>
        <v>619</v>
      </c>
      <c r="N57" s="24" t="str">
        <f t="array" ref="N57">INDEX('MATCH INFO'!O:O, INT((ROW()-2)/10)+2)</f>
        <v>260605_FLC_CR_S3</v>
      </c>
    </row>
    <row r="58" spans="1:14">
      <c r="A58" s="23" t="s">
        <v>32</v>
      </c>
      <c r="B58" s="23" t="s">
        <v>147</v>
      </c>
      <c r="C58" s="23" t="s">
        <v>104</v>
      </c>
      <c r="D58" s="23" t="s">
        <v>39</v>
      </c>
      <c r="E58" s="23" t="s">
        <v>192</v>
      </c>
      <c r="F58" s="23">
        <v>28</v>
      </c>
      <c r="G58" s="23">
        <v>4</v>
      </c>
      <c r="H58" s="23">
        <v>0</v>
      </c>
      <c r="I58" s="23">
        <v>12881</v>
      </c>
      <c r="J58" s="23">
        <v>65</v>
      </c>
      <c r="K58" s="23">
        <v>962</v>
      </c>
      <c r="L58" s="23" t="s">
        <v>198</v>
      </c>
      <c r="M58" s="23">
        <f t="shared" si="0"/>
        <v>619</v>
      </c>
      <c r="N58" s="24" t="str">
        <f t="array" ref="N58">INDEX('MATCH INFO'!O:O, INT((ROW()-2)/10)+2)</f>
        <v>260605_FLC_CR_S3</v>
      </c>
    </row>
    <row r="59" spans="1:14">
      <c r="A59" s="23" t="s">
        <v>32</v>
      </c>
      <c r="B59" s="23" t="s">
        <v>145</v>
      </c>
      <c r="C59" s="23" t="s">
        <v>101</v>
      </c>
      <c r="D59" s="23" t="s">
        <v>39</v>
      </c>
      <c r="E59" s="23" t="s">
        <v>192</v>
      </c>
      <c r="F59" s="23">
        <v>33</v>
      </c>
      <c r="G59" s="23">
        <v>7</v>
      </c>
      <c r="H59" s="23">
        <v>14</v>
      </c>
      <c r="I59" s="23">
        <v>12247</v>
      </c>
      <c r="J59" s="23">
        <v>1966</v>
      </c>
      <c r="K59" s="23">
        <v>9480</v>
      </c>
      <c r="L59" s="23" t="s">
        <v>198</v>
      </c>
      <c r="M59" s="23">
        <f t="shared" si="0"/>
        <v>619</v>
      </c>
      <c r="N59" s="24" t="str">
        <f t="array" ref="N59">INDEX('MATCH INFO'!O:O, INT((ROW()-2)/10)+2)</f>
        <v>260605_FLC_CR_S3</v>
      </c>
    </row>
    <row r="60" spans="1:14">
      <c r="A60" s="23" t="s">
        <v>32</v>
      </c>
      <c r="B60" s="23" t="s">
        <v>148</v>
      </c>
      <c r="C60" s="23" t="s">
        <v>104</v>
      </c>
      <c r="D60" s="23" t="s">
        <v>39</v>
      </c>
      <c r="E60" s="23" t="s">
        <v>192</v>
      </c>
      <c r="F60" s="23">
        <v>21</v>
      </c>
      <c r="G60" s="23">
        <v>8</v>
      </c>
      <c r="H60" s="23">
        <v>0</v>
      </c>
      <c r="I60" s="23">
        <v>12155</v>
      </c>
      <c r="J60" s="23">
        <v>0</v>
      </c>
      <c r="K60" s="23">
        <v>0</v>
      </c>
      <c r="L60" s="23" t="s">
        <v>198</v>
      </c>
      <c r="M60" s="23">
        <f t="shared" si="0"/>
        <v>619</v>
      </c>
      <c r="N60" s="24" t="str">
        <f t="array" ref="N60">INDEX('MATCH INFO'!O:O, INT((ROW()-2)/10)+2)</f>
        <v>260605_FLC_CR_S3</v>
      </c>
    </row>
    <row r="61" spans="1:14">
      <c r="A61" s="23" t="s">
        <v>32</v>
      </c>
      <c r="B61" s="23" t="s">
        <v>151</v>
      </c>
      <c r="C61" s="23" t="s">
        <v>109</v>
      </c>
      <c r="D61" s="23" t="s">
        <v>39</v>
      </c>
      <c r="E61" s="23" t="s">
        <v>192</v>
      </c>
      <c r="F61" s="23">
        <v>14</v>
      </c>
      <c r="G61" s="23">
        <v>5</v>
      </c>
      <c r="H61" s="23">
        <v>24</v>
      </c>
      <c r="I61" s="23">
        <v>5185</v>
      </c>
      <c r="J61" s="23">
        <v>11225</v>
      </c>
      <c r="K61" s="23">
        <v>0</v>
      </c>
      <c r="L61" s="23" t="s">
        <v>198</v>
      </c>
      <c r="M61" s="23">
        <f t="shared" si="0"/>
        <v>619</v>
      </c>
      <c r="N61" s="24" t="str">
        <f t="array" ref="N61">INDEX('MATCH INFO'!O:O, INT((ROW()-2)/10)+2)</f>
        <v>260605_FLC_CR_S3</v>
      </c>
    </row>
    <row r="62" spans="1:14">
      <c r="A62" s="23" t="s">
        <v>41</v>
      </c>
      <c r="B62" s="23" t="s">
        <v>157</v>
      </c>
      <c r="C62" s="23" t="s">
        <v>109</v>
      </c>
      <c r="D62" s="23" t="s">
        <v>33</v>
      </c>
      <c r="E62" s="23" t="s">
        <v>188</v>
      </c>
      <c r="F62" s="23">
        <v>12</v>
      </c>
      <c r="G62" s="23">
        <v>6</v>
      </c>
      <c r="H62" s="23">
        <v>22</v>
      </c>
      <c r="I62" s="23">
        <v>2516</v>
      </c>
      <c r="J62" s="23">
        <v>6153</v>
      </c>
      <c r="K62" s="23">
        <v>1301</v>
      </c>
      <c r="L62" s="23" t="s">
        <v>199</v>
      </c>
      <c r="M62" s="23">
        <f t="shared" si="0"/>
        <v>505</v>
      </c>
      <c r="N62" s="24" t="str">
        <f t="array" ref="N62">INDEX('MATCH INFO'!O:O, INT((ROW()-2)/10)+2)</f>
        <v>260605_T1_ZETA_S1</v>
      </c>
    </row>
    <row r="63" spans="1:14">
      <c r="A63" s="23" t="s">
        <v>41</v>
      </c>
      <c r="B63" s="23" t="s">
        <v>152</v>
      </c>
      <c r="C63" s="23" t="s">
        <v>101</v>
      </c>
      <c r="D63" s="23" t="s">
        <v>33</v>
      </c>
      <c r="E63" s="23" t="s">
        <v>188</v>
      </c>
      <c r="F63" s="23">
        <v>35</v>
      </c>
      <c r="G63" s="23">
        <v>2</v>
      </c>
      <c r="H63" s="23">
        <v>19</v>
      </c>
      <c r="I63" s="23">
        <v>9347</v>
      </c>
      <c r="J63" s="23">
        <v>2022</v>
      </c>
      <c r="K63" s="23">
        <v>3845</v>
      </c>
      <c r="L63" s="23" t="s">
        <v>199</v>
      </c>
      <c r="M63" s="23">
        <f t="shared" si="0"/>
        <v>505</v>
      </c>
      <c r="N63" s="24" t="str">
        <f t="array" ref="N63">INDEX('MATCH INFO'!O:O, INT((ROW()-2)/10)+2)</f>
        <v>260605_T1_ZETA_S1</v>
      </c>
    </row>
    <row r="64" spans="1:14">
      <c r="A64" s="23" t="s">
        <v>41</v>
      </c>
      <c r="B64" s="23" t="s">
        <v>155</v>
      </c>
      <c r="C64" s="23" t="s">
        <v>104</v>
      </c>
      <c r="D64" s="23" t="s">
        <v>33</v>
      </c>
      <c r="E64" s="23" t="s">
        <v>188</v>
      </c>
      <c r="F64" s="23">
        <v>29</v>
      </c>
      <c r="G64" s="23">
        <v>3</v>
      </c>
      <c r="H64" s="23">
        <v>0</v>
      </c>
      <c r="I64" s="23">
        <v>10756</v>
      </c>
      <c r="J64" s="23">
        <v>0</v>
      </c>
      <c r="K64" s="23">
        <v>0</v>
      </c>
      <c r="L64" s="23" t="s">
        <v>199</v>
      </c>
      <c r="M64" s="23">
        <f t="shared" si="0"/>
        <v>505</v>
      </c>
      <c r="N64" s="24" t="str">
        <f t="array" ref="N64">INDEX('MATCH INFO'!O:O, INT((ROW()-2)/10)+2)</f>
        <v>260605_T1_ZETA_S1</v>
      </c>
    </row>
    <row r="65" spans="1:14">
      <c r="A65" s="23" t="s">
        <v>41</v>
      </c>
      <c r="B65" s="23" t="s">
        <v>158</v>
      </c>
      <c r="C65" s="23" t="s">
        <v>109</v>
      </c>
      <c r="D65" s="23" t="s">
        <v>33</v>
      </c>
      <c r="E65" s="23" t="s">
        <v>188</v>
      </c>
      <c r="F65" s="23">
        <v>16</v>
      </c>
      <c r="G65" s="23">
        <v>4</v>
      </c>
      <c r="H65" s="23">
        <v>29</v>
      </c>
      <c r="I65" s="23">
        <v>4050</v>
      </c>
      <c r="J65" s="23">
        <v>9014</v>
      </c>
      <c r="K65" s="23">
        <v>0</v>
      </c>
      <c r="L65" s="23" t="s">
        <v>199</v>
      </c>
      <c r="M65" s="23">
        <f t="shared" si="0"/>
        <v>505</v>
      </c>
      <c r="N65" s="24" t="str">
        <f t="array" ref="N65">INDEX('MATCH INFO'!O:O, INT((ROW()-2)/10)+2)</f>
        <v>260605_T1_ZETA_S1</v>
      </c>
    </row>
    <row r="66" spans="1:14">
      <c r="A66" s="23" t="s">
        <v>41</v>
      </c>
      <c r="B66" s="23" t="s">
        <v>154</v>
      </c>
      <c r="C66" s="23" t="s">
        <v>104</v>
      </c>
      <c r="D66" s="23" t="s">
        <v>33</v>
      </c>
      <c r="E66" s="23" t="s">
        <v>188</v>
      </c>
      <c r="F66" s="23">
        <v>25</v>
      </c>
      <c r="G66" s="23">
        <v>5</v>
      </c>
      <c r="H66" s="23">
        <v>8</v>
      </c>
      <c r="I66" s="23">
        <v>8205</v>
      </c>
      <c r="J66" s="23">
        <v>221</v>
      </c>
      <c r="K66" s="23">
        <v>545</v>
      </c>
      <c r="L66" s="23" t="s">
        <v>199</v>
      </c>
      <c r="M66" s="23">
        <f t="shared" ref="M66:M129" si="1">L66*86400</f>
        <v>505</v>
      </c>
      <c r="N66" s="24" t="str">
        <f t="array" ref="N66">INDEX('MATCH INFO'!O:O, INT((ROW()-2)/10)+2)</f>
        <v>260605_T1_ZETA_S1</v>
      </c>
    </row>
    <row r="67" spans="1:14">
      <c r="A67" s="23" t="s">
        <v>42</v>
      </c>
      <c r="B67" s="23" t="s">
        <v>139</v>
      </c>
      <c r="C67" s="23" t="s">
        <v>101</v>
      </c>
      <c r="D67" s="23" t="s">
        <v>33</v>
      </c>
      <c r="E67" s="23" t="s">
        <v>188</v>
      </c>
      <c r="F67" s="23">
        <v>11</v>
      </c>
      <c r="G67" s="23">
        <v>8</v>
      </c>
      <c r="H67" s="23">
        <v>4</v>
      </c>
      <c r="I67" s="23">
        <v>7553</v>
      </c>
      <c r="J67" s="23">
        <v>1130</v>
      </c>
      <c r="K67" s="23">
        <v>8335</v>
      </c>
      <c r="L67" s="23" t="s">
        <v>199</v>
      </c>
      <c r="M67" s="23">
        <f t="shared" si="1"/>
        <v>505</v>
      </c>
      <c r="N67" s="24" t="str">
        <f t="array" ref="N67">INDEX('MATCH INFO'!O:O, INT((ROW()-2)/10)+2)</f>
        <v>260605_T1_ZETA_S1</v>
      </c>
    </row>
    <row r="68" spans="1:14">
      <c r="A68" s="23" t="s">
        <v>42</v>
      </c>
      <c r="B68" s="23" t="s">
        <v>141</v>
      </c>
      <c r="C68" s="23" t="s">
        <v>104</v>
      </c>
      <c r="D68" s="23" t="s">
        <v>33</v>
      </c>
      <c r="E68" s="23" t="s">
        <v>188</v>
      </c>
      <c r="F68" s="23">
        <v>12</v>
      </c>
      <c r="G68" s="23">
        <v>10</v>
      </c>
      <c r="H68" s="23">
        <v>6</v>
      </c>
      <c r="I68" s="23">
        <v>6828</v>
      </c>
      <c r="J68" s="23">
        <v>347</v>
      </c>
      <c r="K68" s="23">
        <v>4652</v>
      </c>
      <c r="L68" s="23" t="s">
        <v>199</v>
      </c>
      <c r="M68" s="23">
        <f t="shared" si="1"/>
        <v>505</v>
      </c>
      <c r="N68" s="24" t="str">
        <f t="array" ref="N68">INDEX('MATCH INFO'!O:O, INT((ROW()-2)/10)+2)</f>
        <v>260605_T1_ZETA_S1</v>
      </c>
    </row>
    <row r="69" spans="1:14">
      <c r="A69" s="23" t="s">
        <v>42</v>
      </c>
      <c r="B69" s="23" t="s">
        <v>140</v>
      </c>
      <c r="C69" s="23" t="s">
        <v>104</v>
      </c>
      <c r="D69" s="23" t="s">
        <v>33</v>
      </c>
      <c r="E69" s="23" t="s">
        <v>188</v>
      </c>
      <c r="F69" s="23">
        <v>8</v>
      </c>
      <c r="G69" s="23">
        <v>8</v>
      </c>
      <c r="H69" s="23">
        <v>1</v>
      </c>
      <c r="I69" s="23">
        <v>5807</v>
      </c>
      <c r="J69" s="23">
        <v>0</v>
      </c>
      <c r="K69" s="23">
        <v>229</v>
      </c>
      <c r="L69" s="23" t="s">
        <v>199</v>
      </c>
      <c r="M69" s="23">
        <f t="shared" si="1"/>
        <v>505</v>
      </c>
      <c r="N69" s="24" t="str">
        <f t="array" ref="N69">INDEX('MATCH INFO'!O:O, INT((ROW()-2)/10)+2)</f>
        <v>260605_T1_ZETA_S1</v>
      </c>
    </row>
    <row r="70" spans="1:14">
      <c r="A70" s="23" t="s">
        <v>42</v>
      </c>
      <c r="B70" s="23" t="s">
        <v>143</v>
      </c>
      <c r="C70" s="23" t="s">
        <v>109</v>
      </c>
      <c r="D70" s="23" t="s">
        <v>33</v>
      </c>
      <c r="E70" s="23" t="s">
        <v>188</v>
      </c>
      <c r="F70" s="23">
        <v>9</v>
      </c>
      <c r="G70" s="23">
        <v>9</v>
      </c>
      <c r="H70" s="23">
        <v>9</v>
      </c>
      <c r="I70" s="23">
        <v>4281</v>
      </c>
      <c r="J70" s="23">
        <v>6485</v>
      </c>
      <c r="K70" s="23">
        <v>2599</v>
      </c>
      <c r="L70" s="23" t="s">
        <v>199</v>
      </c>
      <c r="M70" s="23">
        <f t="shared" si="1"/>
        <v>505</v>
      </c>
      <c r="N70" s="24" t="str">
        <f t="array" ref="N70">INDEX('MATCH INFO'!O:O, INT((ROW()-2)/10)+2)</f>
        <v>260605_T1_ZETA_S1</v>
      </c>
    </row>
    <row r="71" spans="1:14">
      <c r="A71" s="23" t="s">
        <v>42</v>
      </c>
      <c r="B71" s="23" t="s">
        <v>142</v>
      </c>
      <c r="C71" s="23" t="s">
        <v>109</v>
      </c>
      <c r="D71" s="23" t="s">
        <v>33</v>
      </c>
      <c r="E71" s="23" t="s">
        <v>188</v>
      </c>
      <c r="F71" s="23">
        <v>8</v>
      </c>
      <c r="G71" s="23">
        <v>8</v>
      </c>
      <c r="H71" s="23">
        <v>12</v>
      </c>
      <c r="I71" s="23">
        <v>3049</v>
      </c>
      <c r="J71" s="23">
        <v>9079</v>
      </c>
      <c r="K71" s="23">
        <v>0</v>
      </c>
      <c r="L71" s="23" t="s">
        <v>199</v>
      </c>
      <c r="M71" s="23">
        <f t="shared" si="1"/>
        <v>505</v>
      </c>
      <c r="N71" s="24" t="str">
        <f t="array" ref="N71">INDEX('MATCH INFO'!O:O, INT((ROW()-2)/10)+2)</f>
        <v>260605_T1_ZETA_S1</v>
      </c>
    </row>
    <row r="72" spans="1:14">
      <c r="A72" s="23" t="s">
        <v>41</v>
      </c>
      <c r="B72" s="23" t="s">
        <v>157</v>
      </c>
      <c r="C72" s="23" t="s">
        <v>109</v>
      </c>
      <c r="D72" s="23" t="s">
        <v>200</v>
      </c>
      <c r="E72" s="23" t="s">
        <v>201</v>
      </c>
      <c r="F72" s="23">
        <v>28</v>
      </c>
      <c r="G72" s="23">
        <v>8</v>
      </c>
      <c r="H72" s="23">
        <v>31</v>
      </c>
      <c r="I72" s="23">
        <v>4017</v>
      </c>
      <c r="J72" s="23">
        <v>12849</v>
      </c>
      <c r="K72" s="23">
        <v>0</v>
      </c>
      <c r="L72" s="23" t="s">
        <v>202</v>
      </c>
      <c r="M72" s="23">
        <f t="shared" si="1"/>
        <v>922</v>
      </c>
      <c r="N72" s="24" t="str">
        <f t="array" ref="N72">INDEX('MATCH INFO'!O:O, INT((ROW()-2)/10)+2)</f>
        <v>260605_T1_ZETA_S2</v>
      </c>
    </row>
    <row r="73" spans="1:14">
      <c r="A73" s="23" t="s">
        <v>41</v>
      </c>
      <c r="B73" s="23" t="s">
        <v>152</v>
      </c>
      <c r="C73" s="23" t="s">
        <v>101</v>
      </c>
      <c r="D73" s="23" t="s">
        <v>200</v>
      </c>
      <c r="E73" s="23" t="s">
        <v>201</v>
      </c>
      <c r="F73" s="23">
        <v>35</v>
      </c>
      <c r="G73" s="23">
        <v>12</v>
      </c>
      <c r="H73" s="23">
        <v>31</v>
      </c>
      <c r="I73" s="23">
        <v>17150</v>
      </c>
      <c r="J73" s="23">
        <v>5356</v>
      </c>
      <c r="K73" s="23">
        <v>9187</v>
      </c>
      <c r="L73" s="23" t="s">
        <v>202</v>
      </c>
      <c r="M73" s="23">
        <f t="shared" si="1"/>
        <v>922</v>
      </c>
      <c r="N73" s="24" t="str">
        <f t="array" ref="N73">INDEX('MATCH INFO'!O:O, INT((ROW()-2)/10)+2)</f>
        <v>260605_T1_ZETA_S2</v>
      </c>
    </row>
    <row r="74" spans="1:14">
      <c r="A74" s="23" t="s">
        <v>41</v>
      </c>
      <c r="B74" s="23" t="s">
        <v>155</v>
      </c>
      <c r="C74" s="23" t="s">
        <v>104</v>
      </c>
      <c r="D74" s="23" t="s">
        <v>200</v>
      </c>
      <c r="E74" s="23" t="s">
        <v>201</v>
      </c>
      <c r="F74" s="23">
        <v>30</v>
      </c>
      <c r="G74" s="23">
        <v>16</v>
      </c>
      <c r="H74" s="23">
        <v>3</v>
      </c>
      <c r="I74" s="23">
        <v>22492</v>
      </c>
      <c r="J74" s="23">
        <v>429</v>
      </c>
      <c r="K74" s="23">
        <v>2602</v>
      </c>
      <c r="L74" s="23" t="s">
        <v>202</v>
      </c>
      <c r="M74" s="23">
        <f t="shared" si="1"/>
        <v>922</v>
      </c>
      <c r="N74" s="24" t="str">
        <f t="array" ref="N74">INDEX('MATCH INFO'!O:O, INT((ROW()-2)/10)+2)</f>
        <v>260605_T1_ZETA_S2</v>
      </c>
    </row>
    <row r="75" spans="1:14">
      <c r="A75" s="23" t="s">
        <v>41</v>
      </c>
      <c r="B75" s="23" t="s">
        <v>158</v>
      </c>
      <c r="C75" s="23" t="s">
        <v>109</v>
      </c>
      <c r="D75" s="23" t="s">
        <v>200</v>
      </c>
      <c r="E75" s="23" t="s">
        <v>201</v>
      </c>
      <c r="F75" s="23">
        <v>21</v>
      </c>
      <c r="G75" s="23">
        <v>12</v>
      </c>
      <c r="H75" s="23">
        <v>38</v>
      </c>
      <c r="I75" s="23">
        <v>8294</v>
      </c>
      <c r="J75" s="23">
        <v>14597</v>
      </c>
      <c r="K75" s="23">
        <v>762</v>
      </c>
      <c r="L75" s="23" t="s">
        <v>202</v>
      </c>
      <c r="M75" s="23">
        <f t="shared" si="1"/>
        <v>922</v>
      </c>
      <c r="N75" s="24" t="str">
        <f t="array" ref="N75">INDEX('MATCH INFO'!O:O, INT((ROW()-2)/10)+2)</f>
        <v>260605_T1_ZETA_S2</v>
      </c>
    </row>
    <row r="76" spans="1:14">
      <c r="A76" s="23" t="s">
        <v>41</v>
      </c>
      <c r="B76" s="23" t="s">
        <v>154</v>
      </c>
      <c r="C76" s="23" t="s">
        <v>104</v>
      </c>
      <c r="D76" s="23" t="s">
        <v>200</v>
      </c>
      <c r="E76" s="23" t="s">
        <v>201</v>
      </c>
      <c r="F76" s="23">
        <v>36</v>
      </c>
      <c r="G76" s="23">
        <v>11</v>
      </c>
      <c r="H76" s="23">
        <v>1</v>
      </c>
      <c r="I76" s="23">
        <v>15534</v>
      </c>
      <c r="J76" s="23">
        <v>1891</v>
      </c>
      <c r="K76" s="23">
        <v>90</v>
      </c>
      <c r="L76" s="23" t="s">
        <v>202</v>
      </c>
      <c r="M76" s="23">
        <f t="shared" si="1"/>
        <v>922</v>
      </c>
      <c r="N76" s="24" t="str">
        <f t="array" ref="N76">INDEX('MATCH INFO'!O:O, INT((ROW()-2)/10)+2)</f>
        <v>260605_T1_ZETA_S2</v>
      </c>
    </row>
    <row r="77" spans="1:14">
      <c r="A77" s="23" t="s">
        <v>42</v>
      </c>
      <c r="B77" s="23" t="s">
        <v>139</v>
      </c>
      <c r="C77" s="23" t="s">
        <v>101</v>
      </c>
      <c r="D77" s="23" t="s">
        <v>200</v>
      </c>
      <c r="E77" s="23" t="s">
        <v>201</v>
      </c>
      <c r="F77" s="23">
        <v>41</v>
      </c>
      <c r="G77" s="23">
        <v>13</v>
      </c>
      <c r="H77" s="23">
        <v>26</v>
      </c>
      <c r="I77" s="23">
        <v>18543</v>
      </c>
      <c r="J77" s="23">
        <v>3946</v>
      </c>
      <c r="K77" s="23">
        <v>14177</v>
      </c>
      <c r="L77" s="23" t="s">
        <v>202</v>
      </c>
      <c r="M77" s="23">
        <f t="shared" si="1"/>
        <v>922</v>
      </c>
      <c r="N77" s="24" t="str">
        <f t="array" ref="N77">INDEX('MATCH INFO'!O:O, INT((ROW()-2)/10)+2)</f>
        <v>260605_T1_ZETA_S2</v>
      </c>
    </row>
    <row r="78" spans="1:14">
      <c r="A78" s="23" t="s">
        <v>42</v>
      </c>
      <c r="B78" s="23" t="s">
        <v>141</v>
      </c>
      <c r="C78" s="23" t="s">
        <v>104</v>
      </c>
      <c r="D78" s="23" t="s">
        <v>200</v>
      </c>
      <c r="E78" s="23" t="s">
        <v>201</v>
      </c>
      <c r="F78" s="23">
        <v>33</v>
      </c>
      <c r="G78" s="23">
        <v>12</v>
      </c>
      <c r="H78" s="23">
        <v>6</v>
      </c>
      <c r="I78" s="23">
        <v>21026</v>
      </c>
      <c r="J78" s="23">
        <v>612</v>
      </c>
      <c r="K78" s="23">
        <v>2040</v>
      </c>
      <c r="L78" s="23" t="s">
        <v>202</v>
      </c>
      <c r="M78" s="23">
        <f t="shared" si="1"/>
        <v>922</v>
      </c>
      <c r="N78" s="24" t="str">
        <f t="array" ref="N78">INDEX('MATCH INFO'!O:O, INT((ROW()-2)/10)+2)</f>
        <v>260605_T1_ZETA_S2</v>
      </c>
    </row>
    <row r="79" spans="1:14">
      <c r="A79" s="23" t="s">
        <v>42</v>
      </c>
      <c r="B79" s="23" t="s">
        <v>140</v>
      </c>
      <c r="C79" s="23" t="s">
        <v>104</v>
      </c>
      <c r="D79" s="23" t="s">
        <v>200</v>
      </c>
      <c r="E79" s="23" t="s">
        <v>201</v>
      </c>
      <c r="F79" s="23">
        <v>39</v>
      </c>
      <c r="G79" s="23">
        <v>7</v>
      </c>
      <c r="H79" s="23">
        <v>3</v>
      </c>
      <c r="I79" s="23">
        <v>17513</v>
      </c>
      <c r="J79" s="23">
        <v>1072</v>
      </c>
      <c r="K79" s="23">
        <v>0</v>
      </c>
      <c r="L79" s="23" t="s">
        <v>202</v>
      </c>
      <c r="M79" s="23">
        <f t="shared" si="1"/>
        <v>922</v>
      </c>
      <c r="N79" s="24" t="str">
        <f t="array" ref="N79">INDEX('MATCH INFO'!O:O, INT((ROW()-2)/10)+2)</f>
        <v>260605_T1_ZETA_S2</v>
      </c>
    </row>
    <row r="80" spans="1:14">
      <c r="A80" s="23" t="s">
        <v>42</v>
      </c>
      <c r="B80" s="23" t="s">
        <v>143</v>
      </c>
      <c r="C80" s="23" t="s">
        <v>109</v>
      </c>
      <c r="D80" s="23" t="s">
        <v>200</v>
      </c>
      <c r="E80" s="23" t="s">
        <v>201</v>
      </c>
      <c r="F80" s="23">
        <v>23</v>
      </c>
      <c r="G80" s="23">
        <v>10</v>
      </c>
      <c r="H80" s="23">
        <v>42</v>
      </c>
      <c r="I80" s="23">
        <v>6676</v>
      </c>
      <c r="J80" s="23">
        <v>15047</v>
      </c>
      <c r="K80" s="23">
        <v>3844</v>
      </c>
      <c r="L80" s="23" t="s">
        <v>202</v>
      </c>
      <c r="M80" s="23">
        <f t="shared" si="1"/>
        <v>922</v>
      </c>
      <c r="N80" s="24" t="str">
        <f t="array" ref="N80">INDEX('MATCH INFO'!O:O, INT((ROW()-2)/10)+2)</f>
        <v>260605_T1_ZETA_S2</v>
      </c>
    </row>
    <row r="81" spans="1:14">
      <c r="A81" s="23" t="s">
        <v>42</v>
      </c>
      <c r="B81" s="23" t="s">
        <v>142</v>
      </c>
      <c r="C81" s="23" t="s">
        <v>109</v>
      </c>
      <c r="D81" s="23" t="s">
        <v>200</v>
      </c>
      <c r="E81" s="23" t="s">
        <v>201</v>
      </c>
      <c r="F81" s="23">
        <v>32</v>
      </c>
      <c r="G81" s="23">
        <v>11</v>
      </c>
      <c r="H81" s="23">
        <v>30</v>
      </c>
      <c r="I81" s="23">
        <v>5500</v>
      </c>
      <c r="J81" s="23">
        <v>14314</v>
      </c>
      <c r="K81" s="23">
        <v>0</v>
      </c>
      <c r="L81" s="23" t="s">
        <v>202</v>
      </c>
      <c r="M81" s="23">
        <f t="shared" si="1"/>
        <v>922</v>
      </c>
      <c r="N81" s="24" t="str">
        <f t="array" ref="N81">INDEX('MATCH INFO'!O:O, INT((ROW()-2)/10)+2)</f>
        <v>260605_T1_ZETA_S2</v>
      </c>
    </row>
    <row r="82" spans="1:14">
      <c r="A82" s="23" t="s">
        <v>41</v>
      </c>
      <c r="B82" s="23" t="s">
        <v>157</v>
      </c>
      <c r="C82" s="23" t="s">
        <v>109</v>
      </c>
      <c r="D82" s="23" t="s">
        <v>44</v>
      </c>
      <c r="E82" s="23" t="s">
        <v>190</v>
      </c>
      <c r="F82" s="23">
        <v>14</v>
      </c>
      <c r="G82" s="23">
        <v>1</v>
      </c>
      <c r="H82" s="23">
        <v>24</v>
      </c>
      <c r="I82" s="23">
        <v>2636</v>
      </c>
      <c r="J82" s="23">
        <v>5478</v>
      </c>
      <c r="K82" s="23">
        <v>858</v>
      </c>
      <c r="L82" s="23" t="s">
        <v>203</v>
      </c>
      <c r="M82" s="23">
        <f t="shared" si="1"/>
        <v>459.00000000000006</v>
      </c>
      <c r="N82" s="24" t="str">
        <f t="array" ref="N82">INDEX('MATCH INFO'!O:O, INT((ROW()-2)/10)+2)</f>
        <v>260605_T1_ZETA_S3</v>
      </c>
    </row>
    <row r="83" spans="1:14">
      <c r="A83" s="23" t="s">
        <v>41</v>
      </c>
      <c r="B83" s="23" t="s">
        <v>152</v>
      </c>
      <c r="C83" s="23" t="s">
        <v>101</v>
      </c>
      <c r="D83" s="23" t="s">
        <v>44</v>
      </c>
      <c r="E83" s="23" t="s">
        <v>190</v>
      </c>
      <c r="F83" s="23">
        <v>23</v>
      </c>
      <c r="G83" s="23">
        <v>2</v>
      </c>
      <c r="H83" s="23">
        <v>8</v>
      </c>
      <c r="I83" s="23">
        <v>6484</v>
      </c>
      <c r="J83" s="23">
        <v>1157</v>
      </c>
      <c r="K83" s="23">
        <v>3075</v>
      </c>
      <c r="L83" s="23" t="s">
        <v>203</v>
      </c>
      <c r="M83" s="23">
        <f t="shared" si="1"/>
        <v>459.00000000000006</v>
      </c>
      <c r="N83" s="24" t="str">
        <f t="array" ref="N83">INDEX('MATCH INFO'!O:O, INT((ROW()-2)/10)+2)</f>
        <v>260605_T1_ZETA_S3</v>
      </c>
    </row>
    <row r="84" spans="1:14">
      <c r="A84" s="23" t="s">
        <v>41</v>
      </c>
      <c r="B84" s="23" t="s">
        <v>155</v>
      </c>
      <c r="C84" s="23" t="s">
        <v>104</v>
      </c>
      <c r="D84" s="23" t="s">
        <v>44</v>
      </c>
      <c r="E84" s="23" t="s">
        <v>190</v>
      </c>
      <c r="F84" s="23">
        <v>25</v>
      </c>
      <c r="G84" s="23">
        <v>2</v>
      </c>
      <c r="H84" s="23">
        <v>0</v>
      </c>
      <c r="I84" s="23">
        <v>8158</v>
      </c>
      <c r="J84" s="23">
        <v>0</v>
      </c>
      <c r="K84" s="23">
        <v>0</v>
      </c>
      <c r="L84" s="23" t="s">
        <v>203</v>
      </c>
      <c r="M84" s="23">
        <f t="shared" si="1"/>
        <v>459.00000000000006</v>
      </c>
      <c r="N84" s="24" t="str">
        <f t="array" ref="N84">INDEX('MATCH INFO'!O:O, INT((ROW()-2)/10)+2)</f>
        <v>260605_T1_ZETA_S3</v>
      </c>
    </row>
    <row r="85" spans="1:14">
      <c r="A85" s="23" t="s">
        <v>41</v>
      </c>
      <c r="B85" s="23" t="s">
        <v>158</v>
      </c>
      <c r="C85" s="23" t="s">
        <v>109</v>
      </c>
      <c r="D85" s="23" t="s">
        <v>44</v>
      </c>
      <c r="E85" s="23" t="s">
        <v>190</v>
      </c>
      <c r="F85" s="23">
        <v>15</v>
      </c>
      <c r="G85" s="23">
        <v>3</v>
      </c>
      <c r="H85" s="23">
        <v>23</v>
      </c>
      <c r="I85" s="23">
        <v>4848</v>
      </c>
      <c r="J85" s="23">
        <v>6569</v>
      </c>
      <c r="K85" s="23">
        <v>0</v>
      </c>
      <c r="L85" s="23" t="s">
        <v>203</v>
      </c>
      <c r="M85" s="23">
        <f t="shared" si="1"/>
        <v>459.00000000000006</v>
      </c>
      <c r="N85" s="24" t="str">
        <f t="array" ref="N85">INDEX('MATCH INFO'!O:O, INT((ROW()-2)/10)+2)</f>
        <v>260605_T1_ZETA_S3</v>
      </c>
    </row>
    <row r="86" spans="1:14">
      <c r="A86" s="23" t="s">
        <v>41</v>
      </c>
      <c r="B86" s="23" t="s">
        <v>154</v>
      </c>
      <c r="C86" s="23" t="s">
        <v>104</v>
      </c>
      <c r="D86" s="23" t="s">
        <v>44</v>
      </c>
      <c r="E86" s="23" t="s">
        <v>190</v>
      </c>
      <c r="F86" s="23">
        <v>21</v>
      </c>
      <c r="G86" s="23">
        <v>2</v>
      </c>
      <c r="H86" s="23">
        <v>4</v>
      </c>
      <c r="I86" s="23">
        <v>4557</v>
      </c>
      <c r="J86" s="23">
        <v>116</v>
      </c>
      <c r="K86" s="23">
        <v>210</v>
      </c>
      <c r="L86" s="23" t="s">
        <v>203</v>
      </c>
      <c r="M86" s="23">
        <f t="shared" si="1"/>
        <v>459.00000000000006</v>
      </c>
      <c r="N86" s="24" t="str">
        <f t="array" ref="N86">INDEX('MATCH INFO'!O:O, INT((ROW()-2)/10)+2)</f>
        <v>260605_T1_ZETA_S3</v>
      </c>
    </row>
    <row r="87" spans="1:14">
      <c r="A87" s="23" t="s">
        <v>42</v>
      </c>
      <c r="B87" s="23" t="s">
        <v>141</v>
      </c>
      <c r="C87" s="23" t="s">
        <v>104</v>
      </c>
      <c r="D87" s="23" t="s">
        <v>44</v>
      </c>
      <c r="E87" s="23" t="s">
        <v>190</v>
      </c>
      <c r="F87" s="23">
        <v>8</v>
      </c>
      <c r="G87" s="23">
        <v>8</v>
      </c>
      <c r="H87" s="23">
        <v>0</v>
      </c>
      <c r="I87" s="23">
        <v>3813</v>
      </c>
      <c r="J87" s="23">
        <v>134</v>
      </c>
      <c r="K87" s="23">
        <v>21</v>
      </c>
      <c r="L87" s="23" t="s">
        <v>203</v>
      </c>
      <c r="M87" s="23">
        <f t="shared" si="1"/>
        <v>459.00000000000006</v>
      </c>
      <c r="N87" s="24" t="str">
        <f t="array" ref="N87">INDEX('MATCH INFO'!O:O, INT((ROW()-2)/10)+2)</f>
        <v>260605_T1_ZETA_S3</v>
      </c>
    </row>
    <row r="88" spans="1:14">
      <c r="A88" s="23" t="s">
        <v>42</v>
      </c>
      <c r="B88" s="23" t="s">
        <v>138</v>
      </c>
      <c r="C88" s="23" t="s">
        <v>101</v>
      </c>
      <c r="D88" s="23" t="s">
        <v>44</v>
      </c>
      <c r="E88" s="23" t="s">
        <v>190</v>
      </c>
      <c r="F88" s="23">
        <v>7</v>
      </c>
      <c r="G88" s="23">
        <v>6</v>
      </c>
      <c r="H88" s="23">
        <v>2</v>
      </c>
      <c r="I88" s="23">
        <v>5571</v>
      </c>
      <c r="J88" s="23">
        <v>1550</v>
      </c>
      <c r="K88" s="23">
        <v>3123</v>
      </c>
      <c r="L88" s="23" t="s">
        <v>203</v>
      </c>
      <c r="M88" s="23">
        <f t="shared" si="1"/>
        <v>459.00000000000006</v>
      </c>
      <c r="N88" s="24" t="str">
        <f t="array" ref="N88">INDEX('MATCH INFO'!O:O, INT((ROW()-2)/10)+2)</f>
        <v>260605_T1_ZETA_S3</v>
      </c>
    </row>
    <row r="89" spans="1:14">
      <c r="A89" s="23" t="s">
        <v>42</v>
      </c>
      <c r="B89" s="23" t="s">
        <v>140</v>
      </c>
      <c r="C89" s="23" t="s">
        <v>104</v>
      </c>
      <c r="D89" s="23" t="s">
        <v>44</v>
      </c>
      <c r="E89" s="23" t="s">
        <v>190</v>
      </c>
      <c r="F89" s="23">
        <v>6</v>
      </c>
      <c r="G89" s="23">
        <v>7</v>
      </c>
      <c r="H89" s="23">
        <v>0</v>
      </c>
      <c r="I89" s="23">
        <v>4666</v>
      </c>
      <c r="J89" s="23">
        <v>65</v>
      </c>
      <c r="K89" s="23">
        <v>212</v>
      </c>
      <c r="L89" s="23" t="s">
        <v>203</v>
      </c>
      <c r="M89" s="23">
        <f t="shared" si="1"/>
        <v>459.00000000000006</v>
      </c>
      <c r="N89" s="24" t="str">
        <f t="array" ref="N89">INDEX('MATCH INFO'!O:O, INT((ROW()-2)/10)+2)</f>
        <v>260605_T1_ZETA_S3</v>
      </c>
    </row>
    <row r="90" spans="1:14">
      <c r="A90" s="23" t="s">
        <v>42</v>
      </c>
      <c r="B90" s="23" t="s">
        <v>143</v>
      </c>
      <c r="C90" s="23" t="s">
        <v>109</v>
      </c>
      <c r="D90" s="23" t="s">
        <v>44</v>
      </c>
      <c r="E90" s="23" t="s">
        <v>190</v>
      </c>
      <c r="F90" s="23">
        <v>2</v>
      </c>
      <c r="G90" s="23">
        <v>8</v>
      </c>
      <c r="H90" s="23">
        <v>2</v>
      </c>
      <c r="I90" s="23">
        <v>2340</v>
      </c>
      <c r="J90" s="23">
        <v>4158</v>
      </c>
      <c r="K90" s="23">
        <v>190</v>
      </c>
      <c r="L90" s="23" t="s">
        <v>203</v>
      </c>
      <c r="M90" s="23">
        <f t="shared" si="1"/>
        <v>459.00000000000006</v>
      </c>
      <c r="N90" s="24" t="str">
        <f t="array" ref="N90">INDEX('MATCH INFO'!O:O, INT((ROW()-2)/10)+2)</f>
        <v>260605_T1_ZETA_S3</v>
      </c>
    </row>
    <row r="91" spans="1:14">
      <c r="A91" s="23" t="s">
        <v>42</v>
      </c>
      <c r="B91" s="23" t="s">
        <v>142</v>
      </c>
      <c r="C91" s="23" t="s">
        <v>109</v>
      </c>
      <c r="D91" s="23" t="s">
        <v>44</v>
      </c>
      <c r="E91" s="23" t="s">
        <v>190</v>
      </c>
      <c r="F91" s="23">
        <v>4</v>
      </c>
      <c r="G91" s="23">
        <v>8</v>
      </c>
      <c r="H91" s="23">
        <v>8</v>
      </c>
      <c r="I91" s="23">
        <v>3229</v>
      </c>
      <c r="J91" s="23">
        <v>5116</v>
      </c>
      <c r="K91" s="23">
        <v>0</v>
      </c>
      <c r="L91" s="23" t="s">
        <v>203</v>
      </c>
      <c r="M91" s="23">
        <f t="shared" si="1"/>
        <v>459.00000000000006</v>
      </c>
      <c r="N91" s="24" t="str">
        <f t="array" ref="N91">INDEX('MATCH INFO'!O:O, INT((ROW()-2)/10)+2)</f>
        <v>260605_T1_ZETA_S3</v>
      </c>
    </row>
    <row r="92" spans="1:14">
      <c r="A92" s="23" t="s">
        <v>41</v>
      </c>
      <c r="B92" s="23" t="s">
        <v>157</v>
      </c>
      <c r="C92" s="23" t="s">
        <v>109</v>
      </c>
      <c r="D92" s="23" t="s">
        <v>37</v>
      </c>
      <c r="E92" s="23" t="s">
        <v>196</v>
      </c>
      <c r="F92" s="23">
        <v>21</v>
      </c>
      <c r="G92" s="23">
        <v>8</v>
      </c>
      <c r="H92" s="23">
        <v>25</v>
      </c>
      <c r="I92" s="23">
        <v>9104</v>
      </c>
      <c r="J92" s="23">
        <v>10893</v>
      </c>
      <c r="K92" s="23">
        <v>913</v>
      </c>
      <c r="L92" s="23" t="s">
        <v>204</v>
      </c>
      <c r="M92" s="23">
        <f t="shared" si="1"/>
        <v>980.00000000000011</v>
      </c>
      <c r="N92" s="24" t="str">
        <f t="array" ref="N92">INDEX('MATCH INFO'!O:O, INT((ROW()-2)/10)+2)</f>
        <v>260605_T1_ZETA_S4</v>
      </c>
    </row>
    <row r="93" spans="1:14">
      <c r="A93" s="23" t="s">
        <v>41</v>
      </c>
      <c r="B93" s="23" t="s">
        <v>152</v>
      </c>
      <c r="C93" s="23" t="s">
        <v>101</v>
      </c>
      <c r="D93" s="23" t="s">
        <v>37</v>
      </c>
      <c r="E93" s="23" t="s">
        <v>196</v>
      </c>
      <c r="F93" s="23">
        <v>28</v>
      </c>
      <c r="G93" s="23">
        <v>11</v>
      </c>
      <c r="H93" s="23">
        <v>17</v>
      </c>
      <c r="I93" s="23">
        <v>12646</v>
      </c>
      <c r="J93" s="23">
        <v>1137</v>
      </c>
      <c r="K93" s="23">
        <v>14841</v>
      </c>
      <c r="L93" s="23" t="s">
        <v>204</v>
      </c>
      <c r="M93" s="23">
        <f t="shared" si="1"/>
        <v>980.00000000000011</v>
      </c>
      <c r="N93" s="24" t="str">
        <f t="array" ref="N93">INDEX('MATCH INFO'!O:O, INT((ROW()-2)/10)+2)</f>
        <v>260605_T1_ZETA_S4</v>
      </c>
    </row>
    <row r="94" spans="1:14">
      <c r="A94" s="23" t="s">
        <v>41</v>
      </c>
      <c r="B94" s="23" t="s">
        <v>155</v>
      </c>
      <c r="C94" s="23" t="s">
        <v>104</v>
      </c>
      <c r="D94" s="23" t="s">
        <v>37</v>
      </c>
      <c r="E94" s="23" t="s">
        <v>196</v>
      </c>
      <c r="F94" s="23">
        <v>32</v>
      </c>
      <c r="G94" s="23">
        <v>11</v>
      </c>
      <c r="H94" s="23">
        <v>1</v>
      </c>
      <c r="I94" s="23">
        <v>17143</v>
      </c>
      <c r="J94" s="23">
        <v>0</v>
      </c>
      <c r="K94" s="23">
        <v>17</v>
      </c>
      <c r="L94" s="23" t="s">
        <v>204</v>
      </c>
      <c r="M94" s="23">
        <f t="shared" si="1"/>
        <v>980.00000000000011</v>
      </c>
      <c r="N94" s="24" t="str">
        <f t="array" ref="N94">INDEX('MATCH INFO'!O:O, INT((ROW()-2)/10)+2)</f>
        <v>260605_T1_ZETA_S4</v>
      </c>
    </row>
    <row r="95" spans="1:14">
      <c r="A95" s="23" t="s">
        <v>41</v>
      </c>
      <c r="B95" s="23" t="s">
        <v>158</v>
      </c>
      <c r="C95" s="23" t="s">
        <v>109</v>
      </c>
      <c r="D95" s="23" t="s">
        <v>37</v>
      </c>
      <c r="E95" s="23" t="s">
        <v>196</v>
      </c>
      <c r="F95" s="23">
        <v>30</v>
      </c>
      <c r="G95" s="23">
        <v>11</v>
      </c>
      <c r="H95" s="23">
        <v>27</v>
      </c>
      <c r="I95" s="23">
        <v>6516</v>
      </c>
      <c r="J95" s="23">
        <v>13794</v>
      </c>
      <c r="K95" s="23">
        <v>911</v>
      </c>
      <c r="L95" s="23" t="s">
        <v>204</v>
      </c>
      <c r="M95" s="23">
        <f t="shared" si="1"/>
        <v>980.00000000000011</v>
      </c>
      <c r="N95" s="24" t="str">
        <f t="array" ref="N95">INDEX('MATCH INFO'!O:O, INT((ROW()-2)/10)+2)</f>
        <v>260605_T1_ZETA_S4</v>
      </c>
    </row>
    <row r="96" spans="1:14">
      <c r="A96" s="23" t="s">
        <v>41</v>
      </c>
      <c r="B96" s="23" t="s">
        <v>154</v>
      </c>
      <c r="C96" s="23" t="s">
        <v>104</v>
      </c>
      <c r="D96" s="23" t="s">
        <v>37</v>
      </c>
      <c r="E96" s="23" t="s">
        <v>196</v>
      </c>
      <c r="F96" s="23">
        <v>31</v>
      </c>
      <c r="G96" s="23">
        <v>9</v>
      </c>
      <c r="H96" s="23">
        <v>10</v>
      </c>
      <c r="I96" s="23">
        <v>11204</v>
      </c>
      <c r="J96" s="23">
        <v>718</v>
      </c>
      <c r="K96" s="23">
        <v>2901</v>
      </c>
      <c r="L96" s="23" t="s">
        <v>204</v>
      </c>
      <c r="M96" s="23">
        <f t="shared" si="1"/>
        <v>980.00000000000011</v>
      </c>
      <c r="N96" s="24" t="str">
        <f t="array" ref="N96">INDEX('MATCH INFO'!O:O, INT((ROW()-2)/10)+2)</f>
        <v>260605_T1_ZETA_S4</v>
      </c>
    </row>
    <row r="97" spans="1:14">
      <c r="A97" s="23" t="s">
        <v>42</v>
      </c>
      <c r="B97" s="23" t="s">
        <v>139</v>
      </c>
      <c r="C97" s="23" t="s">
        <v>101</v>
      </c>
      <c r="D97" s="23" t="s">
        <v>37</v>
      </c>
      <c r="E97" s="23" t="s">
        <v>196</v>
      </c>
      <c r="F97" s="23">
        <v>30</v>
      </c>
      <c r="G97" s="23">
        <v>10</v>
      </c>
      <c r="H97" s="23">
        <v>4</v>
      </c>
      <c r="I97" s="23">
        <v>13836</v>
      </c>
      <c r="J97" s="23">
        <v>846</v>
      </c>
      <c r="K97" s="23">
        <v>24047</v>
      </c>
      <c r="L97" s="23" t="s">
        <v>204</v>
      </c>
      <c r="M97" s="23">
        <f t="shared" si="1"/>
        <v>980.00000000000011</v>
      </c>
      <c r="N97" s="24" t="str">
        <f t="array" ref="N97">INDEX('MATCH INFO'!O:O, INT((ROW()-2)/10)+2)</f>
        <v>260605_T1_ZETA_S4</v>
      </c>
    </row>
    <row r="98" spans="1:14">
      <c r="A98" s="23" t="s">
        <v>42</v>
      </c>
      <c r="B98" s="23" t="s">
        <v>141</v>
      </c>
      <c r="C98" s="23" t="s">
        <v>104</v>
      </c>
      <c r="D98" s="23" t="s">
        <v>37</v>
      </c>
      <c r="E98" s="23" t="s">
        <v>196</v>
      </c>
      <c r="F98" s="23">
        <v>22</v>
      </c>
      <c r="G98" s="23">
        <v>13</v>
      </c>
      <c r="H98" s="23">
        <v>4</v>
      </c>
      <c r="I98" s="23">
        <v>11970</v>
      </c>
      <c r="J98" s="23">
        <v>118</v>
      </c>
      <c r="K98" s="23">
        <v>2106</v>
      </c>
      <c r="L98" s="23" t="s">
        <v>204</v>
      </c>
      <c r="M98" s="23">
        <f t="shared" si="1"/>
        <v>980.00000000000011</v>
      </c>
      <c r="N98" s="24" t="str">
        <f t="array" ref="N98">INDEX('MATCH INFO'!O:O, INT((ROW()-2)/10)+2)</f>
        <v>260605_T1_ZETA_S4</v>
      </c>
    </row>
    <row r="99" spans="1:14">
      <c r="A99" s="23" t="s">
        <v>42</v>
      </c>
      <c r="B99" s="23" t="s">
        <v>140</v>
      </c>
      <c r="C99" s="23" t="s">
        <v>104</v>
      </c>
      <c r="D99" s="23" t="s">
        <v>37</v>
      </c>
      <c r="E99" s="23" t="s">
        <v>196</v>
      </c>
      <c r="F99" s="23">
        <v>33</v>
      </c>
      <c r="G99" s="23">
        <v>8</v>
      </c>
      <c r="H99" s="23">
        <v>3</v>
      </c>
      <c r="I99" s="23">
        <v>13714</v>
      </c>
      <c r="J99" s="23">
        <v>1434</v>
      </c>
      <c r="K99" s="23">
        <v>3147</v>
      </c>
      <c r="L99" s="23" t="s">
        <v>204</v>
      </c>
      <c r="M99" s="23">
        <f t="shared" si="1"/>
        <v>980.00000000000011</v>
      </c>
      <c r="N99" s="24" t="str">
        <f t="array" ref="N99">INDEX('MATCH INFO'!O:O, INT((ROW()-2)/10)+2)</f>
        <v>260605_T1_ZETA_S4</v>
      </c>
    </row>
    <row r="100" spans="1:14">
      <c r="A100" s="23" t="s">
        <v>42</v>
      </c>
      <c r="B100" s="23" t="s">
        <v>143</v>
      </c>
      <c r="C100" s="23" t="s">
        <v>109</v>
      </c>
      <c r="D100" s="23" t="s">
        <v>37</v>
      </c>
      <c r="E100" s="23" t="s">
        <v>196</v>
      </c>
      <c r="F100" s="23">
        <v>16</v>
      </c>
      <c r="G100" s="23">
        <v>10</v>
      </c>
      <c r="H100" s="23">
        <v>23</v>
      </c>
      <c r="I100" s="23">
        <v>6569</v>
      </c>
      <c r="J100" s="23">
        <v>12878</v>
      </c>
      <c r="K100" s="23">
        <v>1194</v>
      </c>
      <c r="L100" s="23" t="s">
        <v>204</v>
      </c>
      <c r="M100" s="23">
        <f t="shared" si="1"/>
        <v>980.00000000000011</v>
      </c>
      <c r="N100" s="24" t="str">
        <f t="array" ref="N100">INDEX('MATCH INFO'!O:O, INT((ROW()-2)/10)+2)</f>
        <v>260605_T1_ZETA_S4</v>
      </c>
    </row>
    <row r="101" spans="1:14">
      <c r="A101" s="23" t="s">
        <v>42</v>
      </c>
      <c r="B101" s="23" t="s">
        <v>142</v>
      </c>
      <c r="C101" s="23" t="s">
        <v>109</v>
      </c>
      <c r="D101" s="23" t="s">
        <v>37</v>
      </c>
      <c r="E101" s="23" t="s">
        <v>196</v>
      </c>
      <c r="F101" s="23">
        <v>22</v>
      </c>
      <c r="G101" s="23">
        <v>13</v>
      </c>
      <c r="H101" s="23">
        <v>21</v>
      </c>
      <c r="I101" s="23">
        <v>5497</v>
      </c>
      <c r="J101" s="23">
        <v>14306</v>
      </c>
      <c r="K101" s="23">
        <v>379</v>
      </c>
      <c r="L101" s="23" t="s">
        <v>204</v>
      </c>
      <c r="M101" s="23">
        <f t="shared" si="1"/>
        <v>980.00000000000011</v>
      </c>
      <c r="N101" s="24" t="str">
        <f t="array" ref="N101">INDEX('MATCH INFO'!O:O, INT((ROW()-2)/10)+2)</f>
        <v>260605_T1_ZETA_S4</v>
      </c>
    </row>
    <row r="102" spans="1:14">
      <c r="A102" s="23" t="s">
        <v>41</v>
      </c>
      <c r="B102" s="23" t="s">
        <v>157</v>
      </c>
      <c r="C102" s="23" t="s">
        <v>109</v>
      </c>
      <c r="D102" s="23" t="s">
        <v>28</v>
      </c>
      <c r="E102" s="23" t="s">
        <v>192</v>
      </c>
      <c r="F102" s="23">
        <v>27</v>
      </c>
      <c r="G102" s="23">
        <v>7</v>
      </c>
      <c r="H102" s="23">
        <v>26</v>
      </c>
      <c r="I102" s="23">
        <v>5268</v>
      </c>
      <c r="J102" s="23">
        <v>7595</v>
      </c>
      <c r="K102" s="23">
        <v>1132</v>
      </c>
      <c r="L102" s="23" t="s">
        <v>205</v>
      </c>
      <c r="M102" s="23">
        <f t="shared" si="1"/>
        <v>634</v>
      </c>
      <c r="N102" s="24" t="str">
        <f t="array" ref="N102">INDEX('MATCH INFO'!O:O, INT((ROW()-2)/10)+2)</f>
        <v>260605_T1_ZETA_S5</v>
      </c>
    </row>
    <row r="103" spans="1:14">
      <c r="A103" s="23" t="s">
        <v>41</v>
      </c>
      <c r="B103" s="23" t="s">
        <v>152</v>
      </c>
      <c r="C103" s="23" t="s">
        <v>101</v>
      </c>
      <c r="D103" s="23" t="s">
        <v>28</v>
      </c>
      <c r="E103" s="23" t="s">
        <v>192</v>
      </c>
      <c r="F103" s="23">
        <v>30</v>
      </c>
      <c r="G103" s="23">
        <v>8</v>
      </c>
      <c r="H103" s="23">
        <v>15</v>
      </c>
      <c r="I103" s="23">
        <v>11826</v>
      </c>
      <c r="J103" s="23">
        <v>2236</v>
      </c>
      <c r="K103" s="23">
        <v>6408</v>
      </c>
      <c r="L103" s="23" t="s">
        <v>205</v>
      </c>
      <c r="M103" s="23">
        <f t="shared" si="1"/>
        <v>634</v>
      </c>
      <c r="N103" s="24" t="str">
        <f t="array" ref="N103">INDEX('MATCH INFO'!O:O, INT((ROW()-2)/10)+2)</f>
        <v>260605_T1_ZETA_S5</v>
      </c>
    </row>
    <row r="104" spans="1:14">
      <c r="A104" s="23" t="s">
        <v>41</v>
      </c>
      <c r="B104" s="23" t="s">
        <v>155</v>
      </c>
      <c r="C104" s="23" t="s">
        <v>104</v>
      </c>
      <c r="D104" s="23" t="s">
        <v>28</v>
      </c>
      <c r="E104" s="23" t="s">
        <v>192</v>
      </c>
      <c r="F104" s="23">
        <v>35</v>
      </c>
      <c r="G104" s="23">
        <v>7</v>
      </c>
      <c r="H104" s="23">
        <v>0</v>
      </c>
      <c r="I104" s="23">
        <v>12456</v>
      </c>
      <c r="J104" s="23">
        <v>0</v>
      </c>
      <c r="K104" s="23">
        <v>0</v>
      </c>
      <c r="L104" s="23" t="s">
        <v>205</v>
      </c>
      <c r="M104" s="23">
        <f t="shared" si="1"/>
        <v>634</v>
      </c>
      <c r="N104" s="24" t="str">
        <f t="array" ref="N104">INDEX('MATCH INFO'!O:O, INT((ROW()-2)/10)+2)</f>
        <v>260605_T1_ZETA_S5</v>
      </c>
    </row>
    <row r="105" spans="1:14">
      <c r="A105" s="23" t="s">
        <v>41</v>
      </c>
      <c r="B105" s="23" t="s">
        <v>158</v>
      </c>
      <c r="C105" s="23" t="s">
        <v>109</v>
      </c>
      <c r="D105" s="23" t="s">
        <v>28</v>
      </c>
      <c r="E105" s="23" t="s">
        <v>192</v>
      </c>
      <c r="F105" s="23">
        <v>21</v>
      </c>
      <c r="G105" s="23">
        <v>7</v>
      </c>
      <c r="H105" s="23">
        <v>30</v>
      </c>
      <c r="I105" s="23">
        <v>5708</v>
      </c>
      <c r="J105" s="23">
        <v>11520</v>
      </c>
      <c r="K105" s="23">
        <v>0</v>
      </c>
      <c r="L105" s="23" t="s">
        <v>205</v>
      </c>
      <c r="M105" s="23">
        <f t="shared" si="1"/>
        <v>634</v>
      </c>
      <c r="N105" s="24" t="str">
        <f t="array" ref="N105">INDEX('MATCH INFO'!O:O, INT((ROW()-2)/10)+2)</f>
        <v>260605_T1_ZETA_S5</v>
      </c>
    </row>
    <row r="106" spans="1:14">
      <c r="A106" s="23" t="s">
        <v>41</v>
      </c>
      <c r="B106" s="23" t="s">
        <v>154</v>
      </c>
      <c r="C106" s="23" t="s">
        <v>104</v>
      </c>
      <c r="D106" s="23" t="s">
        <v>28</v>
      </c>
      <c r="E106" s="23" t="s">
        <v>192</v>
      </c>
      <c r="F106" s="23">
        <v>21</v>
      </c>
      <c r="G106" s="23">
        <v>10</v>
      </c>
      <c r="H106" s="23">
        <v>2</v>
      </c>
      <c r="I106" s="23">
        <v>8626</v>
      </c>
      <c r="J106" s="23">
        <v>847</v>
      </c>
      <c r="K106" s="23">
        <v>442</v>
      </c>
      <c r="L106" s="23" t="s">
        <v>205</v>
      </c>
      <c r="M106" s="23">
        <f t="shared" si="1"/>
        <v>634</v>
      </c>
      <c r="N106" s="24" t="str">
        <f t="array" ref="N106">INDEX('MATCH INFO'!O:O, INT((ROW()-2)/10)+2)</f>
        <v>260605_T1_ZETA_S5</v>
      </c>
    </row>
    <row r="107" spans="1:14">
      <c r="A107" s="23" t="s">
        <v>42</v>
      </c>
      <c r="B107" s="23" t="s">
        <v>139</v>
      </c>
      <c r="C107" s="23" t="s">
        <v>101</v>
      </c>
      <c r="D107" s="23" t="s">
        <v>28</v>
      </c>
      <c r="E107" s="23" t="s">
        <v>192</v>
      </c>
      <c r="F107" s="23">
        <v>31</v>
      </c>
      <c r="G107" s="23">
        <v>9</v>
      </c>
      <c r="H107" s="23">
        <v>18</v>
      </c>
      <c r="I107" s="23">
        <v>12989</v>
      </c>
      <c r="J107" s="23">
        <v>2277</v>
      </c>
      <c r="K107" s="23">
        <v>6576</v>
      </c>
      <c r="L107" s="23" t="s">
        <v>205</v>
      </c>
      <c r="M107" s="23">
        <f t="shared" si="1"/>
        <v>634</v>
      </c>
      <c r="N107" s="24" t="str">
        <f t="array" ref="N107">INDEX('MATCH INFO'!O:O, INT((ROW()-2)/10)+2)</f>
        <v>260605_T1_ZETA_S5</v>
      </c>
    </row>
    <row r="108" spans="1:14">
      <c r="A108" s="23" t="s">
        <v>42</v>
      </c>
      <c r="B108" s="23" t="s">
        <v>141</v>
      </c>
      <c r="C108" s="23" t="s">
        <v>104</v>
      </c>
      <c r="D108" s="23" t="s">
        <v>28</v>
      </c>
      <c r="E108" s="23" t="s">
        <v>192</v>
      </c>
      <c r="F108" s="23">
        <v>20</v>
      </c>
      <c r="G108" s="23">
        <v>10</v>
      </c>
      <c r="H108" s="23">
        <v>3</v>
      </c>
      <c r="I108" s="23">
        <v>9300</v>
      </c>
      <c r="J108" s="23">
        <v>0</v>
      </c>
      <c r="K108" s="23">
        <v>344</v>
      </c>
      <c r="L108" s="23" t="s">
        <v>205</v>
      </c>
      <c r="M108" s="23">
        <f t="shared" si="1"/>
        <v>634</v>
      </c>
      <c r="N108" s="24" t="str">
        <f t="array" ref="N108">INDEX('MATCH INFO'!O:O, INT((ROW()-2)/10)+2)</f>
        <v>260605_T1_ZETA_S5</v>
      </c>
    </row>
    <row r="109" spans="1:14">
      <c r="A109" s="23" t="s">
        <v>42</v>
      </c>
      <c r="B109" s="23" t="s">
        <v>140</v>
      </c>
      <c r="C109" s="23" t="s">
        <v>104</v>
      </c>
      <c r="D109" s="23" t="s">
        <v>28</v>
      </c>
      <c r="E109" s="23" t="s">
        <v>192</v>
      </c>
      <c r="F109" s="23">
        <v>30</v>
      </c>
      <c r="G109" s="23">
        <v>8</v>
      </c>
      <c r="H109" s="23">
        <v>0</v>
      </c>
      <c r="I109" s="23">
        <v>9219</v>
      </c>
      <c r="J109" s="23">
        <v>838</v>
      </c>
      <c r="K109" s="23">
        <v>0</v>
      </c>
      <c r="L109" s="23" t="s">
        <v>205</v>
      </c>
      <c r="M109" s="23">
        <f t="shared" si="1"/>
        <v>634</v>
      </c>
      <c r="N109" s="24" t="str">
        <f t="array" ref="N109">INDEX('MATCH INFO'!O:O, INT((ROW()-2)/10)+2)</f>
        <v>260605_T1_ZETA_S5</v>
      </c>
    </row>
    <row r="110" spans="1:14">
      <c r="A110" s="23" t="s">
        <v>42</v>
      </c>
      <c r="B110" s="23" t="s">
        <v>143</v>
      </c>
      <c r="C110" s="23" t="s">
        <v>109</v>
      </c>
      <c r="D110" s="23" t="s">
        <v>28</v>
      </c>
      <c r="E110" s="23" t="s">
        <v>192</v>
      </c>
      <c r="F110" s="23">
        <v>12</v>
      </c>
      <c r="G110" s="23">
        <v>9</v>
      </c>
      <c r="H110" s="23">
        <v>31</v>
      </c>
      <c r="I110" s="23">
        <v>4228</v>
      </c>
      <c r="J110" s="23">
        <v>11156</v>
      </c>
      <c r="K110" s="23">
        <v>0</v>
      </c>
      <c r="L110" s="23" t="s">
        <v>205</v>
      </c>
      <c r="M110" s="23">
        <f t="shared" si="1"/>
        <v>634</v>
      </c>
      <c r="N110" s="24" t="str">
        <f t="array" ref="N110">INDEX('MATCH INFO'!O:O, INT((ROW()-2)/10)+2)</f>
        <v>260605_T1_ZETA_S5</v>
      </c>
    </row>
    <row r="111" spans="1:14">
      <c r="A111" s="23" t="s">
        <v>42</v>
      </c>
      <c r="B111" s="23" t="s">
        <v>142</v>
      </c>
      <c r="C111" s="23" t="s">
        <v>109</v>
      </c>
      <c r="D111" s="23" t="s">
        <v>28</v>
      </c>
      <c r="E111" s="23" t="s">
        <v>192</v>
      </c>
      <c r="F111" s="23">
        <v>18</v>
      </c>
      <c r="G111" s="23">
        <v>10</v>
      </c>
      <c r="H111" s="23">
        <v>24</v>
      </c>
      <c r="I111" s="23">
        <v>4851</v>
      </c>
      <c r="J111" s="23">
        <v>5698</v>
      </c>
      <c r="K111" s="23">
        <v>1677</v>
      </c>
      <c r="L111" s="23" t="s">
        <v>205</v>
      </c>
      <c r="M111" s="23">
        <f t="shared" si="1"/>
        <v>634</v>
      </c>
      <c r="N111" s="24" t="str">
        <f t="array" ref="N111">INDEX('MATCH INFO'!O:O, INT((ROW()-2)/10)+2)</f>
        <v>260605_T1_ZETA_S5</v>
      </c>
    </row>
    <row r="112" spans="1:14">
      <c r="A112" s="23" t="s">
        <v>50</v>
      </c>
      <c r="B112" s="23" t="s">
        <v>136</v>
      </c>
      <c r="C112" s="23" t="s">
        <v>109</v>
      </c>
      <c r="D112" s="23" t="s">
        <v>33</v>
      </c>
      <c r="E112" s="23" t="s">
        <v>188</v>
      </c>
      <c r="F112" s="23">
        <v>2</v>
      </c>
      <c r="G112" s="23">
        <v>6</v>
      </c>
      <c r="H112" s="23">
        <v>9</v>
      </c>
      <c r="I112" s="23">
        <v>1020</v>
      </c>
      <c r="J112" s="23">
        <v>12284</v>
      </c>
      <c r="K112" s="23">
        <v>0</v>
      </c>
      <c r="L112" s="23" t="s">
        <v>206</v>
      </c>
      <c r="M112" s="23">
        <f t="shared" si="1"/>
        <v>502.00000000000006</v>
      </c>
      <c r="N112" s="24" t="str">
        <f t="array" ref="N112">INDEX('MATCH INFO'!O:O, INT((ROW()-2)/10)+2)</f>
        <v>260606_PF_CB_S1</v>
      </c>
    </row>
    <row r="113" spans="1:14">
      <c r="A113" s="23" t="s">
        <v>50</v>
      </c>
      <c r="B113" s="23" t="s">
        <v>133</v>
      </c>
      <c r="C113" s="23" t="s">
        <v>104</v>
      </c>
      <c r="D113" s="23" t="s">
        <v>33</v>
      </c>
      <c r="E113" s="23" t="s">
        <v>188</v>
      </c>
      <c r="F113" s="23">
        <v>7</v>
      </c>
      <c r="G113" s="23">
        <v>3</v>
      </c>
      <c r="H113" s="23">
        <v>2</v>
      </c>
      <c r="I113" s="23">
        <v>6252</v>
      </c>
      <c r="J113" s="23">
        <v>648</v>
      </c>
      <c r="K113" s="23">
        <v>4210</v>
      </c>
      <c r="L113" s="23" t="s">
        <v>206</v>
      </c>
      <c r="M113" s="23">
        <f t="shared" si="1"/>
        <v>502.00000000000006</v>
      </c>
      <c r="N113" s="24" t="str">
        <f t="array" ref="N113">INDEX('MATCH INFO'!O:O, INT((ROW()-2)/10)+2)</f>
        <v>260606_PF_CB_S1</v>
      </c>
    </row>
    <row r="114" spans="1:14">
      <c r="A114" s="23" t="s">
        <v>50</v>
      </c>
      <c r="B114" s="23" t="s">
        <v>131</v>
      </c>
      <c r="C114" s="23" t="s">
        <v>101</v>
      </c>
      <c r="D114" s="23" t="s">
        <v>33</v>
      </c>
      <c r="E114" s="23" t="s">
        <v>188</v>
      </c>
      <c r="F114" s="23">
        <v>8</v>
      </c>
      <c r="G114" s="23">
        <v>6</v>
      </c>
      <c r="H114" s="23">
        <v>1</v>
      </c>
      <c r="I114" s="23">
        <v>7391</v>
      </c>
      <c r="J114" s="23">
        <v>166</v>
      </c>
      <c r="K114" s="23">
        <v>14584</v>
      </c>
      <c r="L114" s="23" t="s">
        <v>206</v>
      </c>
      <c r="M114" s="23">
        <f t="shared" si="1"/>
        <v>502.00000000000006</v>
      </c>
      <c r="N114" s="24" t="str">
        <f t="array" ref="N114">INDEX('MATCH INFO'!O:O, INT((ROW()-2)/10)+2)</f>
        <v>260606_PF_CB_S1</v>
      </c>
    </row>
    <row r="115" spans="1:14">
      <c r="A115" s="23" t="s">
        <v>50</v>
      </c>
      <c r="B115" s="23" t="s">
        <v>134</v>
      </c>
      <c r="C115" s="23" t="s">
        <v>104</v>
      </c>
      <c r="D115" s="23" t="s">
        <v>33</v>
      </c>
      <c r="E115" s="23" t="s">
        <v>188</v>
      </c>
      <c r="F115" s="23">
        <v>7</v>
      </c>
      <c r="G115" s="23">
        <v>5</v>
      </c>
      <c r="H115" s="23">
        <v>0</v>
      </c>
      <c r="I115" s="23">
        <v>7456</v>
      </c>
      <c r="J115" s="23">
        <v>0</v>
      </c>
      <c r="K115" s="23">
        <v>0</v>
      </c>
      <c r="L115" s="23" t="s">
        <v>206</v>
      </c>
      <c r="M115" s="23">
        <f t="shared" si="1"/>
        <v>502.00000000000006</v>
      </c>
      <c r="N115" s="24" t="str">
        <f t="array" ref="N115">INDEX('MATCH INFO'!O:O, INT((ROW()-2)/10)+2)</f>
        <v>260606_PF_CB_S1</v>
      </c>
    </row>
    <row r="116" spans="1:14">
      <c r="A116" s="23" t="s">
        <v>50</v>
      </c>
      <c r="B116" s="23" t="s">
        <v>135</v>
      </c>
      <c r="C116" s="23" t="s">
        <v>109</v>
      </c>
      <c r="D116" s="23" t="s">
        <v>33</v>
      </c>
      <c r="E116" s="23" t="s">
        <v>188</v>
      </c>
      <c r="F116" s="23">
        <v>5</v>
      </c>
      <c r="G116" s="23">
        <v>2</v>
      </c>
      <c r="H116" s="23">
        <v>6</v>
      </c>
      <c r="I116" s="23">
        <v>2347</v>
      </c>
      <c r="J116" s="23">
        <v>4796</v>
      </c>
      <c r="K116" s="23">
        <v>1535</v>
      </c>
      <c r="L116" s="23" t="s">
        <v>206</v>
      </c>
      <c r="M116" s="23">
        <f t="shared" si="1"/>
        <v>502.00000000000006</v>
      </c>
      <c r="N116" s="24" t="str">
        <f t="array" ref="N116">INDEX('MATCH INFO'!O:O, INT((ROW()-2)/10)+2)</f>
        <v>260606_PF_CB_S1</v>
      </c>
    </row>
    <row r="117" spans="1:14">
      <c r="A117" s="23" t="s">
        <v>51</v>
      </c>
      <c r="B117" s="23" t="s">
        <v>126</v>
      </c>
      <c r="C117" s="23" t="s">
        <v>104</v>
      </c>
      <c r="D117" s="23" t="s">
        <v>33</v>
      </c>
      <c r="E117" s="23" t="s">
        <v>188</v>
      </c>
      <c r="F117" s="23">
        <v>12</v>
      </c>
      <c r="G117" s="23">
        <v>3</v>
      </c>
      <c r="H117" s="23">
        <v>4</v>
      </c>
      <c r="I117" s="23">
        <v>6784</v>
      </c>
      <c r="J117" s="23">
        <v>533</v>
      </c>
      <c r="K117" s="23">
        <v>2598</v>
      </c>
      <c r="L117" s="23" t="s">
        <v>206</v>
      </c>
      <c r="M117" s="23">
        <f t="shared" si="1"/>
        <v>502.00000000000006</v>
      </c>
      <c r="N117" s="24" t="str">
        <f t="array" ref="N117">INDEX('MATCH INFO'!O:O, INT((ROW()-2)/10)+2)</f>
        <v>260606_PF_CB_S1</v>
      </c>
    </row>
    <row r="118" spans="1:14">
      <c r="A118" s="23" t="s">
        <v>51</v>
      </c>
      <c r="B118" s="23" t="s">
        <v>125</v>
      </c>
      <c r="C118" s="23" t="s">
        <v>101</v>
      </c>
      <c r="D118" s="23" t="s">
        <v>33</v>
      </c>
      <c r="E118" s="23" t="s">
        <v>188</v>
      </c>
      <c r="F118" s="23">
        <v>12</v>
      </c>
      <c r="G118" s="23">
        <v>1</v>
      </c>
      <c r="H118" s="23">
        <v>1</v>
      </c>
      <c r="I118" s="23">
        <v>9335</v>
      </c>
      <c r="J118" s="23">
        <v>0</v>
      </c>
      <c r="K118" s="23">
        <v>11133</v>
      </c>
      <c r="L118" s="23" t="s">
        <v>206</v>
      </c>
      <c r="M118" s="23">
        <f t="shared" si="1"/>
        <v>502.00000000000006</v>
      </c>
      <c r="N118" s="24" t="str">
        <f t="array" ref="N118">INDEX('MATCH INFO'!O:O, INT((ROW()-2)/10)+2)</f>
        <v>260606_PF_CB_S1</v>
      </c>
    </row>
    <row r="119" spans="1:14">
      <c r="A119" s="23" t="s">
        <v>51</v>
      </c>
      <c r="B119" s="23" t="s">
        <v>127</v>
      </c>
      <c r="C119" s="23" t="s">
        <v>104</v>
      </c>
      <c r="D119" s="23" t="s">
        <v>33</v>
      </c>
      <c r="E119" s="23" t="s">
        <v>188</v>
      </c>
      <c r="F119" s="23">
        <v>16</v>
      </c>
      <c r="G119" s="23">
        <v>4</v>
      </c>
      <c r="H119" s="23">
        <v>0</v>
      </c>
      <c r="I119" s="23">
        <v>7521</v>
      </c>
      <c r="J119" s="23">
        <v>0</v>
      </c>
      <c r="K119" s="23">
        <v>0</v>
      </c>
      <c r="L119" s="23" t="s">
        <v>206</v>
      </c>
      <c r="M119" s="23">
        <f t="shared" si="1"/>
        <v>502.00000000000006</v>
      </c>
      <c r="N119" s="24" t="str">
        <f t="array" ref="N119">INDEX('MATCH INFO'!O:O, INT((ROW()-2)/10)+2)</f>
        <v>260606_PF_CB_S1</v>
      </c>
    </row>
    <row r="120" spans="1:14">
      <c r="A120" s="23" t="s">
        <v>51</v>
      </c>
      <c r="B120" s="23" t="s">
        <v>128</v>
      </c>
      <c r="C120" s="23" t="s">
        <v>109</v>
      </c>
      <c r="D120" s="23" t="s">
        <v>33</v>
      </c>
      <c r="E120" s="23" t="s">
        <v>188</v>
      </c>
      <c r="F120" s="23">
        <v>10</v>
      </c>
      <c r="G120" s="23">
        <v>3</v>
      </c>
      <c r="H120" s="23">
        <v>16</v>
      </c>
      <c r="I120" s="23">
        <v>4880</v>
      </c>
      <c r="J120" s="23">
        <v>8466</v>
      </c>
      <c r="K120" s="23">
        <v>1748</v>
      </c>
      <c r="L120" s="23" t="s">
        <v>206</v>
      </c>
      <c r="M120" s="23">
        <f t="shared" si="1"/>
        <v>502.00000000000006</v>
      </c>
      <c r="N120" s="24" t="str">
        <f t="array" ref="N120">INDEX('MATCH INFO'!O:O, INT((ROW()-2)/10)+2)</f>
        <v>260606_PF_CB_S1</v>
      </c>
    </row>
    <row r="121" spans="1:14">
      <c r="A121" s="23" t="s">
        <v>51</v>
      </c>
      <c r="B121" s="23" t="s">
        <v>129</v>
      </c>
      <c r="C121" s="23" t="s">
        <v>109</v>
      </c>
      <c r="D121" s="23" t="s">
        <v>33</v>
      </c>
      <c r="E121" s="23" t="s">
        <v>188</v>
      </c>
      <c r="F121" s="23">
        <v>11</v>
      </c>
      <c r="G121" s="23">
        <v>1</v>
      </c>
      <c r="H121" s="23">
        <v>13</v>
      </c>
      <c r="I121" s="23">
        <v>4199</v>
      </c>
      <c r="J121" s="23">
        <v>8563</v>
      </c>
      <c r="K121" s="23">
        <v>0</v>
      </c>
      <c r="L121" s="23" t="s">
        <v>206</v>
      </c>
      <c r="M121" s="23">
        <f t="shared" si="1"/>
        <v>502.00000000000006</v>
      </c>
      <c r="N121" s="24" t="str">
        <f t="array" ref="N121">INDEX('MATCH INFO'!O:O, INT((ROW()-2)/10)+2)</f>
        <v>260606_PF_CB_S1</v>
      </c>
    </row>
    <row r="122" spans="1:14">
      <c r="A122" s="23" t="s">
        <v>50</v>
      </c>
      <c r="B122" s="23" t="s">
        <v>136</v>
      </c>
      <c r="C122" s="23" t="s">
        <v>109</v>
      </c>
      <c r="D122" s="23" t="s">
        <v>25</v>
      </c>
      <c r="E122" s="23" t="s">
        <v>190</v>
      </c>
      <c r="F122" s="23">
        <v>6</v>
      </c>
      <c r="G122" s="23">
        <v>4</v>
      </c>
      <c r="H122" s="23">
        <v>19</v>
      </c>
      <c r="I122" s="23">
        <v>3486</v>
      </c>
      <c r="J122" s="23">
        <v>20017</v>
      </c>
      <c r="K122" s="23">
        <v>0</v>
      </c>
      <c r="L122" s="23" t="s">
        <v>207</v>
      </c>
      <c r="M122" s="23">
        <f t="shared" si="1"/>
        <v>788</v>
      </c>
      <c r="N122" s="24" t="str">
        <f t="array" ref="N122">INDEX('MATCH INFO'!O:O, INT((ROW()-2)/10)+2)</f>
        <v>260606_PF_CB_S2</v>
      </c>
    </row>
    <row r="123" spans="1:14">
      <c r="A123" s="23" t="s">
        <v>50</v>
      </c>
      <c r="B123" s="23" t="s">
        <v>133</v>
      </c>
      <c r="C123" s="23" t="s">
        <v>104</v>
      </c>
      <c r="D123" s="23" t="s">
        <v>25</v>
      </c>
      <c r="E123" s="23" t="s">
        <v>190</v>
      </c>
      <c r="F123" s="23">
        <v>14</v>
      </c>
      <c r="G123" s="23">
        <v>8</v>
      </c>
      <c r="H123" s="23">
        <v>3</v>
      </c>
      <c r="I123" s="23">
        <v>10112</v>
      </c>
      <c r="J123" s="23">
        <v>755</v>
      </c>
      <c r="K123" s="23">
        <v>11016</v>
      </c>
      <c r="L123" s="23" t="s">
        <v>207</v>
      </c>
      <c r="M123" s="23">
        <f t="shared" si="1"/>
        <v>788</v>
      </c>
      <c r="N123" s="24" t="str">
        <f t="array" ref="N123">INDEX('MATCH INFO'!O:O, INT((ROW()-2)/10)+2)</f>
        <v>260606_PF_CB_S2</v>
      </c>
    </row>
    <row r="124" spans="1:14">
      <c r="A124" s="23" t="s">
        <v>50</v>
      </c>
      <c r="B124" s="23" t="s">
        <v>131</v>
      </c>
      <c r="C124" s="23" t="s">
        <v>101</v>
      </c>
      <c r="D124" s="23" t="s">
        <v>25</v>
      </c>
      <c r="E124" s="23" t="s">
        <v>190</v>
      </c>
      <c r="F124" s="23">
        <v>18</v>
      </c>
      <c r="G124" s="23">
        <v>7</v>
      </c>
      <c r="H124" s="23">
        <v>9</v>
      </c>
      <c r="I124" s="23">
        <v>10322</v>
      </c>
      <c r="J124" s="23">
        <v>275</v>
      </c>
      <c r="K124" s="23">
        <v>28944</v>
      </c>
      <c r="L124" s="23" t="s">
        <v>207</v>
      </c>
      <c r="M124" s="23">
        <f t="shared" si="1"/>
        <v>788</v>
      </c>
      <c r="N124" s="24" t="str">
        <f t="array" ref="N124">INDEX('MATCH INFO'!O:O, INT((ROW()-2)/10)+2)</f>
        <v>260606_PF_CB_S2</v>
      </c>
    </row>
    <row r="125" spans="1:14">
      <c r="A125" s="23" t="s">
        <v>50</v>
      </c>
      <c r="B125" s="23" t="s">
        <v>134</v>
      </c>
      <c r="C125" s="23" t="s">
        <v>104</v>
      </c>
      <c r="D125" s="23" t="s">
        <v>25</v>
      </c>
      <c r="E125" s="23" t="s">
        <v>190</v>
      </c>
      <c r="F125" s="23">
        <v>23</v>
      </c>
      <c r="G125" s="23">
        <v>2</v>
      </c>
      <c r="H125" s="23">
        <v>0</v>
      </c>
      <c r="I125" s="23">
        <v>17879</v>
      </c>
      <c r="J125" s="23">
        <v>0</v>
      </c>
      <c r="K125" s="23">
        <v>0</v>
      </c>
      <c r="L125" s="23" t="s">
        <v>207</v>
      </c>
      <c r="M125" s="23">
        <f t="shared" si="1"/>
        <v>788</v>
      </c>
      <c r="N125" s="24" t="str">
        <f t="array" ref="N125">INDEX('MATCH INFO'!O:O, INT((ROW()-2)/10)+2)</f>
        <v>260606_PF_CB_S2</v>
      </c>
    </row>
    <row r="126" spans="1:14">
      <c r="A126" s="23" t="s">
        <v>50</v>
      </c>
      <c r="B126" s="23" t="s">
        <v>135</v>
      </c>
      <c r="C126" s="23" t="s">
        <v>109</v>
      </c>
      <c r="D126" s="23" t="s">
        <v>25</v>
      </c>
      <c r="E126" s="23" t="s">
        <v>190</v>
      </c>
      <c r="F126" s="23">
        <v>15</v>
      </c>
      <c r="G126" s="23">
        <v>5</v>
      </c>
      <c r="H126" s="23">
        <v>17</v>
      </c>
      <c r="I126" s="23">
        <v>5998</v>
      </c>
      <c r="J126" s="23">
        <v>9253</v>
      </c>
      <c r="K126" s="23">
        <v>3170</v>
      </c>
      <c r="L126" s="23" t="s">
        <v>207</v>
      </c>
      <c r="M126" s="23">
        <f t="shared" si="1"/>
        <v>788</v>
      </c>
      <c r="N126" s="24" t="str">
        <f t="array" ref="N126">INDEX('MATCH INFO'!O:O, INT((ROW()-2)/10)+2)</f>
        <v>260606_PF_CB_S2</v>
      </c>
    </row>
    <row r="127" spans="1:14">
      <c r="A127" s="23" t="s">
        <v>51</v>
      </c>
      <c r="B127" s="23" t="s">
        <v>126</v>
      </c>
      <c r="C127" s="23" t="s">
        <v>104</v>
      </c>
      <c r="D127" s="23" t="s">
        <v>25</v>
      </c>
      <c r="E127" s="23" t="s">
        <v>190</v>
      </c>
      <c r="F127" s="23">
        <v>18</v>
      </c>
      <c r="G127" s="23">
        <v>5</v>
      </c>
      <c r="H127" s="23">
        <v>6</v>
      </c>
      <c r="I127" s="23">
        <v>10406</v>
      </c>
      <c r="J127" s="23">
        <v>586</v>
      </c>
      <c r="K127" s="23">
        <v>4696</v>
      </c>
      <c r="L127" s="23" t="s">
        <v>207</v>
      </c>
      <c r="M127" s="23">
        <f t="shared" si="1"/>
        <v>788</v>
      </c>
      <c r="N127" s="24" t="str">
        <f t="array" ref="N127">INDEX('MATCH INFO'!O:O, INT((ROW()-2)/10)+2)</f>
        <v>260606_PF_CB_S2</v>
      </c>
    </row>
    <row r="128" spans="1:14">
      <c r="A128" s="23" t="s">
        <v>51</v>
      </c>
      <c r="B128" s="23" t="s">
        <v>124</v>
      </c>
      <c r="C128" s="23" t="s">
        <v>101</v>
      </c>
      <c r="D128" s="23" t="s">
        <v>25</v>
      </c>
      <c r="E128" s="23" t="s">
        <v>190</v>
      </c>
      <c r="F128" s="23">
        <v>19</v>
      </c>
      <c r="G128" s="23">
        <v>6</v>
      </c>
      <c r="H128" s="23">
        <v>12</v>
      </c>
      <c r="I128" s="23">
        <v>11779</v>
      </c>
      <c r="J128" s="23">
        <v>1844</v>
      </c>
      <c r="K128" s="23">
        <v>7276</v>
      </c>
      <c r="L128" s="23" t="s">
        <v>207</v>
      </c>
      <c r="M128" s="23">
        <f t="shared" si="1"/>
        <v>788</v>
      </c>
      <c r="N128" s="24" t="str">
        <f t="array" ref="N128">INDEX('MATCH INFO'!O:O, INT((ROW()-2)/10)+2)</f>
        <v>260606_PF_CB_S2</v>
      </c>
    </row>
    <row r="129" spans="1:14">
      <c r="A129" s="23" t="s">
        <v>51</v>
      </c>
      <c r="B129" s="23" t="s">
        <v>127</v>
      </c>
      <c r="C129" s="23" t="s">
        <v>104</v>
      </c>
      <c r="D129" s="23" t="s">
        <v>25</v>
      </c>
      <c r="E129" s="23" t="s">
        <v>190</v>
      </c>
      <c r="F129" s="23">
        <v>21</v>
      </c>
      <c r="G129" s="23">
        <v>7</v>
      </c>
      <c r="H129" s="23">
        <v>1</v>
      </c>
      <c r="I129" s="23">
        <v>12450</v>
      </c>
      <c r="J129" s="23">
        <v>1</v>
      </c>
      <c r="K129" s="23">
        <v>839</v>
      </c>
      <c r="L129" s="23" t="s">
        <v>207</v>
      </c>
      <c r="M129" s="23">
        <f t="shared" si="1"/>
        <v>788</v>
      </c>
      <c r="N129" s="24" t="str">
        <f t="array" ref="N129">INDEX('MATCH INFO'!O:O, INT((ROW()-2)/10)+2)</f>
        <v>260606_PF_CB_S2</v>
      </c>
    </row>
    <row r="130" spans="1:14">
      <c r="A130" s="23" t="s">
        <v>51</v>
      </c>
      <c r="B130" s="23" t="s">
        <v>128</v>
      </c>
      <c r="C130" s="23" t="s">
        <v>109</v>
      </c>
      <c r="D130" s="23" t="s">
        <v>25</v>
      </c>
      <c r="E130" s="23" t="s">
        <v>190</v>
      </c>
      <c r="F130" s="23">
        <v>11</v>
      </c>
      <c r="G130" s="23">
        <v>6</v>
      </c>
      <c r="H130" s="23">
        <v>16</v>
      </c>
      <c r="I130" s="23">
        <v>5839</v>
      </c>
      <c r="J130" s="23">
        <v>13155</v>
      </c>
      <c r="K130" s="23">
        <v>3021</v>
      </c>
      <c r="L130" s="23" t="s">
        <v>207</v>
      </c>
      <c r="M130" s="23">
        <f t="shared" ref="M130:M193" si="2">L130*86400</f>
        <v>788</v>
      </c>
      <c r="N130" s="24" t="str">
        <f t="array" ref="N130">INDEX('MATCH INFO'!O:O, INT((ROW()-2)/10)+2)</f>
        <v>260606_PF_CB_S2</v>
      </c>
    </row>
    <row r="131" spans="1:14">
      <c r="A131" s="23" t="s">
        <v>51</v>
      </c>
      <c r="B131" s="23" t="s">
        <v>129</v>
      </c>
      <c r="C131" s="23" t="s">
        <v>109</v>
      </c>
      <c r="D131" s="23" t="s">
        <v>25</v>
      </c>
      <c r="E131" s="23" t="s">
        <v>190</v>
      </c>
      <c r="F131" s="23">
        <v>11</v>
      </c>
      <c r="G131" s="23">
        <v>3</v>
      </c>
      <c r="H131" s="23">
        <v>21</v>
      </c>
      <c r="I131" s="23">
        <v>6503</v>
      </c>
      <c r="J131" s="23">
        <v>16497</v>
      </c>
      <c r="K131" s="23">
        <v>0</v>
      </c>
      <c r="L131" s="23" t="s">
        <v>207</v>
      </c>
      <c r="M131" s="23">
        <f t="shared" si="2"/>
        <v>788</v>
      </c>
      <c r="N131" s="24" t="str">
        <f t="array" ref="N131">INDEX('MATCH INFO'!O:O, INT((ROW()-2)/10)+2)</f>
        <v>260606_PF_CB_S2</v>
      </c>
    </row>
    <row r="132" spans="1:14">
      <c r="A132" s="23" t="s">
        <v>50</v>
      </c>
      <c r="B132" s="23" t="s">
        <v>136</v>
      </c>
      <c r="C132" s="23" t="s">
        <v>109</v>
      </c>
      <c r="D132" s="23" t="s">
        <v>28</v>
      </c>
      <c r="E132" s="23" t="s">
        <v>192</v>
      </c>
      <c r="F132" s="23">
        <v>1</v>
      </c>
      <c r="G132" s="23">
        <v>4</v>
      </c>
      <c r="H132" s="23">
        <v>0</v>
      </c>
      <c r="I132" s="23">
        <v>1630</v>
      </c>
      <c r="J132" s="23">
        <v>4908</v>
      </c>
      <c r="K132" s="23">
        <v>0</v>
      </c>
      <c r="L132" s="23" t="s">
        <v>208</v>
      </c>
      <c r="M132" s="23">
        <f t="shared" si="2"/>
        <v>211</v>
      </c>
      <c r="N132" s="24" t="str">
        <f t="array" ref="N132">INDEX('MATCH INFO'!O:O, INT((ROW()-2)/10)+2)</f>
        <v>260606_PF_CB_S3</v>
      </c>
    </row>
    <row r="133" spans="1:14">
      <c r="A133" s="23" t="s">
        <v>50</v>
      </c>
      <c r="B133" s="23" t="s">
        <v>133</v>
      </c>
      <c r="C133" s="23" t="s">
        <v>104</v>
      </c>
      <c r="D133" s="23" t="s">
        <v>28</v>
      </c>
      <c r="E133" s="23" t="s">
        <v>192</v>
      </c>
      <c r="F133" s="23">
        <v>1</v>
      </c>
      <c r="G133" s="23">
        <v>4</v>
      </c>
      <c r="H133" s="23">
        <v>0</v>
      </c>
      <c r="I133" s="23">
        <v>3294</v>
      </c>
      <c r="J133" s="23">
        <v>468</v>
      </c>
      <c r="K133" s="23">
        <v>0</v>
      </c>
      <c r="L133" s="23" t="s">
        <v>208</v>
      </c>
      <c r="M133" s="23">
        <f t="shared" si="2"/>
        <v>211</v>
      </c>
      <c r="N133" s="24" t="str">
        <f t="array" ref="N133">INDEX('MATCH INFO'!O:O, INT((ROW()-2)/10)+2)</f>
        <v>260606_PF_CB_S3</v>
      </c>
    </row>
    <row r="134" spans="1:14">
      <c r="A134" s="23" t="s">
        <v>50</v>
      </c>
      <c r="B134" s="23" t="s">
        <v>131</v>
      </c>
      <c r="C134" s="23" t="s">
        <v>101</v>
      </c>
      <c r="D134" s="23" t="s">
        <v>28</v>
      </c>
      <c r="E134" s="23" t="s">
        <v>192</v>
      </c>
      <c r="F134" s="23">
        <v>1</v>
      </c>
      <c r="G134" s="23">
        <v>4</v>
      </c>
      <c r="H134" s="23">
        <v>1</v>
      </c>
      <c r="I134" s="23">
        <v>3638</v>
      </c>
      <c r="J134" s="23">
        <v>1114</v>
      </c>
      <c r="K134" s="23">
        <v>2240</v>
      </c>
      <c r="L134" s="23" t="s">
        <v>208</v>
      </c>
      <c r="M134" s="23">
        <f t="shared" si="2"/>
        <v>211</v>
      </c>
      <c r="N134" s="24" t="str">
        <f t="array" ref="N134">INDEX('MATCH INFO'!O:O, INT((ROW()-2)/10)+2)</f>
        <v>260606_PF_CB_S3</v>
      </c>
    </row>
    <row r="135" spans="1:14">
      <c r="A135" s="23" t="s">
        <v>50</v>
      </c>
      <c r="B135" s="23" t="s">
        <v>134</v>
      </c>
      <c r="C135" s="23" t="s">
        <v>104</v>
      </c>
      <c r="D135" s="23" t="s">
        <v>28</v>
      </c>
      <c r="E135" s="23" t="s">
        <v>192</v>
      </c>
      <c r="F135" s="23">
        <v>0</v>
      </c>
      <c r="G135" s="23">
        <v>4</v>
      </c>
      <c r="H135" s="23">
        <v>0</v>
      </c>
      <c r="I135" s="23">
        <v>3830</v>
      </c>
      <c r="J135" s="23">
        <v>0</v>
      </c>
      <c r="K135" s="23">
        <v>559</v>
      </c>
      <c r="L135" s="23" t="s">
        <v>208</v>
      </c>
      <c r="M135" s="23">
        <f t="shared" si="2"/>
        <v>211</v>
      </c>
      <c r="N135" s="24" t="str">
        <f t="array" ref="N135">INDEX('MATCH INFO'!O:O, INT((ROW()-2)/10)+2)</f>
        <v>260606_PF_CB_S3</v>
      </c>
    </row>
    <row r="136" spans="1:14">
      <c r="A136" s="23" t="s">
        <v>50</v>
      </c>
      <c r="B136" s="23" t="s">
        <v>135</v>
      </c>
      <c r="C136" s="23" t="s">
        <v>109</v>
      </c>
      <c r="D136" s="23" t="s">
        <v>28</v>
      </c>
      <c r="E136" s="23" t="s">
        <v>192</v>
      </c>
      <c r="F136" s="23">
        <v>1</v>
      </c>
      <c r="G136" s="23">
        <v>3</v>
      </c>
      <c r="H136" s="23">
        <v>1</v>
      </c>
      <c r="I136" s="23">
        <v>736</v>
      </c>
      <c r="J136" s="23">
        <v>2069</v>
      </c>
      <c r="K136" s="23">
        <v>0</v>
      </c>
      <c r="L136" s="23" t="s">
        <v>208</v>
      </c>
      <c r="M136" s="23">
        <f t="shared" si="2"/>
        <v>211</v>
      </c>
      <c r="N136" s="24" t="str">
        <f t="array" ref="N136">INDEX('MATCH INFO'!O:O, INT((ROW()-2)/10)+2)</f>
        <v>260606_PF_CB_S3</v>
      </c>
    </row>
    <row r="137" spans="1:14">
      <c r="A137" s="23" t="s">
        <v>51</v>
      </c>
      <c r="B137" s="23" t="s">
        <v>126</v>
      </c>
      <c r="C137" s="23" t="s">
        <v>104</v>
      </c>
      <c r="D137" s="23" t="s">
        <v>28</v>
      </c>
      <c r="E137" s="23" t="s">
        <v>192</v>
      </c>
      <c r="F137" s="23">
        <v>13</v>
      </c>
      <c r="G137" s="23">
        <v>0</v>
      </c>
      <c r="H137" s="23">
        <v>0</v>
      </c>
      <c r="I137" s="23">
        <v>4188</v>
      </c>
      <c r="J137" s="23">
        <v>793</v>
      </c>
      <c r="K137" s="23">
        <v>0</v>
      </c>
      <c r="L137" s="23" t="s">
        <v>208</v>
      </c>
      <c r="M137" s="23">
        <f t="shared" si="2"/>
        <v>211</v>
      </c>
      <c r="N137" s="24" t="str">
        <f t="array" ref="N137">INDEX('MATCH INFO'!O:O, INT((ROW()-2)/10)+2)</f>
        <v>260606_PF_CB_S3</v>
      </c>
    </row>
    <row r="138" spans="1:14">
      <c r="A138" s="23" t="s">
        <v>51</v>
      </c>
      <c r="B138" s="23" t="s">
        <v>125</v>
      </c>
      <c r="C138" s="23" t="s">
        <v>101</v>
      </c>
      <c r="D138" s="23" t="s">
        <v>28</v>
      </c>
      <c r="E138" s="23" t="s">
        <v>192</v>
      </c>
      <c r="F138" s="23">
        <v>13</v>
      </c>
      <c r="G138" s="23">
        <v>0</v>
      </c>
      <c r="H138" s="23">
        <v>12</v>
      </c>
      <c r="I138" s="23">
        <v>5253</v>
      </c>
      <c r="J138" s="23">
        <v>1057</v>
      </c>
      <c r="K138" s="23">
        <v>1981</v>
      </c>
      <c r="L138" s="23" t="s">
        <v>208</v>
      </c>
      <c r="M138" s="23">
        <f t="shared" si="2"/>
        <v>211</v>
      </c>
      <c r="N138" s="24" t="str">
        <f t="array" ref="N138">INDEX('MATCH INFO'!O:O, INT((ROW()-2)/10)+2)</f>
        <v>260606_PF_CB_S3</v>
      </c>
    </row>
    <row r="139" spans="1:14">
      <c r="A139" s="23" t="s">
        <v>51</v>
      </c>
      <c r="B139" s="23" t="s">
        <v>127</v>
      </c>
      <c r="C139" s="23" t="s">
        <v>104</v>
      </c>
      <c r="D139" s="23" t="s">
        <v>28</v>
      </c>
      <c r="E139" s="23" t="s">
        <v>192</v>
      </c>
      <c r="F139" s="23">
        <v>10</v>
      </c>
      <c r="G139" s="23">
        <v>1</v>
      </c>
      <c r="H139" s="23">
        <v>2</v>
      </c>
      <c r="I139" s="23">
        <v>4785</v>
      </c>
      <c r="J139" s="23">
        <v>0</v>
      </c>
      <c r="K139" s="23">
        <v>732</v>
      </c>
      <c r="L139" s="23" t="s">
        <v>208</v>
      </c>
      <c r="M139" s="23">
        <f t="shared" si="2"/>
        <v>211</v>
      </c>
      <c r="N139" s="24" t="str">
        <f t="array" ref="N139">INDEX('MATCH INFO'!O:O, INT((ROW()-2)/10)+2)</f>
        <v>260606_PF_CB_S3</v>
      </c>
    </row>
    <row r="140" spans="1:14">
      <c r="A140" s="23" t="s">
        <v>51</v>
      </c>
      <c r="B140" s="23" t="s">
        <v>128</v>
      </c>
      <c r="C140" s="23" t="s">
        <v>109</v>
      </c>
      <c r="D140" s="23" t="s">
        <v>28</v>
      </c>
      <c r="E140" s="23" t="s">
        <v>192</v>
      </c>
      <c r="F140" s="23">
        <v>14</v>
      </c>
      <c r="G140" s="23">
        <v>0</v>
      </c>
      <c r="H140" s="23">
        <v>11</v>
      </c>
      <c r="I140" s="23">
        <v>989</v>
      </c>
      <c r="J140" s="23">
        <v>3230</v>
      </c>
      <c r="K140" s="23">
        <v>0</v>
      </c>
      <c r="L140" s="23" t="s">
        <v>208</v>
      </c>
      <c r="M140" s="23">
        <f t="shared" si="2"/>
        <v>211</v>
      </c>
      <c r="N140" s="24" t="str">
        <f t="array" ref="N140">INDEX('MATCH INFO'!O:O, INT((ROW()-2)/10)+2)</f>
        <v>260606_PF_CB_S3</v>
      </c>
    </row>
    <row r="141" spans="1:14">
      <c r="A141" s="23" t="s">
        <v>51</v>
      </c>
      <c r="B141" s="23" t="s">
        <v>129</v>
      </c>
      <c r="C141" s="23" t="s">
        <v>109</v>
      </c>
      <c r="D141" s="23" t="s">
        <v>28</v>
      </c>
      <c r="E141" s="23" t="s">
        <v>192</v>
      </c>
      <c r="F141" s="23">
        <v>7</v>
      </c>
      <c r="G141" s="23">
        <v>0</v>
      </c>
      <c r="H141" s="23">
        <v>16</v>
      </c>
      <c r="I141" s="23">
        <v>1991</v>
      </c>
      <c r="J141" s="23">
        <v>5159</v>
      </c>
      <c r="K141" s="23">
        <v>0</v>
      </c>
      <c r="L141" s="23" t="s">
        <v>208</v>
      </c>
      <c r="M141" s="23">
        <f t="shared" si="2"/>
        <v>211</v>
      </c>
      <c r="N141" s="24" t="str">
        <f t="array" ref="N141">INDEX('MATCH INFO'!O:O, INT((ROW()-2)/10)+2)</f>
        <v>260606_PF_CB_S3</v>
      </c>
    </row>
    <row r="142" spans="1:14">
      <c r="A142" s="23" t="s">
        <v>41</v>
      </c>
      <c r="B142" s="23" t="s">
        <v>157</v>
      </c>
      <c r="C142" s="23" t="s">
        <v>109</v>
      </c>
      <c r="D142" s="23" t="s">
        <v>22</v>
      </c>
      <c r="E142" s="23" t="s">
        <v>188</v>
      </c>
      <c r="F142" s="23">
        <v>11</v>
      </c>
      <c r="G142" s="23">
        <v>2</v>
      </c>
      <c r="H142" s="23">
        <v>13</v>
      </c>
      <c r="I142" s="23">
        <v>2259</v>
      </c>
      <c r="J142" s="23">
        <v>5162</v>
      </c>
      <c r="K142" s="23">
        <v>0</v>
      </c>
      <c r="L142" s="23" t="s">
        <v>209</v>
      </c>
      <c r="M142" s="23">
        <f t="shared" si="2"/>
        <v>590</v>
      </c>
      <c r="N142" s="24" t="str">
        <f t="array" ref="N142">INDEX('MATCH INFO'!O:O, INT((ROW()-2)/10)+2)</f>
        <v>260606_T1_SB_S1</v>
      </c>
    </row>
    <row r="143" spans="1:14">
      <c r="A143" s="23" t="s">
        <v>41</v>
      </c>
      <c r="B143" s="23" t="s">
        <v>152</v>
      </c>
      <c r="C143" s="23" t="s">
        <v>101</v>
      </c>
      <c r="D143" s="23" t="s">
        <v>22</v>
      </c>
      <c r="E143" s="23" t="s">
        <v>188</v>
      </c>
      <c r="F143" s="23">
        <v>20</v>
      </c>
      <c r="G143" s="23">
        <v>2</v>
      </c>
      <c r="H143" s="23">
        <v>3</v>
      </c>
      <c r="I143" s="23">
        <v>7695</v>
      </c>
      <c r="J143" s="23">
        <v>1948</v>
      </c>
      <c r="K143" s="23">
        <v>5704</v>
      </c>
      <c r="L143" s="23" t="s">
        <v>209</v>
      </c>
      <c r="M143" s="23">
        <f t="shared" si="2"/>
        <v>590</v>
      </c>
      <c r="N143" s="24" t="str">
        <f t="array" ref="N143">INDEX('MATCH INFO'!O:O, INT((ROW()-2)/10)+2)</f>
        <v>260606_T1_SB_S1</v>
      </c>
    </row>
    <row r="144" spans="1:14">
      <c r="A144" s="23" t="s">
        <v>41</v>
      </c>
      <c r="B144" s="23" t="s">
        <v>155</v>
      </c>
      <c r="C144" s="23" t="s">
        <v>104</v>
      </c>
      <c r="D144" s="23" t="s">
        <v>22</v>
      </c>
      <c r="E144" s="23" t="s">
        <v>188</v>
      </c>
      <c r="F144" s="23">
        <v>15</v>
      </c>
      <c r="G144" s="23">
        <v>5</v>
      </c>
      <c r="H144" s="23">
        <v>3</v>
      </c>
      <c r="I144" s="23">
        <v>6720</v>
      </c>
      <c r="J144" s="23">
        <v>53</v>
      </c>
      <c r="K144" s="23">
        <v>0</v>
      </c>
      <c r="L144" s="23" t="s">
        <v>209</v>
      </c>
      <c r="M144" s="23">
        <f t="shared" si="2"/>
        <v>590</v>
      </c>
      <c r="N144" s="24" t="str">
        <f t="array" ref="N144">INDEX('MATCH INFO'!O:O, INT((ROW()-2)/10)+2)</f>
        <v>260606_T1_SB_S1</v>
      </c>
    </row>
    <row r="145" spans="1:14">
      <c r="A145" s="23" t="s">
        <v>41</v>
      </c>
      <c r="B145" s="23" t="s">
        <v>158</v>
      </c>
      <c r="C145" s="23" t="s">
        <v>109</v>
      </c>
      <c r="D145" s="23" t="s">
        <v>22</v>
      </c>
      <c r="E145" s="23" t="s">
        <v>188</v>
      </c>
      <c r="F145" s="23">
        <v>10</v>
      </c>
      <c r="G145" s="23">
        <v>5</v>
      </c>
      <c r="H145" s="23">
        <v>8</v>
      </c>
      <c r="I145" s="23">
        <v>6848</v>
      </c>
      <c r="J145" s="23">
        <v>2776</v>
      </c>
      <c r="K145" s="23">
        <v>142</v>
      </c>
      <c r="L145" s="23" t="s">
        <v>209</v>
      </c>
      <c r="M145" s="23">
        <f t="shared" si="2"/>
        <v>590</v>
      </c>
      <c r="N145" s="24" t="str">
        <f t="array" ref="N145">INDEX('MATCH INFO'!O:O, INT((ROW()-2)/10)+2)</f>
        <v>260606_T1_SB_S1</v>
      </c>
    </row>
    <row r="146" spans="1:14">
      <c r="A146" s="23" t="s">
        <v>41</v>
      </c>
      <c r="B146" s="23" t="s">
        <v>154</v>
      </c>
      <c r="C146" s="23" t="s">
        <v>104</v>
      </c>
      <c r="D146" s="23" t="s">
        <v>22</v>
      </c>
      <c r="E146" s="23" t="s">
        <v>188</v>
      </c>
      <c r="F146" s="23">
        <v>18</v>
      </c>
      <c r="G146" s="23">
        <v>4</v>
      </c>
      <c r="H146" s="23">
        <v>0</v>
      </c>
      <c r="I146" s="23">
        <v>9353</v>
      </c>
      <c r="J146" s="23">
        <v>144</v>
      </c>
      <c r="K146" s="23">
        <v>0</v>
      </c>
      <c r="L146" s="23" t="s">
        <v>209</v>
      </c>
      <c r="M146" s="23">
        <f t="shared" si="2"/>
        <v>590</v>
      </c>
      <c r="N146" s="24" t="str">
        <f t="array" ref="N146">INDEX('MATCH INFO'!O:O, INT((ROW()-2)/10)+2)</f>
        <v>260606_T1_SB_S1</v>
      </c>
    </row>
    <row r="147" spans="1:14">
      <c r="A147" s="23" t="s">
        <v>53</v>
      </c>
      <c r="B147" s="23" t="s">
        <v>170</v>
      </c>
      <c r="C147" s="23" t="s">
        <v>104</v>
      </c>
      <c r="D147" s="23" t="s">
        <v>22</v>
      </c>
      <c r="E147" s="23" t="s">
        <v>188</v>
      </c>
      <c r="F147" s="23">
        <v>12</v>
      </c>
      <c r="G147" s="23">
        <v>4</v>
      </c>
      <c r="H147" s="23">
        <v>0</v>
      </c>
      <c r="I147" s="23">
        <v>7697</v>
      </c>
      <c r="J147" s="23">
        <v>167</v>
      </c>
      <c r="K147" s="23">
        <v>0</v>
      </c>
      <c r="L147" s="23" t="s">
        <v>209</v>
      </c>
      <c r="M147" s="23">
        <f t="shared" si="2"/>
        <v>590</v>
      </c>
      <c r="N147" s="24" t="str">
        <f t="array" ref="N147">INDEX('MATCH INFO'!O:O, INT((ROW()-2)/10)+2)</f>
        <v>260606_T1_SB_S1</v>
      </c>
    </row>
    <row r="148" spans="1:14">
      <c r="A148" s="23" t="s">
        <v>53</v>
      </c>
      <c r="B148" s="23" t="s">
        <v>168</v>
      </c>
      <c r="C148" s="23" t="s">
        <v>101</v>
      </c>
      <c r="D148" s="23" t="s">
        <v>22</v>
      </c>
      <c r="E148" s="23" t="s">
        <v>188</v>
      </c>
      <c r="F148" s="23">
        <v>11</v>
      </c>
      <c r="G148" s="23">
        <v>4</v>
      </c>
      <c r="H148" s="23">
        <v>2</v>
      </c>
      <c r="I148" s="23">
        <v>7860</v>
      </c>
      <c r="J148" s="23">
        <v>2054</v>
      </c>
      <c r="K148" s="23">
        <v>3714</v>
      </c>
      <c r="L148" s="23" t="s">
        <v>209</v>
      </c>
      <c r="M148" s="23">
        <f t="shared" si="2"/>
        <v>590</v>
      </c>
      <c r="N148" s="24" t="str">
        <f t="array" ref="N148">INDEX('MATCH INFO'!O:O, INT((ROW()-2)/10)+2)</f>
        <v>260606_T1_SB_S1</v>
      </c>
    </row>
    <row r="149" spans="1:14">
      <c r="A149" s="23" t="s">
        <v>53</v>
      </c>
      <c r="B149" s="23" t="s">
        <v>172</v>
      </c>
      <c r="C149" s="23" t="s">
        <v>109</v>
      </c>
      <c r="D149" s="23" t="s">
        <v>22</v>
      </c>
      <c r="E149" s="23" t="s">
        <v>188</v>
      </c>
      <c r="F149" s="23">
        <v>4</v>
      </c>
      <c r="G149" s="23">
        <v>7</v>
      </c>
      <c r="H149" s="23">
        <v>5</v>
      </c>
      <c r="I149" s="23">
        <v>2144</v>
      </c>
      <c r="J149" s="23">
        <v>4216</v>
      </c>
      <c r="K149" s="23">
        <v>0</v>
      </c>
      <c r="L149" s="23" t="s">
        <v>209</v>
      </c>
      <c r="M149" s="23">
        <f t="shared" si="2"/>
        <v>590</v>
      </c>
      <c r="N149" s="24" t="str">
        <f t="array" ref="N149">INDEX('MATCH INFO'!O:O, INT((ROW()-2)/10)+2)</f>
        <v>260606_T1_SB_S1</v>
      </c>
    </row>
    <row r="150" spans="1:14">
      <c r="A150" s="23" t="s">
        <v>53</v>
      </c>
      <c r="B150" s="23" t="s">
        <v>171</v>
      </c>
      <c r="C150" s="23" t="s">
        <v>104</v>
      </c>
      <c r="D150" s="23" t="s">
        <v>22</v>
      </c>
      <c r="E150" s="23" t="s">
        <v>188</v>
      </c>
      <c r="F150" s="23">
        <v>7</v>
      </c>
      <c r="G150" s="23">
        <v>10</v>
      </c>
      <c r="H150" s="23">
        <v>0</v>
      </c>
      <c r="I150" s="23">
        <v>5510</v>
      </c>
      <c r="J150" s="23">
        <v>415</v>
      </c>
      <c r="K150" s="23">
        <v>53</v>
      </c>
      <c r="L150" s="23" t="s">
        <v>209</v>
      </c>
      <c r="M150" s="23">
        <f t="shared" si="2"/>
        <v>590</v>
      </c>
      <c r="N150" s="24" t="str">
        <f t="array" ref="N150">INDEX('MATCH INFO'!O:O, INT((ROW()-2)/10)+2)</f>
        <v>260606_T1_SB_S1</v>
      </c>
    </row>
    <row r="151" spans="1:14">
      <c r="A151" s="23" t="s">
        <v>53</v>
      </c>
      <c r="B151" s="23" t="s">
        <v>174</v>
      </c>
      <c r="C151" s="23" t="s">
        <v>109</v>
      </c>
      <c r="D151" s="23" t="s">
        <v>22</v>
      </c>
      <c r="E151" s="23" t="s">
        <v>188</v>
      </c>
      <c r="F151" s="23">
        <v>4</v>
      </c>
      <c r="G151" s="23">
        <v>8</v>
      </c>
      <c r="H151" s="23">
        <v>3</v>
      </c>
      <c r="I151" s="23">
        <v>4412</v>
      </c>
      <c r="J151" s="23">
        <v>5058</v>
      </c>
      <c r="K151" s="23">
        <v>0</v>
      </c>
      <c r="L151" s="23" t="s">
        <v>209</v>
      </c>
      <c r="M151" s="23">
        <f t="shared" si="2"/>
        <v>590</v>
      </c>
      <c r="N151" s="24" t="str">
        <f t="array" ref="N151">INDEX('MATCH INFO'!O:O, INT((ROW()-2)/10)+2)</f>
        <v>260606_T1_SB_S1</v>
      </c>
    </row>
    <row r="152" spans="1:14">
      <c r="A152" s="23" t="s">
        <v>53</v>
      </c>
      <c r="B152" s="23" t="s">
        <v>173</v>
      </c>
      <c r="C152" s="23" t="s">
        <v>109</v>
      </c>
      <c r="D152" s="23" t="s">
        <v>210</v>
      </c>
      <c r="E152" s="23" t="s">
        <v>196</v>
      </c>
      <c r="F152" s="23">
        <v>5</v>
      </c>
      <c r="G152" s="23">
        <v>8</v>
      </c>
      <c r="H152" s="23">
        <v>2</v>
      </c>
      <c r="I152" s="23">
        <v>2877</v>
      </c>
      <c r="J152" s="23">
        <v>5323</v>
      </c>
      <c r="K152" s="23">
        <v>675</v>
      </c>
      <c r="L152" s="23" t="s">
        <v>211</v>
      </c>
      <c r="M152" s="23">
        <f t="shared" si="2"/>
        <v>622</v>
      </c>
      <c r="N152" s="24" t="str">
        <f t="array" ref="N152">INDEX('MATCH INFO'!O:O, INT((ROW()-2)/10)+2)</f>
        <v>260606_T1_SB_S2</v>
      </c>
    </row>
    <row r="153" spans="1:14">
      <c r="A153" s="23" t="s">
        <v>53</v>
      </c>
      <c r="B153" s="23" t="s">
        <v>169</v>
      </c>
      <c r="C153" s="23" t="s">
        <v>101</v>
      </c>
      <c r="D153" s="23" t="s">
        <v>210</v>
      </c>
      <c r="E153" s="23" t="s">
        <v>196</v>
      </c>
      <c r="F153" s="23">
        <v>10</v>
      </c>
      <c r="G153" s="23">
        <v>8</v>
      </c>
      <c r="H153" s="23">
        <v>2</v>
      </c>
      <c r="I153" s="23">
        <v>9421</v>
      </c>
      <c r="J153" s="23">
        <v>284</v>
      </c>
      <c r="K153" s="23">
        <v>17666</v>
      </c>
      <c r="L153" s="23" t="s">
        <v>211</v>
      </c>
      <c r="M153" s="23">
        <f t="shared" si="2"/>
        <v>622</v>
      </c>
      <c r="N153" s="24" t="str">
        <f t="array" ref="N153">INDEX('MATCH INFO'!O:O, INT((ROW()-2)/10)+2)</f>
        <v>260606_T1_SB_S2</v>
      </c>
    </row>
    <row r="154" spans="1:14">
      <c r="A154" s="23" t="s">
        <v>53</v>
      </c>
      <c r="B154" s="23" t="s">
        <v>172</v>
      </c>
      <c r="C154" s="23" t="s">
        <v>109</v>
      </c>
      <c r="D154" s="23" t="s">
        <v>210</v>
      </c>
      <c r="E154" s="23" t="s">
        <v>196</v>
      </c>
      <c r="F154" s="23">
        <v>6</v>
      </c>
      <c r="G154" s="23">
        <v>9</v>
      </c>
      <c r="H154" s="23">
        <v>2</v>
      </c>
      <c r="I154" s="23">
        <v>4905</v>
      </c>
      <c r="J154" s="23">
        <v>580</v>
      </c>
      <c r="K154" s="23">
        <v>5457</v>
      </c>
      <c r="L154" s="23" t="s">
        <v>211</v>
      </c>
      <c r="M154" s="23">
        <f t="shared" si="2"/>
        <v>622</v>
      </c>
      <c r="N154" s="24" t="str">
        <f t="array" ref="N154">INDEX('MATCH INFO'!O:O, INT((ROW()-2)/10)+2)</f>
        <v>260606_T1_SB_S2</v>
      </c>
    </row>
    <row r="155" spans="1:14">
      <c r="A155" s="23" t="s">
        <v>53</v>
      </c>
      <c r="B155" s="23" t="s">
        <v>171</v>
      </c>
      <c r="C155" s="23" t="s">
        <v>104</v>
      </c>
      <c r="D155" s="23" t="s">
        <v>210</v>
      </c>
      <c r="E155" s="23" t="s">
        <v>196</v>
      </c>
      <c r="F155" s="23">
        <v>9</v>
      </c>
      <c r="G155" s="23">
        <v>11</v>
      </c>
      <c r="H155" s="23">
        <v>3</v>
      </c>
      <c r="I155" s="23">
        <v>7087</v>
      </c>
      <c r="J155" s="23">
        <v>38</v>
      </c>
      <c r="K155" s="23">
        <v>711</v>
      </c>
      <c r="L155" s="23" t="s">
        <v>211</v>
      </c>
      <c r="M155" s="23">
        <f t="shared" si="2"/>
        <v>622</v>
      </c>
      <c r="N155" s="24" t="str">
        <f t="array" ref="N155">INDEX('MATCH INFO'!O:O, INT((ROW()-2)/10)+2)</f>
        <v>260606_T1_SB_S2</v>
      </c>
    </row>
    <row r="156" spans="1:14">
      <c r="A156" s="23" t="s">
        <v>53</v>
      </c>
      <c r="B156" s="23" t="s">
        <v>174</v>
      </c>
      <c r="C156" s="23" t="s">
        <v>109</v>
      </c>
      <c r="D156" s="23" t="s">
        <v>210</v>
      </c>
      <c r="E156" s="23" t="s">
        <v>196</v>
      </c>
      <c r="F156" s="23">
        <v>2</v>
      </c>
      <c r="G156" s="23">
        <v>11</v>
      </c>
      <c r="H156" s="23">
        <v>9</v>
      </c>
      <c r="I156" s="23">
        <v>2891</v>
      </c>
      <c r="J156" s="23">
        <v>11983</v>
      </c>
      <c r="K156" s="23">
        <v>0</v>
      </c>
      <c r="L156" s="23" t="s">
        <v>211</v>
      </c>
      <c r="M156" s="23">
        <f t="shared" si="2"/>
        <v>622</v>
      </c>
      <c r="N156" s="24" t="str">
        <f t="array" ref="N156">INDEX('MATCH INFO'!O:O, INT((ROW()-2)/10)+2)</f>
        <v>260606_T1_SB_S2</v>
      </c>
    </row>
    <row r="157" spans="1:14">
      <c r="A157" s="23" t="s">
        <v>41</v>
      </c>
      <c r="B157" s="23" t="s">
        <v>157</v>
      </c>
      <c r="C157" s="23" t="s">
        <v>109</v>
      </c>
      <c r="D157" s="23" t="s">
        <v>210</v>
      </c>
      <c r="E157" s="23" t="s">
        <v>196</v>
      </c>
      <c r="F157" s="23">
        <v>19</v>
      </c>
      <c r="G157" s="23">
        <v>2</v>
      </c>
      <c r="H157" s="23">
        <v>30</v>
      </c>
      <c r="I157" s="23">
        <v>3621</v>
      </c>
      <c r="J157" s="23">
        <v>8861</v>
      </c>
      <c r="K157" s="23">
        <v>1945</v>
      </c>
      <c r="L157" s="23" t="s">
        <v>211</v>
      </c>
      <c r="M157" s="23">
        <f t="shared" si="2"/>
        <v>622</v>
      </c>
      <c r="N157" s="24" t="str">
        <f t="array" ref="N157">INDEX('MATCH INFO'!O:O, INT((ROW()-2)/10)+2)</f>
        <v>260606_T1_SB_S2</v>
      </c>
    </row>
    <row r="158" spans="1:14">
      <c r="A158" s="23" t="s">
        <v>41</v>
      </c>
      <c r="B158" s="23" t="s">
        <v>153</v>
      </c>
      <c r="C158" s="23" t="s">
        <v>101</v>
      </c>
      <c r="D158" s="23" t="s">
        <v>210</v>
      </c>
      <c r="E158" s="23" t="s">
        <v>196</v>
      </c>
      <c r="F158" s="23">
        <v>28</v>
      </c>
      <c r="G158" s="23">
        <v>1</v>
      </c>
      <c r="H158" s="23">
        <v>10</v>
      </c>
      <c r="I158" s="23">
        <v>11493</v>
      </c>
      <c r="J158" s="23">
        <v>0</v>
      </c>
      <c r="K158" s="23">
        <v>11511</v>
      </c>
      <c r="L158" s="23" t="s">
        <v>211</v>
      </c>
      <c r="M158" s="23">
        <f t="shared" si="2"/>
        <v>622</v>
      </c>
      <c r="N158" s="24" t="str">
        <f t="array" ref="N158">INDEX('MATCH INFO'!O:O, INT((ROW()-2)/10)+2)</f>
        <v>260606_T1_SB_S2</v>
      </c>
    </row>
    <row r="159" spans="1:14">
      <c r="A159" s="23" t="s">
        <v>41</v>
      </c>
      <c r="B159" s="23" t="s">
        <v>155</v>
      </c>
      <c r="C159" s="23" t="s">
        <v>104</v>
      </c>
      <c r="D159" s="23" t="s">
        <v>210</v>
      </c>
      <c r="E159" s="23" t="s">
        <v>196</v>
      </c>
      <c r="F159" s="23">
        <v>34</v>
      </c>
      <c r="G159" s="23">
        <v>3</v>
      </c>
      <c r="H159" s="23">
        <v>0</v>
      </c>
      <c r="I159" s="23">
        <v>11482</v>
      </c>
      <c r="J159" s="23">
        <v>0</v>
      </c>
      <c r="K159" s="23">
        <v>0</v>
      </c>
      <c r="L159" s="23" t="s">
        <v>211</v>
      </c>
      <c r="M159" s="23">
        <f t="shared" si="2"/>
        <v>622</v>
      </c>
      <c r="N159" s="24" t="str">
        <f t="array" ref="N159">INDEX('MATCH INFO'!O:O, INT((ROW()-2)/10)+2)</f>
        <v>260606_T1_SB_S2</v>
      </c>
    </row>
    <row r="160" spans="1:14">
      <c r="A160" s="23" t="s">
        <v>41</v>
      </c>
      <c r="B160" s="23" t="s">
        <v>158</v>
      </c>
      <c r="C160" s="23" t="s">
        <v>109</v>
      </c>
      <c r="D160" s="23" t="s">
        <v>210</v>
      </c>
      <c r="E160" s="23" t="s">
        <v>196</v>
      </c>
      <c r="F160" s="23">
        <v>24</v>
      </c>
      <c r="G160" s="23">
        <v>2</v>
      </c>
      <c r="H160" s="23">
        <v>23</v>
      </c>
      <c r="I160" s="23">
        <v>5228</v>
      </c>
      <c r="J160" s="23">
        <v>10623</v>
      </c>
      <c r="K160" s="23">
        <v>0</v>
      </c>
      <c r="L160" s="23" t="s">
        <v>211</v>
      </c>
      <c r="M160" s="23">
        <f t="shared" si="2"/>
        <v>622</v>
      </c>
      <c r="N160" s="24" t="str">
        <f t="array" ref="N160">INDEX('MATCH INFO'!O:O, INT((ROW()-2)/10)+2)</f>
        <v>260606_T1_SB_S2</v>
      </c>
    </row>
    <row r="161" spans="1:14">
      <c r="A161" s="23" t="s">
        <v>41</v>
      </c>
      <c r="B161" s="23" t="s">
        <v>154</v>
      </c>
      <c r="C161" s="23" t="s">
        <v>104</v>
      </c>
      <c r="D161" s="23" t="s">
        <v>210</v>
      </c>
      <c r="E161" s="23" t="s">
        <v>196</v>
      </c>
      <c r="F161" s="23">
        <v>25</v>
      </c>
      <c r="G161" s="23">
        <v>5</v>
      </c>
      <c r="H161" s="23">
        <v>10</v>
      </c>
      <c r="I161" s="23">
        <v>7351</v>
      </c>
      <c r="J161" s="23">
        <v>0</v>
      </c>
      <c r="K161" s="23">
        <v>79</v>
      </c>
      <c r="L161" s="23" t="s">
        <v>211</v>
      </c>
      <c r="M161" s="23">
        <f t="shared" si="2"/>
        <v>622</v>
      </c>
      <c r="N161" s="24" t="str">
        <f t="array" ref="N161">INDEX('MATCH INFO'!O:O, INT((ROW()-2)/10)+2)</f>
        <v>260606_T1_SB_S2</v>
      </c>
    </row>
    <row r="162" spans="1:14">
      <c r="A162" s="23" t="s">
        <v>41</v>
      </c>
      <c r="B162" s="23" t="s">
        <v>156</v>
      </c>
      <c r="C162" s="23" t="s">
        <v>104</v>
      </c>
      <c r="D162" s="23" t="s">
        <v>44</v>
      </c>
      <c r="E162" s="23" t="s">
        <v>190</v>
      </c>
      <c r="F162" s="23">
        <v>11</v>
      </c>
      <c r="G162" s="23">
        <v>3</v>
      </c>
      <c r="H162" s="23">
        <v>22</v>
      </c>
      <c r="I162" s="23">
        <v>1471</v>
      </c>
      <c r="J162" s="23">
        <v>5991</v>
      </c>
      <c r="K162" s="23">
        <v>0</v>
      </c>
      <c r="L162" s="23" t="s">
        <v>212</v>
      </c>
      <c r="M162" s="23">
        <f t="shared" si="2"/>
        <v>398</v>
      </c>
      <c r="N162" s="24" t="str">
        <f t="array" ref="N162">INDEX('MATCH INFO'!O:O, INT((ROW()-2)/10)+2)</f>
        <v>260606_T1_SB_S3</v>
      </c>
    </row>
    <row r="163" spans="1:14">
      <c r="A163" s="23" t="s">
        <v>41</v>
      </c>
      <c r="B163" s="23" t="s">
        <v>153</v>
      </c>
      <c r="C163" s="23" t="s">
        <v>101</v>
      </c>
      <c r="D163" s="23" t="s">
        <v>44</v>
      </c>
      <c r="E163" s="23" t="s">
        <v>190</v>
      </c>
      <c r="F163" s="23">
        <v>16</v>
      </c>
      <c r="G163" s="23">
        <v>2</v>
      </c>
      <c r="H163" s="23">
        <v>9</v>
      </c>
      <c r="I163" s="23">
        <v>6143</v>
      </c>
      <c r="J163" s="23">
        <v>0</v>
      </c>
      <c r="K163" s="23">
        <v>5414</v>
      </c>
      <c r="L163" s="23" t="s">
        <v>212</v>
      </c>
      <c r="M163" s="23">
        <f t="shared" si="2"/>
        <v>398</v>
      </c>
      <c r="N163" s="24" t="str">
        <f t="array" ref="N163">INDEX('MATCH INFO'!O:O, INT((ROW()-2)/10)+2)</f>
        <v>260606_T1_SB_S3</v>
      </c>
    </row>
    <row r="164" spans="1:14">
      <c r="A164" s="23" t="s">
        <v>41</v>
      </c>
      <c r="B164" s="23" t="s">
        <v>155</v>
      </c>
      <c r="C164" s="23" t="s">
        <v>104</v>
      </c>
      <c r="D164" s="23" t="s">
        <v>44</v>
      </c>
      <c r="E164" s="23" t="s">
        <v>190</v>
      </c>
      <c r="F164" s="23">
        <v>20</v>
      </c>
      <c r="G164" s="23">
        <v>3</v>
      </c>
      <c r="H164" s="23">
        <v>0</v>
      </c>
      <c r="I164" s="23">
        <v>7283</v>
      </c>
      <c r="J164" s="23">
        <v>0</v>
      </c>
      <c r="K164" s="23">
        <v>0</v>
      </c>
      <c r="L164" s="23" t="s">
        <v>212</v>
      </c>
      <c r="M164" s="23">
        <f t="shared" si="2"/>
        <v>398</v>
      </c>
      <c r="N164" s="24" t="str">
        <f t="array" ref="N164">INDEX('MATCH INFO'!O:O, INT((ROW()-2)/10)+2)</f>
        <v>260606_T1_SB_S3</v>
      </c>
    </row>
    <row r="165" spans="1:14">
      <c r="A165" s="23" t="s">
        <v>41</v>
      </c>
      <c r="B165" s="23" t="s">
        <v>158</v>
      </c>
      <c r="C165" s="23" t="s">
        <v>109</v>
      </c>
      <c r="D165" s="23" t="s">
        <v>44</v>
      </c>
      <c r="E165" s="23" t="s">
        <v>190</v>
      </c>
      <c r="F165" s="23">
        <v>18</v>
      </c>
      <c r="G165" s="23">
        <v>2</v>
      </c>
      <c r="H165" s="23">
        <v>15</v>
      </c>
      <c r="I165" s="23">
        <v>2529</v>
      </c>
      <c r="J165" s="23">
        <v>4822</v>
      </c>
      <c r="K165" s="23">
        <v>827</v>
      </c>
      <c r="L165" s="23" t="s">
        <v>212</v>
      </c>
      <c r="M165" s="23">
        <f t="shared" si="2"/>
        <v>398</v>
      </c>
      <c r="N165" s="24" t="str">
        <f t="array" ref="N165">INDEX('MATCH INFO'!O:O, INT((ROW()-2)/10)+2)</f>
        <v>260606_T1_SB_S3</v>
      </c>
    </row>
    <row r="166" spans="1:14">
      <c r="A166" s="23" t="s">
        <v>41</v>
      </c>
      <c r="B166" s="23" t="s">
        <v>154</v>
      </c>
      <c r="C166" s="23" t="s">
        <v>104</v>
      </c>
      <c r="D166" s="23" t="s">
        <v>44</v>
      </c>
      <c r="E166" s="23" t="s">
        <v>190</v>
      </c>
      <c r="F166" s="23">
        <v>20</v>
      </c>
      <c r="G166" s="23">
        <v>2</v>
      </c>
      <c r="H166" s="23">
        <v>1</v>
      </c>
      <c r="I166" s="23">
        <v>5277</v>
      </c>
      <c r="J166" s="23">
        <v>48</v>
      </c>
      <c r="K166" s="23">
        <v>254</v>
      </c>
      <c r="L166" s="23" t="s">
        <v>212</v>
      </c>
      <c r="M166" s="23">
        <f t="shared" si="2"/>
        <v>398</v>
      </c>
      <c r="N166" s="24" t="str">
        <f t="array" ref="N166">INDEX('MATCH INFO'!O:O, INT((ROW()-2)/10)+2)</f>
        <v>260606_T1_SB_S3</v>
      </c>
    </row>
    <row r="167" spans="1:14">
      <c r="A167" s="23" t="s">
        <v>53</v>
      </c>
      <c r="B167" s="23" t="s">
        <v>170</v>
      </c>
      <c r="C167" s="23" t="s">
        <v>104</v>
      </c>
      <c r="D167" s="23" t="s">
        <v>44</v>
      </c>
      <c r="E167" s="23" t="s">
        <v>190</v>
      </c>
      <c r="F167" s="23">
        <v>9</v>
      </c>
      <c r="G167" s="23">
        <v>6</v>
      </c>
      <c r="H167" s="23">
        <v>1</v>
      </c>
      <c r="I167" s="23">
        <v>4005</v>
      </c>
      <c r="J167" s="23">
        <v>0</v>
      </c>
      <c r="K167" s="23">
        <v>495</v>
      </c>
      <c r="L167" s="23" t="s">
        <v>212</v>
      </c>
      <c r="M167" s="23">
        <f t="shared" si="2"/>
        <v>398</v>
      </c>
      <c r="N167" s="24" t="str">
        <f t="array" ref="N167">INDEX('MATCH INFO'!O:O, INT((ROW()-2)/10)+2)</f>
        <v>260606_T1_SB_S3</v>
      </c>
    </row>
    <row r="168" spans="1:14">
      <c r="A168" s="23" t="s">
        <v>53</v>
      </c>
      <c r="B168" s="23" t="s">
        <v>173</v>
      </c>
      <c r="C168" s="23" t="s">
        <v>109</v>
      </c>
      <c r="D168" s="23" t="s">
        <v>44</v>
      </c>
      <c r="E168" s="23" t="s">
        <v>190</v>
      </c>
      <c r="F168" s="23">
        <v>5</v>
      </c>
      <c r="G168" s="23">
        <v>5</v>
      </c>
      <c r="H168" s="23">
        <v>5</v>
      </c>
      <c r="I168" s="23">
        <v>1528</v>
      </c>
      <c r="J168" s="23">
        <v>3275</v>
      </c>
      <c r="K168" s="23">
        <v>928</v>
      </c>
      <c r="L168" s="23" t="s">
        <v>212</v>
      </c>
      <c r="M168" s="23">
        <f t="shared" si="2"/>
        <v>398</v>
      </c>
      <c r="N168" s="24" t="str">
        <f t="array" ref="N168">INDEX('MATCH INFO'!O:O, INT((ROW()-2)/10)+2)</f>
        <v>260606_T1_SB_S3</v>
      </c>
    </row>
    <row r="169" spans="1:14">
      <c r="A169" s="23" t="s">
        <v>53</v>
      </c>
      <c r="B169" s="23" t="s">
        <v>169</v>
      </c>
      <c r="C169" s="23" t="s">
        <v>101</v>
      </c>
      <c r="D169" s="23" t="s">
        <v>44</v>
      </c>
      <c r="E169" s="23" t="s">
        <v>190</v>
      </c>
      <c r="F169" s="23">
        <v>9</v>
      </c>
      <c r="G169" s="23">
        <v>7</v>
      </c>
      <c r="H169" s="23">
        <v>5</v>
      </c>
      <c r="I169" s="23">
        <v>4991</v>
      </c>
      <c r="J169" s="23">
        <v>0</v>
      </c>
      <c r="K169" s="23">
        <v>5573</v>
      </c>
      <c r="L169" s="23" t="s">
        <v>212</v>
      </c>
      <c r="M169" s="23">
        <f t="shared" si="2"/>
        <v>398</v>
      </c>
      <c r="N169" s="24" t="str">
        <f t="array" ref="N169">INDEX('MATCH INFO'!O:O, INT((ROW()-2)/10)+2)</f>
        <v>260606_T1_SB_S3</v>
      </c>
    </row>
    <row r="170" spans="1:14">
      <c r="A170" s="23" t="s">
        <v>53</v>
      </c>
      <c r="B170" s="23" t="s">
        <v>171</v>
      </c>
      <c r="C170" s="23" t="s">
        <v>104</v>
      </c>
      <c r="D170" s="23" t="s">
        <v>44</v>
      </c>
      <c r="E170" s="23" t="s">
        <v>190</v>
      </c>
      <c r="F170" s="23">
        <v>7</v>
      </c>
      <c r="G170" s="23">
        <v>6</v>
      </c>
      <c r="H170" s="23">
        <v>0</v>
      </c>
      <c r="I170" s="23">
        <v>3790</v>
      </c>
      <c r="J170" s="23">
        <v>0</v>
      </c>
      <c r="K170" s="23">
        <v>0</v>
      </c>
      <c r="L170" s="23" t="s">
        <v>212</v>
      </c>
      <c r="M170" s="23">
        <f t="shared" si="2"/>
        <v>398</v>
      </c>
      <c r="N170" s="24" t="str">
        <f t="array" ref="N170">INDEX('MATCH INFO'!O:O, INT((ROW()-2)/10)+2)</f>
        <v>260606_T1_SB_S3</v>
      </c>
    </row>
    <row r="171" spans="1:14">
      <c r="A171" s="23" t="s">
        <v>53</v>
      </c>
      <c r="B171" s="23" t="s">
        <v>174</v>
      </c>
      <c r="C171" s="23" t="s">
        <v>109</v>
      </c>
      <c r="D171" s="23" t="s">
        <v>44</v>
      </c>
      <c r="E171" s="23" t="s">
        <v>190</v>
      </c>
      <c r="F171" s="23">
        <v>5</v>
      </c>
      <c r="G171" s="23">
        <v>6</v>
      </c>
      <c r="H171" s="23">
        <v>9</v>
      </c>
      <c r="I171" s="23">
        <v>2106</v>
      </c>
      <c r="J171" s="23">
        <v>7631</v>
      </c>
      <c r="K171" s="23">
        <v>0</v>
      </c>
      <c r="L171" s="23" t="s">
        <v>212</v>
      </c>
      <c r="M171" s="23">
        <f t="shared" si="2"/>
        <v>398</v>
      </c>
      <c r="N171" s="24" t="str">
        <f t="array" ref="N171">INDEX('MATCH INFO'!O:O, INT((ROW()-2)/10)+2)</f>
        <v>260606_T1_SB_S3</v>
      </c>
    </row>
    <row r="172" spans="1:14">
      <c r="A172" s="23" t="s">
        <v>21</v>
      </c>
      <c r="B172" s="23" t="s">
        <v>117</v>
      </c>
      <c r="C172" s="23" t="s">
        <v>104</v>
      </c>
      <c r="D172" s="23" t="s">
        <v>54</v>
      </c>
      <c r="E172" s="23" t="s">
        <v>188</v>
      </c>
      <c r="F172" s="23">
        <v>5</v>
      </c>
      <c r="G172" s="23">
        <v>9</v>
      </c>
      <c r="H172" s="23">
        <v>0</v>
      </c>
      <c r="I172" s="23">
        <v>7545</v>
      </c>
      <c r="J172" s="23">
        <v>339</v>
      </c>
      <c r="K172" s="23">
        <v>6221</v>
      </c>
      <c r="L172" s="23" t="s">
        <v>213</v>
      </c>
      <c r="M172" s="23">
        <f t="shared" si="2"/>
        <v>567</v>
      </c>
      <c r="N172" s="24" t="str">
        <f t="array" ref="N172">INDEX('MATCH INFO'!O:O, INT((ROW()-2)/10)+2)</f>
        <v>260606_ROZE_FLC_S1</v>
      </c>
    </row>
    <row r="173" spans="1:14">
      <c r="A173" s="23" t="s">
        <v>21</v>
      </c>
      <c r="B173" s="23" t="s">
        <v>122</v>
      </c>
      <c r="C173" s="23" t="s">
        <v>109</v>
      </c>
      <c r="D173" s="23" t="s">
        <v>54</v>
      </c>
      <c r="E173" s="23" t="s">
        <v>188</v>
      </c>
      <c r="F173" s="23">
        <v>7</v>
      </c>
      <c r="G173" s="23">
        <v>6</v>
      </c>
      <c r="H173" s="23">
        <v>8</v>
      </c>
      <c r="I173" s="23">
        <v>4457</v>
      </c>
      <c r="J173" s="23">
        <v>11394</v>
      </c>
      <c r="K173" s="23">
        <v>0</v>
      </c>
      <c r="L173" s="23" t="s">
        <v>213</v>
      </c>
      <c r="M173" s="23">
        <f t="shared" si="2"/>
        <v>567</v>
      </c>
      <c r="N173" s="24" t="str">
        <f t="array" ref="N173">INDEX('MATCH INFO'!O:O, INT((ROW()-2)/10)+2)</f>
        <v>260606_ROZE_FLC_S1</v>
      </c>
    </row>
    <row r="174" spans="1:14">
      <c r="A174" s="23" t="s">
        <v>21</v>
      </c>
      <c r="B174" s="23" t="s">
        <v>118</v>
      </c>
      <c r="C174" s="23" t="s">
        <v>104</v>
      </c>
      <c r="D174" s="23" t="s">
        <v>54</v>
      </c>
      <c r="E174" s="23" t="s">
        <v>188</v>
      </c>
      <c r="F174" s="23">
        <v>10</v>
      </c>
      <c r="G174" s="23">
        <v>8</v>
      </c>
      <c r="H174" s="23">
        <v>2</v>
      </c>
      <c r="I174" s="23">
        <v>11039</v>
      </c>
      <c r="J174" s="23">
        <v>0</v>
      </c>
      <c r="K174" s="23">
        <v>997</v>
      </c>
      <c r="L174" s="23" t="s">
        <v>213</v>
      </c>
      <c r="M174" s="23">
        <f t="shared" si="2"/>
        <v>567</v>
      </c>
      <c r="N174" s="24" t="str">
        <f t="array" ref="N174">INDEX('MATCH INFO'!O:O, INT((ROW()-2)/10)+2)</f>
        <v>260606_ROZE_FLC_S1</v>
      </c>
    </row>
    <row r="175" spans="1:14">
      <c r="A175" s="23" t="s">
        <v>21</v>
      </c>
      <c r="B175" s="23" t="s">
        <v>120</v>
      </c>
      <c r="C175" s="23" t="s">
        <v>109</v>
      </c>
      <c r="D175" s="23" t="s">
        <v>54</v>
      </c>
      <c r="E175" s="23" t="s">
        <v>188</v>
      </c>
      <c r="F175" s="23">
        <v>9</v>
      </c>
      <c r="G175" s="23">
        <v>6</v>
      </c>
      <c r="H175" s="23">
        <v>6</v>
      </c>
      <c r="I175" s="23">
        <v>4493</v>
      </c>
      <c r="J175" s="23">
        <v>10255</v>
      </c>
      <c r="K175" s="23">
        <v>1455</v>
      </c>
      <c r="L175" s="23" t="s">
        <v>213</v>
      </c>
      <c r="M175" s="23">
        <f t="shared" si="2"/>
        <v>567</v>
      </c>
      <c r="N175" s="24" t="str">
        <f t="array" ref="N175">INDEX('MATCH INFO'!O:O, INT((ROW()-2)/10)+2)</f>
        <v>260606_ROZE_FLC_S1</v>
      </c>
    </row>
    <row r="176" spans="1:14">
      <c r="A176" s="23" t="s">
        <v>21</v>
      </c>
      <c r="B176" s="23" t="s">
        <v>115</v>
      </c>
      <c r="C176" s="23" t="s">
        <v>101</v>
      </c>
      <c r="D176" s="23" t="s">
        <v>54</v>
      </c>
      <c r="E176" s="23" t="s">
        <v>188</v>
      </c>
      <c r="F176" s="23">
        <v>11</v>
      </c>
      <c r="G176" s="23">
        <v>5</v>
      </c>
      <c r="H176" s="23">
        <v>5</v>
      </c>
      <c r="I176" s="23">
        <v>6963</v>
      </c>
      <c r="J176" s="23">
        <v>1402</v>
      </c>
      <c r="K176" s="23">
        <v>16163</v>
      </c>
      <c r="L176" s="23" t="s">
        <v>213</v>
      </c>
      <c r="M176" s="23">
        <f t="shared" si="2"/>
        <v>567</v>
      </c>
      <c r="N176" s="24" t="str">
        <f t="array" ref="N176">INDEX('MATCH INFO'!O:O, INT((ROW()-2)/10)+2)</f>
        <v>260606_ROZE_FLC_S1</v>
      </c>
    </row>
    <row r="177" spans="1:14">
      <c r="A177" s="23" t="s">
        <v>31</v>
      </c>
      <c r="B177" s="23" t="s">
        <v>165</v>
      </c>
      <c r="C177" s="23" t="s">
        <v>109</v>
      </c>
      <c r="D177" s="23" t="s">
        <v>54</v>
      </c>
      <c r="E177" s="23" t="s">
        <v>188</v>
      </c>
      <c r="F177" s="23">
        <v>22</v>
      </c>
      <c r="G177" s="23">
        <v>3</v>
      </c>
      <c r="H177" s="23">
        <v>12</v>
      </c>
      <c r="I177" s="23">
        <v>3595</v>
      </c>
      <c r="J177" s="23">
        <v>8752</v>
      </c>
      <c r="K177" s="23">
        <v>0</v>
      </c>
      <c r="L177" s="23" t="s">
        <v>213</v>
      </c>
      <c r="M177" s="23">
        <f t="shared" si="2"/>
        <v>567</v>
      </c>
      <c r="N177" s="24" t="str">
        <f t="array" ref="N177">INDEX('MATCH INFO'!O:O, INT((ROW()-2)/10)+2)</f>
        <v>260606_ROZE_FLC_S1</v>
      </c>
    </row>
    <row r="178" spans="1:14">
      <c r="A178" s="23" t="s">
        <v>31</v>
      </c>
      <c r="B178" s="23" t="s">
        <v>166</v>
      </c>
      <c r="C178" s="23" t="s">
        <v>109</v>
      </c>
      <c r="D178" s="23" t="s">
        <v>54</v>
      </c>
      <c r="E178" s="23" t="s">
        <v>188</v>
      </c>
      <c r="F178" s="23">
        <v>12</v>
      </c>
      <c r="G178" s="23">
        <v>5</v>
      </c>
      <c r="H178" s="23">
        <v>17</v>
      </c>
      <c r="I178" s="23">
        <v>6025</v>
      </c>
      <c r="J178" s="23">
        <v>10552</v>
      </c>
      <c r="K178" s="23">
        <v>0</v>
      </c>
      <c r="L178" s="23" t="s">
        <v>213</v>
      </c>
      <c r="M178" s="23">
        <f t="shared" si="2"/>
        <v>567</v>
      </c>
      <c r="N178" s="24" t="str">
        <f t="array" ref="N178">INDEX('MATCH INFO'!O:O, INT((ROW()-2)/10)+2)</f>
        <v>260606_ROZE_FLC_S1</v>
      </c>
    </row>
    <row r="179" spans="1:14">
      <c r="A179" s="23" t="s">
        <v>31</v>
      </c>
      <c r="B179" s="23" t="s">
        <v>161</v>
      </c>
      <c r="C179" s="23" t="s">
        <v>101</v>
      </c>
      <c r="D179" s="23" t="s">
        <v>54</v>
      </c>
      <c r="E179" s="23" t="s">
        <v>188</v>
      </c>
      <c r="F179" s="23">
        <v>30</v>
      </c>
      <c r="G179" s="23">
        <v>3</v>
      </c>
      <c r="H179" s="23">
        <v>21</v>
      </c>
      <c r="I179" s="23">
        <v>7572</v>
      </c>
      <c r="J179" s="23">
        <v>2959</v>
      </c>
      <c r="K179" s="23">
        <v>20344</v>
      </c>
      <c r="L179" s="23" t="s">
        <v>213</v>
      </c>
      <c r="M179" s="23">
        <f t="shared" si="2"/>
        <v>567</v>
      </c>
      <c r="N179" s="24" t="str">
        <f t="array" ref="N179">INDEX('MATCH INFO'!O:O, INT((ROW()-2)/10)+2)</f>
        <v>260606_ROZE_FLC_S1</v>
      </c>
    </row>
    <row r="180" spans="1:14">
      <c r="A180" s="23" t="s">
        <v>31</v>
      </c>
      <c r="B180" s="23" t="s">
        <v>164</v>
      </c>
      <c r="C180" s="23" t="s">
        <v>104</v>
      </c>
      <c r="D180" s="23" t="s">
        <v>54</v>
      </c>
      <c r="E180" s="23" t="s">
        <v>188</v>
      </c>
      <c r="F180" s="23">
        <v>20</v>
      </c>
      <c r="G180" s="23">
        <v>5</v>
      </c>
      <c r="H180" s="23">
        <v>0</v>
      </c>
      <c r="I180" s="23">
        <v>14919</v>
      </c>
      <c r="J180" s="23">
        <v>247</v>
      </c>
      <c r="K180" s="23">
        <v>1230</v>
      </c>
      <c r="L180" s="23" t="s">
        <v>213</v>
      </c>
      <c r="M180" s="23">
        <f t="shared" si="2"/>
        <v>567</v>
      </c>
      <c r="N180" s="24" t="str">
        <f t="array" ref="N180">INDEX('MATCH INFO'!O:O, INT((ROW()-2)/10)+2)</f>
        <v>260606_ROZE_FLC_S1</v>
      </c>
    </row>
    <row r="181" spans="1:14">
      <c r="A181" s="23" t="s">
        <v>31</v>
      </c>
      <c r="B181" s="23" t="s">
        <v>162</v>
      </c>
      <c r="C181" s="23" t="s">
        <v>104</v>
      </c>
      <c r="D181" s="23" t="s">
        <v>54</v>
      </c>
      <c r="E181" s="23" t="s">
        <v>188</v>
      </c>
      <c r="F181" s="23">
        <v>25</v>
      </c>
      <c r="G181" s="23">
        <v>4</v>
      </c>
      <c r="H181" s="23">
        <v>0</v>
      </c>
      <c r="I181" s="23">
        <v>7587</v>
      </c>
      <c r="J181" s="23">
        <v>62</v>
      </c>
      <c r="K181" s="23">
        <v>0</v>
      </c>
      <c r="L181" s="23" t="s">
        <v>213</v>
      </c>
      <c r="M181" s="23">
        <f t="shared" si="2"/>
        <v>567</v>
      </c>
      <c r="N181" s="24" t="str">
        <f t="array" ref="N181">INDEX('MATCH INFO'!O:O, INT((ROW()-2)/10)+2)</f>
        <v>260606_ROZE_FLC_S1</v>
      </c>
    </row>
    <row r="182" spans="1:14">
      <c r="A182" s="23" t="s">
        <v>21</v>
      </c>
      <c r="B182" s="23" t="s">
        <v>117</v>
      </c>
      <c r="C182" s="23" t="s">
        <v>104</v>
      </c>
      <c r="D182" s="23" t="s">
        <v>25</v>
      </c>
      <c r="E182" s="23" t="s">
        <v>190</v>
      </c>
      <c r="F182" s="23">
        <v>25</v>
      </c>
      <c r="G182" s="23">
        <v>7</v>
      </c>
      <c r="H182" s="23">
        <v>1</v>
      </c>
      <c r="I182" s="23">
        <v>10743</v>
      </c>
      <c r="J182" s="23">
        <v>1727</v>
      </c>
      <c r="K182" s="23">
        <v>0</v>
      </c>
      <c r="L182" s="23" t="s">
        <v>214</v>
      </c>
      <c r="M182" s="23">
        <f t="shared" si="2"/>
        <v>614</v>
      </c>
      <c r="N182" s="24" t="str">
        <f t="array" ref="N182">INDEX('MATCH INFO'!O:O, INT((ROW()-2)/10)+2)</f>
        <v>260606_ROZE_FLC_S2</v>
      </c>
    </row>
    <row r="183" spans="1:14">
      <c r="A183" s="23" t="s">
        <v>21</v>
      </c>
      <c r="B183" s="23" t="s">
        <v>122</v>
      </c>
      <c r="C183" s="23" t="s">
        <v>109</v>
      </c>
      <c r="D183" s="23" t="s">
        <v>25</v>
      </c>
      <c r="E183" s="23" t="s">
        <v>190</v>
      </c>
      <c r="F183" s="23">
        <v>19</v>
      </c>
      <c r="G183" s="23">
        <v>8</v>
      </c>
      <c r="H183" s="23">
        <v>21</v>
      </c>
      <c r="I183" s="23">
        <v>6228</v>
      </c>
      <c r="J183" s="23">
        <v>12699</v>
      </c>
      <c r="K183" s="23">
        <v>0</v>
      </c>
      <c r="L183" s="23" t="s">
        <v>214</v>
      </c>
      <c r="M183" s="23">
        <f t="shared" si="2"/>
        <v>614</v>
      </c>
      <c r="N183" s="24" t="str">
        <f t="array" ref="N183">INDEX('MATCH INFO'!O:O, INT((ROW()-2)/10)+2)</f>
        <v>260606_ROZE_FLC_S2</v>
      </c>
    </row>
    <row r="184" spans="1:14">
      <c r="A184" s="23" t="s">
        <v>21</v>
      </c>
      <c r="B184" s="23" t="s">
        <v>118</v>
      </c>
      <c r="C184" s="23" t="s">
        <v>104</v>
      </c>
      <c r="D184" s="23" t="s">
        <v>25</v>
      </c>
      <c r="E184" s="23" t="s">
        <v>190</v>
      </c>
      <c r="F184" s="23">
        <v>18</v>
      </c>
      <c r="G184" s="23">
        <v>11</v>
      </c>
      <c r="H184" s="23">
        <v>0</v>
      </c>
      <c r="I184" s="23">
        <v>10055</v>
      </c>
      <c r="J184" s="23">
        <v>0</v>
      </c>
      <c r="K184" s="23">
        <v>0</v>
      </c>
      <c r="L184" s="23" t="s">
        <v>214</v>
      </c>
      <c r="M184" s="23">
        <f t="shared" si="2"/>
        <v>614</v>
      </c>
      <c r="N184" s="24" t="str">
        <f t="array" ref="N184">INDEX('MATCH INFO'!O:O, INT((ROW()-2)/10)+2)</f>
        <v>260606_ROZE_FLC_S2</v>
      </c>
    </row>
    <row r="185" spans="1:14">
      <c r="A185" s="23" t="s">
        <v>21</v>
      </c>
      <c r="B185" s="23" t="s">
        <v>120</v>
      </c>
      <c r="C185" s="23" t="s">
        <v>109</v>
      </c>
      <c r="D185" s="23" t="s">
        <v>25</v>
      </c>
      <c r="E185" s="23" t="s">
        <v>190</v>
      </c>
      <c r="F185" s="23">
        <v>20</v>
      </c>
      <c r="G185" s="23">
        <v>7</v>
      </c>
      <c r="H185" s="23">
        <v>22</v>
      </c>
      <c r="I185" s="23">
        <v>4767</v>
      </c>
      <c r="J185" s="23">
        <v>9125</v>
      </c>
      <c r="K185" s="23">
        <v>2905</v>
      </c>
      <c r="L185" s="23" t="s">
        <v>214</v>
      </c>
      <c r="M185" s="23">
        <f t="shared" si="2"/>
        <v>614</v>
      </c>
      <c r="N185" s="24" t="str">
        <f t="array" ref="N185">INDEX('MATCH INFO'!O:O, INT((ROW()-2)/10)+2)</f>
        <v>260606_ROZE_FLC_S2</v>
      </c>
    </row>
    <row r="186" spans="1:14">
      <c r="A186" s="23" t="s">
        <v>21</v>
      </c>
      <c r="B186" s="23" t="s">
        <v>115</v>
      </c>
      <c r="C186" s="23" t="s">
        <v>101</v>
      </c>
      <c r="D186" s="23" t="s">
        <v>25</v>
      </c>
      <c r="E186" s="23" t="s">
        <v>190</v>
      </c>
      <c r="F186" s="23">
        <v>22</v>
      </c>
      <c r="G186" s="23">
        <v>8</v>
      </c>
      <c r="H186" s="23">
        <v>15</v>
      </c>
      <c r="I186" s="23">
        <v>10204</v>
      </c>
      <c r="J186" s="23">
        <v>3136</v>
      </c>
      <c r="K186" s="23">
        <v>6861</v>
      </c>
      <c r="L186" s="23" t="s">
        <v>214</v>
      </c>
      <c r="M186" s="23">
        <f t="shared" si="2"/>
        <v>614</v>
      </c>
      <c r="N186" s="24" t="str">
        <f t="array" ref="N186">INDEX('MATCH INFO'!O:O, INT((ROW()-2)/10)+2)</f>
        <v>260606_ROZE_FLC_S2</v>
      </c>
    </row>
    <row r="187" spans="1:14">
      <c r="A187" s="23" t="s">
        <v>31</v>
      </c>
      <c r="B187" s="23" t="s">
        <v>165</v>
      </c>
      <c r="C187" s="23" t="s">
        <v>109</v>
      </c>
      <c r="D187" s="23" t="s">
        <v>25</v>
      </c>
      <c r="E187" s="23" t="s">
        <v>190</v>
      </c>
      <c r="F187" s="23">
        <v>28</v>
      </c>
      <c r="G187" s="23">
        <v>6</v>
      </c>
      <c r="H187" s="23">
        <v>27</v>
      </c>
      <c r="I187" s="23">
        <v>4643</v>
      </c>
      <c r="J187" s="23">
        <v>9155</v>
      </c>
      <c r="K187" s="23">
        <v>0</v>
      </c>
      <c r="L187" s="23" t="s">
        <v>214</v>
      </c>
      <c r="M187" s="23">
        <f t="shared" si="2"/>
        <v>614</v>
      </c>
      <c r="N187" s="24" t="str">
        <f t="array" ref="N187">INDEX('MATCH INFO'!O:O, INT((ROW()-2)/10)+2)</f>
        <v>260606_ROZE_FLC_S2</v>
      </c>
    </row>
    <row r="188" spans="1:14">
      <c r="A188" s="23" t="s">
        <v>31</v>
      </c>
      <c r="B188" s="23" t="s">
        <v>166</v>
      </c>
      <c r="C188" s="23" t="s">
        <v>109</v>
      </c>
      <c r="D188" s="23" t="s">
        <v>25</v>
      </c>
      <c r="E188" s="23" t="s">
        <v>190</v>
      </c>
      <c r="F188" s="23">
        <v>19</v>
      </c>
      <c r="G188" s="23">
        <v>8</v>
      </c>
      <c r="H188" s="23">
        <v>28</v>
      </c>
      <c r="I188" s="23">
        <v>5372</v>
      </c>
      <c r="J188" s="23">
        <v>7412</v>
      </c>
      <c r="K188" s="23">
        <v>2924</v>
      </c>
      <c r="L188" s="23" t="s">
        <v>214</v>
      </c>
      <c r="M188" s="23">
        <f t="shared" si="2"/>
        <v>614</v>
      </c>
      <c r="N188" s="24" t="str">
        <f t="array" ref="N188">INDEX('MATCH INFO'!O:O, INT((ROW()-2)/10)+2)</f>
        <v>260606_ROZE_FLC_S2</v>
      </c>
    </row>
    <row r="189" spans="1:14">
      <c r="A189" s="23" t="s">
        <v>31</v>
      </c>
      <c r="B189" s="23" t="s">
        <v>161</v>
      </c>
      <c r="C189" s="23" t="s">
        <v>101</v>
      </c>
      <c r="D189" s="23" t="s">
        <v>25</v>
      </c>
      <c r="E189" s="23" t="s">
        <v>190</v>
      </c>
      <c r="F189" s="23">
        <v>28</v>
      </c>
      <c r="G189" s="23">
        <v>6</v>
      </c>
      <c r="H189" s="23">
        <v>18</v>
      </c>
      <c r="I189" s="23">
        <v>12919</v>
      </c>
      <c r="J189" s="23">
        <v>3612</v>
      </c>
      <c r="K189" s="23">
        <v>8905</v>
      </c>
      <c r="L189" s="23" t="s">
        <v>214</v>
      </c>
      <c r="M189" s="23">
        <f t="shared" si="2"/>
        <v>614</v>
      </c>
      <c r="N189" s="24" t="str">
        <f t="array" ref="N189">INDEX('MATCH INFO'!O:O, INT((ROW()-2)/10)+2)</f>
        <v>260606_ROZE_FLC_S2</v>
      </c>
    </row>
    <row r="190" spans="1:14">
      <c r="A190" s="23" t="s">
        <v>31</v>
      </c>
      <c r="B190" s="23" t="s">
        <v>164</v>
      </c>
      <c r="C190" s="23" t="s">
        <v>104</v>
      </c>
      <c r="D190" s="23" t="s">
        <v>25</v>
      </c>
      <c r="E190" s="23" t="s">
        <v>190</v>
      </c>
      <c r="F190" s="23">
        <v>27</v>
      </c>
      <c r="G190" s="23">
        <v>7</v>
      </c>
      <c r="H190" s="23">
        <v>0</v>
      </c>
      <c r="I190" s="23">
        <v>13965</v>
      </c>
      <c r="J190" s="23">
        <v>0</v>
      </c>
      <c r="K190" s="23">
        <v>0</v>
      </c>
      <c r="L190" s="23" t="s">
        <v>214</v>
      </c>
      <c r="M190" s="23">
        <f t="shared" si="2"/>
        <v>614</v>
      </c>
      <c r="N190" s="24" t="str">
        <f t="array" ref="N190">INDEX('MATCH INFO'!O:O, INT((ROW()-2)/10)+2)</f>
        <v>260606_ROZE_FLC_S2</v>
      </c>
    </row>
    <row r="191" spans="1:14">
      <c r="A191" s="23" t="s">
        <v>31</v>
      </c>
      <c r="B191" s="23" t="s">
        <v>162</v>
      </c>
      <c r="C191" s="23" t="s">
        <v>104</v>
      </c>
      <c r="D191" s="23" t="s">
        <v>25</v>
      </c>
      <c r="E191" s="23" t="s">
        <v>190</v>
      </c>
      <c r="F191" s="23">
        <v>26</v>
      </c>
      <c r="G191" s="23">
        <v>8</v>
      </c>
      <c r="H191" s="23">
        <v>0</v>
      </c>
      <c r="I191" s="23">
        <v>11931</v>
      </c>
      <c r="J191" s="23">
        <v>1649</v>
      </c>
      <c r="K191" s="23">
        <v>0</v>
      </c>
      <c r="L191" s="23" t="s">
        <v>214</v>
      </c>
      <c r="M191" s="23">
        <f t="shared" si="2"/>
        <v>614</v>
      </c>
      <c r="N191" s="24" t="str">
        <f t="array" ref="N191">INDEX('MATCH INFO'!O:O, INT((ROW()-2)/10)+2)</f>
        <v>260606_ROZE_FLC_S2</v>
      </c>
    </row>
    <row r="192" spans="1:14">
      <c r="A192" s="23" t="s">
        <v>31</v>
      </c>
      <c r="B192" s="23" t="s">
        <v>163</v>
      </c>
      <c r="C192" s="23" t="s">
        <v>104</v>
      </c>
      <c r="D192" s="23" t="s">
        <v>28</v>
      </c>
      <c r="E192" s="23" t="s">
        <v>192</v>
      </c>
      <c r="F192" s="23">
        <v>18</v>
      </c>
      <c r="G192" s="23">
        <v>5</v>
      </c>
      <c r="H192" s="23">
        <v>4</v>
      </c>
      <c r="I192" s="23">
        <v>8792</v>
      </c>
      <c r="J192" s="23">
        <v>1168</v>
      </c>
      <c r="K192" s="23">
        <v>5411</v>
      </c>
      <c r="L192" s="23" t="s">
        <v>215</v>
      </c>
      <c r="M192" s="23">
        <f t="shared" si="2"/>
        <v>623</v>
      </c>
      <c r="N192" s="24" t="str">
        <f t="array" ref="N192">INDEX('MATCH INFO'!O:O, INT((ROW()-2)/10)+2)</f>
        <v>260606_ROZE_FLC_S3</v>
      </c>
    </row>
    <row r="193" spans="1:14">
      <c r="A193" s="23" t="s">
        <v>31</v>
      </c>
      <c r="B193" s="23" t="s">
        <v>165</v>
      </c>
      <c r="C193" s="23" t="s">
        <v>109</v>
      </c>
      <c r="D193" s="23" t="s">
        <v>28</v>
      </c>
      <c r="E193" s="23" t="s">
        <v>192</v>
      </c>
      <c r="F193" s="23">
        <v>23</v>
      </c>
      <c r="G193" s="23">
        <v>6</v>
      </c>
      <c r="H193" s="23">
        <v>24</v>
      </c>
      <c r="I193" s="23">
        <v>4940</v>
      </c>
      <c r="J193" s="23">
        <v>7881</v>
      </c>
      <c r="K193" s="23">
        <v>1987</v>
      </c>
      <c r="L193" s="23" t="s">
        <v>215</v>
      </c>
      <c r="M193" s="23">
        <f t="shared" si="2"/>
        <v>623</v>
      </c>
      <c r="N193" s="24" t="str">
        <f t="array" ref="N193">INDEX('MATCH INFO'!O:O, INT((ROW()-2)/10)+2)</f>
        <v>260606_ROZE_FLC_S3</v>
      </c>
    </row>
    <row r="194" spans="1:14">
      <c r="A194" s="23" t="s">
        <v>31</v>
      </c>
      <c r="B194" s="23" t="s">
        <v>166</v>
      </c>
      <c r="C194" s="23" t="s">
        <v>109</v>
      </c>
      <c r="D194" s="23" t="s">
        <v>28</v>
      </c>
      <c r="E194" s="23" t="s">
        <v>192</v>
      </c>
      <c r="F194" s="23">
        <v>17</v>
      </c>
      <c r="G194" s="23">
        <v>6</v>
      </c>
      <c r="H194" s="23">
        <v>33</v>
      </c>
      <c r="I194" s="23">
        <v>4097</v>
      </c>
      <c r="J194" s="23">
        <v>14796</v>
      </c>
      <c r="K194" s="23">
        <v>0</v>
      </c>
      <c r="L194" s="23" t="s">
        <v>215</v>
      </c>
      <c r="M194" s="23">
        <f t="shared" ref="M194:M257" si="3">L194*86400</f>
        <v>623</v>
      </c>
      <c r="N194" s="24" t="str">
        <f t="array" ref="N194">INDEX('MATCH INFO'!O:O, INT((ROW()-2)/10)+2)</f>
        <v>260606_ROZE_FLC_S3</v>
      </c>
    </row>
    <row r="195" spans="1:14">
      <c r="A195" s="23" t="s">
        <v>31</v>
      </c>
      <c r="B195" s="23" t="s">
        <v>164</v>
      </c>
      <c r="C195" s="23" t="s">
        <v>104</v>
      </c>
      <c r="D195" s="23" t="s">
        <v>28</v>
      </c>
      <c r="E195" s="23" t="s">
        <v>192</v>
      </c>
      <c r="F195" s="23">
        <v>27</v>
      </c>
      <c r="G195" s="23">
        <v>6</v>
      </c>
      <c r="H195" s="23">
        <v>1</v>
      </c>
      <c r="I195" s="23">
        <v>11304</v>
      </c>
      <c r="J195" s="23">
        <v>0</v>
      </c>
      <c r="K195" s="23">
        <v>256</v>
      </c>
      <c r="L195" s="23" t="s">
        <v>215</v>
      </c>
      <c r="M195" s="23">
        <f t="shared" si="3"/>
        <v>623</v>
      </c>
      <c r="N195" s="24" t="str">
        <f t="array" ref="N195">INDEX('MATCH INFO'!O:O, INT((ROW()-2)/10)+2)</f>
        <v>260606_ROZE_FLC_S3</v>
      </c>
    </row>
    <row r="196" spans="1:14">
      <c r="A196" s="23" t="s">
        <v>31</v>
      </c>
      <c r="B196" s="23" t="s">
        <v>160</v>
      </c>
      <c r="C196" s="23" t="s">
        <v>101</v>
      </c>
      <c r="D196" s="23" t="s">
        <v>28</v>
      </c>
      <c r="E196" s="23" t="s">
        <v>192</v>
      </c>
      <c r="F196" s="23">
        <v>35</v>
      </c>
      <c r="G196" s="23">
        <v>4</v>
      </c>
      <c r="H196" s="23">
        <v>5</v>
      </c>
      <c r="I196" s="23">
        <v>15211</v>
      </c>
      <c r="J196" s="23">
        <v>275</v>
      </c>
      <c r="K196" s="23">
        <v>18968</v>
      </c>
      <c r="L196" s="23" t="s">
        <v>215</v>
      </c>
      <c r="M196" s="23">
        <f t="shared" si="3"/>
        <v>623</v>
      </c>
      <c r="N196" s="24" t="str">
        <f t="array" ref="N196">INDEX('MATCH INFO'!O:O, INT((ROW()-2)/10)+2)</f>
        <v>260606_ROZE_FLC_S3</v>
      </c>
    </row>
    <row r="197" spans="1:14">
      <c r="A197" s="23" t="s">
        <v>21</v>
      </c>
      <c r="B197" s="23" t="s">
        <v>117</v>
      </c>
      <c r="C197" s="23" t="s">
        <v>104</v>
      </c>
      <c r="D197" s="23" t="s">
        <v>28</v>
      </c>
      <c r="E197" s="23" t="s">
        <v>192</v>
      </c>
      <c r="F197" s="23">
        <v>18</v>
      </c>
      <c r="G197" s="23">
        <v>9</v>
      </c>
      <c r="H197" s="23">
        <v>4</v>
      </c>
      <c r="I197" s="23">
        <v>9317</v>
      </c>
      <c r="J197" s="23">
        <v>1152</v>
      </c>
      <c r="K197" s="23">
        <v>7544</v>
      </c>
      <c r="L197" s="23" t="s">
        <v>215</v>
      </c>
      <c r="M197" s="23">
        <f t="shared" si="3"/>
        <v>623</v>
      </c>
      <c r="N197" s="24" t="str">
        <f t="array" ref="N197">INDEX('MATCH INFO'!O:O, INT((ROW()-2)/10)+2)</f>
        <v>260606_ROZE_FLC_S3</v>
      </c>
    </row>
    <row r="198" spans="1:14">
      <c r="A198" s="23" t="s">
        <v>21</v>
      </c>
      <c r="B198" s="23" t="s">
        <v>122</v>
      </c>
      <c r="C198" s="23" t="s">
        <v>109</v>
      </c>
      <c r="D198" s="23" t="s">
        <v>28</v>
      </c>
      <c r="E198" s="23" t="s">
        <v>192</v>
      </c>
      <c r="F198" s="23">
        <v>9</v>
      </c>
      <c r="G198" s="23">
        <v>9</v>
      </c>
      <c r="H198" s="23">
        <v>21</v>
      </c>
      <c r="I198" s="23">
        <v>5210</v>
      </c>
      <c r="J198" s="23">
        <v>12473</v>
      </c>
      <c r="K198" s="23">
        <v>0</v>
      </c>
      <c r="L198" s="23" t="s">
        <v>215</v>
      </c>
      <c r="M198" s="23">
        <f t="shared" si="3"/>
        <v>623</v>
      </c>
      <c r="N198" s="24" t="str">
        <f t="array" ref="N198">INDEX('MATCH INFO'!O:O, INT((ROW()-2)/10)+2)</f>
        <v>260606_ROZE_FLC_S3</v>
      </c>
    </row>
    <row r="199" spans="1:14">
      <c r="A199" s="23" t="s">
        <v>21</v>
      </c>
      <c r="B199" s="23" t="s">
        <v>118</v>
      </c>
      <c r="C199" s="23" t="s">
        <v>104</v>
      </c>
      <c r="D199" s="23" t="s">
        <v>28</v>
      </c>
      <c r="E199" s="23" t="s">
        <v>192</v>
      </c>
      <c r="F199" s="23">
        <v>17</v>
      </c>
      <c r="G199" s="23">
        <v>9</v>
      </c>
      <c r="H199" s="23">
        <v>1</v>
      </c>
      <c r="I199" s="23">
        <v>11815</v>
      </c>
      <c r="J199" s="23">
        <v>0</v>
      </c>
      <c r="K199" s="23">
        <v>593</v>
      </c>
      <c r="L199" s="23" t="s">
        <v>215</v>
      </c>
      <c r="M199" s="23">
        <f t="shared" si="3"/>
        <v>623</v>
      </c>
      <c r="N199" s="24" t="str">
        <f t="array" ref="N199">INDEX('MATCH INFO'!O:O, INT((ROW()-2)/10)+2)</f>
        <v>260606_ROZE_FLC_S3</v>
      </c>
    </row>
    <row r="200" spans="1:14">
      <c r="A200" s="23" t="s">
        <v>21</v>
      </c>
      <c r="B200" s="23" t="s">
        <v>120</v>
      </c>
      <c r="C200" s="23" t="s">
        <v>109</v>
      </c>
      <c r="D200" s="23" t="s">
        <v>28</v>
      </c>
      <c r="E200" s="23" t="s">
        <v>192</v>
      </c>
      <c r="F200" s="23">
        <v>9</v>
      </c>
      <c r="G200" s="23">
        <v>9</v>
      </c>
      <c r="H200" s="23">
        <v>16</v>
      </c>
      <c r="I200" s="23">
        <v>4278</v>
      </c>
      <c r="J200" s="23">
        <v>9391</v>
      </c>
      <c r="K200" s="23">
        <v>3125</v>
      </c>
      <c r="L200" s="23" t="s">
        <v>215</v>
      </c>
      <c r="M200" s="23">
        <f t="shared" si="3"/>
        <v>623</v>
      </c>
      <c r="N200" s="24" t="str">
        <f t="array" ref="N200">INDEX('MATCH INFO'!O:O, INT((ROW()-2)/10)+2)</f>
        <v>260606_ROZE_FLC_S3</v>
      </c>
    </row>
    <row r="201" spans="1:14">
      <c r="A201" s="23" t="s">
        <v>21</v>
      </c>
      <c r="B201" s="23" t="s">
        <v>115</v>
      </c>
      <c r="C201" s="23" t="s">
        <v>101</v>
      </c>
      <c r="D201" s="23" t="s">
        <v>28</v>
      </c>
      <c r="E201" s="23" t="s">
        <v>192</v>
      </c>
      <c r="F201" s="23">
        <v>19</v>
      </c>
      <c r="G201" s="23">
        <v>8</v>
      </c>
      <c r="H201" s="23">
        <v>5</v>
      </c>
      <c r="I201" s="23">
        <v>9900</v>
      </c>
      <c r="J201" s="23">
        <v>517</v>
      </c>
      <c r="K201" s="23">
        <v>19646</v>
      </c>
      <c r="L201" s="23" t="s">
        <v>215</v>
      </c>
      <c r="M201" s="23">
        <f t="shared" si="3"/>
        <v>623</v>
      </c>
      <c r="N201" s="24" t="str">
        <f t="array" ref="N201">INDEX('MATCH INFO'!O:O, INT((ROW()-2)/10)+2)</f>
        <v>260606_ROZE_FLC_S3</v>
      </c>
    </row>
    <row r="202" spans="1:14">
      <c r="A202" s="23" t="s">
        <v>53</v>
      </c>
      <c r="B202" s="23" t="s">
        <v>170</v>
      </c>
      <c r="C202" s="23" t="s">
        <v>104</v>
      </c>
      <c r="D202" s="23" t="s">
        <v>54</v>
      </c>
      <c r="E202" s="23" t="s">
        <v>188</v>
      </c>
      <c r="F202" s="23">
        <v>30</v>
      </c>
      <c r="G202" s="23">
        <v>7</v>
      </c>
      <c r="H202" s="23">
        <v>0</v>
      </c>
      <c r="I202" s="23">
        <v>15314</v>
      </c>
      <c r="J202" s="23">
        <v>2185</v>
      </c>
      <c r="K202" s="23">
        <v>0</v>
      </c>
      <c r="L202" s="23" t="s">
        <v>216</v>
      </c>
      <c r="M202" s="23">
        <f t="shared" si="3"/>
        <v>831</v>
      </c>
      <c r="N202" s="24" t="str">
        <f t="array" ref="N202">INDEX('MATCH INFO'!O:O, INT((ROW()-2)/10)+2)</f>
        <v>260607_SB_O2_S1</v>
      </c>
    </row>
    <row r="203" spans="1:14">
      <c r="A203" s="23" t="s">
        <v>53</v>
      </c>
      <c r="B203" s="23" t="s">
        <v>168</v>
      </c>
      <c r="C203" s="23" t="s">
        <v>101</v>
      </c>
      <c r="D203" s="23" t="s">
        <v>54</v>
      </c>
      <c r="E203" s="23" t="s">
        <v>188</v>
      </c>
      <c r="F203" s="23">
        <v>28</v>
      </c>
      <c r="G203" s="23">
        <v>7</v>
      </c>
      <c r="H203" s="23">
        <v>24</v>
      </c>
      <c r="I203" s="23">
        <v>20347</v>
      </c>
      <c r="J203" s="23">
        <v>5077</v>
      </c>
      <c r="K203" s="23">
        <v>7530</v>
      </c>
      <c r="L203" s="23" t="s">
        <v>216</v>
      </c>
      <c r="M203" s="23">
        <f t="shared" si="3"/>
        <v>831</v>
      </c>
      <c r="N203" s="24" t="str">
        <f t="array" ref="N203">INDEX('MATCH INFO'!O:O, INT((ROW()-2)/10)+2)</f>
        <v>260607_SB_O2_S1</v>
      </c>
    </row>
    <row r="204" spans="1:14">
      <c r="A204" s="23" t="s">
        <v>53</v>
      </c>
      <c r="B204" s="23" t="s">
        <v>172</v>
      </c>
      <c r="C204" s="23" t="s">
        <v>109</v>
      </c>
      <c r="D204" s="23" t="s">
        <v>54</v>
      </c>
      <c r="E204" s="23" t="s">
        <v>188</v>
      </c>
      <c r="F204" s="23">
        <v>14</v>
      </c>
      <c r="G204" s="23">
        <v>5</v>
      </c>
      <c r="H204" s="23">
        <v>26</v>
      </c>
      <c r="I204" s="23">
        <v>2167</v>
      </c>
      <c r="J204" s="23">
        <v>9416</v>
      </c>
      <c r="K204" s="23">
        <v>0</v>
      </c>
      <c r="L204" s="23" t="s">
        <v>216</v>
      </c>
      <c r="M204" s="23">
        <f t="shared" si="3"/>
        <v>831</v>
      </c>
      <c r="N204" s="24" t="str">
        <f t="array" ref="N204">INDEX('MATCH INFO'!O:O, INT((ROW()-2)/10)+2)</f>
        <v>260607_SB_O2_S1</v>
      </c>
    </row>
    <row r="205" spans="1:14">
      <c r="A205" s="23" t="s">
        <v>53</v>
      </c>
      <c r="B205" s="23" t="s">
        <v>171</v>
      </c>
      <c r="C205" s="23" t="s">
        <v>104</v>
      </c>
      <c r="D205" s="23" t="s">
        <v>54</v>
      </c>
      <c r="E205" s="23" t="s">
        <v>188</v>
      </c>
      <c r="F205" s="23">
        <v>25</v>
      </c>
      <c r="G205" s="23">
        <v>9</v>
      </c>
      <c r="H205" s="23">
        <v>2</v>
      </c>
      <c r="I205" s="23">
        <v>17069</v>
      </c>
      <c r="J205" s="23">
        <v>354</v>
      </c>
      <c r="K205" s="23">
        <v>2435</v>
      </c>
      <c r="L205" s="23" t="s">
        <v>216</v>
      </c>
      <c r="M205" s="23">
        <f t="shared" si="3"/>
        <v>831</v>
      </c>
      <c r="N205" s="24" t="str">
        <f t="array" ref="N205">INDEX('MATCH INFO'!O:O, INT((ROW()-2)/10)+2)</f>
        <v>260607_SB_O2_S1</v>
      </c>
    </row>
    <row r="206" spans="1:14">
      <c r="A206" s="23" t="s">
        <v>53</v>
      </c>
      <c r="B206" s="23" t="s">
        <v>174</v>
      </c>
      <c r="C206" s="23" t="s">
        <v>109</v>
      </c>
      <c r="D206" s="23" t="s">
        <v>54</v>
      </c>
      <c r="E206" s="23" t="s">
        <v>188</v>
      </c>
      <c r="F206" s="23">
        <v>25</v>
      </c>
      <c r="G206" s="23">
        <v>6</v>
      </c>
      <c r="H206" s="23">
        <v>25</v>
      </c>
      <c r="I206" s="23">
        <v>6593</v>
      </c>
      <c r="J206" s="23">
        <v>19597</v>
      </c>
      <c r="K206" s="23">
        <v>0</v>
      </c>
      <c r="L206" s="23" t="s">
        <v>216</v>
      </c>
      <c r="M206" s="23">
        <f t="shared" si="3"/>
        <v>831</v>
      </c>
      <c r="N206" s="24" t="str">
        <f t="array" ref="N206">INDEX('MATCH INFO'!O:O, INT((ROW()-2)/10)+2)</f>
        <v>260607_SB_O2_S1</v>
      </c>
    </row>
    <row r="207" spans="1:14">
      <c r="A207" s="23" t="s">
        <v>20</v>
      </c>
      <c r="B207" s="23" t="s">
        <v>108</v>
      </c>
      <c r="C207" s="23" t="s">
        <v>109</v>
      </c>
      <c r="D207" s="23" t="s">
        <v>54</v>
      </c>
      <c r="E207" s="23" t="s">
        <v>188</v>
      </c>
      <c r="F207" s="23">
        <v>15</v>
      </c>
      <c r="G207" s="23">
        <v>4</v>
      </c>
      <c r="H207" s="23">
        <v>21</v>
      </c>
      <c r="I207" s="23">
        <v>3218</v>
      </c>
      <c r="J207" s="23">
        <v>10102</v>
      </c>
      <c r="K207" s="23">
        <v>0</v>
      </c>
      <c r="L207" s="23" t="s">
        <v>216</v>
      </c>
      <c r="M207" s="23">
        <f t="shared" si="3"/>
        <v>831</v>
      </c>
      <c r="N207" s="24" t="str">
        <f t="array" ref="N207">INDEX('MATCH INFO'!O:O, INT((ROW()-2)/10)+2)</f>
        <v>260607_SB_O2_S1</v>
      </c>
    </row>
    <row r="208" spans="1:14">
      <c r="A208" s="23" t="s">
        <v>20</v>
      </c>
      <c r="B208" s="23" t="s">
        <v>100</v>
      </c>
      <c r="C208" s="23" t="s">
        <v>101</v>
      </c>
      <c r="D208" s="23" t="s">
        <v>54</v>
      </c>
      <c r="E208" s="23" t="s">
        <v>188</v>
      </c>
      <c r="F208" s="23">
        <v>23</v>
      </c>
      <c r="G208" s="23">
        <v>10</v>
      </c>
      <c r="H208" s="23">
        <v>16</v>
      </c>
      <c r="I208" s="23">
        <v>17882</v>
      </c>
      <c r="J208" s="23">
        <v>4039</v>
      </c>
      <c r="K208" s="23">
        <v>9939</v>
      </c>
      <c r="L208" s="23" t="s">
        <v>216</v>
      </c>
      <c r="M208" s="23">
        <f t="shared" si="3"/>
        <v>831</v>
      </c>
      <c r="N208" s="24" t="str">
        <f t="array" ref="N208">INDEX('MATCH INFO'!O:O, INT((ROW()-2)/10)+2)</f>
        <v>260607_SB_O2_S1</v>
      </c>
    </row>
    <row r="209" spans="1:14">
      <c r="A209" s="23" t="s">
        <v>20</v>
      </c>
      <c r="B209" s="23" t="s">
        <v>111</v>
      </c>
      <c r="C209" s="23" t="s">
        <v>109</v>
      </c>
      <c r="D209" s="23" t="s">
        <v>54</v>
      </c>
      <c r="E209" s="23" t="s">
        <v>188</v>
      </c>
      <c r="F209" s="23">
        <v>18</v>
      </c>
      <c r="G209" s="23">
        <v>5</v>
      </c>
      <c r="H209" s="23">
        <v>25</v>
      </c>
      <c r="I209" s="23">
        <v>6524</v>
      </c>
      <c r="J209" s="23">
        <v>18182</v>
      </c>
      <c r="K209" s="23">
        <v>0</v>
      </c>
      <c r="L209" s="23" t="s">
        <v>216</v>
      </c>
      <c r="M209" s="23">
        <f t="shared" si="3"/>
        <v>831</v>
      </c>
      <c r="N209" s="24" t="str">
        <f t="array" ref="N209">INDEX('MATCH INFO'!O:O, INT((ROW()-2)/10)+2)</f>
        <v>260607_SB_O2_S1</v>
      </c>
    </row>
    <row r="210" spans="1:14">
      <c r="A210" s="23" t="s">
        <v>20</v>
      </c>
      <c r="B210" s="23" t="s">
        <v>106</v>
      </c>
      <c r="C210" s="23" t="s">
        <v>104</v>
      </c>
      <c r="D210" s="23" t="s">
        <v>54</v>
      </c>
      <c r="E210" s="23" t="s">
        <v>188</v>
      </c>
      <c r="F210" s="23">
        <v>25</v>
      </c>
      <c r="G210" s="23">
        <v>8</v>
      </c>
      <c r="H210" s="23">
        <v>4</v>
      </c>
      <c r="I210" s="23">
        <v>17270</v>
      </c>
      <c r="J210" s="23">
        <v>836</v>
      </c>
      <c r="K210" s="23">
        <v>2041</v>
      </c>
      <c r="L210" s="23" t="s">
        <v>216</v>
      </c>
      <c r="M210" s="23">
        <f t="shared" si="3"/>
        <v>831</v>
      </c>
      <c r="N210" s="24" t="str">
        <f t="array" ref="N210">INDEX('MATCH INFO'!O:O, INT((ROW()-2)/10)+2)</f>
        <v>260607_SB_O2_S1</v>
      </c>
    </row>
    <row r="211" spans="1:14">
      <c r="A211" s="23" t="s">
        <v>20</v>
      </c>
      <c r="B211" s="23" t="s">
        <v>103</v>
      </c>
      <c r="C211" s="23" t="s">
        <v>104</v>
      </c>
      <c r="D211" s="23" t="s">
        <v>54</v>
      </c>
      <c r="E211" s="23" t="s">
        <v>188</v>
      </c>
      <c r="F211" s="23">
        <v>29</v>
      </c>
      <c r="G211" s="23">
        <v>8</v>
      </c>
      <c r="H211" s="23">
        <v>0</v>
      </c>
      <c r="I211" s="23">
        <v>16810</v>
      </c>
      <c r="J211" s="23">
        <v>2477</v>
      </c>
      <c r="K211" s="23">
        <v>0</v>
      </c>
      <c r="L211" s="23" t="s">
        <v>216</v>
      </c>
      <c r="M211" s="23">
        <f t="shared" si="3"/>
        <v>831</v>
      </c>
      <c r="N211" s="24" t="str">
        <f t="array" ref="N211">INDEX('MATCH INFO'!O:O, INT((ROW()-2)/10)+2)</f>
        <v>260607_SB_O2_S1</v>
      </c>
    </row>
    <row r="212" spans="1:14">
      <c r="A212" s="23" t="s">
        <v>53</v>
      </c>
      <c r="B212" s="23" t="s">
        <v>170</v>
      </c>
      <c r="C212" s="23" t="s">
        <v>104</v>
      </c>
      <c r="D212" s="23" t="s">
        <v>200</v>
      </c>
      <c r="E212" s="23" t="s">
        <v>201</v>
      </c>
      <c r="F212" s="23">
        <v>14</v>
      </c>
      <c r="G212" s="23">
        <v>8</v>
      </c>
      <c r="H212" s="23">
        <v>1</v>
      </c>
      <c r="I212" s="23">
        <v>8171</v>
      </c>
      <c r="J212" s="23">
        <v>76</v>
      </c>
      <c r="K212" s="23">
        <v>1243</v>
      </c>
      <c r="L212" s="23" t="s">
        <v>217</v>
      </c>
      <c r="M212" s="23">
        <f t="shared" si="3"/>
        <v>796.99999999999989</v>
      </c>
      <c r="N212" s="24" t="str">
        <f t="array" ref="N212">INDEX('MATCH INFO'!O:O, INT((ROW()-2)/10)+2)</f>
        <v>260607_SB_O2_S2</v>
      </c>
    </row>
    <row r="213" spans="1:14">
      <c r="A213" s="23" t="s">
        <v>53</v>
      </c>
      <c r="B213" s="23" t="s">
        <v>173</v>
      </c>
      <c r="C213" s="23" t="s">
        <v>109</v>
      </c>
      <c r="D213" s="23" t="s">
        <v>200</v>
      </c>
      <c r="E213" s="23" t="s">
        <v>201</v>
      </c>
      <c r="F213" s="23">
        <v>4</v>
      </c>
      <c r="G213" s="23">
        <v>9</v>
      </c>
      <c r="H213" s="23">
        <v>13</v>
      </c>
      <c r="I213" s="23">
        <v>3865</v>
      </c>
      <c r="J213" s="23">
        <v>10744</v>
      </c>
      <c r="K213" s="23">
        <v>2949</v>
      </c>
      <c r="L213" s="23" t="s">
        <v>217</v>
      </c>
      <c r="M213" s="23">
        <f t="shared" si="3"/>
        <v>796.99999999999989</v>
      </c>
      <c r="N213" s="24" t="str">
        <f t="array" ref="N213">INDEX('MATCH INFO'!O:O, INT((ROW()-2)/10)+2)</f>
        <v>260607_SB_O2_S2</v>
      </c>
    </row>
    <row r="214" spans="1:14">
      <c r="A214" s="23" t="s">
        <v>53</v>
      </c>
      <c r="B214" s="23" t="s">
        <v>169</v>
      </c>
      <c r="C214" s="23" t="s">
        <v>101</v>
      </c>
      <c r="D214" s="23" t="s">
        <v>200</v>
      </c>
      <c r="E214" s="23" t="s">
        <v>201</v>
      </c>
      <c r="F214" s="23">
        <v>12</v>
      </c>
      <c r="G214" s="23">
        <v>8</v>
      </c>
      <c r="H214" s="23">
        <v>4</v>
      </c>
      <c r="I214" s="23">
        <v>11613</v>
      </c>
      <c r="J214" s="23">
        <v>1508</v>
      </c>
      <c r="K214" s="23">
        <v>18682</v>
      </c>
      <c r="L214" s="23" t="s">
        <v>217</v>
      </c>
      <c r="M214" s="23">
        <f t="shared" si="3"/>
        <v>796.99999999999989</v>
      </c>
      <c r="N214" s="24" t="str">
        <f t="array" ref="N214">INDEX('MATCH INFO'!O:O, INT((ROW()-2)/10)+2)</f>
        <v>260607_SB_O2_S2</v>
      </c>
    </row>
    <row r="215" spans="1:14">
      <c r="A215" s="23" t="s">
        <v>53</v>
      </c>
      <c r="B215" s="23" t="s">
        <v>171</v>
      </c>
      <c r="C215" s="23" t="s">
        <v>104</v>
      </c>
      <c r="D215" s="23" t="s">
        <v>200</v>
      </c>
      <c r="E215" s="23" t="s">
        <v>201</v>
      </c>
      <c r="F215" s="23">
        <v>11</v>
      </c>
      <c r="G215" s="23">
        <v>10</v>
      </c>
      <c r="H215" s="23">
        <v>1</v>
      </c>
      <c r="I215" s="23">
        <v>12365</v>
      </c>
      <c r="J215" s="23">
        <v>185</v>
      </c>
      <c r="K215" s="23">
        <v>458</v>
      </c>
      <c r="L215" s="23" t="s">
        <v>217</v>
      </c>
      <c r="M215" s="23">
        <f t="shared" si="3"/>
        <v>796.99999999999989</v>
      </c>
      <c r="N215" s="24" t="str">
        <f t="array" ref="N215">INDEX('MATCH INFO'!O:O, INT((ROW()-2)/10)+2)</f>
        <v>260607_SB_O2_S2</v>
      </c>
    </row>
    <row r="216" spans="1:14">
      <c r="A216" s="23" t="s">
        <v>53</v>
      </c>
      <c r="B216" s="23" t="s">
        <v>174</v>
      </c>
      <c r="C216" s="23" t="s">
        <v>109</v>
      </c>
      <c r="D216" s="23" t="s">
        <v>200</v>
      </c>
      <c r="E216" s="23" t="s">
        <v>201</v>
      </c>
      <c r="F216" s="23">
        <v>6</v>
      </c>
      <c r="G216" s="23">
        <v>7</v>
      </c>
      <c r="H216" s="23">
        <v>13</v>
      </c>
      <c r="I216" s="23">
        <v>4468</v>
      </c>
      <c r="J216" s="23">
        <v>14632</v>
      </c>
      <c r="K216" s="23">
        <v>0</v>
      </c>
      <c r="L216" s="23" t="s">
        <v>217</v>
      </c>
      <c r="M216" s="23">
        <f t="shared" si="3"/>
        <v>796.99999999999989</v>
      </c>
      <c r="N216" s="24" t="str">
        <f t="array" ref="N216">INDEX('MATCH INFO'!O:O, INT((ROW()-2)/10)+2)</f>
        <v>260607_SB_O2_S2</v>
      </c>
    </row>
    <row r="217" spans="1:14">
      <c r="A217" s="23" t="s">
        <v>20</v>
      </c>
      <c r="B217" s="23" t="s">
        <v>108</v>
      </c>
      <c r="C217" s="23" t="s">
        <v>109</v>
      </c>
      <c r="D217" s="23" t="s">
        <v>200</v>
      </c>
      <c r="E217" s="23" t="s">
        <v>201</v>
      </c>
      <c r="F217" s="23">
        <v>21</v>
      </c>
      <c r="G217" s="23">
        <v>1</v>
      </c>
      <c r="H217" s="23">
        <v>23</v>
      </c>
      <c r="I217" s="23">
        <v>2969</v>
      </c>
      <c r="J217" s="23">
        <v>9352</v>
      </c>
      <c r="K217" s="23">
        <v>0</v>
      </c>
      <c r="L217" s="23" t="s">
        <v>217</v>
      </c>
      <c r="M217" s="23">
        <f t="shared" si="3"/>
        <v>796.99999999999989</v>
      </c>
      <c r="N217" s="24" t="str">
        <f t="array" ref="N217">INDEX('MATCH INFO'!O:O, INT((ROW()-2)/10)+2)</f>
        <v>260607_SB_O2_S2</v>
      </c>
    </row>
    <row r="218" spans="1:14">
      <c r="A218" s="23" t="s">
        <v>20</v>
      </c>
      <c r="B218" s="23" t="s">
        <v>111</v>
      </c>
      <c r="C218" s="23" t="s">
        <v>109</v>
      </c>
      <c r="D218" s="23" t="s">
        <v>200</v>
      </c>
      <c r="E218" s="23" t="s">
        <v>201</v>
      </c>
      <c r="F218" s="23">
        <v>17</v>
      </c>
      <c r="G218" s="23">
        <v>7</v>
      </c>
      <c r="H218" s="23">
        <v>23</v>
      </c>
      <c r="I218" s="23">
        <v>6840</v>
      </c>
      <c r="J218" s="23">
        <v>12540</v>
      </c>
      <c r="K218" s="23">
        <v>0</v>
      </c>
      <c r="L218" s="23" t="s">
        <v>217</v>
      </c>
      <c r="M218" s="23">
        <f t="shared" si="3"/>
        <v>796.99999999999989</v>
      </c>
      <c r="N218" s="24" t="str">
        <f t="array" ref="N218">INDEX('MATCH INFO'!O:O, INT((ROW()-2)/10)+2)</f>
        <v>260607_SB_O2_S2</v>
      </c>
    </row>
    <row r="219" spans="1:14">
      <c r="A219" s="23" t="s">
        <v>20</v>
      </c>
      <c r="B219" s="23" t="s">
        <v>106</v>
      </c>
      <c r="C219" s="23" t="s">
        <v>104</v>
      </c>
      <c r="D219" s="23" t="s">
        <v>200</v>
      </c>
      <c r="E219" s="23" t="s">
        <v>201</v>
      </c>
      <c r="F219" s="23">
        <v>25</v>
      </c>
      <c r="G219" s="23">
        <v>4</v>
      </c>
      <c r="H219" s="23">
        <v>4</v>
      </c>
      <c r="I219" s="23">
        <v>14489</v>
      </c>
      <c r="J219" s="23">
        <v>0</v>
      </c>
      <c r="K219" s="23">
        <v>919</v>
      </c>
      <c r="L219" s="23" t="s">
        <v>217</v>
      </c>
      <c r="M219" s="23">
        <f t="shared" si="3"/>
        <v>796.99999999999989</v>
      </c>
      <c r="N219" s="24" t="str">
        <f t="array" ref="N219">INDEX('MATCH INFO'!O:O, INT((ROW()-2)/10)+2)</f>
        <v>260607_SB_O2_S2</v>
      </c>
    </row>
    <row r="220" spans="1:14">
      <c r="A220" s="23" t="s">
        <v>20</v>
      </c>
      <c r="B220" s="23" t="s">
        <v>102</v>
      </c>
      <c r="C220" s="23" t="s">
        <v>101</v>
      </c>
      <c r="D220" s="23" t="s">
        <v>200</v>
      </c>
      <c r="E220" s="23" t="s">
        <v>201</v>
      </c>
      <c r="F220" s="23">
        <v>24</v>
      </c>
      <c r="G220" s="23">
        <v>5</v>
      </c>
      <c r="H220" s="23">
        <v>13</v>
      </c>
      <c r="I220" s="23">
        <v>11176</v>
      </c>
      <c r="J220" s="23">
        <v>1079</v>
      </c>
      <c r="K220" s="23">
        <v>17345</v>
      </c>
      <c r="L220" s="23" t="s">
        <v>217</v>
      </c>
      <c r="M220" s="23">
        <f t="shared" si="3"/>
        <v>796.99999999999989</v>
      </c>
      <c r="N220" s="24" t="str">
        <f t="array" ref="N220">INDEX('MATCH INFO'!O:O, INT((ROW()-2)/10)+2)</f>
        <v>260607_SB_O2_S2</v>
      </c>
    </row>
    <row r="221" spans="1:14">
      <c r="A221" s="23" t="s">
        <v>20</v>
      </c>
      <c r="B221" s="23" t="s">
        <v>103</v>
      </c>
      <c r="C221" s="23" t="s">
        <v>104</v>
      </c>
      <c r="D221" s="23" t="s">
        <v>200</v>
      </c>
      <c r="E221" s="23" t="s">
        <v>201</v>
      </c>
      <c r="F221" s="23">
        <v>23</v>
      </c>
      <c r="G221" s="23">
        <v>5</v>
      </c>
      <c r="H221" s="23">
        <v>1</v>
      </c>
      <c r="I221" s="23">
        <v>10823</v>
      </c>
      <c r="J221" s="23">
        <v>62</v>
      </c>
      <c r="K221" s="23">
        <v>117</v>
      </c>
      <c r="L221" s="23" t="s">
        <v>217</v>
      </c>
      <c r="M221" s="23">
        <f t="shared" si="3"/>
        <v>796.99999999999989</v>
      </c>
      <c r="N221" s="24" t="str">
        <f t="array" ref="N221">INDEX('MATCH INFO'!O:O, INT((ROW()-2)/10)+2)</f>
        <v>260607_SB_O2_S2</v>
      </c>
    </row>
    <row r="222" spans="1:14">
      <c r="A222" s="23" t="s">
        <v>20</v>
      </c>
      <c r="B222" s="23" t="s">
        <v>108</v>
      </c>
      <c r="C222" s="23" t="s">
        <v>109</v>
      </c>
      <c r="D222" s="23" t="s">
        <v>61</v>
      </c>
      <c r="E222" s="23" t="s">
        <v>196</v>
      </c>
      <c r="F222" s="23">
        <v>12</v>
      </c>
      <c r="G222" s="23">
        <v>1</v>
      </c>
      <c r="H222" s="23">
        <v>18</v>
      </c>
      <c r="I222" s="23">
        <v>4147</v>
      </c>
      <c r="J222" s="23">
        <v>6439</v>
      </c>
      <c r="K222" s="23">
        <v>0</v>
      </c>
      <c r="L222" s="23" t="s">
        <v>218</v>
      </c>
      <c r="M222" s="23">
        <f t="shared" si="3"/>
        <v>568</v>
      </c>
      <c r="N222" s="24" t="str">
        <f t="array" ref="N222">INDEX('MATCH INFO'!O:O, INT((ROW()-2)/10)+2)</f>
        <v>260607_SB_O2_S3</v>
      </c>
    </row>
    <row r="223" spans="1:14">
      <c r="A223" s="23" t="s">
        <v>20</v>
      </c>
      <c r="B223" s="23" t="s">
        <v>111</v>
      </c>
      <c r="C223" s="23" t="s">
        <v>109</v>
      </c>
      <c r="D223" s="23" t="s">
        <v>61</v>
      </c>
      <c r="E223" s="23" t="s">
        <v>196</v>
      </c>
      <c r="F223" s="23">
        <v>9</v>
      </c>
      <c r="G223" s="23">
        <v>2</v>
      </c>
      <c r="H223" s="23">
        <v>14</v>
      </c>
      <c r="I223" s="23">
        <v>3298</v>
      </c>
      <c r="J223" s="23">
        <v>6410</v>
      </c>
      <c r="K223" s="23">
        <v>0</v>
      </c>
      <c r="L223" s="23" t="s">
        <v>218</v>
      </c>
      <c r="M223" s="23">
        <f t="shared" si="3"/>
        <v>568</v>
      </c>
      <c r="N223" s="24" t="str">
        <f t="array" ref="N223">INDEX('MATCH INFO'!O:O, INT((ROW()-2)/10)+2)</f>
        <v>260607_SB_O2_S3</v>
      </c>
    </row>
    <row r="224" spans="1:14">
      <c r="A224" s="23" t="s">
        <v>20</v>
      </c>
      <c r="B224" s="23" t="s">
        <v>106</v>
      </c>
      <c r="C224" s="23" t="s">
        <v>104</v>
      </c>
      <c r="D224" s="23" t="s">
        <v>61</v>
      </c>
      <c r="E224" s="23" t="s">
        <v>196</v>
      </c>
      <c r="F224" s="23">
        <v>21</v>
      </c>
      <c r="G224" s="23">
        <v>2</v>
      </c>
      <c r="H224" s="23">
        <v>0</v>
      </c>
      <c r="I224" s="23">
        <v>7415</v>
      </c>
      <c r="J224" s="23">
        <v>0</v>
      </c>
      <c r="K224" s="23">
        <v>174</v>
      </c>
      <c r="L224" s="23" t="s">
        <v>218</v>
      </c>
      <c r="M224" s="23">
        <f t="shared" si="3"/>
        <v>568</v>
      </c>
      <c r="N224" s="24" t="str">
        <f t="array" ref="N224">INDEX('MATCH INFO'!O:O, INT((ROW()-2)/10)+2)</f>
        <v>260607_SB_O2_S3</v>
      </c>
    </row>
    <row r="225" spans="1:14">
      <c r="A225" s="23" t="s">
        <v>20</v>
      </c>
      <c r="B225" s="23" t="s">
        <v>102</v>
      </c>
      <c r="C225" s="23" t="s">
        <v>101</v>
      </c>
      <c r="D225" s="23" t="s">
        <v>61</v>
      </c>
      <c r="E225" s="23" t="s">
        <v>196</v>
      </c>
      <c r="F225" s="23">
        <v>22</v>
      </c>
      <c r="G225" s="23">
        <v>1</v>
      </c>
      <c r="H225" s="23">
        <v>4</v>
      </c>
      <c r="I225" s="23">
        <v>11077</v>
      </c>
      <c r="J225" s="23">
        <v>0</v>
      </c>
      <c r="K225" s="23">
        <v>14431</v>
      </c>
      <c r="L225" s="23" t="s">
        <v>218</v>
      </c>
      <c r="M225" s="23">
        <f t="shared" si="3"/>
        <v>568</v>
      </c>
      <c r="N225" s="24" t="str">
        <f t="array" ref="N225">INDEX('MATCH INFO'!O:O, INT((ROW()-2)/10)+2)</f>
        <v>260607_SB_O2_S3</v>
      </c>
    </row>
    <row r="226" spans="1:14">
      <c r="A226" s="23" t="s">
        <v>20</v>
      </c>
      <c r="B226" s="23" t="s">
        <v>103</v>
      </c>
      <c r="C226" s="23" t="s">
        <v>104</v>
      </c>
      <c r="D226" s="23" t="s">
        <v>61</v>
      </c>
      <c r="E226" s="23" t="s">
        <v>196</v>
      </c>
      <c r="F226" s="23">
        <v>20</v>
      </c>
      <c r="G226" s="23">
        <v>4</v>
      </c>
      <c r="H226" s="23">
        <v>6</v>
      </c>
      <c r="I226" s="23">
        <v>10474</v>
      </c>
      <c r="J226" s="23">
        <v>0</v>
      </c>
      <c r="K226" s="23">
        <v>88</v>
      </c>
      <c r="L226" s="23" t="s">
        <v>218</v>
      </c>
      <c r="M226" s="23">
        <f t="shared" si="3"/>
        <v>568</v>
      </c>
      <c r="N226" s="24" t="str">
        <f t="array" ref="N226">INDEX('MATCH INFO'!O:O, INT((ROW()-2)/10)+2)</f>
        <v>260607_SB_O2_S3</v>
      </c>
    </row>
    <row r="227" spans="1:14">
      <c r="A227" s="23" t="s">
        <v>53</v>
      </c>
      <c r="B227" s="23" t="s">
        <v>170</v>
      </c>
      <c r="C227" s="23" t="s">
        <v>104</v>
      </c>
      <c r="D227" s="23" t="s">
        <v>61</v>
      </c>
      <c r="E227" s="23" t="s">
        <v>196</v>
      </c>
      <c r="F227" s="23">
        <v>4</v>
      </c>
      <c r="G227" s="23">
        <v>8</v>
      </c>
      <c r="H227" s="23">
        <v>2</v>
      </c>
      <c r="I227" s="23">
        <v>2954</v>
      </c>
      <c r="J227" s="23">
        <v>35</v>
      </c>
      <c r="K227" s="23">
        <v>1300</v>
      </c>
      <c r="L227" s="23" t="s">
        <v>218</v>
      </c>
      <c r="M227" s="23">
        <f t="shared" si="3"/>
        <v>568</v>
      </c>
      <c r="N227" s="24" t="str">
        <f t="array" ref="N227">INDEX('MATCH INFO'!O:O, INT((ROW()-2)/10)+2)</f>
        <v>260607_SB_O2_S3</v>
      </c>
    </row>
    <row r="228" spans="1:14">
      <c r="A228" s="23" t="s">
        <v>53</v>
      </c>
      <c r="B228" s="23" t="s">
        <v>168</v>
      </c>
      <c r="C228" s="23" t="s">
        <v>101</v>
      </c>
      <c r="D228" s="23" t="s">
        <v>61</v>
      </c>
      <c r="E228" s="23" t="s">
        <v>196</v>
      </c>
      <c r="F228" s="23">
        <v>8</v>
      </c>
      <c r="G228" s="23">
        <v>6</v>
      </c>
      <c r="H228" s="23">
        <v>0</v>
      </c>
      <c r="I228" s="23">
        <v>5533</v>
      </c>
      <c r="J228" s="23">
        <v>0</v>
      </c>
      <c r="K228" s="23">
        <v>15947</v>
      </c>
      <c r="L228" s="23" t="s">
        <v>218</v>
      </c>
      <c r="M228" s="23">
        <f t="shared" si="3"/>
        <v>568</v>
      </c>
      <c r="N228" s="24" t="str">
        <f t="array" ref="N228">INDEX('MATCH INFO'!O:O, INT((ROW()-2)/10)+2)</f>
        <v>260607_SB_O2_S3</v>
      </c>
    </row>
    <row r="229" spans="1:14">
      <c r="A229" s="23" t="s">
        <v>53</v>
      </c>
      <c r="B229" s="23" t="s">
        <v>172</v>
      </c>
      <c r="C229" s="23" t="s">
        <v>109</v>
      </c>
      <c r="D229" s="23" t="s">
        <v>61</v>
      </c>
      <c r="E229" s="23" t="s">
        <v>196</v>
      </c>
      <c r="F229" s="23">
        <v>3</v>
      </c>
      <c r="G229" s="23">
        <v>8</v>
      </c>
      <c r="H229" s="23">
        <v>6</v>
      </c>
      <c r="I229" s="23">
        <v>2072</v>
      </c>
      <c r="J229" s="23">
        <v>7759</v>
      </c>
      <c r="K229" s="23">
        <v>477</v>
      </c>
      <c r="L229" s="23" t="s">
        <v>218</v>
      </c>
      <c r="M229" s="23">
        <f t="shared" si="3"/>
        <v>568</v>
      </c>
      <c r="N229" s="24" t="str">
        <f t="array" ref="N229">INDEX('MATCH INFO'!O:O, INT((ROW()-2)/10)+2)</f>
        <v>260607_SB_O2_S3</v>
      </c>
    </row>
    <row r="230" spans="1:14">
      <c r="A230" s="23" t="s">
        <v>53</v>
      </c>
      <c r="B230" s="23" t="s">
        <v>171</v>
      </c>
      <c r="C230" s="23" t="s">
        <v>104</v>
      </c>
      <c r="D230" s="23" t="s">
        <v>61</v>
      </c>
      <c r="E230" s="23" t="s">
        <v>196</v>
      </c>
      <c r="F230" s="23">
        <v>7</v>
      </c>
      <c r="G230" s="23">
        <v>6</v>
      </c>
      <c r="H230" s="23">
        <v>0</v>
      </c>
      <c r="I230" s="23">
        <v>5147</v>
      </c>
      <c r="J230" s="23">
        <v>35</v>
      </c>
      <c r="K230" s="23">
        <v>285</v>
      </c>
      <c r="L230" s="23" t="s">
        <v>218</v>
      </c>
      <c r="M230" s="23">
        <f t="shared" si="3"/>
        <v>568</v>
      </c>
      <c r="N230" s="24" t="str">
        <f t="array" ref="N230">INDEX('MATCH INFO'!O:O, INT((ROW()-2)/10)+2)</f>
        <v>260607_SB_O2_S3</v>
      </c>
    </row>
    <row r="231" spans="1:14">
      <c r="A231" s="23" t="s">
        <v>53</v>
      </c>
      <c r="B231" s="23" t="s">
        <v>174</v>
      </c>
      <c r="C231" s="23" t="s">
        <v>109</v>
      </c>
      <c r="D231" s="23" t="s">
        <v>61</v>
      </c>
      <c r="E231" s="23" t="s">
        <v>196</v>
      </c>
      <c r="F231" s="23">
        <v>4</v>
      </c>
      <c r="G231" s="23">
        <v>5</v>
      </c>
      <c r="H231" s="23">
        <v>8</v>
      </c>
      <c r="I231" s="23">
        <v>2265</v>
      </c>
      <c r="J231" s="23">
        <v>13250</v>
      </c>
      <c r="K231" s="23">
        <v>0</v>
      </c>
      <c r="L231" s="23" t="s">
        <v>218</v>
      </c>
      <c r="M231" s="23">
        <f t="shared" si="3"/>
        <v>568</v>
      </c>
      <c r="N231" s="24" t="str">
        <f t="array" ref="N231">INDEX('MATCH INFO'!O:O, INT((ROW()-2)/10)+2)</f>
        <v>260607_SB_O2_S3</v>
      </c>
    </row>
    <row r="232" spans="1:14">
      <c r="A232" s="23" t="s">
        <v>42</v>
      </c>
      <c r="B232" s="23" t="s">
        <v>139</v>
      </c>
      <c r="C232" s="23" t="s">
        <v>101</v>
      </c>
      <c r="D232" s="23" t="s">
        <v>54</v>
      </c>
      <c r="E232" s="23" t="s">
        <v>188</v>
      </c>
      <c r="F232" s="23">
        <v>18</v>
      </c>
      <c r="G232" s="23">
        <v>1</v>
      </c>
      <c r="H232" s="23">
        <v>3</v>
      </c>
      <c r="I232" s="23">
        <v>7812</v>
      </c>
      <c r="J232" s="23">
        <v>0</v>
      </c>
      <c r="K232" s="23">
        <v>12825</v>
      </c>
      <c r="L232" s="23" t="s">
        <v>219</v>
      </c>
      <c r="M232" s="23">
        <f t="shared" si="3"/>
        <v>424</v>
      </c>
      <c r="N232" s="24" t="str">
        <f t="array" ref="N232">INDEX('MATCH INFO'!O:O, INT((ROW()-2)/10)+2)</f>
        <v>260607_ZETA_CB_S1</v>
      </c>
    </row>
    <row r="233" spans="1:14">
      <c r="A233" s="23" t="s">
        <v>42</v>
      </c>
      <c r="B233" s="23" t="s">
        <v>141</v>
      </c>
      <c r="C233" s="23" t="s">
        <v>104</v>
      </c>
      <c r="D233" s="23" t="s">
        <v>54</v>
      </c>
      <c r="E233" s="23" t="s">
        <v>188</v>
      </c>
      <c r="F233" s="23">
        <v>20</v>
      </c>
      <c r="G233" s="23">
        <v>1</v>
      </c>
      <c r="H233" s="23">
        <v>1</v>
      </c>
      <c r="I233" s="23">
        <v>8954</v>
      </c>
      <c r="J233" s="23">
        <v>87</v>
      </c>
      <c r="K233" s="23">
        <v>703</v>
      </c>
      <c r="L233" s="23" t="s">
        <v>219</v>
      </c>
      <c r="M233" s="23">
        <f t="shared" si="3"/>
        <v>424</v>
      </c>
      <c r="N233" s="24" t="str">
        <f t="array" ref="N233">INDEX('MATCH INFO'!O:O, INT((ROW()-2)/10)+2)</f>
        <v>260607_ZETA_CB_S1</v>
      </c>
    </row>
    <row r="234" spans="1:14">
      <c r="A234" s="23" t="s">
        <v>42</v>
      </c>
      <c r="B234" s="23" t="s">
        <v>140</v>
      </c>
      <c r="C234" s="23" t="s">
        <v>104</v>
      </c>
      <c r="D234" s="23" t="s">
        <v>54</v>
      </c>
      <c r="E234" s="23" t="s">
        <v>188</v>
      </c>
      <c r="F234" s="23">
        <v>11</v>
      </c>
      <c r="G234" s="23">
        <v>2</v>
      </c>
      <c r="H234" s="23">
        <v>5</v>
      </c>
      <c r="I234" s="23">
        <v>7370</v>
      </c>
      <c r="J234" s="23">
        <v>0</v>
      </c>
      <c r="K234" s="23">
        <v>0</v>
      </c>
      <c r="L234" s="23" t="s">
        <v>219</v>
      </c>
      <c r="M234" s="23">
        <f t="shared" si="3"/>
        <v>424</v>
      </c>
      <c r="N234" s="24" t="str">
        <f t="array" ref="N234">INDEX('MATCH INFO'!O:O, INT((ROW()-2)/10)+2)</f>
        <v>260607_ZETA_CB_S1</v>
      </c>
    </row>
    <row r="235" spans="1:14">
      <c r="A235" s="23" t="s">
        <v>42</v>
      </c>
      <c r="B235" s="23" t="s">
        <v>143</v>
      </c>
      <c r="C235" s="23" t="s">
        <v>109</v>
      </c>
      <c r="D235" s="23" t="s">
        <v>54</v>
      </c>
      <c r="E235" s="23" t="s">
        <v>188</v>
      </c>
      <c r="F235" s="23">
        <v>15</v>
      </c>
      <c r="G235" s="23">
        <v>3</v>
      </c>
      <c r="H235" s="23">
        <v>9</v>
      </c>
      <c r="I235" s="23">
        <v>4170</v>
      </c>
      <c r="J235" s="23">
        <v>5698</v>
      </c>
      <c r="K235" s="23">
        <v>480</v>
      </c>
      <c r="L235" s="23" t="s">
        <v>219</v>
      </c>
      <c r="M235" s="23">
        <f t="shared" si="3"/>
        <v>424</v>
      </c>
      <c r="N235" s="24" t="str">
        <f t="array" ref="N235">INDEX('MATCH INFO'!O:O, INT((ROW()-2)/10)+2)</f>
        <v>260607_ZETA_CB_S1</v>
      </c>
    </row>
    <row r="236" spans="1:14">
      <c r="A236" s="23" t="s">
        <v>42</v>
      </c>
      <c r="B236" s="23" t="s">
        <v>142</v>
      </c>
      <c r="C236" s="23" t="s">
        <v>109</v>
      </c>
      <c r="D236" s="23" t="s">
        <v>54</v>
      </c>
      <c r="E236" s="23" t="s">
        <v>188</v>
      </c>
      <c r="F236" s="23">
        <v>12</v>
      </c>
      <c r="G236" s="23">
        <v>1</v>
      </c>
      <c r="H236" s="23">
        <v>17</v>
      </c>
      <c r="I236" s="23">
        <v>4106</v>
      </c>
      <c r="J236" s="23">
        <v>8994</v>
      </c>
      <c r="K236" s="23">
        <v>0</v>
      </c>
      <c r="L236" s="23" t="s">
        <v>219</v>
      </c>
      <c r="M236" s="23">
        <f t="shared" si="3"/>
        <v>424</v>
      </c>
      <c r="N236" s="24" t="str">
        <f t="array" ref="N236">INDEX('MATCH INFO'!O:O, INT((ROW()-2)/10)+2)</f>
        <v>260607_ZETA_CB_S1</v>
      </c>
    </row>
    <row r="237" spans="1:14">
      <c r="A237" s="23" t="s">
        <v>51</v>
      </c>
      <c r="B237" s="23" t="s">
        <v>126</v>
      </c>
      <c r="C237" s="23" t="s">
        <v>104</v>
      </c>
      <c r="D237" s="23" t="s">
        <v>54</v>
      </c>
      <c r="E237" s="23" t="s">
        <v>188</v>
      </c>
      <c r="F237" s="23">
        <v>5</v>
      </c>
      <c r="G237" s="23">
        <v>5</v>
      </c>
      <c r="H237" s="23">
        <v>1</v>
      </c>
      <c r="I237" s="23">
        <v>4119</v>
      </c>
      <c r="J237" s="23">
        <v>61</v>
      </c>
      <c r="K237" s="23">
        <v>2958</v>
      </c>
      <c r="L237" s="23" t="s">
        <v>219</v>
      </c>
      <c r="M237" s="23">
        <f t="shared" si="3"/>
        <v>424</v>
      </c>
      <c r="N237" s="24" t="str">
        <f t="array" ref="N237">INDEX('MATCH INFO'!O:O, INT((ROW()-2)/10)+2)</f>
        <v>260607_ZETA_CB_S1</v>
      </c>
    </row>
    <row r="238" spans="1:14">
      <c r="A238" s="23" t="s">
        <v>51</v>
      </c>
      <c r="B238" s="23" t="s">
        <v>125</v>
      </c>
      <c r="C238" s="23" t="s">
        <v>101</v>
      </c>
      <c r="D238" s="23" t="s">
        <v>54</v>
      </c>
      <c r="E238" s="23" t="s">
        <v>188</v>
      </c>
      <c r="F238" s="23">
        <v>5</v>
      </c>
      <c r="G238" s="23">
        <v>6</v>
      </c>
      <c r="H238" s="23">
        <v>3</v>
      </c>
      <c r="I238" s="23">
        <v>6304</v>
      </c>
      <c r="J238" s="23">
        <v>0</v>
      </c>
      <c r="K238" s="23">
        <v>19353</v>
      </c>
      <c r="L238" s="23" t="s">
        <v>219</v>
      </c>
      <c r="M238" s="23">
        <f t="shared" si="3"/>
        <v>424</v>
      </c>
      <c r="N238" s="24" t="str">
        <f t="array" ref="N238">INDEX('MATCH INFO'!O:O, INT((ROW()-2)/10)+2)</f>
        <v>260607_ZETA_CB_S1</v>
      </c>
    </row>
    <row r="239" spans="1:14">
      <c r="A239" s="23" t="s">
        <v>51</v>
      </c>
      <c r="B239" s="23" t="s">
        <v>127</v>
      </c>
      <c r="C239" s="23" t="s">
        <v>104</v>
      </c>
      <c r="D239" s="23" t="s">
        <v>54</v>
      </c>
      <c r="E239" s="23" t="s">
        <v>188</v>
      </c>
      <c r="F239" s="23">
        <v>4</v>
      </c>
      <c r="G239" s="23">
        <v>5</v>
      </c>
      <c r="H239" s="23">
        <v>0</v>
      </c>
      <c r="I239" s="23">
        <v>4849</v>
      </c>
      <c r="J239" s="23">
        <v>0</v>
      </c>
      <c r="K239" s="23">
        <v>147</v>
      </c>
      <c r="L239" s="23" t="s">
        <v>219</v>
      </c>
      <c r="M239" s="23">
        <f t="shared" si="3"/>
        <v>424</v>
      </c>
      <c r="N239" s="24" t="str">
        <f t="array" ref="N239">INDEX('MATCH INFO'!O:O, INT((ROW()-2)/10)+2)</f>
        <v>260607_ZETA_CB_S1</v>
      </c>
    </row>
    <row r="240" spans="1:14">
      <c r="A240" s="23" t="s">
        <v>51</v>
      </c>
      <c r="B240" s="23" t="s">
        <v>128</v>
      </c>
      <c r="C240" s="23" t="s">
        <v>109</v>
      </c>
      <c r="D240" s="23" t="s">
        <v>54</v>
      </c>
      <c r="E240" s="23" t="s">
        <v>188</v>
      </c>
      <c r="F240" s="23">
        <v>3</v>
      </c>
      <c r="G240" s="23">
        <v>6</v>
      </c>
      <c r="H240" s="23">
        <v>4</v>
      </c>
      <c r="I240" s="23">
        <v>3107</v>
      </c>
      <c r="J240" s="23">
        <v>8024</v>
      </c>
      <c r="K240" s="23">
        <v>1376</v>
      </c>
      <c r="L240" s="23" t="s">
        <v>219</v>
      </c>
      <c r="M240" s="23">
        <f t="shared" si="3"/>
        <v>424</v>
      </c>
      <c r="N240" s="24" t="str">
        <f t="array" ref="N240">INDEX('MATCH INFO'!O:O, INT((ROW()-2)/10)+2)</f>
        <v>260607_ZETA_CB_S1</v>
      </c>
    </row>
    <row r="241" spans="1:14">
      <c r="A241" s="23" t="s">
        <v>51</v>
      </c>
      <c r="B241" s="23" t="s">
        <v>129</v>
      </c>
      <c r="C241" s="23" t="s">
        <v>109</v>
      </c>
      <c r="D241" s="23" t="s">
        <v>54</v>
      </c>
      <c r="E241" s="23" t="s">
        <v>188</v>
      </c>
      <c r="F241" s="23">
        <v>3</v>
      </c>
      <c r="G241" s="23">
        <v>5</v>
      </c>
      <c r="H241" s="23">
        <v>4</v>
      </c>
      <c r="I241" s="23">
        <v>2033</v>
      </c>
      <c r="J241" s="23">
        <v>9688</v>
      </c>
      <c r="K241" s="23">
        <v>0</v>
      </c>
      <c r="L241" s="23" t="s">
        <v>219</v>
      </c>
      <c r="M241" s="23">
        <f t="shared" si="3"/>
        <v>424</v>
      </c>
      <c r="N241" s="24" t="str">
        <f t="array" ref="N241">INDEX('MATCH INFO'!O:O, INT((ROW()-2)/10)+2)</f>
        <v>260607_ZETA_CB_S1</v>
      </c>
    </row>
    <row r="242" spans="1:14">
      <c r="A242" s="23" t="s">
        <v>42</v>
      </c>
      <c r="B242" s="23" t="s">
        <v>139</v>
      </c>
      <c r="C242" s="23" t="s">
        <v>101</v>
      </c>
      <c r="D242" s="23" t="s">
        <v>28</v>
      </c>
      <c r="E242" s="23" t="s">
        <v>192</v>
      </c>
      <c r="F242" s="23">
        <v>16</v>
      </c>
      <c r="G242" s="23">
        <v>5</v>
      </c>
      <c r="H242" s="23">
        <v>12</v>
      </c>
      <c r="I242" s="23">
        <v>8242</v>
      </c>
      <c r="J242" s="23">
        <v>1605</v>
      </c>
      <c r="K242" s="23">
        <v>16267</v>
      </c>
      <c r="L242" s="23" t="s">
        <v>220</v>
      </c>
      <c r="M242" s="23">
        <f t="shared" si="3"/>
        <v>594</v>
      </c>
      <c r="N242" s="24" t="str">
        <f t="array" ref="N242">INDEX('MATCH INFO'!O:O, INT((ROW()-2)/10)+2)</f>
        <v>260607_ZETA_CB_S2</v>
      </c>
    </row>
    <row r="243" spans="1:14">
      <c r="A243" s="23" t="s">
        <v>42</v>
      </c>
      <c r="B243" s="23" t="s">
        <v>141</v>
      </c>
      <c r="C243" s="23" t="s">
        <v>104</v>
      </c>
      <c r="D243" s="23" t="s">
        <v>28</v>
      </c>
      <c r="E243" s="23" t="s">
        <v>192</v>
      </c>
      <c r="F243" s="23">
        <v>16</v>
      </c>
      <c r="G243" s="23">
        <v>6</v>
      </c>
      <c r="H243" s="23">
        <v>0</v>
      </c>
      <c r="I243" s="23">
        <v>13932</v>
      </c>
      <c r="J243" s="23">
        <v>305</v>
      </c>
      <c r="K243" s="23">
        <v>1628</v>
      </c>
      <c r="L243" s="23" t="s">
        <v>220</v>
      </c>
      <c r="M243" s="23">
        <f t="shared" si="3"/>
        <v>594</v>
      </c>
      <c r="N243" s="24" t="str">
        <f t="array" ref="N243">INDEX('MATCH INFO'!O:O, INT((ROW()-2)/10)+2)</f>
        <v>260607_ZETA_CB_S2</v>
      </c>
    </row>
    <row r="244" spans="1:14">
      <c r="A244" s="23" t="s">
        <v>42</v>
      </c>
      <c r="B244" s="23" t="s">
        <v>140</v>
      </c>
      <c r="C244" s="23" t="s">
        <v>104</v>
      </c>
      <c r="D244" s="23" t="s">
        <v>28</v>
      </c>
      <c r="E244" s="23" t="s">
        <v>192</v>
      </c>
      <c r="F244" s="23">
        <v>24</v>
      </c>
      <c r="G244" s="23">
        <v>5</v>
      </c>
      <c r="H244" s="23">
        <v>0</v>
      </c>
      <c r="I244" s="23">
        <v>12695</v>
      </c>
      <c r="J244" s="23">
        <v>1734</v>
      </c>
      <c r="K244" s="23">
        <v>0</v>
      </c>
      <c r="L244" s="23" t="s">
        <v>220</v>
      </c>
      <c r="M244" s="23">
        <f t="shared" si="3"/>
        <v>594</v>
      </c>
      <c r="N244" s="24" t="str">
        <f t="array" ref="N244">INDEX('MATCH INFO'!O:O, INT((ROW()-2)/10)+2)</f>
        <v>260607_ZETA_CB_S2</v>
      </c>
    </row>
    <row r="245" spans="1:14">
      <c r="A245" s="23" t="s">
        <v>42</v>
      </c>
      <c r="B245" s="23" t="s">
        <v>143</v>
      </c>
      <c r="C245" s="23" t="s">
        <v>109</v>
      </c>
      <c r="D245" s="23" t="s">
        <v>28</v>
      </c>
      <c r="E245" s="23" t="s">
        <v>192</v>
      </c>
      <c r="F245" s="23">
        <v>14</v>
      </c>
      <c r="G245" s="23">
        <v>5</v>
      </c>
      <c r="H245" s="23">
        <v>22</v>
      </c>
      <c r="I245" s="23">
        <v>5772</v>
      </c>
      <c r="J245" s="23">
        <v>12321</v>
      </c>
      <c r="K245" s="23">
        <v>0</v>
      </c>
      <c r="L245" s="23" t="s">
        <v>220</v>
      </c>
      <c r="M245" s="23">
        <f t="shared" si="3"/>
        <v>594</v>
      </c>
      <c r="N245" s="24" t="str">
        <f t="array" ref="N245">INDEX('MATCH INFO'!O:O, INT((ROW()-2)/10)+2)</f>
        <v>260607_ZETA_CB_S2</v>
      </c>
    </row>
    <row r="246" spans="1:14">
      <c r="A246" s="23" t="s">
        <v>42</v>
      </c>
      <c r="B246" s="23" t="s">
        <v>142</v>
      </c>
      <c r="C246" s="23" t="s">
        <v>109</v>
      </c>
      <c r="D246" s="23" t="s">
        <v>28</v>
      </c>
      <c r="E246" s="23" t="s">
        <v>192</v>
      </c>
      <c r="F246" s="23">
        <v>16</v>
      </c>
      <c r="G246" s="23">
        <v>4</v>
      </c>
      <c r="H246" s="23">
        <v>16</v>
      </c>
      <c r="I246" s="23">
        <v>2477</v>
      </c>
      <c r="J246" s="23">
        <v>8426</v>
      </c>
      <c r="K246" s="23">
        <v>0</v>
      </c>
      <c r="L246" s="23" t="s">
        <v>220</v>
      </c>
      <c r="M246" s="23">
        <f t="shared" si="3"/>
        <v>594</v>
      </c>
      <c r="N246" s="24" t="str">
        <f t="array" ref="N246">INDEX('MATCH INFO'!O:O, INT((ROW()-2)/10)+2)</f>
        <v>260607_ZETA_CB_S2</v>
      </c>
    </row>
    <row r="247" spans="1:14">
      <c r="A247" s="23" t="s">
        <v>51</v>
      </c>
      <c r="B247" s="23" t="s">
        <v>126</v>
      </c>
      <c r="C247" s="23" t="s">
        <v>104</v>
      </c>
      <c r="D247" s="23" t="s">
        <v>28</v>
      </c>
      <c r="E247" s="23" t="s">
        <v>192</v>
      </c>
      <c r="F247" s="23">
        <v>18</v>
      </c>
      <c r="G247" s="23">
        <v>4</v>
      </c>
      <c r="H247" s="23">
        <v>0</v>
      </c>
      <c r="I247" s="23">
        <v>10060</v>
      </c>
      <c r="J247" s="23">
        <v>1880</v>
      </c>
      <c r="K247" s="23">
        <v>0</v>
      </c>
      <c r="L247" s="23" t="s">
        <v>220</v>
      </c>
      <c r="M247" s="23">
        <f t="shared" si="3"/>
        <v>594</v>
      </c>
      <c r="N247" s="24" t="str">
        <f t="array" ref="N247">INDEX('MATCH INFO'!O:O, INT((ROW()-2)/10)+2)</f>
        <v>260607_ZETA_CB_S2</v>
      </c>
    </row>
    <row r="248" spans="1:14">
      <c r="A248" s="23" t="s">
        <v>51</v>
      </c>
      <c r="B248" s="23" t="s">
        <v>125</v>
      </c>
      <c r="C248" s="23" t="s">
        <v>101</v>
      </c>
      <c r="D248" s="23" t="s">
        <v>28</v>
      </c>
      <c r="E248" s="23" t="s">
        <v>192</v>
      </c>
      <c r="F248" s="23">
        <v>13</v>
      </c>
      <c r="G248" s="23">
        <v>8</v>
      </c>
      <c r="H248" s="23">
        <v>6</v>
      </c>
      <c r="I248" s="23">
        <v>7013</v>
      </c>
      <c r="J248" s="23">
        <v>2104</v>
      </c>
      <c r="K248" s="23">
        <v>16054</v>
      </c>
      <c r="L248" s="23" t="s">
        <v>220</v>
      </c>
      <c r="M248" s="23">
        <f t="shared" si="3"/>
        <v>594</v>
      </c>
      <c r="N248" s="24" t="str">
        <f t="array" ref="N248">INDEX('MATCH INFO'!O:O, INT((ROW()-2)/10)+2)</f>
        <v>260607_ZETA_CB_S2</v>
      </c>
    </row>
    <row r="249" spans="1:14">
      <c r="A249" s="23" t="s">
        <v>51</v>
      </c>
      <c r="B249" s="23" t="s">
        <v>127</v>
      </c>
      <c r="C249" s="23" t="s">
        <v>104</v>
      </c>
      <c r="D249" s="23" t="s">
        <v>28</v>
      </c>
      <c r="E249" s="23" t="s">
        <v>192</v>
      </c>
      <c r="F249" s="23">
        <v>14</v>
      </c>
      <c r="G249" s="23">
        <v>7</v>
      </c>
      <c r="H249" s="23">
        <v>2</v>
      </c>
      <c r="I249" s="23">
        <v>13851</v>
      </c>
      <c r="J249" s="23">
        <v>596</v>
      </c>
      <c r="K249" s="23">
        <v>2319</v>
      </c>
      <c r="L249" s="23" t="s">
        <v>220</v>
      </c>
      <c r="M249" s="23">
        <f t="shared" si="3"/>
        <v>594</v>
      </c>
      <c r="N249" s="24" t="str">
        <f t="array" ref="N249">INDEX('MATCH INFO'!O:O, INT((ROW()-2)/10)+2)</f>
        <v>260607_ZETA_CB_S2</v>
      </c>
    </row>
    <row r="250" spans="1:14">
      <c r="A250" s="23" t="s">
        <v>51</v>
      </c>
      <c r="B250" s="23" t="s">
        <v>128</v>
      </c>
      <c r="C250" s="23" t="s">
        <v>109</v>
      </c>
      <c r="D250" s="23" t="s">
        <v>28</v>
      </c>
      <c r="E250" s="23" t="s">
        <v>192</v>
      </c>
      <c r="F250" s="23">
        <v>10</v>
      </c>
      <c r="G250" s="23">
        <v>7</v>
      </c>
      <c r="H250" s="23">
        <v>12</v>
      </c>
      <c r="I250" s="23">
        <v>2868</v>
      </c>
      <c r="J250" s="23">
        <v>9511</v>
      </c>
      <c r="K250" s="23">
        <v>0</v>
      </c>
      <c r="L250" s="23" t="s">
        <v>220</v>
      </c>
      <c r="M250" s="23">
        <f t="shared" si="3"/>
        <v>594</v>
      </c>
      <c r="N250" s="24" t="str">
        <f t="array" ref="N250">INDEX('MATCH INFO'!O:O, INT((ROW()-2)/10)+2)</f>
        <v>260607_ZETA_CB_S2</v>
      </c>
    </row>
    <row r="251" spans="1:14">
      <c r="A251" s="23" t="s">
        <v>51</v>
      </c>
      <c r="B251" s="23" t="s">
        <v>129</v>
      </c>
      <c r="C251" s="23" t="s">
        <v>109</v>
      </c>
      <c r="D251" s="23" t="s">
        <v>28</v>
      </c>
      <c r="E251" s="23" t="s">
        <v>192</v>
      </c>
      <c r="F251" s="23">
        <v>7</v>
      </c>
      <c r="G251" s="23">
        <v>6</v>
      </c>
      <c r="H251" s="23">
        <v>16</v>
      </c>
      <c r="I251" s="23">
        <v>4473</v>
      </c>
      <c r="J251" s="23">
        <v>12811</v>
      </c>
      <c r="K251" s="23">
        <v>0</v>
      </c>
      <c r="L251" s="23" t="s">
        <v>220</v>
      </c>
      <c r="M251" s="23">
        <f t="shared" si="3"/>
        <v>594</v>
      </c>
      <c r="N251" s="24" t="str">
        <f t="array" ref="N251">INDEX('MATCH INFO'!O:O, INT((ROW()-2)/10)+2)</f>
        <v>260607_ZETA_CB_S2</v>
      </c>
    </row>
    <row r="252" spans="1:14">
      <c r="A252" s="23" t="s">
        <v>42</v>
      </c>
      <c r="B252" s="23" t="s">
        <v>141</v>
      </c>
      <c r="C252" s="23" t="s">
        <v>104</v>
      </c>
      <c r="D252" s="23" t="s">
        <v>63</v>
      </c>
      <c r="E252" s="23" t="s">
        <v>201</v>
      </c>
      <c r="F252" s="23">
        <v>16</v>
      </c>
      <c r="G252" s="23">
        <v>9</v>
      </c>
      <c r="H252" s="23">
        <v>1</v>
      </c>
      <c r="I252" s="23">
        <v>13519</v>
      </c>
      <c r="J252" s="23">
        <v>0</v>
      </c>
      <c r="K252" s="23">
        <v>2406</v>
      </c>
      <c r="L252" s="23" t="s">
        <v>221</v>
      </c>
      <c r="M252" s="23">
        <f t="shared" si="3"/>
        <v>657</v>
      </c>
      <c r="N252" s="24" t="str">
        <f t="array" ref="N252">INDEX('MATCH INFO'!O:O, INT((ROW()-2)/10)+2)</f>
        <v>260607_ZETA_CB_S3</v>
      </c>
    </row>
    <row r="253" spans="1:14">
      <c r="A253" s="23" t="s">
        <v>42</v>
      </c>
      <c r="B253" s="23" t="s">
        <v>138</v>
      </c>
      <c r="C253" s="23" t="s">
        <v>101</v>
      </c>
      <c r="D253" s="23" t="s">
        <v>63</v>
      </c>
      <c r="E253" s="23" t="s">
        <v>201</v>
      </c>
      <c r="F253" s="23">
        <v>20</v>
      </c>
      <c r="G253" s="23">
        <v>2</v>
      </c>
      <c r="H253" s="23">
        <v>3</v>
      </c>
      <c r="I253" s="23">
        <v>8308</v>
      </c>
      <c r="J253" s="23">
        <v>1454</v>
      </c>
      <c r="K253" s="23">
        <v>3373</v>
      </c>
      <c r="L253" s="23" t="s">
        <v>221</v>
      </c>
      <c r="M253" s="23">
        <f t="shared" si="3"/>
        <v>657</v>
      </c>
      <c r="N253" s="24" t="str">
        <f t="array" ref="N253">INDEX('MATCH INFO'!O:O, INT((ROW()-2)/10)+2)</f>
        <v>260607_ZETA_CB_S3</v>
      </c>
    </row>
    <row r="254" spans="1:14">
      <c r="A254" s="23" t="s">
        <v>42</v>
      </c>
      <c r="B254" s="23" t="s">
        <v>140</v>
      </c>
      <c r="C254" s="23" t="s">
        <v>104</v>
      </c>
      <c r="D254" s="23" t="s">
        <v>63</v>
      </c>
      <c r="E254" s="23" t="s">
        <v>201</v>
      </c>
      <c r="F254" s="23">
        <v>23</v>
      </c>
      <c r="G254" s="23">
        <v>2</v>
      </c>
      <c r="H254" s="23">
        <v>0</v>
      </c>
      <c r="I254" s="23">
        <v>11664</v>
      </c>
      <c r="J254" s="23">
        <v>119</v>
      </c>
      <c r="K254" s="23">
        <v>0</v>
      </c>
      <c r="L254" s="23" t="s">
        <v>221</v>
      </c>
      <c r="M254" s="23">
        <f t="shared" si="3"/>
        <v>657</v>
      </c>
      <c r="N254" s="24" t="str">
        <f t="array" ref="N254">INDEX('MATCH INFO'!O:O, INT((ROW()-2)/10)+2)</f>
        <v>260607_ZETA_CB_S3</v>
      </c>
    </row>
    <row r="255" spans="1:14">
      <c r="A255" s="23" t="s">
        <v>42</v>
      </c>
      <c r="B255" s="23" t="s">
        <v>143</v>
      </c>
      <c r="C255" s="23" t="s">
        <v>109</v>
      </c>
      <c r="D255" s="23" t="s">
        <v>63</v>
      </c>
      <c r="E255" s="23" t="s">
        <v>201</v>
      </c>
      <c r="F255" s="23">
        <v>10</v>
      </c>
      <c r="G255" s="23">
        <v>5</v>
      </c>
      <c r="H255" s="23">
        <v>12</v>
      </c>
      <c r="I255" s="23">
        <v>6418</v>
      </c>
      <c r="J255" s="23">
        <v>7407</v>
      </c>
      <c r="K255" s="23">
        <v>1442</v>
      </c>
      <c r="L255" s="23" t="s">
        <v>221</v>
      </c>
      <c r="M255" s="23">
        <f t="shared" si="3"/>
        <v>657</v>
      </c>
      <c r="N255" s="24" t="str">
        <f t="array" ref="N255">INDEX('MATCH INFO'!O:O, INT((ROW()-2)/10)+2)</f>
        <v>260607_ZETA_CB_S3</v>
      </c>
    </row>
    <row r="256" spans="1:14">
      <c r="A256" s="23" t="s">
        <v>42</v>
      </c>
      <c r="B256" s="23" t="s">
        <v>142</v>
      </c>
      <c r="C256" s="23" t="s">
        <v>109</v>
      </c>
      <c r="D256" s="23" t="s">
        <v>63</v>
      </c>
      <c r="E256" s="23" t="s">
        <v>201</v>
      </c>
      <c r="F256" s="23">
        <v>14</v>
      </c>
      <c r="G256" s="23">
        <v>3</v>
      </c>
      <c r="H256" s="23">
        <v>15</v>
      </c>
      <c r="I256" s="23">
        <v>2611</v>
      </c>
      <c r="J256" s="23">
        <v>11316</v>
      </c>
      <c r="K256" s="23">
        <v>0</v>
      </c>
      <c r="L256" s="23" t="s">
        <v>221</v>
      </c>
      <c r="M256" s="23">
        <f t="shared" si="3"/>
        <v>657</v>
      </c>
      <c r="N256" s="24" t="str">
        <f t="array" ref="N256">INDEX('MATCH INFO'!O:O, INT((ROW()-2)/10)+2)</f>
        <v>260607_ZETA_CB_S3</v>
      </c>
    </row>
    <row r="257" spans="1:14">
      <c r="A257" s="23" t="s">
        <v>51</v>
      </c>
      <c r="B257" s="23" t="s">
        <v>126</v>
      </c>
      <c r="C257" s="23" t="s">
        <v>104</v>
      </c>
      <c r="D257" s="23" t="s">
        <v>63</v>
      </c>
      <c r="E257" s="23" t="s">
        <v>201</v>
      </c>
      <c r="F257" s="23">
        <v>9</v>
      </c>
      <c r="G257" s="23">
        <v>6</v>
      </c>
      <c r="H257" s="23">
        <v>0</v>
      </c>
      <c r="I257" s="23">
        <v>10271</v>
      </c>
      <c r="J257" s="23">
        <v>1155</v>
      </c>
      <c r="K257" s="23">
        <v>0</v>
      </c>
      <c r="L257" s="23" t="s">
        <v>221</v>
      </c>
      <c r="M257" s="23">
        <f t="shared" si="3"/>
        <v>657</v>
      </c>
      <c r="N257" s="24" t="str">
        <f t="array" ref="N257">INDEX('MATCH INFO'!O:O, INT((ROW()-2)/10)+2)</f>
        <v>260607_ZETA_CB_S3</v>
      </c>
    </row>
    <row r="258" spans="1:14">
      <c r="A258" s="23" t="s">
        <v>51</v>
      </c>
      <c r="B258" s="23" t="s">
        <v>124</v>
      </c>
      <c r="C258" s="23" t="s">
        <v>101</v>
      </c>
      <c r="D258" s="23" t="s">
        <v>63</v>
      </c>
      <c r="E258" s="23" t="s">
        <v>201</v>
      </c>
      <c r="F258" s="23">
        <v>11</v>
      </c>
      <c r="G258" s="23">
        <v>6</v>
      </c>
      <c r="H258" s="23">
        <v>5</v>
      </c>
      <c r="I258" s="23">
        <v>7840</v>
      </c>
      <c r="J258" s="23">
        <v>1258</v>
      </c>
      <c r="K258" s="23">
        <v>4245</v>
      </c>
      <c r="L258" s="23" t="s">
        <v>221</v>
      </c>
      <c r="M258" s="23">
        <f t="shared" ref="M258:M321" si="4">L258*86400</f>
        <v>657</v>
      </c>
      <c r="N258" s="24" t="str">
        <f t="array" ref="N258">INDEX('MATCH INFO'!O:O, INT((ROW()-2)/10)+2)</f>
        <v>260607_ZETA_CB_S3</v>
      </c>
    </row>
    <row r="259" spans="1:14">
      <c r="A259" s="23" t="s">
        <v>51</v>
      </c>
      <c r="B259" s="23" t="s">
        <v>127</v>
      </c>
      <c r="C259" s="23" t="s">
        <v>104</v>
      </c>
      <c r="D259" s="23" t="s">
        <v>63</v>
      </c>
      <c r="E259" s="23" t="s">
        <v>201</v>
      </c>
      <c r="F259" s="23">
        <v>11</v>
      </c>
      <c r="G259" s="23">
        <v>8</v>
      </c>
      <c r="H259" s="23">
        <v>1</v>
      </c>
      <c r="I259" s="23">
        <v>14719</v>
      </c>
      <c r="J259" s="23">
        <v>365</v>
      </c>
      <c r="K259" s="23">
        <v>1665</v>
      </c>
      <c r="L259" s="23" t="s">
        <v>221</v>
      </c>
      <c r="M259" s="23">
        <f t="shared" si="4"/>
        <v>657</v>
      </c>
      <c r="N259" s="24" t="str">
        <f t="array" ref="N259">INDEX('MATCH INFO'!O:O, INT((ROW()-2)/10)+2)</f>
        <v>260607_ZETA_CB_S3</v>
      </c>
    </row>
    <row r="260" spans="1:14">
      <c r="A260" s="23" t="s">
        <v>51</v>
      </c>
      <c r="B260" s="23" t="s">
        <v>128</v>
      </c>
      <c r="C260" s="23" t="s">
        <v>109</v>
      </c>
      <c r="D260" s="23" t="s">
        <v>63</v>
      </c>
      <c r="E260" s="23" t="s">
        <v>201</v>
      </c>
      <c r="F260" s="23">
        <v>10</v>
      </c>
      <c r="G260" s="23">
        <v>3</v>
      </c>
      <c r="H260" s="23">
        <v>10</v>
      </c>
      <c r="I260" s="23">
        <v>1636</v>
      </c>
      <c r="J260" s="23">
        <v>11212</v>
      </c>
      <c r="K260" s="23">
        <v>0</v>
      </c>
      <c r="L260" s="23" t="s">
        <v>221</v>
      </c>
      <c r="M260" s="23">
        <f t="shared" si="4"/>
        <v>657</v>
      </c>
      <c r="N260" s="24" t="str">
        <f t="array" ref="N260">INDEX('MATCH INFO'!O:O, INT((ROW()-2)/10)+2)</f>
        <v>260607_ZETA_CB_S3</v>
      </c>
    </row>
    <row r="261" spans="1:14">
      <c r="A261" s="23" t="s">
        <v>51</v>
      </c>
      <c r="B261" s="23" t="s">
        <v>129</v>
      </c>
      <c r="C261" s="23" t="s">
        <v>109</v>
      </c>
      <c r="D261" s="23" t="s">
        <v>63</v>
      </c>
      <c r="E261" s="23" t="s">
        <v>201</v>
      </c>
      <c r="F261" s="23">
        <v>7</v>
      </c>
      <c r="G261" s="23">
        <v>8</v>
      </c>
      <c r="H261" s="23">
        <v>7</v>
      </c>
      <c r="I261" s="23">
        <v>5291</v>
      </c>
      <c r="J261" s="23">
        <v>7611</v>
      </c>
      <c r="K261" s="23">
        <v>1108</v>
      </c>
      <c r="L261" s="23" t="s">
        <v>221</v>
      </c>
      <c r="M261" s="23">
        <f t="shared" si="4"/>
        <v>657</v>
      </c>
      <c r="N261" s="24" t="str">
        <f t="array" ref="N261">INDEX('MATCH INFO'!O:O, INT((ROW()-2)/10)+2)</f>
        <v>260607_ZETA_CB_S3</v>
      </c>
    </row>
    <row r="262" spans="1:14">
      <c r="A262" s="23" t="s">
        <v>32</v>
      </c>
      <c r="B262" s="23" t="s">
        <v>150</v>
      </c>
      <c r="C262" s="23" t="s">
        <v>109</v>
      </c>
      <c r="D262" s="23" t="s">
        <v>22</v>
      </c>
      <c r="E262" s="23" t="s">
        <v>188</v>
      </c>
      <c r="F262" s="23">
        <v>14</v>
      </c>
      <c r="G262" s="23">
        <v>3</v>
      </c>
      <c r="H262" s="23">
        <v>18</v>
      </c>
      <c r="I262" s="23">
        <v>2794</v>
      </c>
      <c r="J262" s="23">
        <v>6919</v>
      </c>
      <c r="K262" s="23">
        <v>0</v>
      </c>
      <c r="L262" s="23" t="s">
        <v>222</v>
      </c>
      <c r="M262" s="23">
        <f t="shared" si="4"/>
        <v>538</v>
      </c>
      <c r="N262" s="24" t="str">
        <f t="array" ref="N262">INDEX('MATCH INFO'!O:O, INT((ROW()-2)/10)+2)</f>
        <v>260607_CR_PF_S1</v>
      </c>
    </row>
    <row r="263" spans="1:14">
      <c r="A263" s="23" t="s">
        <v>32</v>
      </c>
      <c r="B263" s="23" t="s">
        <v>147</v>
      </c>
      <c r="C263" s="23" t="s">
        <v>104</v>
      </c>
      <c r="D263" s="23" t="s">
        <v>22</v>
      </c>
      <c r="E263" s="23" t="s">
        <v>188</v>
      </c>
      <c r="F263" s="23">
        <v>18</v>
      </c>
      <c r="G263" s="23">
        <v>4</v>
      </c>
      <c r="H263" s="23">
        <v>3</v>
      </c>
      <c r="I263" s="23">
        <v>9048</v>
      </c>
      <c r="J263" s="23">
        <v>188</v>
      </c>
      <c r="K263" s="23">
        <v>668</v>
      </c>
      <c r="L263" s="23" t="s">
        <v>222</v>
      </c>
      <c r="M263" s="23">
        <f t="shared" si="4"/>
        <v>538</v>
      </c>
      <c r="N263" s="24" t="str">
        <f t="array" ref="N263">INDEX('MATCH INFO'!O:O, INT((ROW()-2)/10)+2)</f>
        <v>260607_CR_PF_S1</v>
      </c>
    </row>
    <row r="264" spans="1:14">
      <c r="A264" s="23" t="s">
        <v>32</v>
      </c>
      <c r="B264" s="23" t="s">
        <v>148</v>
      </c>
      <c r="C264" s="23" t="s">
        <v>104</v>
      </c>
      <c r="D264" s="23" t="s">
        <v>22</v>
      </c>
      <c r="E264" s="23" t="s">
        <v>188</v>
      </c>
      <c r="F264" s="23">
        <v>21</v>
      </c>
      <c r="G264" s="23">
        <v>4</v>
      </c>
      <c r="H264" s="23">
        <v>2</v>
      </c>
      <c r="I264" s="23">
        <v>10890</v>
      </c>
      <c r="J264" s="23">
        <v>232</v>
      </c>
      <c r="K264" s="23">
        <v>170</v>
      </c>
      <c r="L264" s="23" t="s">
        <v>222</v>
      </c>
      <c r="M264" s="23">
        <f t="shared" si="4"/>
        <v>538</v>
      </c>
      <c r="N264" s="24" t="str">
        <f t="array" ref="N264">INDEX('MATCH INFO'!O:O, INT((ROW()-2)/10)+2)</f>
        <v>260607_CR_PF_S1</v>
      </c>
    </row>
    <row r="265" spans="1:14">
      <c r="A265" s="23" t="s">
        <v>32</v>
      </c>
      <c r="B265" s="23" t="s">
        <v>146</v>
      </c>
      <c r="C265" s="23" t="s">
        <v>101</v>
      </c>
      <c r="D265" s="23" t="s">
        <v>22</v>
      </c>
      <c r="E265" s="23" t="s">
        <v>188</v>
      </c>
      <c r="F265" s="23">
        <v>14</v>
      </c>
      <c r="G265" s="23">
        <v>1</v>
      </c>
      <c r="H265" s="23">
        <v>4</v>
      </c>
      <c r="I265" s="23">
        <v>5519</v>
      </c>
      <c r="J265" s="23">
        <v>1013</v>
      </c>
      <c r="K265" s="23">
        <v>8298</v>
      </c>
      <c r="L265" s="23" t="s">
        <v>222</v>
      </c>
      <c r="M265" s="23">
        <f t="shared" si="4"/>
        <v>538</v>
      </c>
      <c r="N265" s="24" t="str">
        <f t="array" ref="N265">INDEX('MATCH INFO'!O:O, INT((ROW()-2)/10)+2)</f>
        <v>260607_CR_PF_S1</v>
      </c>
    </row>
    <row r="266" spans="1:14">
      <c r="A266" s="23" t="s">
        <v>32</v>
      </c>
      <c r="B266" s="23" t="s">
        <v>151</v>
      </c>
      <c r="C266" s="23" t="s">
        <v>109</v>
      </c>
      <c r="D266" s="23" t="s">
        <v>22</v>
      </c>
      <c r="E266" s="23" t="s">
        <v>188</v>
      </c>
      <c r="F266" s="23">
        <v>11</v>
      </c>
      <c r="G266" s="23">
        <v>7</v>
      </c>
      <c r="H266" s="23">
        <v>13</v>
      </c>
      <c r="I266" s="23">
        <v>4568</v>
      </c>
      <c r="J266" s="23">
        <v>4864</v>
      </c>
      <c r="K266" s="23">
        <v>223</v>
      </c>
      <c r="L266" s="23" t="s">
        <v>222</v>
      </c>
      <c r="M266" s="23">
        <f t="shared" si="4"/>
        <v>538</v>
      </c>
      <c r="N266" s="24" t="str">
        <f t="array" ref="N266">INDEX('MATCH INFO'!O:O, INT((ROW()-2)/10)+2)</f>
        <v>260607_CR_PF_S1</v>
      </c>
    </row>
    <row r="267" spans="1:14">
      <c r="A267" s="23" t="s">
        <v>50</v>
      </c>
      <c r="B267" s="23" t="s">
        <v>136</v>
      </c>
      <c r="C267" s="23" t="s">
        <v>109</v>
      </c>
      <c r="D267" s="23" t="s">
        <v>22</v>
      </c>
      <c r="E267" s="23" t="s">
        <v>188</v>
      </c>
      <c r="F267" s="23">
        <v>6</v>
      </c>
      <c r="G267" s="23">
        <v>4</v>
      </c>
      <c r="H267" s="23">
        <v>4</v>
      </c>
      <c r="I267" s="23">
        <v>2534</v>
      </c>
      <c r="J267" s="23">
        <v>8317</v>
      </c>
      <c r="K267" s="23">
        <v>0</v>
      </c>
      <c r="L267" s="23" t="s">
        <v>222</v>
      </c>
      <c r="M267" s="23">
        <f t="shared" si="4"/>
        <v>538</v>
      </c>
      <c r="N267" s="24" t="str">
        <f t="array" ref="N267">INDEX('MATCH INFO'!O:O, INT((ROW()-2)/10)+2)</f>
        <v>260607_CR_PF_S1</v>
      </c>
    </row>
    <row r="268" spans="1:14">
      <c r="A268" s="23" t="s">
        <v>50</v>
      </c>
      <c r="B268" s="23" t="s">
        <v>133</v>
      </c>
      <c r="C268" s="23" t="s">
        <v>104</v>
      </c>
      <c r="D268" s="23" t="s">
        <v>22</v>
      </c>
      <c r="E268" s="23" t="s">
        <v>188</v>
      </c>
      <c r="F268" s="23">
        <v>8</v>
      </c>
      <c r="G268" s="23">
        <v>8</v>
      </c>
      <c r="H268" s="23">
        <v>0</v>
      </c>
      <c r="I268" s="23">
        <v>4490</v>
      </c>
      <c r="J268" s="23">
        <v>224</v>
      </c>
      <c r="K268" s="23">
        <v>0</v>
      </c>
      <c r="L268" s="23" t="s">
        <v>222</v>
      </c>
      <c r="M268" s="23">
        <f t="shared" si="4"/>
        <v>538</v>
      </c>
      <c r="N268" s="24" t="str">
        <f t="array" ref="N268">INDEX('MATCH INFO'!O:O, INT((ROW()-2)/10)+2)</f>
        <v>260607_CR_PF_S1</v>
      </c>
    </row>
    <row r="269" spans="1:14">
      <c r="A269" s="23" t="s">
        <v>50</v>
      </c>
      <c r="B269" s="23" t="s">
        <v>131</v>
      </c>
      <c r="C269" s="23" t="s">
        <v>101</v>
      </c>
      <c r="D269" s="23" t="s">
        <v>22</v>
      </c>
      <c r="E269" s="23" t="s">
        <v>188</v>
      </c>
      <c r="F269" s="23">
        <v>7</v>
      </c>
      <c r="G269" s="23">
        <v>7</v>
      </c>
      <c r="H269" s="23">
        <v>2</v>
      </c>
      <c r="I269" s="23">
        <v>5533</v>
      </c>
      <c r="J269" s="23">
        <v>1123</v>
      </c>
      <c r="K269" s="23">
        <v>2883</v>
      </c>
      <c r="L269" s="23" t="s">
        <v>222</v>
      </c>
      <c r="M269" s="23">
        <f t="shared" si="4"/>
        <v>538</v>
      </c>
      <c r="N269" s="24" t="str">
        <f t="array" ref="N269">INDEX('MATCH INFO'!O:O, INT((ROW()-2)/10)+2)</f>
        <v>260607_CR_PF_S1</v>
      </c>
    </row>
    <row r="270" spans="1:14">
      <c r="A270" s="23" t="s">
        <v>50</v>
      </c>
      <c r="B270" s="23" t="s">
        <v>134</v>
      </c>
      <c r="C270" s="23" t="s">
        <v>104</v>
      </c>
      <c r="D270" s="23" t="s">
        <v>22</v>
      </c>
      <c r="E270" s="23" t="s">
        <v>188</v>
      </c>
      <c r="F270" s="23">
        <v>8</v>
      </c>
      <c r="G270" s="23">
        <v>8</v>
      </c>
      <c r="H270" s="23">
        <v>1</v>
      </c>
      <c r="I270" s="23">
        <v>8021</v>
      </c>
      <c r="J270" s="23">
        <v>272</v>
      </c>
      <c r="K270" s="23">
        <v>947</v>
      </c>
      <c r="L270" s="23" t="s">
        <v>222</v>
      </c>
      <c r="M270" s="23">
        <f t="shared" si="4"/>
        <v>538</v>
      </c>
      <c r="N270" s="24" t="str">
        <f t="array" ref="N270">INDEX('MATCH INFO'!O:O, INT((ROW()-2)/10)+2)</f>
        <v>260607_CR_PF_S1</v>
      </c>
    </row>
    <row r="271" spans="1:14">
      <c r="A271" s="23" t="s">
        <v>50</v>
      </c>
      <c r="B271" s="23" t="s">
        <v>135</v>
      </c>
      <c r="C271" s="23" t="s">
        <v>109</v>
      </c>
      <c r="D271" s="23" t="s">
        <v>22</v>
      </c>
      <c r="E271" s="23" t="s">
        <v>188</v>
      </c>
      <c r="F271" s="23">
        <v>9</v>
      </c>
      <c r="G271" s="23">
        <v>7</v>
      </c>
      <c r="H271" s="23">
        <v>5</v>
      </c>
      <c r="I271" s="23">
        <v>2122</v>
      </c>
      <c r="J271" s="23">
        <v>5691</v>
      </c>
      <c r="K271" s="23">
        <v>0</v>
      </c>
      <c r="L271" s="23" t="s">
        <v>222</v>
      </c>
      <c r="M271" s="23">
        <f t="shared" si="4"/>
        <v>538</v>
      </c>
      <c r="N271" s="24" t="str">
        <f t="array" ref="N271">INDEX('MATCH INFO'!O:O, INT((ROW()-2)/10)+2)</f>
        <v>260607_CR_PF_S1</v>
      </c>
    </row>
    <row r="272" spans="1:14">
      <c r="A272" s="23" t="s">
        <v>50</v>
      </c>
      <c r="B272" s="23" t="s">
        <v>136</v>
      </c>
      <c r="C272" s="23" t="s">
        <v>109</v>
      </c>
      <c r="D272" s="23" t="s">
        <v>25</v>
      </c>
      <c r="E272" s="23" t="s">
        <v>190</v>
      </c>
      <c r="F272" s="23">
        <v>3</v>
      </c>
      <c r="G272" s="23">
        <v>8</v>
      </c>
      <c r="H272" s="23">
        <v>18</v>
      </c>
      <c r="I272" s="23">
        <v>2681</v>
      </c>
      <c r="J272" s="23">
        <v>13855</v>
      </c>
      <c r="K272" s="23">
        <v>0</v>
      </c>
      <c r="L272" s="23" t="s">
        <v>223</v>
      </c>
      <c r="M272" s="23">
        <f t="shared" si="4"/>
        <v>630</v>
      </c>
      <c r="N272" s="24" t="str">
        <f t="array" ref="N272">INDEX('MATCH INFO'!O:O, INT((ROW()-2)/10)+2)</f>
        <v>260607_CR_PF_S2</v>
      </c>
    </row>
    <row r="273" spans="1:14">
      <c r="A273" s="23" t="s">
        <v>50</v>
      </c>
      <c r="B273" s="23" t="s">
        <v>133</v>
      </c>
      <c r="C273" s="23" t="s">
        <v>104</v>
      </c>
      <c r="D273" s="23" t="s">
        <v>25</v>
      </c>
      <c r="E273" s="23" t="s">
        <v>190</v>
      </c>
      <c r="F273" s="23">
        <v>8</v>
      </c>
      <c r="G273" s="23">
        <v>8</v>
      </c>
      <c r="H273" s="23">
        <v>2</v>
      </c>
      <c r="I273" s="23">
        <v>7845</v>
      </c>
      <c r="J273" s="23">
        <v>33</v>
      </c>
      <c r="K273" s="23">
        <v>1773</v>
      </c>
      <c r="L273" s="23" t="s">
        <v>223</v>
      </c>
      <c r="M273" s="23">
        <f t="shared" si="4"/>
        <v>630</v>
      </c>
      <c r="N273" s="24" t="str">
        <f t="array" ref="N273">INDEX('MATCH INFO'!O:O, INT((ROW()-2)/10)+2)</f>
        <v>260607_CR_PF_S2</v>
      </c>
    </row>
    <row r="274" spans="1:14">
      <c r="A274" s="23" t="s">
        <v>50</v>
      </c>
      <c r="B274" s="23" t="s">
        <v>131</v>
      </c>
      <c r="C274" s="23" t="s">
        <v>101</v>
      </c>
      <c r="D274" s="23" t="s">
        <v>25</v>
      </c>
      <c r="E274" s="23" t="s">
        <v>190</v>
      </c>
      <c r="F274" s="23">
        <v>9</v>
      </c>
      <c r="G274" s="23">
        <v>6</v>
      </c>
      <c r="H274" s="23">
        <v>2</v>
      </c>
      <c r="I274" s="23">
        <v>9591</v>
      </c>
      <c r="J274" s="23">
        <v>0</v>
      </c>
      <c r="K274" s="23">
        <v>18423</v>
      </c>
      <c r="L274" s="23" t="s">
        <v>223</v>
      </c>
      <c r="M274" s="23">
        <f t="shared" si="4"/>
        <v>630</v>
      </c>
      <c r="N274" s="24" t="str">
        <f t="array" ref="N274">INDEX('MATCH INFO'!O:O, INT((ROW()-2)/10)+2)</f>
        <v>260607_CR_PF_S2</v>
      </c>
    </row>
    <row r="275" spans="1:14">
      <c r="A275" s="23" t="s">
        <v>50</v>
      </c>
      <c r="B275" s="23" t="s">
        <v>134</v>
      </c>
      <c r="C275" s="23" t="s">
        <v>104</v>
      </c>
      <c r="D275" s="23" t="s">
        <v>25</v>
      </c>
      <c r="E275" s="23" t="s">
        <v>190</v>
      </c>
      <c r="F275" s="23">
        <v>15</v>
      </c>
      <c r="G275" s="23">
        <v>7</v>
      </c>
      <c r="H275" s="23">
        <v>0</v>
      </c>
      <c r="I275" s="23">
        <v>9979</v>
      </c>
      <c r="J275" s="23">
        <v>0</v>
      </c>
      <c r="K275" s="23">
        <v>0</v>
      </c>
      <c r="L275" s="23" t="s">
        <v>223</v>
      </c>
      <c r="M275" s="23">
        <f t="shared" si="4"/>
        <v>630</v>
      </c>
      <c r="N275" s="24" t="str">
        <f t="array" ref="N275">INDEX('MATCH INFO'!O:O, INT((ROW()-2)/10)+2)</f>
        <v>260607_CR_PF_S2</v>
      </c>
    </row>
    <row r="276" spans="1:14">
      <c r="A276" s="23" t="s">
        <v>50</v>
      </c>
      <c r="B276" s="23" t="s">
        <v>135</v>
      </c>
      <c r="C276" s="23" t="s">
        <v>109</v>
      </c>
      <c r="D276" s="23" t="s">
        <v>25</v>
      </c>
      <c r="E276" s="23" t="s">
        <v>190</v>
      </c>
      <c r="F276" s="23">
        <v>11</v>
      </c>
      <c r="G276" s="23">
        <v>6</v>
      </c>
      <c r="H276" s="23">
        <v>9</v>
      </c>
      <c r="I276" s="23">
        <v>3940</v>
      </c>
      <c r="J276" s="23">
        <v>6797</v>
      </c>
      <c r="K276" s="23">
        <v>1574</v>
      </c>
      <c r="L276" s="23" t="s">
        <v>223</v>
      </c>
      <c r="M276" s="23">
        <f t="shared" si="4"/>
        <v>630</v>
      </c>
      <c r="N276" s="24" t="str">
        <f t="array" ref="N276">INDEX('MATCH INFO'!O:O, INT((ROW()-2)/10)+2)</f>
        <v>260607_CR_PF_S2</v>
      </c>
    </row>
    <row r="277" spans="1:14">
      <c r="A277" s="23" t="s">
        <v>32</v>
      </c>
      <c r="B277" s="23" t="s">
        <v>150</v>
      </c>
      <c r="C277" s="23" t="s">
        <v>109</v>
      </c>
      <c r="D277" s="23" t="s">
        <v>25</v>
      </c>
      <c r="E277" s="23" t="s">
        <v>190</v>
      </c>
      <c r="F277" s="23">
        <v>12</v>
      </c>
      <c r="G277" s="23">
        <v>4</v>
      </c>
      <c r="H277" s="23">
        <v>15</v>
      </c>
      <c r="I277" s="23">
        <v>3941</v>
      </c>
      <c r="J277" s="23">
        <v>5220</v>
      </c>
      <c r="K277" s="23">
        <v>827</v>
      </c>
      <c r="L277" s="23" t="s">
        <v>223</v>
      </c>
      <c r="M277" s="23">
        <f t="shared" si="4"/>
        <v>630</v>
      </c>
      <c r="N277" s="24" t="str">
        <f t="array" ref="N277">INDEX('MATCH INFO'!O:O, INT((ROW()-2)/10)+2)</f>
        <v>260607_CR_PF_S2</v>
      </c>
    </row>
    <row r="278" spans="1:14">
      <c r="A278" s="23" t="s">
        <v>32</v>
      </c>
      <c r="B278" s="23" t="s">
        <v>147</v>
      </c>
      <c r="C278" s="23" t="s">
        <v>104</v>
      </c>
      <c r="D278" s="23" t="s">
        <v>25</v>
      </c>
      <c r="E278" s="23" t="s">
        <v>190</v>
      </c>
      <c r="F278" s="23">
        <v>22</v>
      </c>
      <c r="G278" s="23">
        <v>3</v>
      </c>
      <c r="H278" s="23">
        <v>8</v>
      </c>
      <c r="I278" s="23">
        <v>11970</v>
      </c>
      <c r="J278" s="23">
        <v>61</v>
      </c>
      <c r="K278" s="23">
        <v>0</v>
      </c>
      <c r="L278" s="23" t="s">
        <v>223</v>
      </c>
      <c r="M278" s="23">
        <f t="shared" si="4"/>
        <v>630</v>
      </c>
      <c r="N278" s="24" t="str">
        <f t="array" ref="N278">INDEX('MATCH INFO'!O:O, INT((ROW()-2)/10)+2)</f>
        <v>260607_CR_PF_S2</v>
      </c>
    </row>
    <row r="279" spans="1:14">
      <c r="A279" s="23" t="s">
        <v>32</v>
      </c>
      <c r="B279" s="23" t="s">
        <v>148</v>
      </c>
      <c r="C279" s="23" t="s">
        <v>104</v>
      </c>
      <c r="D279" s="23" t="s">
        <v>25</v>
      </c>
      <c r="E279" s="23" t="s">
        <v>190</v>
      </c>
      <c r="F279" s="23">
        <v>17</v>
      </c>
      <c r="G279" s="23">
        <v>7</v>
      </c>
      <c r="H279" s="23">
        <v>0</v>
      </c>
      <c r="I279" s="23">
        <v>9234</v>
      </c>
      <c r="J279" s="23">
        <v>0</v>
      </c>
      <c r="K279" s="23">
        <v>0</v>
      </c>
      <c r="L279" s="23" t="s">
        <v>223</v>
      </c>
      <c r="M279" s="23">
        <f t="shared" si="4"/>
        <v>630</v>
      </c>
      <c r="N279" s="24" t="str">
        <f t="array" ref="N279">INDEX('MATCH INFO'!O:O, INT((ROW()-2)/10)+2)</f>
        <v>260607_CR_PF_S2</v>
      </c>
    </row>
    <row r="280" spans="1:14">
      <c r="A280" s="23" t="s">
        <v>32</v>
      </c>
      <c r="B280" s="23" t="s">
        <v>146</v>
      </c>
      <c r="C280" s="23" t="s">
        <v>101</v>
      </c>
      <c r="D280" s="23" t="s">
        <v>25</v>
      </c>
      <c r="E280" s="23" t="s">
        <v>190</v>
      </c>
      <c r="F280" s="23">
        <v>22</v>
      </c>
      <c r="G280" s="23">
        <v>2</v>
      </c>
      <c r="H280" s="23">
        <v>6</v>
      </c>
      <c r="I280" s="23">
        <v>9845</v>
      </c>
      <c r="J280" s="23">
        <v>1615</v>
      </c>
      <c r="K280" s="23">
        <v>15866</v>
      </c>
      <c r="L280" s="23" t="s">
        <v>223</v>
      </c>
      <c r="M280" s="23">
        <f t="shared" si="4"/>
        <v>630</v>
      </c>
      <c r="N280" s="24" t="str">
        <f t="array" ref="N280">INDEX('MATCH INFO'!O:O, INT((ROW()-2)/10)+2)</f>
        <v>260607_CR_PF_S2</v>
      </c>
    </row>
    <row r="281" spans="1:14">
      <c r="A281" s="23" t="s">
        <v>32</v>
      </c>
      <c r="B281" s="23" t="s">
        <v>151</v>
      </c>
      <c r="C281" s="23" t="s">
        <v>109</v>
      </c>
      <c r="D281" s="23" t="s">
        <v>25</v>
      </c>
      <c r="E281" s="23" t="s">
        <v>190</v>
      </c>
      <c r="F281" s="23">
        <v>7</v>
      </c>
      <c r="G281" s="23">
        <v>4</v>
      </c>
      <c r="H281" s="23">
        <v>20</v>
      </c>
      <c r="I281" s="23">
        <v>4298</v>
      </c>
      <c r="J281" s="23">
        <v>11702</v>
      </c>
      <c r="K281" s="23">
        <v>0</v>
      </c>
      <c r="L281" s="23" t="s">
        <v>223</v>
      </c>
      <c r="M281" s="23">
        <f t="shared" si="4"/>
        <v>630</v>
      </c>
      <c r="N281" s="24" t="str">
        <f t="array" ref="N281">INDEX('MATCH INFO'!O:O, INT((ROW()-2)/10)+2)</f>
        <v>260607_CR_PF_S2</v>
      </c>
    </row>
    <row r="282" spans="1:14">
      <c r="A282" s="23" t="s">
        <v>50</v>
      </c>
      <c r="B282" s="23" t="s">
        <v>136</v>
      </c>
      <c r="C282" s="23" t="s">
        <v>109</v>
      </c>
      <c r="D282" s="23" t="s">
        <v>28</v>
      </c>
      <c r="E282" s="23" t="s">
        <v>192</v>
      </c>
      <c r="F282" s="23">
        <v>4</v>
      </c>
      <c r="G282" s="23">
        <v>10</v>
      </c>
      <c r="H282" s="23">
        <v>9</v>
      </c>
      <c r="I282" s="23">
        <v>3409</v>
      </c>
      <c r="J282" s="23">
        <v>5516</v>
      </c>
      <c r="K282" s="23">
        <v>0</v>
      </c>
      <c r="L282" s="23" t="s">
        <v>224</v>
      </c>
      <c r="M282" s="23">
        <f t="shared" si="4"/>
        <v>631</v>
      </c>
      <c r="N282" s="24" t="str">
        <f t="array" ref="N282">INDEX('MATCH INFO'!O:O, INT((ROW()-2)/10)+2)</f>
        <v>260607_CR_PF_S3</v>
      </c>
    </row>
    <row r="283" spans="1:14">
      <c r="A283" s="23" t="s">
        <v>50</v>
      </c>
      <c r="B283" s="23" t="s">
        <v>133</v>
      </c>
      <c r="C283" s="23" t="s">
        <v>104</v>
      </c>
      <c r="D283" s="23" t="s">
        <v>28</v>
      </c>
      <c r="E283" s="23" t="s">
        <v>192</v>
      </c>
      <c r="F283" s="23">
        <v>10</v>
      </c>
      <c r="G283" s="23">
        <v>9</v>
      </c>
      <c r="H283" s="23">
        <v>0</v>
      </c>
      <c r="I283" s="23">
        <v>5429</v>
      </c>
      <c r="J283" s="23">
        <v>8</v>
      </c>
      <c r="K283" s="23">
        <v>0</v>
      </c>
      <c r="L283" s="23" t="s">
        <v>224</v>
      </c>
      <c r="M283" s="23">
        <f t="shared" si="4"/>
        <v>631</v>
      </c>
      <c r="N283" s="24" t="str">
        <f t="array" ref="N283">INDEX('MATCH INFO'!O:O, INT((ROW()-2)/10)+2)</f>
        <v>260607_CR_PF_S3</v>
      </c>
    </row>
    <row r="284" spans="1:14">
      <c r="A284" s="23" t="s">
        <v>50</v>
      </c>
      <c r="B284" s="23" t="s">
        <v>131</v>
      </c>
      <c r="C284" s="23" t="s">
        <v>101</v>
      </c>
      <c r="D284" s="23" t="s">
        <v>28</v>
      </c>
      <c r="E284" s="23" t="s">
        <v>192</v>
      </c>
      <c r="F284" s="23">
        <v>10</v>
      </c>
      <c r="G284" s="23">
        <v>6</v>
      </c>
      <c r="H284" s="23">
        <v>0</v>
      </c>
      <c r="I284" s="23">
        <v>7194</v>
      </c>
      <c r="J284" s="23">
        <v>1773</v>
      </c>
      <c r="K284" s="23">
        <v>4843</v>
      </c>
      <c r="L284" s="23" t="s">
        <v>224</v>
      </c>
      <c r="M284" s="23">
        <f t="shared" si="4"/>
        <v>631</v>
      </c>
      <c r="N284" s="24" t="str">
        <f t="array" ref="N284">INDEX('MATCH INFO'!O:O, INT((ROW()-2)/10)+2)</f>
        <v>260607_CR_PF_S3</v>
      </c>
    </row>
    <row r="285" spans="1:14">
      <c r="A285" s="23" t="s">
        <v>50</v>
      </c>
      <c r="B285" s="23" t="s">
        <v>134</v>
      </c>
      <c r="C285" s="23" t="s">
        <v>104</v>
      </c>
      <c r="D285" s="23" t="s">
        <v>28</v>
      </c>
      <c r="E285" s="23" t="s">
        <v>192</v>
      </c>
      <c r="F285" s="23">
        <v>14</v>
      </c>
      <c r="G285" s="23">
        <v>10</v>
      </c>
      <c r="H285" s="23">
        <v>0</v>
      </c>
      <c r="I285" s="23">
        <v>12076</v>
      </c>
      <c r="J285" s="23">
        <v>0</v>
      </c>
      <c r="K285" s="23">
        <v>317</v>
      </c>
      <c r="L285" s="23" t="s">
        <v>224</v>
      </c>
      <c r="M285" s="23">
        <f t="shared" si="4"/>
        <v>631</v>
      </c>
      <c r="N285" s="24" t="str">
        <f t="array" ref="N285">INDEX('MATCH INFO'!O:O, INT((ROW()-2)/10)+2)</f>
        <v>260607_CR_PF_S3</v>
      </c>
    </row>
    <row r="286" spans="1:14">
      <c r="A286" s="23" t="s">
        <v>50</v>
      </c>
      <c r="B286" s="23" t="s">
        <v>135</v>
      </c>
      <c r="C286" s="23" t="s">
        <v>109</v>
      </c>
      <c r="D286" s="23" t="s">
        <v>28</v>
      </c>
      <c r="E286" s="23" t="s">
        <v>192</v>
      </c>
      <c r="F286" s="23">
        <v>4</v>
      </c>
      <c r="G286" s="23">
        <v>9</v>
      </c>
      <c r="H286" s="23">
        <v>13</v>
      </c>
      <c r="I286" s="23">
        <v>3318</v>
      </c>
      <c r="J286" s="23">
        <v>6761</v>
      </c>
      <c r="K286" s="23">
        <v>4674</v>
      </c>
      <c r="L286" s="23" t="s">
        <v>224</v>
      </c>
      <c r="M286" s="23">
        <f t="shared" si="4"/>
        <v>631</v>
      </c>
      <c r="N286" s="24" t="str">
        <f t="array" ref="N286">INDEX('MATCH INFO'!O:O, INT((ROW()-2)/10)+2)</f>
        <v>260607_CR_PF_S3</v>
      </c>
    </row>
    <row r="287" spans="1:14">
      <c r="A287" s="23" t="s">
        <v>32</v>
      </c>
      <c r="B287" s="23" t="s">
        <v>150</v>
      </c>
      <c r="C287" s="23" t="s">
        <v>109</v>
      </c>
      <c r="D287" s="23" t="s">
        <v>28</v>
      </c>
      <c r="E287" s="23" t="s">
        <v>192</v>
      </c>
      <c r="F287" s="23">
        <v>16</v>
      </c>
      <c r="G287" s="23">
        <v>2</v>
      </c>
      <c r="H287" s="23">
        <v>19</v>
      </c>
      <c r="I287" s="23">
        <v>2685</v>
      </c>
      <c r="J287" s="23">
        <v>6585</v>
      </c>
      <c r="K287" s="23">
        <v>0</v>
      </c>
      <c r="L287" s="23" t="s">
        <v>224</v>
      </c>
      <c r="M287" s="23">
        <f t="shared" si="4"/>
        <v>631</v>
      </c>
      <c r="N287" s="24" t="str">
        <f t="array" ref="N287">INDEX('MATCH INFO'!O:O, INT((ROW()-2)/10)+2)</f>
        <v>260607_CR_PF_S3</v>
      </c>
    </row>
    <row r="288" spans="1:14">
      <c r="A288" s="23" t="s">
        <v>32</v>
      </c>
      <c r="B288" s="23" t="s">
        <v>145</v>
      </c>
      <c r="C288" s="23" t="s">
        <v>101</v>
      </c>
      <c r="D288" s="23" t="s">
        <v>28</v>
      </c>
      <c r="E288" s="23" t="s">
        <v>192</v>
      </c>
      <c r="F288" s="23">
        <v>29</v>
      </c>
      <c r="G288" s="23">
        <v>2</v>
      </c>
      <c r="H288" s="23">
        <v>2</v>
      </c>
      <c r="I288" s="23">
        <v>8705</v>
      </c>
      <c r="J288" s="23">
        <v>2490</v>
      </c>
      <c r="K288" s="23">
        <v>4864</v>
      </c>
      <c r="L288" s="23" t="s">
        <v>224</v>
      </c>
      <c r="M288" s="23">
        <f t="shared" si="4"/>
        <v>631</v>
      </c>
      <c r="N288" s="24" t="str">
        <f t="array" ref="N288">INDEX('MATCH INFO'!O:O, INT((ROW()-2)/10)+2)</f>
        <v>260607_CR_PF_S3</v>
      </c>
    </row>
    <row r="289" spans="1:14">
      <c r="A289" s="23" t="s">
        <v>32</v>
      </c>
      <c r="B289" s="23" t="s">
        <v>148</v>
      </c>
      <c r="C289" s="23" t="s">
        <v>104</v>
      </c>
      <c r="D289" s="23" t="s">
        <v>28</v>
      </c>
      <c r="E289" s="23" t="s">
        <v>192</v>
      </c>
      <c r="F289" s="23">
        <v>25</v>
      </c>
      <c r="G289" s="23">
        <v>6</v>
      </c>
      <c r="H289" s="23">
        <v>10</v>
      </c>
      <c r="I289" s="23">
        <v>8840</v>
      </c>
      <c r="J289" s="23">
        <v>428</v>
      </c>
      <c r="K289" s="23">
        <v>0</v>
      </c>
      <c r="L289" s="23" t="s">
        <v>224</v>
      </c>
      <c r="M289" s="23">
        <f t="shared" si="4"/>
        <v>631</v>
      </c>
      <c r="N289" s="24" t="str">
        <f t="array" ref="N289">INDEX('MATCH INFO'!O:O, INT((ROW()-2)/10)+2)</f>
        <v>260607_CR_PF_S3</v>
      </c>
    </row>
    <row r="290" spans="1:14">
      <c r="A290" s="23" t="s">
        <v>32</v>
      </c>
      <c r="B290" s="23" t="s">
        <v>149</v>
      </c>
      <c r="C290" s="23" t="s">
        <v>104</v>
      </c>
      <c r="D290" s="23" t="s">
        <v>28</v>
      </c>
      <c r="E290" s="23" t="s">
        <v>192</v>
      </c>
      <c r="F290" s="23">
        <v>27</v>
      </c>
      <c r="G290" s="23">
        <v>3</v>
      </c>
      <c r="H290" s="23">
        <v>0</v>
      </c>
      <c r="I290" s="23">
        <v>8596</v>
      </c>
      <c r="J290" s="23">
        <v>0</v>
      </c>
      <c r="K290" s="23">
        <v>0</v>
      </c>
      <c r="L290" s="23" t="s">
        <v>224</v>
      </c>
      <c r="M290" s="23">
        <f t="shared" si="4"/>
        <v>631</v>
      </c>
      <c r="N290" s="24" t="str">
        <f t="array" ref="N290">INDEX('MATCH INFO'!O:O, INT((ROW()-2)/10)+2)</f>
        <v>260607_CR_PF_S3</v>
      </c>
    </row>
    <row r="291" spans="1:14">
      <c r="A291" s="23" t="s">
        <v>32</v>
      </c>
      <c r="B291" s="23" t="s">
        <v>151</v>
      </c>
      <c r="C291" s="23" t="s">
        <v>109</v>
      </c>
      <c r="D291" s="23" t="s">
        <v>28</v>
      </c>
      <c r="E291" s="23" t="s">
        <v>192</v>
      </c>
      <c r="F291" s="23">
        <v>20</v>
      </c>
      <c r="G291" s="23">
        <v>5</v>
      </c>
      <c r="H291" s="23">
        <v>17</v>
      </c>
      <c r="I291" s="23">
        <v>9535</v>
      </c>
      <c r="J291" s="23">
        <v>2481</v>
      </c>
      <c r="K291" s="23">
        <v>593</v>
      </c>
      <c r="L291" s="23" t="s">
        <v>224</v>
      </c>
      <c r="M291" s="23">
        <f t="shared" si="4"/>
        <v>631</v>
      </c>
      <c r="N291" s="24" t="str">
        <f t="array" ref="N291">INDEX('MATCH INFO'!O:O, INT((ROW()-2)/10)+2)</f>
        <v>260607_CR_PF_S3</v>
      </c>
    </row>
  </sheetData>
  <phoneticPr fontId="8" type="noConversion"/>
  <conditionalFormatting sqref="A2:N291">
    <cfRule type="expression" dxfId="11" priority="1">
      <formula>MOD(ROW()-1, 10)=0</formula>
    </cfRule>
    <cfRule type="expression" dxfId="10" priority="2">
      <formula>MOD(INT((ROW()-2)/10), 2)=1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1"/>
  <sheetViews>
    <sheetView tabSelected="1" topLeftCell="A136" workbookViewId="0">
      <selection activeCell="B155" sqref="B155"/>
    </sheetView>
  </sheetViews>
  <sheetFormatPr baseColWidth="10" defaultRowHeight="18"/>
  <cols>
    <col min="2" max="2" width="13" style="3" customWidth="1"/>
    <col min="3" max="3" width="8.7109375" style="3" customWidth="1"/>
    <col min="4" max="4" width="15.28515625" style="3" customWidth="1"/>
    <col min="5" max="12" width="8.7109375" style="3" customWidth="1"/>
    <col min="13" max="13" width="16.7109375" style="3" customWidth="1"/>
    <col min="14" max="14" width="17.42578125" style="3" customWidth="1"/>
  </cols>
  <sheetData>
    <row r="1" spans="1:14">
      <c r="A1" s="4" t="s">
        <v>175</v>
      </c>
      <c r="B1" s="4" t="s">
        <v>176</v>
      </c>
      <c r="C1" s="4" t="s">
        <v>177</v>
      </c>
      <c r="D1" s="4" t="s">
        <v>178</v>
      </c>
      <c r="E1" s="4" t="s">
        <v>179</v>
      </c>
      <c r="F1" s="4" t="s">
        <v>180</v>
      </c>
      <c r="G1" s="4" t="s">
        <v>181</v>
      </c>
      <c r="H1" s="4" t="s">
        <v>182</v>
      </c>
      <c r="I1" s="4" t="s">
        <v>183</v>
      </c>
      <c r="J1" s="4" t="s">
        <v>184</v>
      </c>
      <c r="K1" s="4" t="s">
        <v>185</v>
      </c>
      <c r="L1" s="4" t="s">
        <v>186</v>
      </c>
      <c r="M1" s="4" t="s">
        <v>187</v>
      </c>
      <c r="N1" s="7" t="s">
        <v>14</v>
      </c>
    </row>
    <row r="2" spans="1:14">
      <c r="A2" s="23" t="s">
        <v>51</v>
      </c>
      <c r="B2" s="23" t="s">
        <v>126</v>
      </c>
      <c r="C2" s="23" t="s">
        <v>104</v>
      </c>
      <c r="D2" s="23" t="s">
        <v>22</v>
      </c>
      <c r="E2" s="23" t="s">
        <v>188</v>
      </c>
      <c r="F2" s="23">
        <v>13</v>
      </c>
      <c r="G2" s="23">
        <v>1</v>
      </c>
      <c r="H2" s="23">
        <v>0</v>
      </c>
      <c r="I2" s="23">
        <v>6715</v>
      </c>
      <c r="J2" s="23">
        <v>958</v>
      </c>
      <c r="K2" s="23">
        <v>0</v>
      </c>
      <c r="L2" s="23" t="s">
        <v>225</v>
      </c>
      <c r="M2" s="23">
        <f t="shared" ref="M2:M65" si="0">L2*86400</f>
        <v>425.99999999999994</v>
      </c>
      <c r="N2" s="24" t="str">
        <f t="array" ref="N2">INDEX('MATCH INFO'!O:O, INT((ROW()-2)/10)+2 + 29)</f>
        <v>260612_CB_SB_S1</v>
      </c>
    </row>
    <row r="3" spans="1:14">
      <c r="A3" s="23" t="s">
        <v>51</v>
      </c>
      <c r="B3" s="23" t="s">
        <v>124</v>
      </c>
      <c r="C3" s="23" t="s">
        <v>101</v>
      </c>
      <c r="D3" s="23" t="s">
        <v>22</v>
      </c>
      <c r="E3" s="23" t="s">
        <v>188</v>
      </c>
      <c r="F3" s="23">
        <v>15</v>
      </c>
      <c r="G3" s="23">
        <v>2</v>
      </c>
      <c r="H3" s="23">
        <v>3</v>
      </c>
      <c r="I3" s="23">
        <v>5418</v>
      </c>
      <c r="J3" s="23">
        <v>3101</v>
      </c>
      <c r="K3" s="23">
        <v>2770</v>
      </c>
      <c r="L3" s="23" t="s">
        <v>225</v>
      </c>
      <c r="M3" s="23">
        <f t="shared" si="0"/>
        <v>425.99999999999994</v>
      </c>
      <c r="N3" s="24" t="str">
        <f t="array" ref="N3">INDEX('MATCH INFO'!O:O, INT((ROW()-2)/10)+2 + 29)</f>
        <v>260612_CB_SB_S1</v>
      </c>
    </row>
    <row r="4" spans="1:14">
      <c r="A4" s="23" t="s">
        <v>51</v>
      </c>
      <c r="B4" s="23" t="s">
        <v>127</v>
      </c>
      <c r="C4" s="23" t="s">
        <v>104</v>
      </c>
      <c r="D4" s="23" t="s">
        <v>22</v>
      </c>
      <c r="E4" s="23" t="s">
        <v>188</v>
      </c>
      <c r="F4" s="23">
        <v>10</v>
      </c>
      <c r="G4" s="23">
        <v>2</v>
      </c>
      <c r="H4" s="23">
        <v>0</v>
      </c>
      <c r="I4" s="23">
        <v>6539</v>
      </c>
      <c r="J4" s="23">
        <v>258</v>
      </c>
      <c r="K4" s="23">
        <v>313</v>
      </c>
      <c r="L4" s="23" t="s">
        <v>225</v>
      </c>
      <c r="M4" s="23">
        <f t="shared" si="0"/>
        <v>425.99999999999994</v>
      </c>
      <c r="N4" s="24" t="str">
        <f t="array" ref="N4">INDEX('MATCH INFO'!O:O, INT((ROW()-2)/10)+2 + 29)</f>
        <v>260612_CB_SB_S1</v>
      </c>
    </row>
    <row r="5" spans="1:14">
      <c r="A5" s="23" t="s">
        <v>51</v>
      </c>
      <c r="B5" s="23" t="s">
        <v>128</v>
      </c>
      <c r="C5" s="23" t="s">
        <v>109</v>
      </c>
      <c r="D5" s="23" t="s">
        <v>22</v>
      </c>
      <c r="E5" s="23" t="s">
        <v>188</v>
      </c>
      <c r="F5" s="23">
        <v>6</v>
      </c>
      <c r="G5" s="23">
        <v>3</v>
      </c>
      <c r="H5" s="23">
        <v>6</v>
      </c>
      <c r="I5" s="23">
        <v>2534</v>
      </c>
      <c r="J5" s="23">
        <v>5358</v>
      </c>
      <c r="K5" s="23">
        <v>1327</v>
      </c>
      <c r="L5" s="23" t="s">
        <v>225</v>
      </c>
      <c r="M5" s="23">
        <f t="shared" si="0"/>
        <v>425.99999999999994</v>
      </c>
      <c r="N5" s="24" t="str">
        <f t="array" ref="N5">INDEX('MATCH INFO'!O:O, INT((ROW()-2)/10)+2 + 29)</f>
        <v>260612_CB_SB_S1</v>
      </c>
    </row>
    <row r="6" spans="1:14">
      <c r="A6" s="23" t="s">
        <v>51</v>
      </c>
      <c r="B6" s="23" t="s">
        <v>129</v>
      </c>
      <c r="C6" s="23" t="s">
        <v>109</v>
      </c>
      <c r="D6" s="23" t="s">
        <v>22</v>
      </c>
      <c r="E6" s="23" t="s">
        <v>188</v>
      </c>
      <c r="F6" s="23">
        <v>5</v>
      </c>
      <c r="G6" s="23">
        <v>0</v>
      </c>
      <c r="H6" s="23">
        <v>8</v>
      </c>
      <c r="I6" s="23">
        <v>4607</v>
      </c>
      <c r="J6" s="23">
        <v>6392</v>
      </c>
      <c r="K6" s="23">
        <v>0</v>
      </c>
      <c r="L6" s="23" t="s">
        <v>225</v>
      </c>
      <c r="M6" s="23">
        <f t="shared" si="0"/>
        <v>425.99999999999994</v>
      </c>
      <c r="N6" s="24" t="str">
        <f t="array" ref="N6">INDEX('MATCH INFO'!O:O, INT((ROW()-2)/10)+2 + 29)</f>
        <v>260612_CB_SB_S1</v>
      </c>
    </row>
    <row r="7" spans="1:14">
      <c r="A7" s="23" t="s">
        <v>53</v>
      </c>
      <c r="B7" s="23" t="s">
        <v>170</v>
      </c>
      <c r="C7" s="23" t="s">
        <v>104</v>
      </c>
      <c r="D7" s="23" t="s">
        <v>22</v>
      </c>
      <c r="E7" s="23" t="s">
        <v>188</v>
      </c>
      <c r="F7" s="23">
        <v>6</v>
      </c>
      <c r="G7" s="23">
        <v>5</v>
      </c>
      <c r="H7" s="23">
        <v>0</v>
      </c>
      <c r="I7" s="23">
        <v>6072</v>
      </c>
      <c r="J7" s="23">
        <v>133</v>
      </c>
      <c r="K7" s="23">
        <v>0</v>
      </c>
      <c r="L7" s="23" t="s">
        <v>225</v>
      </c>
      <c r="M7" s="23">
        <f t="shared" si="0"/>
        <v>425.99999999999994</v>
      </c>
      <c r="N7" s="24" t="str">
        <f t="array" ref="N7">INDEX('MATCH INFO'!O:O, INT((ROW()-2)/10)+2 + 29)</f>
        <v>260612_CB_SB_S1</v>
      </c>
    </row>
    <row r="8" spans="1:14">
      <c r="A8" s="23" t="s">
        <v>53</v>
      </c>
      <c r="B8" s="23" t="s">
        <v>173</v>
      </c>
      <c r="C8" s="23" t="s">
        <v>109</v>
      </c>
      <c r="D8" s="23" t="s">
        <v>22</v>
      </c>
      <c r="E8" s="23" t="s">
        <v>188</v>
      </c>
      <c r="F8" s="23">
        <v>3</v>
      </c>
      <c r="G8" s="23">
        <v>2</v>
      </c>
      <c r="H8" s="23">
        <v>6</v>
      </c>
      <c r="I8" s="23">
        <v>5033</v>
      </c>
      <c r="J8" s="23">
        <v>4993</v>
      </c>
      <c r="K8" s="23">
        <v>1279</v>
      </c>
      <c r="L8" s="23" t="s">
        <v>225</v>
      </c>
      <c r="M8" s="23">
        <f t="shared" si="0"/>
        <v>425.99999999999994</v>
      </c>
      <c r="N8" s="24" t="str">
        <f t="array" ref="N8">INDEX('MATCH INFO'!O:O, INT((ROW()-2)/10)+2 + 29)</f>
        <v>260612_CB_SB_S1</v>
      </c>
    </row>
    <row r="9" spans="1:14">
      <c r="A9" s="23" t="s">
        <v>53</v>
      </c>
      <c r="B9" s="23" t="s">
        <v>168</v>
      </c>
      <c r="C9" s="23" t="s">
        <v>101</v>
      </c>
      <c r="D9" s="23" t="s">
        <v>22</v>
      </c>
      <c r="E9" s="23" t="s">
        <v>188</v>
      </c>
      <c r="F9" s="23">
        <v>3</v>
      </c>
      <c r="G9" s="23">
        <v>3</v>
      </c>
      <c r="H9" s="23">
        <v>1</v>
      </c>
      <c r="I9" s="23">
        <v>4170</v>
      </c>
      <c r="J9" s="23">
        <v>1321</v>
      </c>
      <c r="K9" s="23">
        <v>3035</v>
      </c>
      <c r="L9" s="23" t="s">
        <v>225</v>
      </c>
      <c r="M9" s="23">
        <f t="shared" si="0"/>
        <v>425.99999999999994</v>
      </c>
      <c r="N9" s="24" t="str">
        <f t="array" ref="N9">INDEX('MATCH INFO'!O:O, INT((ROW()-2)/10)+2 + 29)</f>
        <v>260612_CB_SB_S1</v>
      </c>
    </row>
    <row r="10" spans="1:14">
      <c r="A10" s="23" t="s">
        <v>53</v>
      </c>
      <c r="B10" s="23" t="s">
        <v>171</v>
      </c>
      <c r="C10" s="23" t="s">
        <v>104</v>
      </c>
      <c r="D10" s="23" t="s">
        <v>22</v>
      </c>
      <c r="E10" s="23" t="s">
        <v>188</v>
      </c>
      <c r="F10" s="23">
        <v>3</v>
      </c>
      <c r="G10" s="23">
        <v>7</v>
      </c>
      <c r="H10" s="23">
        <v>0</v>
      </c>
      <c r="I10" s="23">
        <v>5562</v>
      </c>
      <c r="J10" s="23">
        <v>0</v>
      </c>
      <c r="K10" s="23">
        <v>86</v>
      </c>
      <c r="L10" s="23" t="s">
        <v>225</v>
      </c>
      <c r="M10" s="23">
        <f t="shared" si="0"/>
        <v>425.99999999999994</v>
      </c>
      <c r="N10" s="24" t="str">
        <f t="array" ref="N10">INDEX('MATCH INFO'!O:O, INT((ROW()-2)/10)+2 + 29)</f>
        <v>260612_CB_SB_S1</v>
      </c>
    </row>
    <row r="11" spans="1:14">
      <c r="A11" s="23" t="s">
        <v>53</v>
      </c>
      <c r="B11" s="23" t="s">
        <v>174</v>
      </c>
      <c r="C11" s="23" t="s">
        <v>109</v>
      </c>
      <c r="D11" s="23" t="s">
        <v>22</v>
      </c>
      <c r="E11" s="23" t="s">
        <v>188</v>
      </c>
      <c r="F11" s="23">
        <v>4</v>
      </c>
      <c r="G11" s="23">
        <v>5</v>
      </c>
      <c r="H11" s="23">
        <v>4</v>
      </c>
      <c r="I11" s="23">
        <v>4764</v>
      </c>
      <c r="J11" s="23">
        <v>4943</v>
      </c>
      <c r="K11" s="23">
        <v>0</v>
      </c>
      <c r="L11" s="23" t="s">
        <v>225</v>
      </c>
      <c r="M11" s="23">
        <f t="shared" si="0"/>
        <v>425.99999999999994</v>
      </c>
      <c r="N11" s="24" t="str">
        <f t="array" ref="N11">INDEX('MATCH INFO'!O:O, INT((ROW()-2)/10)+2 + 29)</f>
        <v>260612_CB_SB_S1</v>
      </c>
    </row>
    <row r="12" spans="1:14">
      <c r="A12" s="23" t="s">
        <v>53</v>
      </c>
      <c r="B12" s="23" t="s">
        <v>173</v>
      </c>
      <c r="C12" s="23" t="s">
        <v>109</v>
      </c>
      <c r="D12" s="23" t="s">
        <v>44</v>
      </c>
      <c r="E12" s="23" t="s">
        <v>190</v>
      </c>
      <c r="F12" s="23">
        <v>9</v>
      </c>
      <c r="G12" s="23">
        <v>6</v>
      </c>
      <c r="H12" s="23">
        <v>13</v>
      </c>
      <c r="I12" s="23">
        <v>3278</v>
      </c>
      <c r="J12" s="23">
        <v>9861</v>
      </c>
      <c r="K12" s="23">
        <v>1274</v>
      </c>
      <c r="L12" s="23" t="s">
        <v>226</v>
      </c>
      <c r="M12" s="23">
        <f t="shared" si="0"/>
        <v>739.00000000000011</v>
      </c>
      <c r="N12" s="24" t="str">
        <f t="array" ref="N12">INDEX('MATCH INFO'!O:O, INT((ROW()-2)/10)+2 + 29)</f>
        <v>260612_CB_SB_S2</v>
      </c>
    </row>
    <row r="13" spans="1:14">
      <c r="A13" s="23" t="s">
        <v>53</v>
      </c>
      <c r="B13" s="23" t="s">
        <v>169</v>
      </c>
      <c r="C13" s="23" t="s">
        <v>101</v>
      </c>
      <c r="D13" s="23" t="s">
        <v>44</v>
      </c>
      <c r="E13" s="23" t="s">
        <v>190</v>
      </c>
      <c r="F13" s="23">
        <v>15</v>
      </c>
      <c r="G13" s="23">
        <v>5</v>
      </c>
      <c r="H13" s="23">
        <v>7</v>
      </c>
      <c r="I13" s="23">
        <v>11067</v>
      </c>
      <c r="J13" s="23">
        <v>0</v>
      </c>
      <c r="K13" s="23">
        <v>19977</v>
      </c>
      <c r="L13" s="23" t="s">
        <v>226</v>
      </c>
      <c r="M13" s="23">
        <f t="shared" si="0"/>
        <v>739.00000000000011</v>
      </c>
      <c r="N13" s="24" t="str">
        <f t="array" ref="N13">INDEX('MATCH INFO'!O:O, INT((ROW()-2)/10)+2 + 29)</f>
        <v>260612_CB_SB_S2</v>
      </c>
    </row>
    <row r="14" spans="1:14">
      <c r="A14" s="23" t="s">
        <v>53</v>
      </c>
      <c r="B14" s="23" t="s">
        <v>172</v>
      </c>
      <c r="C14" s="23" t="s">
        <v>109</v>
      </c>
      <c r="D14" s="23" t="s">
        <v>44</v>
      </c>
      <c r="E14" s="23" t="s">
        <v>190</v>
      </c>
      <c r="F14" s="23">
        <v>20</v>
      </c>
      <c r="G14" s="23">
        <v>6</v>
      </c>
      <c r="H14" s="23">
        <v>5</v>
      </c>
      <c r="I14" s="23">
        <v>10368</v>
      </c>
      <c r="J14" s="23">
        <v>1471</v>
      </c>
      <c r="K14" s="23">
        <v>9889</v>
      </c>
      <c r="L14" s="23" t="s">
        <v>226</v>
      </c>
      <c r="M14" s="23">
        <f t="shared" si="0"/>
        <v>739.00000000000011</v>
      </c>
      <c r="N14" s="24" t="str">
        <f t="array" ref="N14">INDEX('MATCH INFO'!O:O, INT((ROW()-2)/10)+2 + 29)</f>
        <v>260612_CB_SB_S2</v>
      </c>
    </row>
    <row r="15" spans="1:14">
      <c r="A15" s="23" t="s">
        <v>53</v>
      </c>
      <c r="B15" s="23" t="s">
        <v>171</v>
      </c>
      <c r="C15" s="23" t="s">
        <v>104</v>
      </c>
      <c r="D15" s="23" t="s">
        <v>44</v>
      </c>
      <c r="E15" s="23" t="s">
        <v>190</v>
      </c>
      <c r="F15" s="23">
        <v>22</v>
      </c>
      <c r="G15" s="23">
        <v>6</v>
      </c>
      <c r="H15" s="23">
        <v>0</v>
      </c>
      <c r="I15" s="23">
        <v>12335</v>
      </c>
      <c r="J15" s="23">
        <v>0</v>
      </c>
      <c r="K15" s="23">
        <v>0</v>
      </c>
      <c r="L15" s="23" t="s">
        <v>226</v>
      </c>
      <c r="M15" s="23">
        <f t="shared" si="0"/>
        <v>739.00000000000011</v>
      </c>
      <c r="N15" s="24" t="str">
        <f t="array" ref="N15">INDEX('MATCH INFO'!O:O, INT((ROW()-2)/10)+2 + 29)</f>
        <v>260612_CB_SB_S2</v>
      </c>
    </row>
    <row r="16" spans="1:14">
      <c r="A16" s="23" t="s">
        <v>53</v>
      </c>
      <c r="B16" s="23" t="s">
        <v>174</v>
      </c>
      <c r="C16" s="23" t="s">
        <v>109</v>
      </c>
      <c r="D16" s="23" t="s">
        <v>44</v>
      </c>
      <c r="E16" s="23" t="s">
        <v>190</v>
      </c>
      <c r="F16" s="23">
        <v>6</v>
      </c>
      <c r="G16" s="23">
        <v>4</v>
      </c>
      <c r="H16" s="23">
        <v>22</v>
      </c>
      <c r="I16" s="23">
        <v>4200</v>
      </c>
      <c r="J16" s="23">
        <v>17283</v>
      </c>
      <c r="K16" s="23">
        <v>0</v>
      </c>
      <c r="L16" s="23" t="s">
        <v>226</v>
      </c>
      <c r="M16" s="23">
        <f t="shared" si="0"/>
        <v>739.00000000000011</v>
      </c>
      <c r="N16" s="24" t="str">
        <f t="array" ref="N16">INDEX('MATCH INFO'!O:O, INT((ROW()-2)/10)+2 + 29)</f>
        <v>260612_CB_SB_S2</v>
      </c>
    </row>
    <row r="17" spans="1:14">
      <c r="A17" s="23" t="s">
        <v>51</v>
      </c>
      <c r="B17" s="23" t="s">
        <v>126</v>
      </c>
      <c r="C17" s="23" t="s">
        <v>104</v>
      </c>
      <c r="D17" s="23" t="s">
        <v>44</v>
      </c>
      <c r="E17" s="23" t="s">
        <v>190</v>
      </c>
      <c r="F17" s="23">
        <v>17</v>
      </c>
      <c r="G17" s="23">
        <v>5</v>
      </c>
      <c r="H17" s="23">
        <v>4</v>
      </c>
      <c r="I17" s="23">
        <v>9271</v>
      </c>
      <c r="J17" s="23">
        <v>1415</v>
      </c>
      <c r="K17" s="23">
        <v>8444</v>
      </c>
      <c r="L17" s="23" t="s">
        <v>226</v>
      </c>
      <c r="M17" s="23">
        <f t="shared" si="0"/>
        <v>739.00000000000011</v>
      </c>
      <c r="N17" s="24" t="str">
        <f t="array" ref="N17">INDEX('MATCH INFO'!O:O, INT((ROW()-2)/10)+2 + 29)</f>
        <v>260612_CB_SB_S2</v>
      </c>
    </row>
    <row r="18" spans="1:14">
      <c r="A18" s="23" t="s">
        <v>51</v>
      </c>
      <c r="B18" s="23" t="s">
        <v>125</v>
      </c>
      <c r="C18" s="23" t="s">
        <v>101</v>
      </c>
      <c r="D18" s="23" t="s">
        <v>44</v>
      </c>
      <c r="E18" s="23" t="s">
        <v>190</v>
      </c>
      <c r="F18" s="23">
        <v>18</v>
      </c>
      <c r="G18" s="23">
        <v>4</v>
      </c>
      <c r="H18" s="23">
        <v>2</v>
      </c>
      <c r="I18" s="23">
        <v>14656</v>
      </c>
      <c r="J18" s="23">
        <v>0</v>
      </c>
      <c r="K18" s="23">
        <v>22567</v>
      </c>
      <c r="L18" s="23" t="s">
        <v>226</v>
      </c>
      <c r="M18" s="23">
        <f t="shared" si="0"/>
        <v>739.00000000000011</v>
      </c>
      <c r="N18" s="24" t="str">
        <f t="array" ref="N18">INDEX('MATCH INFO'!O:O, INT((ROW()-2)/10)+2 + 29)</f>
        <v>260612_CB_SB_S2</v>
      </c>
    </row>
    <row r="19" spans="1:14">
      <c r="A19" s="23" t="s">
        <v>51</v>
      </c>
      <c r="B19" s="23" t="s">
        <v>127</v>
      </c>
      <c r="C19" s="23" t="s">
        <v>104</v>
      </c>
      <c r="D19" s="23" t="s">
        <v>44</v>
      </c>
      <c r="E19" s="23" t="s">
        <v>190</v>
      </c>
      <c r="F19" s="23">
        <v>16</v>
      </c>
      <c r="G19" s="23">
        <v>5</v>
      </c>
      <c r="H19" s="23">
        <v>0</v>
      </c>
      <c r="I19" s="23">
        <v>11654</v>
      </c>
      <c r="J19" s="23">
        <v>0</v>
      </c>
      <c r="K19" s="23">
        <v>0</v>
      </c>
      <c r="L19" s="23" t="s">
        <v>226</v>
      </c>
      <c r="M19" s="23">
        <f t="shared" si="0"/>
        <v>739.00000000000011</v>
      </c>
      <c r="N19" s="24" t="str">
        <f t="array" ref="N19">INDEX('MATCH INFO'!O:O, INT((ROW()-2)/10)+2 + 29)</f>
        <v>260612_CB_SB_S2</v>
      </c>
    </row>
    <row r="20" spans="1:14">
      <c r="A20" s="23" t="s">
        <v>51</v>
      </c>
      <c r="B20" s="23" t="s">
        <v>128</v>
      </c>
      <c r="C20" s="23" t="s">
        <v>109</v>
      </c>
      <c r="D20" s="23" t="s">
        <v>44</v>
      </c>
      <c r="E20" s="23" t="s">
        <v>190</v>
      </c>
      <c r="F20" s="23">
        <v>8</v>
      </c>
      <c r="G20" s="23">
        <v>7</v>
      </c>
      <c r="H20" s="23">
        <v>15</v>
      </c>
      <c r="I20" s="23">
        <v>4788</v>
      </c>
      <c r="J20" s="23">
        <v>12333</v>
      </c>
      <c r="K20" s="23">
        <v>2281</v>
      </c>
      <c r="L20" s="23" t="s">
        <v>226</v>
      </c>
      <c r="M20" s="23">
        <f t="shared" si="0"/>
        <v>739.00000000000011</v>
      </c>
      <c r="N20" s="24" t="str">
        <f t="array" ref="N20">INDEX('MATCH INFO'!O:O, INT((ROW()-2)/10)+2 + 29)</f>
        <v>260612_CB_SB_S2</v>
      </c>
    </row>
    <row r="21" spans="1:14">
      <c r="A21" s="23" t="s">
        <v>51</v>
      </c>
      <c r="B21" s="23" t="s">
        <v>129</v>
      </c>
      <c r="C21" s="23" t="s">
        <v>109</v>
      </c>
      <c r="D21" s="23" t="s">
        <v>44</v>
      </c>
      <c r="E21" s="23" t="s">
        <v>190</v>
      </c>
      <c r="F21" s="23">
        <v>7</v>
      </c>
      <c r="G21" s="23">
        <v>5</v>
      </c>
      <c r="H21" s="23">
        <v>18</v>
      </c>
      <c r="I21" s="23">
        <v>3296</v>
      </c>
      <c r="J21" s="23">
        <v>15212</v>
      </c>
      <c r="K21" s="23">
        <v>0</v>
      </c>
      <c r="L21" s="23" t="s">
        <v>226</v>
      </c>
      <c r="M21" s="23">
        <f t="shared" si="0"/>
        <v>739.00000000000011</v>
      </c>
      <c r="N21" s="24" t="str">
        <f t="array" ref="N21">INDEX('MATCH INFO'!O:O, INT((ROW()-2)/10)+2 + 29)</f>
        <v>260612_CB_SB_S2</v>
      </c>
    </row>
    <row r="22" spans="1:14">
      <c r="A22" s="23" t="s">
        <v>51</v>
      </c>
      <c r="B22" s="23" t="s">
        <v>126</v>
      </c>
      <c r="C22" s="23" t="s">
        <v>104</v>
      </c>
      <c r="D22" s="23" t="s">
        <v>37</v>
      </c>
      <c r="E22" s="23" t="s">
        <v>196</v>
      </c>
      <c r="F22" s="23">
        <v>20</v>
      </c>
      <c r="G22" s="23">
        <v>5</v>
      </c>
      <c r="H22" s="23">
        <v>1</v>
      </c>
      <c r="I22" s="23">
        <v>10035</v>
      </c>
      <c r="J22" s="23">
        <v>525</v>
      </c>
      <c r="K22" s="23">
        <v>3809</v>
      </c>
      <c r="L22" s="23" t="s">
        <v>227</v>
      </c>
      <c r="M22" s="23">
        <f t="shared" si="0"/>
        <v>848</v>
      </c>
      <c r="N22" s="24" t="str">
        <f t="array" ref="N22">INDEX('MATCH INFO'!O:O, INT((ROW()-2)/10)+2 + 29)</f>
        <v>260612_CB_SB_S3</v>
      </c>
    </row>
    <row r="23" spans="1:14">
      <c r="A23" s="23" t="s">
        <v>51</v>
      </c>
      <c r="B23" s="23" t="s">
        <v>125</v>
      </c>
      <c r="C23" s="23" t="s">
        <v>101</v>
      </c>
      <c r="D23" s="23" t="s">
        <v>37</v>
      </c>
      <c r="E23" s="23" t="s">
        <v>196</v>
      </c>
      <c r="F23" s="23">
        <v>19</v>
      </c>
      <c r="G23" s="23">
        <v>6</v>
      </c>
      <c r="H23" s="23">
        <v>4</v>
      </c>
      <c r="I23" s="23">
        <v>15502</v>
      </c>
      <c r="J23" s="23">
        <v>1094</v>
      </c>
      <c r="K23" s="23">
        <v>24000</v>
      </c>
      <c r="L23" s="23" t="s">
        <v>227</v>
      </c>
      <c r="M23" s="23">
        <f t="shared" si="0"/>
        <v>848</v>
      </c>
      <c r="N23" s="24" t="str">
        <f t="array" ref="N23">INDEX('MATCH INFO'!O:O, INT((ROW()-2)/10)+2 + 29)</f>
        <v>260612_CB_SB_S3</v>
      </c>
    </row>
    <row r="24" spans="1:14">
      <c r="A24" s="23" t="s">
        <v>51</v>
      </c>
      <c r="B24" s="23" t="s">
        <v>127</v>
      </c>
      <c r="C24" s="23" t="s">
        <v>104</v>
      </c>
      <c r="D24" s="23" t="s">
        <v>37</v>
      </c>
      <c r="E24" s="23" t="s">
        <v>196</v>
      </c>
      <c r="F24" s="23">
        <v>21</v>
      </c>
      <c r="G24" s="23">
        <v>4</v>
      </c>
      <c r="H24" s="23">
        <v>0</v>
      </c>
      <c r="I24" s="23">
        <v>12705</v>
      </c>
      <c r="J24" s="23">
        <v>0</v>
      </c>
      <c r="K24" s="23">
        <v>0</v>
      </c>
      <c r="L24" s="23" t="s">
        <v>227</v>
      </c>
      <c r="M24" s="23">
        <f t="shared" si="0"/>
        <v>848</v>
      </c>
      <c r="N24" s="24" t="str">
        <f t="array" ref="N24">INDEX('MATCH INFO'!O:O, INT((ROW()-2)/10)+2 + 29)</f>
        <v>260612_CB_SB_S3</v>
      </c>
    </row>
    <row r="25" spans="1:14">
      <c r="A25" s="23" t="s">
        <v>51</v>
      </c>
      <c r="B25" s="23" t="s">
        <v>128</v>
      </c>
      <c r="C25" s="23" t="s">
        <v>109</v>
      </c>
      <c r="D25" s="23" t="s">
        <v>37</v>
      </c>
      <c r="E25" s="23" t="s">
        <v>196</v>
      </c>
      <c r="F25" s="23">
        <v>15</v>
      </c>
      <c r="G25" s="23">
        <v>6</v>
      </c>
      <c r="H25" s="23">
        <v>16</v>
      </c>
      <c r="I25" s="23">
        <v>9394</v>
      </c>
      <c r="J25" s="23">
        <v>11540</v>
      </c>
      <c r="K25" s="23">
        <v>1578</v>
      </c>
      <c r="L25" s="23" t="s">
        <v>227</v>
      </c>
      <c r="M25" s="23">
        <f t="shared" si="0"/>
        <v>848</v>
      </c>
      <c r="N25" s="24" t="str">
        <f t="array" ref="N25">INDEX('MATCH INFO'!O:O, INT((ROW()-2)/10)+2 + 29)</f>
        <v>260612_CB_SB_S3</v>
      </c>
    </row>
    <row r="26" spans="1:14">
      <c r="A26" s="23" t="s">
        <v>51</v>
      </c>
      <c r="B26" s="23" t="s">
        <v>129</v>
      </c>
      <c r="C26" s="23" t="s">
        <v>109</v>
      </c>
      <c r="D26" s="23" t="s">
        <v>37</v>
      </c>
      <c r="E26" s="23" t="s">
        <v>196</v>
      </c>
      <c r="F26" s="23">
        <v>6</v>
      </c>
      <c r="G26" s="23">
        <v>6</v>
      </c>
      <c r="H26" s="23">
        <v>16</v>
      </c>
      <c r="I26" s="23">
        <v>4893</v>
      </c>
      <c r="J26" s="23">
        <v>13214</v>
      </c>
      <c r="K26" s="23">
        <v>367</v>
      </c>
      <c r="L26" s="23" t="s">
        <v>227</v>
      </c>
      <c r="M26" s="23">
        <f t="shared" si="0"/>
        <v>848</v>
      </c>
      <c r="N26" s="24" t="str">
        <f t="array" ref="N26">INDEX('MATCH INFO'!O:O, INT((ROW()-2)/10)+2 + 29)</f>
        <v>260612_CB_SB_S3</v>
      </c>
    </row>
    <row r="27" spans="1:14">
      <c r="A27" s="23" t="s">
        <v>53</v>
      </c>
      <c r="B27" s="23" t="s">
        <v>173</v>
      </c>
      <c r="C27" s="23" t="s">
        <v>109</v>
      </c>
      <c r="D27" s="23" t="s">
        <v>37</v>
      </c>
      <c r="E27" s="23" t="s">
        <v>196</v>
      </c>
      <c r="F27" s="23">
        <v>10</v>
      </c>
      <c r="G27" s="23">
        <v>5</v>
      </c>
      <c r="H27" s="23">
        <v>13</v>
      </c>
      <c r="I27" s="23">
        <v>4954</v>
      </c>
      <c r="J27" s="23">
        <v>16485</v>
      </c>
      <c r="K27" s="23">
        <v>2391</v>
      </c>
      <c r="L27" s="23" t="s">
        <v>227</v>
      </c>
      <c r="M27" s="23">
        <f t="shared" si="0"/>
        <v>848</v>
      </c>
      <c r="N27" s="24" t="str">
        <f t="array" ref="N27">INDEX('MATCH INFO'!O:O, INT((ROW()-2)/10)+2 + 29)</f>
        <v>260612_CB_SB_S3</v>
      </c>
    </row>
    <row r="28" spans="1:14">
      <c r="A28" s="23" t="s">
        <v>53</v>
      </c>
      <c r="B28" s="23" t="s">
        <v>169</v>
      </c>
      <c r="C28" s="23" t="s">
        <v>101</v>
      </c>
      <c r="D28" s="23" t="s">
        <v>37</v>
      </c>
      <c r="E28" s="23" t="s">
        <v>196</v>
      </c>
      <c r="F28" s="23">
        <v>14</v>
      </c>
      <c r="G28" s="23">
        <v>5</v>
      </c>
      <c r="H28" s="23">
        <v>2</v>
      </c>
      <c r="I28" s="23">
        <v>14459</v>
      </c>
      <c r="J28" s="23">
        <v>50</v>
      </c>
      <c r="K28" s="23">
        <v>20677</v>
      </c>
      <c r="L28" s="23" t="s">
        <v>227</v>
      </c>
      <c r="M28" s="23">
        <f t="shared" si="0"/>
        <v>848</v>
      </c>
      <c r="N28" s="24" t="str">
        <f t="array" ref="N28">INDEX('MATCH INFO'!O:O, INT((ROW()-2)/10)+2 + 29)</f>
        <v>260612_CB_SB_S3</v>
      </c>
    </row>
    <row r="29" spans="1:14">
      <c r="A29" s="23" t="s">
        <v>53</v>
      </c>
      <c r="B29" s="23" t="s">
        <v>172</v>
      </c>
      <c r="C29" s="23" t="s">
        <v>109</v>
      </c>
      <c r="D29" s="23" t="s">
        <v>37</v>
      </c>
      <c r="E29" s="23" t="s">
        <v>196</v>
      </c>
      <c r="F29" s="23">
        <v>12</v>
      </c>
      <c r="G29" s="23">
        <v>8</v>
      </c>
      <c r="H29" s="23">
        <v>4</v>
      </c>
      <c r="I29" s="23">
        <v>7033</v>
      </c>
      <c r="J29" s="23">
        <v>1070</v>
      </c>
      <c r="K29" s="23">
        <v>6081</v>
      </c>
      <c r="L29" s="23" t="s">
        <v>227</v>
      </c>
      <c r="M29" s="23">
        <f t="shared" si="0"/>
        <v>848</v>
      </c>
      <c r="N29" s="24" t="str">
        <f t="array" ref="N29">INDEX('MATCH INFO'!O:O, INT((ROW()-2)/10)+2 + 29)</f>
        <v>260612_CB_SB_S3</v>
      </c>
    </row>
    <row r="30" spans="1:14">
      <c r="A30" s="23" t="s">
        <v>53</v>
      </c>
      <c r="B30" s="23" t="s">
        <v>171</v>
      </c>
      <c r="C30" s="23" t="s">
        <v>104</v>
      </c>
      <c r="D30" s="23" t="s">
        <v>37</v>
      </c>
      <c r="E30" s="23" t="s">
        <v>196</v>
      </c>
      <c r="F30" s="23">
        <v>16</v>
      </c>
      <c r="G30" s="23">
        <v>8</v>
      </c>
      <c r="H30" s="23">
        <v>0</v>
      </c>
      <c r="I30" s="23">
        <v>11389</v>
      </c>
      <c r="J30" s="23">
        <v>0</v>
      </c>
      <c r="K30" s="23">
        <v>0</v>
      </c>
      <c r="L30" s="23" t="s">
        <v>227</v>
      </c>
      <c r="M30" s="23">
        <f t="shared" si="0"/>
        <v>848</v>
      </c>
      <c r="N30" s="24" t="str">
        <f t="array" ref="N30">INDEX('MATCH INFO'!O:O, INT((ROW()-2)/10)+2 + 29)</f>
        <v>260612_CB_SB_S3</v>
      </c>
    </row>
    <row r="31" spans="1:14">
      <c r="A31" s="23" t="s">
        <v>53</v>
      </c>
      <c r="B31" s="23" t="s">
        <v>174</v>
      </c>
      <c r="C31" s="23" t="s">
        <v>109</v>
      </c>
      <c r="D31" s="23" t="s">
        <v>37</v>
      </c>
      <c r="E31" s="23" t="s">
        <v>196</v>
      </c>
      <c r="F31" s="23">
        <v>9</v>
      </c>
      <c r="G31" s="23">
        <v>5</v>
      </c>
      <c r="H31" s="23">
        <v>15</v>
      </c>
      <c r="I31" s="23">
        <v>4962</v>
      </c>
      <c r="J31" s="23">
        <v>19892</v>
      </c>
      <c r="K31" s="23">
        <v>0</v>
      </c>
      <c r="L31" s="23" t="s">
        <v>227</v>
      </c>
      <c r="M31" s="23">
        <f t="shared" si="0"/>
        <v>848</v>
      </c>
      <c r="N31" s="24" t="str">
        <f t="array" ref="N31">INDEX('MATCH INFO'!O:O, INT((ROW()-2)/10)+2 + 29)</f>
        <v>260612_CB_SB_S3</v>
      </c>
    </row>
    <row r="32" spans="1:14">
      <c r="A32" s="23" t="s">
        <v>20</v>
      </c>
      <c r="B32" s="23" t="s">
        <v>108</v>
      </c>
      <c r="C32" s="23" t="s">
        <v>109</v>
      </c>
      <c r="D32" s="23" t="s">
        <v>54</v>
      </c>
      <c r="E32" s="23" t="s">
        <v>188</v>
      </c>
      <c r="F32" s="23">
        <v>4</v>
      </c>
      <c r="G32" s="23">
        <v>6</v>
      </c>
      <c r="H32" s="23">
        <v>7</v>
      </c>
      <c r="I32" s="23">
        <v>2278</v>
      </c>
      <c r="J32" s="23">
        <v>5643</v>
      </c>
      <c r="K32" s="23">
        <v>1692</v>
      </c>
      <c r="L32" s="23" t="s">
        <v>228</v>
      </c>
      <c r="M32" s="23">
        <f t="shared" si="0"/>
        <v>444.99999999999994</v>
      </c>
      <c r="N32" s="24" t="str">
        <f t="array" ref="N32">INDEX('MATCH INFO'!O:O, INT((ROW()-2)/10)+2 + 29)</f>
        <v>260612_O2_ZETA_S1</v>
      </c>
    </row>
    <row r="33" spans="1:14">
      <c r="A33" s="23" t="s">
        <v>20</v>
      </c>
      <c r="B33" s="23" t="s">
        <v>111</v>
      </c>
      <c r="C33" s="23" t="s">
        <v>109</v>
      </c>
      <c r="D33" s="23" t="s">
        <v>54</v>
      </c>
      <c r="E33" s="23" t="s">
        <v>188</v>
      </c>
      <c r="F33" s="23">
        <v>5</v>
      </c>
      <c r="G33" s="23">
        <v>5</v>
      </c>
      <c r="H33" s="23">
        <v>8</v>
      </c>
      <c r="I33" s="23">
        <v>2678</v>
      </c>
      <c r="J33" s="23">
        <v>7458</v>
      </c>
      <c r="K33" s="23">
        <v>0</v>
      </c>
      <c r="L33" s="23" t="s">
        <v>228</v>
      </c>
      <c r="M33" s="23">
        <f t="shared" si="0"/>
        <v>444.99999999999994</v>
      </c>
      <c r="N33" s="24" t="str">
        <f t="array" ref="N33">INDEX('MATCH INFO'!O:O, INT((ROW()-2)/10)+2 + 29)</f>
        <v>260612_O2_ZETA_S1</v>
      </c>
    </row>
    <row r="34" spans="1:14">
      <c r="A34" s="23" t="s">
        <v>20</v>
      </c>
      <c r="B34" s="23" t="s">
        <v>106</v>
      </c>
      <c r="C34" s="23" t="s">
        <v>104</v>
      </c>
      <c r="D34" s="23" t="s">
        <v>54</v>
      </c>
      <c r="E34" s="23" t="s">
        <v>188</v>
      </c>
      <c r="F34" s="23">
        <v>7</v>
      </c>
      <c r="G34" s="23">
        <v>4</v>
      </c>
      <c r="H34" s="23">
        <v>0</v>
      </c>
      <c r="I34" s="23">
        <v>4640</v>
      </c>
      <c r="J34" s="23">
        <v>0</v>
      </c>
      <c r="K34" s="23">
        <v>310</v>
      </c>
      <c r="L34" s="23" t="s">
        <v>228</v>
      </c>
      <c r="M34" s="23">
        <f t="shared" si="0"/>
        <v>444.99999999999994</v>
      </c>
      <c r="N34" s="24" t="str">
        <f t="array" ref="N34">INDEX('MATCH INFO'!O:O, INT((ROW()-2)/10)+2 + 29)</f>
        <v>260612_O2_ZETA_S1</v>
      </c>
    </row>
    <row r="35" spans="1:14">
      <c r="A35" s="23" t="s">
        <v>20</v>
      </c>
      <c r="B35" s="23" t="s">
        <v>102</v>
      </c>
      <c r="C35" s="23" t="s">
        <v>101</v>
      </c>
      <c r="D35" s="23" t="s">
        <v>54</v>
      </c>
      <c r="E35" s="23" t="s">
        <v>188</v>
      </c>
      <c r="F35" s="23">
        <v>7</v>
      </c>
      <c r="G35" s="23">
        <v>6</v>
      </c>
      <c r="H35" s="23">
        <v>0</v>
      </c>
      <c r="I35" s="23">
        <v>6784</v>
      </c>
      <c r="J35" s="23">
        <v>0</v>
      </c>
      <c r="K35" s="23">
        <v>12952</v>
      </c>
      <c r="L35" s="23" t="s">
        <v>228</v>
      </c>
      <c r="M35" s="23">
        <f t="shared" si="0"/>
        <v>444.99999999999994</v>
      </c>
      <c r="N35" s="24" t="str">
        <f t="array" ref="N35">INDEX('MATCH INFO'!O:O, INT((ROW()-2)/10)+2 + 29)</f>
        <v>260612_O2_ZETA_S1</v>
      </c>
    </row>
    <row r="36" spans="1:14">
      <c r="A36" s="23" t="s">
        <v>20</v>
      </c>
      <c r="B36" s="23" t="s">
        <v>103</v>
      </c>
      <c r="C36" s="23" t="s">
        <v>104</v>
      </c>
      <c r="D36" s="23" t="s">
        <v>54</v>
      </c>
      <c r="E36" s="23" t="s">
        <v>188</v>
      </c>
      <c r="F36" s="23">
        <v>6</v>
      </c>
      <c r="G36" s="23">
        <v>6</v>
      </c>
      <c r="H36" s="23">
        <v>0</v>
      </c>
      <c r="I36" s="23">
        <v>3988</v>
      </c>
      <c r="J36" s="23">
        <v>73</v>
      </c>
      <c r="K36" s="23">
        <v>0</v>
      </c>
      <c r="L36" s="23" t="s">
        <v>228</v>
      </c>
      <c r="M36" s="23">
        <f t="shared" si="0"/>
        <v>444.99999999999994</v>
      </c>
      <c r="N36" s="24" t="str">
        <f t="array" ref="N36">INDEX('MATCH INFO'!O:O, INT((ROW()-2)/10)+2 + 29)</f>
        <v>260612_O2_ZETA_S1</v>
      </c>
    </row>
    <row r="37" spans="1:14">
      <c r="A37" s="23" t="s">
        <v>42</v>
      </c>
      <c r="B37" s="23" t="s">
        <v>139</v>
      </c>
      <c r="C37" s="23" t="s">
        <v>101</v>
      </c>
      <c r="D37" s="23" t="s">
        <v>54</v>
      </c>
      <c r="E37" s="23" t="s">
        <v>188</v>
      </c>
      <c r="F37" s="23">
        <v>9</v>
      </c>
      <c r="G37" s="23">
        <v>3</v>
      </c>
      <c r="H37" s="23">
        <v>2</v>
      </c>
      <c r="I37" s="23">
        <v>6385</v>
      </c>
      <c r="J37" s="23">
        <v>0</v>
      </c>
      <c r="K37" s="23">
        <v>9708</v>
      </c>
      <c r="L37" s="23" t="s">
        <v>228</v>
      </c>
      <c r="M37" s="23">
        <f t="shared" si="0"/>
        <v>444.99999999999994</v>
      </c>
      <c r="N37" s="24" t="str">
        <f t="array" ref="N37">INDEX('MATCH INFO'!O:O, INT((ROW()-2)/10)+2 + 29)</f>
        <v>260612_O2_ZETA_S1</v>
      </c>
    </row>
    <row r="38" spans="1:14">
      <c r="A38" s="23" t="s">
        <v>42</v>
      </c>
      <c r="B38" s="23" t="s">
        <v>141</v>
      </c>
      <c r="C38" s="23" t="s">
        <v>104</v>
      </c>
      <c r="D38" s="23" t="s">
        <v>54</v>
      </c>
      <c r="E38" s="23" t="s">
        <v>188</v>
      </c>
      <c r="F38" s="23">
        <v>14</v>
      </c>
      <c r="G38" s="23">
        <v>2</v>
      </c>
      <c r="H38" s="23">
        <v>0</v>
      </c>
      <c r="I38" s="23">
        <v>5431</v>
      </c>
      <c r="J38" s="23">
        <v>0</v>
      </c>
      <c r="K38" s="23">
        <v>0</v>
      </c>
      <c r="L38" s="23" t="s">
        <v>228</v>
      </c>
      <c r="M38" s="23">
        <f t="shared" si="0"/>
        <v>444.99999999999994</v>
      </c>
      <c r="N38" s="24" t="str">
        <f t="array" ref="N38">INDEX('MATCH INFO'!O:O, INT((ROW()-2)/10)+2 + 29)</f>
        <v>260612_O2_ZETA_S1</v>
      </c>
    </row>
    <row r="39" spans="1:14">
      <c r="A39" s="23" t="s">
        <v>42</v>
      </c>
      <c r="B39" s="23" t="s">
        <v>140</v>
      </c>
      <c r="C39" s="23" t="s">
        <v>104</v>
      </c>
      <c r="D39" s="23" t="s">
        <v>54</v>
      </c>
      <c r="E39" s="23" t="s">
        <v>188</v>
      </c>
      <c r="F39" s="23">
        <v>19</v>
      </c>
      <c r="G39" s="23">
        <v>2</v>
      </c>
      <c r="H39" s="23">
        <v>4</v>
      </c>
      <c r="I39" s="23">
        <v>6871</v>
      </c>
      <c r="J39" s="23">
        <v>0</v>
      </c>
      <c r="K39" s="23">
        <v>0</v>
      </c>
      <c r="L39" s="23" t="s">
        <v>228</v>
      </c>
      <c r="M39" s="23">
        <f t="shared" si="0"/>
        <v>444.99999999999994</v>
      </c>
      <c r="N39" s="24" t="str">
        <f t="array" ref="N39">INDEX('MATCH INFO'!O:O, INT((ROW()-2)/10)+2 + 29)</f>
        <v>260612_O2_ZETA_S1</v>
      </c>
    </row>
    <row r="40" spans="1:14">
      <c r="A40" s="23" t="s">
        <v>42</v>
      </c>
      <c r="B40" s="23" t="s">
        <v>143</v>
      </c>
      <c r="C40" s="23" t="s">
        <v>109</v>
      </c>
      <c r="D40" s="23" t="s">
        <v>54</v>
      </c>
      <c r="E40" s="23" t="s">
        <v>188</v>
      </c>
      <c r="F40" s="23">
        <v>18</v>
      </c>
      <c r="G40" s="23">
        <v>3</v>
      </c>
      <c r="H40" s="23">
        <v>11</v>
      </c>
      <c r="I40" s="23">
        <v>4745</v>
      </c>
      <c r="J40" s="23">
        <v>5636</v>
      </c>
      <c r="K40" s="23">
        <v>1596</v>
      </c>
      <c r="L40" s="23" t="s">
        <v>228</v>
      </c>
      <c r="M40" s="23">
        <f t="shared" si="0"/>
        <v>444.99999999999994</v>
      </c>
      <c r="N40" s="24" t="str">
        <f t="array" ref="N40">INDEX('MATCH INFO'!O:O, INT((ROW()-2)/10)+2 + 29)</f>
        <v>260612_O2_ZETA_S1</v>
      </c>
    </row>
    <row r="41" spans="1:14">
      <c r="A41" s="23" t="s">
        <v>42</v>
      </c>
      <c r="B41" s="23" t="s">
        <v>142</v>
      </c>
      <c r="C41" s="23" t="s">
        <v>109</v>
      </c>
      <c r="D41" s="23" t="s">
        <v>54</v>
      </c>
      <c r="E41" s="23" t="s">
        <v>188</v>
      </c>
      <c r="F41" s="23">
        <v>11</v>
      </c>
      <c r="G41" s="23">
        <v>2</v>
      </c>
      <c r="H41" s="23">
        <v>11</v>
      </c>
      <c r="I41" s="23">
        <v>3578</v>
      </c>
      <c r="J41" s="23">
        <v>7137</v>
      </c>
      <c r="K41" s="23">
        <v>0</v>
      </c>
      <c r="L41" s="23" t="s">
        <v>228</v>
      </c>
      <c r="M41" s="23">
        <f t="shared" si="0"/>
        <v>444.99999999999994</v>
      </c>
      <c r="N41" s="24" t="str">
        <f t="array" ref="N41">INDEX('MATCH INFO'!O:O, INT((ROW()-2)/10)+2 + 29)</f>
        <v>260612_O2_ZETA_S1</v>
      </c>
    </row>
    <row r="42" spans="1:14">
      <c r="A42" s="23" t="s">
        <v>42</v>
      </c>
      <c r="B42" s="23" t="s">
        <v>141</v>
      </c>
      <c r="C42" s="23" t="s">
        <v>104</v>
      </c>
      <c r="D42" s="23" t="s">
        <v>44</v>
      </c>
      <c r="E42" s="23" t="s">
        <v>190</v>
      </c>
      <c r="F42" s="23">
        <v>22</v>
      </c>
      <c r="G42" s="23">
        <v>4</v>
      </c>
      <c r="H42" s="23">
        <v>5</v>
      </c>
      <c r="I42" s="23">
        <v>7950</v>
      </c>
      <c r="J42" s="23">
        <v>536</v>
      </c>
      <c r="K42" s="23">
        <v>3444</v>
      </c>
      <c r="L42" s="23" t="s">
        <v>229</v>
      </c>
      <c r="M42" s="23">
        <f t="shared" si="0"/>
        <v>475.99999999999994</v>
      </c>
      <c r="N42" s="24" t="str">
        <f t="array" ref="N42">INDEX('MATCH INFO'!O:O, INT((ROW()-2)/10)+2 + 29)</f>
        <v>260612_O2_ZETA_S2</v>
      </c>
    </row>
    <row r="43" spans="1:14">
      <c r="A43" s="23" t="s">
        <v>42</v>
      </c>
      <c r="B43" s="23" t="s">
        <v>138</v>
      </c>
      <c r="C43" s="23" t="s">
        <v>101</v>
      </c>
      <c r="D43" s="23" t="s">
        <v>44</v>
      </c>
      <c r="E43" s="23" t="s">
        <v>190</v>
      </c>
      <c r="F43" s="23">
        <v>18</v>
      </c>
      <c r="G43" s="23">
        <v>4</v>
      </c>
      <c r="H43" s="23">
        <v>15</v>
      </c>
      <c r="I43" s="23">
        <v>9995</v>
      </c>
      <c r="J43" s="23">
        <v>1434</v>
      </c>
      <c r="K43" s="23">
        <v>4970</v>
      </c>
      <c r="L43" s="23" t="s">
        <v>229</v>
      </c>
      <c r="M43" s="23">
        <f t="shared" si="0"/>
        <v>475.99999999999994</v>
      </c>
      <c r="N43" s="24" t="str">
        <f t="array" ref="N43">INDEX('MATCH INFO'!O:O, INT((ROW()-2)/10)+2 + 29)</f>
        <v>260612_O2_ZETA_S2</v>
      </c>
    </row>
    <row r="44" spans="1:14">
      <c r="A44" s="23" t="s">
        <v>42</v>
      </c>
      <c r="B44" s="23" t="s">
        <v>140</v>
      </c>
      <c r="C44" s="23" t="s">
        <v>104</v>
      </c>
      <c r="D44" s="23" t="s">
        <v>44</v>
      </c>
      <c r="E44" s="23" t="s">
        <v>190</v>
      </c>
      <c r="F44" s="23">
        <v>20</v>
      </c>
      <c r="G44" s="23">
        <v>2</v>
      </c>
      <c r="H44" s="23">
        <v>0</v>
      </c>
      <c r="I44" s="23">
        <v>6934</v>
      </c>
      <c r="J44" s="23">
        <v>137</v>
      </c>
      <c r="K44" s="23">
        <v>514</v>
      </c>
      <c r="L44" s="23" t="s">
        <v>229</v>
      </c>
      <c r="M44" s="23">
        <f t="shared" si="0"/>
        <v>475.99999999999994</v>
      </c>
      <c r="N44" s="24" t="str">
        <f t="array" ref="N44">INDEX('MATCH INFO'!O:O, INT((ROW()-2)/10)+2 + 29)</f>
        <v>260612_O2_ZETA_S2</v>
      </c>
    </row>
    <row r="45" spans="1:14">
      <c r="A45" s="23" t="s">
        <v>42</v>
      </c>
      <c r="B45" s="23" t="s">
        <v>143</v>
      </c>
      <c r="C45" s="23" t="s">
        <v>109</v>
      </c>
      <c r="D45" s="23" t="s">
        <v>44</v>
      </c>
      <c r="E45" s="23" t="s">
        <v>190</v>
      </c>
      <c r="F45" s="23">
        <v>14</v>
      </c>
      <c r="G45" s="23">
        <v>4</v>
      </c>
      <c r="H45" s="23">
        <v>21</v>
      </c>
      <c r="I45" s="23">
        <v>4269</v>
      </c>
      <c r="J45" s="23">
        <v>8567</v>
      </c>
      <c r="K45" s="23">
        <v>0</v>
      </c>
      <c r="L45" s="23" t="s">
        <v>229</v>
      </c>
      <c r="M45" s="23">
        <f t="shared" si="0"/>
        <v>475.99999999999994</v>
      </c>
      <c r="N45" s="24" t="str">
        <f t="array" ref="N45">INDEX('MATCH INFO'!O:O, INT((ROW()-2)/10)+2 + 29)</f>
        <v>260612_O2_ZETA_S2</v>
      </c>
    </row>
    <row r="46" spans="1:14">
      <c r="A46" s="23" t="s">
        <v>42</v>
      </c>
      <c r="B46" s="23" t="s">
        <v>142</v>
      </c>
      <c r="C46" s="23" t="s">
        <v>109</v>
      </c>
      <c r="D46" s="23" t="s">
        <v>44</v>
      </c>
      <c r="E46" s="23" t="s">
        <v>190</v>
      </c>
      <c r="F46" s="23">
        <v>23</v>
      </c>
      <c r="G46" s="23">
        <v>1</v>
      </c>
      <c r="H46" s="23">
        <v>16</v>
      </c>
      <c r="I46" s="23">
        <v>5363</v>
      </c>
      <c r="J46" s="23">
        <v>5196</v>
      </c>
      <c r="K46" s="23">
        <v>2066</v>
      </c>
      <c r="L46" s="23" t="s">
        <v>229</v>
      </c>
      <c r="M46" s="23">
        <f t="shared" si="0"/>
        <v>475.99999999999994</v>
      </c>
      <c r="N46" s="24" t="str">
        <f t="array" ref="N46">INDEX('MATCH INFO'!O:O, INT((ROW()-2)/10)+2 + 29)</f>
        <v>260612_O2_ZETA_S2</v>
      </c>
    </row>
    <row r="47" spans="1:14">
      <c r="A47" s="23" t="s">
        <v>20</v>
      </c>
      <c r="B47" s="23" t="s">
        <v>108</v>
      </c>
      <c r="C47" s="23" t="s">
        <v>109</v>
      </c>
      <c r="D47" s="23" t="s">
        <v>44</v>
      </c>
      <c r="E47" s="23" t="s">
        <v>190</v>
      </c>
      <c r="F47" s="23">
        <v>8</v>
      </c>
      <c r="G47" s="23">
        <v>6</v>
      </c>
      <c r="H47" s="23">
        <v>12</v>
      </c>
      <c r="I47" s="23">
        <v>2840</v>
      </c>
      <c r="J47" s="23">
        <v>6022</v>
      </c>
      <c r="K47" s="23">
        <v>465</v>
      </c>
      <c r="L47" s="23" t="s">
        <v>229</v>
      </c>
      <c r="M47" s="23">
        <f t="shared" si="0"/>
        <v>475.99999999999994</v>
      </c>
      <c r="N47" s="24" t="str">
        <f t="array" ref="N47">INDEX('MATCH INFO'!O:O, INT((ROW()-2)/10)+2 + 29)</f>
        <v>260612_O2_ZETA_S2</v>
      </c>
    </row>
    <row r="48" spans="1:14">
      <c r="A48" s="23" t="s">
        <v>20</v>
      </c>
      <c r="B48" s="23" t="s">
        <v>111</v>
      </c>
      <c r="C48" s="23" t="s">
        <v>109</v>
      </c>
      <c r="D48" s="23" t="s">
        <v>44</v>
      </c>
      <c r="E48" s="23" t="s">
        <v>190</v>
      </c>
      <c r="F48" s="23">
        <v>4</v>
      </c>
      <c r="G48" s="23">
        <v>7</v>
      </c>
      <c r="H48" s="23">
        <v>10</v>
      </c>
      <c r="I48" s="23">
        <v>2829</v>
      </c>
      <c r="J48" s="23">
        <v>9185</v>
      </c>
      <c r="K48" s="23">
        <v>0</v>
      </c>
      <c r="L48" s="23" t="s">
        <v>229</v>
      </c>
      <c r="M48" s="23">
        <f t="shared" si="0"/>
        <v>475.99999999999994</v>
      </c>
      <c r="N48" s="24" t="str">
        <f t="array" ref="N48">INDEX('MATCH INFO'!O:O, INT((ROW()-2)/10)+2 + 29)</f>
        <v>260612_O2_ZETA_S2</v>
      </c>
    </row>
    <row r="49" spans="1:14">
      <c r="A49" s="23" t="s">
        <v>20</v>
      </c>
      <c r="B49" s="23" t="s">
        <v>106</v>
      </c>
      <c r="C49" s="23" t="s">
        <v>104</v>
      </c>
      <c r="D49" s="23" t="s">
        <v>44</v>
      </c>
      <c r="E49" s="23" t="s">
        <v>190</v>
      </c>
      <c r="F49" s="23">
        <v>9</v>
      </c>
      <c r="G49" s="23">
        <v>8</v>
      </c>
      <c r="H49" s="23">
        <v>0</v>
      </c>
      <c r="I49" s="23">
        <v>6104</v>
      </c>
      <c r="J49" s="23">
        <v>0</v>
      </c>
      <c r="K49" s="23">
        <v>0</v>
      </c>
      <c r="L49" s="23" t="s">
        <v>229</v>
      </c>
      <c r="M49" s="23">
        <f t="shared" si="0"/>
        <v>475.99999999999994</v>
      </c>
      <c r="N49" s="24" t="str">
        <f t="array" ref="N49">INDEX('MATCH INFO'!O:O, INT((ROW()-2)/10)+2 + 29)</f>
        <v>260612_O2_ZETA_S2</v>
      </c>
    </row>
    <row r="50" spans="1:14">
      <c r="A50" s="23" t="s">
        <v>20</v>
      </c>
      <c r="B50" s="23" t="s">
        <v>102</v>
      </c>
      <c r="C50" s="23" t="s">
        <v>101</v>
      </c>
      <c r="D50" s="23" t="s">
        <v>44</v>
      </c>
      <c r="E50" s="23" t="s">
        <v>190</v>
      </c>
      <c r="F50" s="23">
        <v>13</v>
      </c>
      <c r="G50" s="23">
        <v>6</v>
      </c>
      <c r="H50" s="23">
        <v>6</v>
      </c>
      <c r="I50" s="23">
        <v>9884</v>
      </c>
      <c r="J50" s="23">
        <v>2608</v>
      </c>
      <c r="K50" s="23">
        <v>5692</v>
      </c>
      <c r="L50" s="23" t="s">
        <v>229</v>
      </c>
      <c r="M50" s="23">
        <f t="shared" si="0"/>
        <v>475.99999999999994</v>
      </c>
      <c r="N50" s="24" t="str">
        <f t="array" ref="N50">INDEX('MATCH INFO'!O:O, INT((ROW()-2)/10)+2 + 29)</f>
        <v>260612_O2_ZETA_S2</v>
      </c>
    </row>
    <row r="51" spans="1:14">
      <c r="A51" s="23" t="s">
        <v>20</v>
      </c>
      <c r="B51" s="23" t="s">
        <v>103</v>
      </c>
      <c r="C51" s="23" t="s">
        <v>104</v>
      </c>
      <c r="D51" s="23" t="s">
        <v>44</v>
      </c>
      <c r="E51" s="23" t="s">
        <v>190</v>
      </c>
      <c r="F51" s="23">
        <v>9</v>
      </c>
      <c r="G51" s="23">
        <v>6</v>
      </c>
      <c r="H51" s="23">
        <v>0</v>
      </c>
      <c r="I51" s="23">
        <v>7128</v>
      </c>
      <c r="J51" s="23">
        <v>924</v>
      </c>
      <c r="K51" s="23">
        <v>0</v>
      </c>
      <c r="L51" s="23" t="s">
        <v>229</v>
      </c>
      <c r="M51" s="23">
        <f t="shared" si="0"/>
        <v>475.99999999999994</v>
      </c>
      <c r="N51" s="24" t="str">
        <f t="array" ref="N51">INDEX('MATCH INFO'!O:O, INT((ROW()-2)/10)+2 + 29)</f>
        <v>260612_O2_ZETA_S2</v>
      </c>
    </row>
    <row r="52" spans="1:14">
      <c r="A52" s="23" t="s">
        <v>42</v>
      </c>
      <c r="B52" s="23" t="s">
        <v>139</v>
      </c>
      <c r="C52" s="23" t="s">
        <v>101</v>
      </c>
      <c r="D52" s="23" t="s">
        <v>28</v>
      </c>
      <c r="E52" s="23" t="s">
        <v>192</v>
      </c>
      <c r="F52" s="23">
        <v>30</v>
      </c>
      <c r="G52" s="23">
        <v>4</v>
      </c>
      <c r="H52" s="23">
        <v>19</v>
      </c>
      <c r="I52" s="23">
        <v>13164</v>
      </c>
      <c r="J52" s="23">
        <v>2417</v>
      </c>
      <c r="K52" s="23">
        <v>6662</v>
      </c>
      <c r="L52" s="23" t="s">
        <v>230</v>
      </c>
      <c r="M52" s="23">
        <f t="shared" si="0"/>
        <v>555</v>
      </c>
      <c r="N52" s="24" t="str">
        <f t="array" ref="N52">INDEX('MATCH INFO'!O:O, INT((ROW()-2)/10)+2 + 29)</f>
        <v>260612_O2_ZETA_S3</v>
      </c>
    </row>
    <row r="53" spans="1:14">
      <c r="A53" s="23" t="s">
        <v>42</v>
      </c>
      <c r="B53" s="23" t="s">
        <v>141</v>
      </c>
      <c r="C53" s="23" t="s">
        <v>104</v>
      </c>
      <c r="D53" s="23" t="s">
        <v>28</v>
      </c>
      <c r="E53" s="23" t="s">
        <v>192</v>
      </c>
      <c r="F53" s="23">
        <v>30</v>
      </c>
      <c r="G53" s="23">
        <v>4</v>
      </c>
      <c r="H53" s="23">
        <v>0</v>
      </c>
      <c r="I53" s="23">
        <v>9443</v>
      </c>
      <c r="J53" s="23">
        <v>0</v>
      </c>
      <c r="K53" s="23">
        <v>0</v>
      </c>
      <c r="L53" s="23" t="s">
        <v>230</v>
      </c>
      <c r="M53" s="23">
        <f t="shared" si="0"/>
        <v>555</v>
      </c>
      <c r="N53" s="24" t="str">
        <f t="array" ref="N53">INDEX('MATCH INFO'!O:O, INT((ROW()-2)/10)+2 + 29)</f>
        <v>260612_O2_ZETA_S3</v>
      </c>
    </row>
    <row r="54" spans="1:14">
      <c r="A54" s="23" t="s">
        <v>42</v>
      </c>
      <c r="B54" s="23" t="s">
        <v>140</v>
      </c>
      <c r="C54" s="23" t="s">
        <v>104</v>
      </c>
      <c r="D54" s="23" t="s">
        <v>28</v>
      </c>
      <c r="E54" s="23" t="s">
        <v>192</v>
      </c>
      <c r="F54" s="23">
        <v>19</v>
      </c>
      <c r="G54" s="23">
        <v>6</v>
      </c>
      <c r="H54" s="23">
        <v>3</v>
      </c>
      <c r="I54" s="23">
        <v>10654</v>
      </c>
      <c r="J54" s="23">
        <v>0</v>
      </c>
      <c r="K54" s="23">
        <v>443</v>
      </c>
      <c r="L54" s="23" t="s">
        <v>230</v>
      </c>
      <c r="M54" s="23">
        <f t="shared" si="0"/>
        <v>555</v>
      </c>
      <c r="N54" s="24" t="str">
        <f t="array" ref="N54">INDEX('MATCH INFO'!O:O, INT((ROW()-2)/10)+2 + 29)</f>
        <v>260612_O2_ZETA_S3</v>
      </c>
    </row>
    <row r="55" spans="1:14">
      <c r="A55" s="23" t="s">
        <v>42</v>
      </c>
      <c r="B55" s="23" t="s">
        <v>143</v>
      </c>
      <c r="C55" s="23" t="s">
        <v>109</v>
      </c>
      <c r="D55" s="23" t="s">
        <v>28</v>
      </c>
      <c r="E55" s="23" t="s">
        <v>192</v>
      </c>
      <c r="F55" s="23">
        <v>22</v>
      </c>
      <c r="G55" s="23">
        <v>0</v>
      </c>
      <c r="H55" s="23">
        <v>34</v>
      </c>
      <c r="I55" s="23">
        <v>5253</v>
      </c>
      <c r="J55" s="23">
        <v>14276</v>
      </c>
      <c r="K55" s="23">
        <v>0</v>
      </c>
      <c r="L55" s="23" t="s">
        <v>230</v>
      </c>
      <c r="M55" s="23">
        <f t="shared" si="0"/>
        <v>555</v>
      </c>
      <c r="N55" s="24" t="str">
        <f t="array" ref="N55">INDEX('MATCH INFO'!O:O, INT((ROW()-2)/10)+2 + 29)</f>
        <v>260612_O2_ZETA_S3</v>
      </c>
    </row>
    <row r="56" spans="1:14">
      <c r="A56" s="23" t="s">
        <v>42</v>
      </c>
      <c r="B56" s="23" t="s">
        <v>142</v>
      </c>
      <c r="C56" s="23" t="s">
        <v>109</v>
      </c>
      <c r="D56" s="23" t="s">
        <v>28</v>
      </c>
      <c r="E56" s="23" t="s">
        <v>192</v>
      </c>
      <c r="F56" s="23">
        <v>27</v>
      </c>
      <c r="G56" s="23">
        <v>1</v>
      </c>
      <c r="H56" s="23">
        <v>22</v>
      </c>
      <c r="I56" s="23">
        <v>4472</v>
      </c>
      <c r="J56" s="23">
        <v>5784</v>
      </c>
      <c r="K56" s="23">
        <v>1100</v>
      </c>
      <c r="L56" s="23" t="s">
        <v>230</v>
      </c>
      <c r="M56" s="23">
        <f t="shared" si="0"/>
        <v>555</v>
      </c>
      <c r="N56" s="24" t="str">
        <f t="array" ref="N56">INDEX('MATCH INFO'!O:O, INT((ROW()-2)/10)+2 + 29)</f>
        <v>260612_O2_ZETA_S3</v>
      </c>
    </row>
    <row r="57" spans="1:14">
      <c r="A57" s="23" t="s">
        <v>20</v>
      </c>
      <c r="B57" s="23" t="s">
        <v>108</v>
      </c>
      <c r="C57" s="23" t="s">
        <v>109</v>
      </c>
      <c r="D57" s="23" t="s">
        <v>28</v>
      </c>
      <c r="E57" s="23" t="s">
        <v>192</v>
      </c>
      <c r="F57" s="23">
        <v>6</v>
      </c>
      <c r="G57" s="23">
        <v>8</v>
      </c>
      <c r="H57" s="23">
        <v>9</v>
      </c>
      <c r="I57" s="23">
        <v>4017</v>
      </c>
      <c r="J57" s="23">
        <v>6199</v>
      </c>
      <c r="K57" s="23">
        <v>1179</v>
      </c>
      <c r="L57" s="23" t="s">
        <v>230</v>
      </c>
      <c r="M57" s="23">
        <f t="shared" si="0"/>
        <v>555</v>
      </c>
      <c r="N57" s="24" t="str">
        <f t="array" ref="N57">INDEX('MATCH INFO'!O:O, INT((ROW()-2)/10)+2 + 29)</f>
        <v>260612_O2_ZETA_S3</v>
      </c>
    </row>
    <row r="58" spans="1:14">
      <c r="A58" s="23" t="s">
        <v>20</v>
      </c>
      <c r="B58" s="23" t="s">
        <v>100</v>
      </c>
      <c r="C58" s="23" t="s">
        <v>101</v>
      </c>
      <c r="D58" s="23" t="s">
        <v>28</v>
      </c>
      <c r="E58" s="23" t="s">
        <v>192</v>
      </c>
      <c r="F58" s="23">
        <v>10</v>
      </c>
      <c r="G58" s="23">
        <v>9</v>
      </c>
      <c r="H58" s="23">
        <v>4</v>
      </c>
      <c r="I58" s="23">
        <v>10870</v>
      </c>
      <c r="J58" s="23">
        <v>2418</v>
      </c>
      <c r="K58" s="23">
        <v>8258</v>
      </c>
      <c r="L58" s="23" t="s">
        <v>230</v>
      </c>
      <c r="M58" s="23">
        <f t="shared" si="0"/>
        <v>555</v>
      </c>
      <c r="N58" s="24" t="str">
        <f t="array" ref="N58">INDEX('MATCH INFO'!O:O, INT((ROW()-2)/10)+2 + 29)</f>
        <v>260612_O2_ZETA_S3</v>
      </c>
    </row>
    <row r="59" spans="1:14">
      <c r="A59" s="23" t="s">
        <v>20</v>
      </c>
      <c r="B59" s="23" t="s">
        <v>111</v>
      </c>
      <c r="C59" s="23" t="s">
        <v>109</v>
      </c>
      <c r="D59" s="23" t="s">
        <v>28</v>
      </c>
      <c r="E59" s="23" t="s">
        <v>192</v>
      </c>
      <c r="F59" s="23">
        <v>8</v>
      </c>
      <c r="G59" s="23">
        <v>8</v>
      </c>
      <c r="H59" s="23">
        <v>7</v>
      </c>
      <c r="I59" s="23">
        <v>3600</v>
      </c>
      <c r="J59" s="23">
        <v>11676</v>
      </c>
      <c r="K59" s="23">
        <v>0</v>
      </c>
      <c r="L59" s="23" t="s">
        <v>230</v>
      </c>
      <c r="M59" s="23">
        <f t="shared" si="0"/>
        <v>555</v>
      </c>
      <c r="N59" s="24" t="str">
        <f t="array" ref="N59">INDEX('MATCH INFO'!O:O, INT((ROW()-2)/10)+2 + 29)</f>
        <v>260612_O2_ZETA_S3</v>
      </c>
    </row>
    <row r="60" spans="1:14">
      <c r="A60" s="23" t="s">
        <v>20</v>
      </c>
      <c r="B60" s="23" t="s">
        <v>106</v>
      </c>
      <c r="C60" s="23" t="s">
        <v>104</v>
      </c>
      <c r="D60" s="23" t="s">
        <v>28</v>
      </c>
      <c r="E60" s="23" t="s">
        <v>192</v>
      </c>
      <c r="F60" s="23">
        <v>12</v>
      </c>
      <c r="G60" s="23">
        <v>9</v>
      </c>
      <c r="H60" s="23">
        <v>0</v>
      </c>
      <c r="I60" s="23">
        <v>8436</v>
      </c>
      <c r="J60" s="23">
        <v>0</v>
      </c>
      <c r="K60" s="23">
        <v>0</v>
      </c>
      <c r="L60" s="23" t="s">
        <v>230</v>
      </c>
      <c r="M60" s="23">
        <f t="shared" si="0"/>
        <v>555</v>
      </c>
      <c r="N60" s="24" t="str">
        <f t="array" ref="N60">INDEX('MATCH INFO'!O:O, INT((ROW()-2)/10)+2 + 29)</f>
        <v>260612_O2_ZETA_S3</v>
      </c>
    </row>
    <row r="61" spans="1:14">
      <c r="A61" s="23" t="s">
        <v>20</v>
      </c>
      <c r="B61" s="23" t="s">
        <v>103</v>
      </c>
      <c r="C61" s="23" t="s">
        <v>104</v>
      </c>
      <c r="D61" s="23" t="s">
        <v>28</v>
      </c>
      <c r="E61" s="23" t="s">
        <v>192</v>
      </c>
      <c r="F61" s="23">
        <v>9</v>
      </c>
      <c r="G61" s="23">
        <v>7</v>
      </c>
      <c r="H61" s="23">
        <v>0</v>
      </c>
      <c r="I61" s="23">
        <v>9083</v>
      </c>
      <c r="J61" s="23">
        <v>1301</v>
      </c>
      <c r="K61" s="23">
        <v>0</v>
      </c>
      <c r="L61" s="23" t="s">
        <v>230</v>
      </c>
      <c r="M61" s="23">
        <f t="shared" si="0"/>
        <v>555</v>
      </c>
      <c r="N61" s="24" t="str">
        <f t="array" ref="N61">INDEX('MATCH INFO'!O:O, INT((ROW()-2)/10)+2 + 29)</f>
        <v>260612_O2_ZETA_S3</v>
      </c>
    </row>
    <row r="62" spans="1:14">
      <c r="A62" s="23" t="s">
        <v>32</v>
      </c>
      <c r="B62" s="23" t="s">
        <v>150</v>
      </c>
      <c r="C62" s="23" t="s">
        <v>109</v>
      </c>
      <c r="D62" s="23" t="s">
        <v>33</v>
      </c>
      <c r="E62" s="23" t="s">
        <v>188</v>
      </c>
      <c r="F62" s="23">
        <v>18</v>
      </c>
      <c r="G62" s="23">
        <v>1</v>
      </c>
      <c r="H62" s="23">
        <v>21</v>
      </c>
      <c r="I62" s="23">
        <v>1983</v>
      </c>
      <c r="J62" s="23">
        <v>6709</v>
      </c>
      <c r="K62" s="23">
        <v>0</v>
      </c>
      <c r="L62" s="23" t="s">
        <v>231</v>
      </c>
      <c r="M62" s="23">
        <f t="shared" si="0"/>
        <v>391</v>
      </c>
      <c r="N62" s="24" t="str">
        <f t="array" ref="N62">INDEX('MATCH INFO'!O:O, INT((ROW()-2)/10)+2 + 29)</f>
        <v>260612_CR_ROZE_S1</v>
      </c>
    </row>
    <row r="63" spans="1:14">
      <c r="A63" s="23" t="s">
        <v>32</v>
      </c>
      <c r="B63" s="23" t="s">
        <v>147</v>
      </c>
      <c r="C63" s="23" t="s">
        <v>104</v>
      </c>
      <c r="D63" s="23" t="s">
        <v>33</v>
      </c>
      <c r="E63" s="23" t="s">
        <v>188</v>
      </c>
      <c r="F63" s="23">
        <v>23</v>
      </c>
      <c r="G63" s="23">
        <v>1</v>
      </c>
      <c r="H63" s="23">
        <v>3</v>
      </c>
      <c r="I63" s="23">
        <v>7801</v>
      </c>
      <c r="J63" s="23">
        <v>515</v>
      </c>
      <c r="K63" s="23">
        <v>0</v>
      </c>
      <c r="L63" s="23" t="s">
        <v>231</v>
      </c>
      <c r="M63" s="23">
        <f t="shared" si="0"/>
        <v>391</v>
      </c>
      <c r="N63" s="24" t="str">
        <f t="array" ref="N63">INDEX('MATCH INFO'!O:O, INT((ROW()-2)/10)+2 + 29)</f>
        <v>260612_CR_ROZE_S1</v>
      </c>
    </row>
    <row r="64" spans="1:14">
      <c r="A64" s="23" t="s">
        <v>32</v>
      </c>
      <c r="B64" s="23" t="s">
        <v>148</v>
      </c>
      <c r="C64" s="23" t="s">
        <v>104</v>
      </c>
      <c r="D64" s="23" t="s">
        <v>33</v>
      </c>
      <c r="E64" s="23" t="s">
        <v>188</v>
      </c>
      <c r="F64" s="23">
        <v>22</v>
      </c>
      <c r="G64" s="23">
        <v>2</v>
      </c>
      <c r="H64" s="23">
        <v>3</v>
      </c>
      <c r="I64" s="23">
        <v>10496</v>
      </c>
      <c r="J64" s="23">
        <v>353</v>
      </c>
      <c r="K64" s="23">
        <v>697</v>
      </c>
      <c r="L64" s="23" t="s">
        <v>231</v>
      </c>
      <c r="M64" s="23">
        <f t="shared" si="0"/>
        <v>391</v>
      </c>
      <c r="N64" s="24" t="str">
        <f t="array" ref="N64">INDEX('MATCH INFO'!O:O, INT((ROW()-2)/10)+2 + 29)</f>
        <v>260612_CR_ROZE_S1</v>
      </c>
    </row>
    <row r="65" spans="1:14">
      <c r="A65" s="23" t="s">
        <v>32</v>
      </c>
      <c r="B65" s="23" t="s">
        <v>146</v>
      </c>
      <c r="C65" s="23" t="s">
        <v>101</v>
      </c>
      <c r="D65" s="23" t="s">
        <v>33</v>
      </c>
      <c r="E65" s="23" t="s">
        <v>188</v>
      </c>
      <c r="F65" s="23">
        <v>27</v>
      </c>
      <c r="G65" s="23">
        <v>0</v>
      </c>
      <c r="H65" s="23">
        <v>13</v>
      </c>
      <c r="I65" s="23">
        <v>8965</v>
      </c>
      <c r="J65" s="23">
        <v>1982</v>
      </c>
      <c r="K65" s="23">
        <v>3074</v>
      </c>
      <c r="L65" s="23" t="s">
        <v>231</v>
      </c>
      <c r="M65" s="23">
        <f t="shared" si="0"/>
        <v>391</v>
      </c>
      <c r="N65" s="24" t="str">
        <f t="array" ref="N65">INDEX('MATCH INFO'!O:O, INT((ROW()-2)/10)+2 + 29)</f>
        <v>260612_CR_ROZE_S1</v>
      </c>
    </row>
    <row r="66" spans="1:14">
      <c r="A66" s="23" t="s">
        <v>32</v>
      </c>
      <c r="B66" s="23" t="s">
        <v>151</v>
      </c>
      <c r="C66" s="23" t="s">
        <v>109</v>
      </c>
      <c r="D66" s="23" t="s">
        <v>33</v>
      </c>
      <c r="E66" s="23" t="s">
        <v>188</v>
      </c>
      <c r="F66" s="23">
        <v>16</v>
      </c>
      <c r="G66" s="23">
        <v>1</v>
      </c>
      <c r="H66" s="23">
        <v>21</v>
      </c>
      <c r="I66" s="23">
        <v>2750</v>
      </c>
      <c r="J66" s="23">
        <v>7395</v>
      </c>
      <c r="K66" s="23">
        <v>0</v>
      </c>
      <c r="L66" s="23" t="s">
        <v>231</v>
      </c>
      <c r="M66" s="23">
        <f t="shared" ref="M66:M129" si="1">L66*86400</f>
        <v>391</v>
      </c>
      <c r="N66" s="24" t="str">
        <f t="array" ref="N66">INDEX('MATCH INFO'!O:O, INT((ROW()-2)/10)+2 + 29)</f>
        <v>260612_CR_ROZE_S1</v>
      </c>
    </row>
    <row r="67" spans="1:14">
      <c r="A67" s="23" t="s">
        <v>21</v>
      </c>
      <c r="B67" s="23" t="s">
        <v>117</v>
      </c>
      <c r="C67" s="23" t="s">
        <v>104</v>
      </c>
      <c r="D67" s="23" t="s">
        <v>33</v>
      </c>
      <c r="E67" s="23" t="s">
        <v>188</v>
      </c>
      <c r="F67" s="23">
        <v>3</v>
      </c>
      <c r="G67" s="23">
        <v>5</v>
      </c>
      <c r="H67" s="23">
        <v>0</v>
      </c>
      <c r="I67" s="23">
        <v>4322</v>
      </c>
      <c r="J67" s="23">
        <v>193</v>
      </c>
      <c r="K67" s="23">
        <v>0</v>
      </c>
      <c r="L67" s="23" t="s">
        <v>231</v>
      </c>
      <c r="M67" s="23">
        <f t="shared" si="1"/>
        <v>391</v>
      </c>
      <c r="N67" s="24" t="str">
        <f t="array" ref="N67">INDEX('MATCH INFO'!O:O, INT((ROW()-2)/10)+2 + 29)</f>
        <v>260612_CR_ROZE_S1</v>
      </c>
    </row>
    <row r="68" spans="1:14">
      <c r="A68" s="23" t="s">
        <v>21</v>
      </c>
      <c r="B68" s="23" t="s">
        <v>116</v>
      </c>
      <c r="C68" s="23" t="s">
        <v>101</v>
      </c>
      <c r="D68" s="23" t="s">
        <v>33</v>
      </c>
      <c r="E68" s="23" t="s">
        <v>188</v>
      </c>
      <c r="F68" s="23">
        <v>3</v>
      </c>
      <c r="G68" s="23">
        <v>8</v>
      </c>
      <c r="H68" s="23">
        <v>4</v>
      </c>
      <c r="I68" s="23">
        <v>8773</v>
      </c>
      <c r="J68" s="23">
        <v>2086</v>
      </c>
      <c r="K68" s="23">
        <v>3337</v>
      </c>
      <c r="L68" s="23" t="s">
        <v>231</v>
      </c>
      <c r="M68" s="23">
        <f t="shared" si="1"/>
        <v>391</v>
      </c>
      <c r="N68" s="24" t="str">
        <f t="array" ref="N68">INDEX('MATCH INFO'!O:O, INT((ROW()-2)/10)+2 + 29)</f>
        <v>260612_CR_ROZE_S1</v>
      </c>
    </row>
    <row r="69" spans="1:14">
      <c r="A69" s="23" t="s">
        <v>21</v>
      </c>
      <c r="B69" s="23" t="s">
        <v>122</v>
      </c>
      <c r="C69" s="23" t="s">
        <v>109</v>
      </c>
      <c r="D69" s="23" t="s">
        <v>33</v>
      </c>
      <c r="E69" s="23" t="s">
        <v>188</v>
      </c>
      <c r="F69" s="23">
        <v>3</v>
      </c>
      <c r="G69" s="23">
        <v>8</v>
      </c>
      <c r="H69" s="23">
        <v>4</v>
      </c>
      <c r="I69" s="23">
        <v>2695</v>
      </c>
      <c r="J69" s="23">
        <v>7383</v>
      </c>
      <c r="K69" s="23">
        <v>0</v>
      </c>
      <c r="L69" s="23" t="s">
        <v>231</v>
      </c>
      <c r="M69" s="23">
        <f t="shared" si="1"/>
        <v>391</v>
      </c>
      <c r="N69" s="24" t="str">
        <f t="array" ref="N69">INDEX('MATCH INFO'!O:O, INT((ROW()-2)/10)+2 + 29)</f>
        <v>260612_CR_ROZE_S1</v>
      </c>
    </row>
    <row r="70" spans="1:14">
      <c r="A70" s="23" t="s">
        <v>21</v>
      </c>
      <c r="B70" s="23" t="s">
        <v>118</v>
      </c>
      <c r="C70" s="23" t="s">
        <v>104</v>
      </c>
      <c r="D70" s="23" t="s">
        <v>33</v>
      </c>
      <c r="E70" s="23" t="s">
        <v>188</v>
      </c>
      <c r="F70" s="23">
        <v>4</v>
      </c>
      <c r="G70" s="23">
        <v>8</v>
      </c>
      <c r="H70" s="23">
        <v>0</v>
      </c>
      <c r="I70" s="23">
        <v>7266</v>
      </c>
      <c r="J70" s="23">
        <v>0</v>
      </c>
      <c r="K70" s="23">
        <v>128</v>
      </c>
      <c r="L70" s="23" t="s">
        <v>231</v>
      </c>
      <c r="M70" s="23">
        <f t="shared" si="1"/>
        <v>391</v>
      </c>
      <c r="N70" s="24" t="str">
        <f t="array" ref="N70">INDEX('MATCH INFO'!O:O, INT((ROW()-2)/10)+2 + 29)</f>
        <v>260612_CR_ROZE_S1</v>
      </c>
    </row>
    <row r="71" spans="1:14">
      <c r="A71" s="23" t="s">
        <v>21</v>
      </c>
      <c r="B71" s="23" t="s">
        <v>120</v>
      </c>
      <c r="C71" s="23" t="s">
        <v>109</v>
      </c>
      <c r="D71" s="23" t="s">
        <v>33</v>
      </c>
      <c r="E71" s="23" t="s">
        <v>188</v>
      </c>
      <c r="F71" s="23">
        <v>1</v>
      </c>
      <c r="G71" s="23">
        <v>9</v>
      </c>
      <c r="H71" s="23">
        <v>3</v>
      </c>
      <c r="I71" s="23">
        <v>1519</v>
      </c>
      <c r="J71" s="23">
        <v>3634</v>
      </c>
      <c r="K71" s="23">
        <v>0</v>
      </c>
      <c r="L71" s="23" t="s">
        <v>231</v>
      </c>
      <c r="M71" s="23">
        <f t="shared" si="1"/>
        <v>391</v>
      </c>
      <c r="N71" s="24" t="str">
        <f t="array" ref="N71">INDEX('MATCH INFO'!O:O, INT((ROW()-2)/10)+2 + 29)</f>
        <v>260612_CR_ROZE_S1</v>
      </c>
    </row>
    <row r="72" spans="1:14">
      <c r="A72" s="23" t="s">
        <v>32</v>
      </c>
      <c r="B72" s="23" t="s">
        <v>150</v>
      </c>
      <c r="C72" s="23" t="s">
        <v>109</v>
      </c>
      <c r="D72" s="23" t="s">
        <v>61</v>
      </c>
      <c r="E72" s="23" t="s">
        <v>196</v>
      </c>
      <c r="F72" s="23">
        <v>16</v>
      </c>
      <c r="G72" s="23">
        <v>2</v>
      </c>
      <c r="H72" s="23">
        <v>20</v>
      </c>
      <c r="I72" s="23">
        <v>2434</v>
      </c>
      <c r="J72" s="23">
        <v>2636</v>
      </c>
      <c r="K72" s="23">
        <v>1173</v>
      </c>
      <c r="L72" s="23" t="s">
        <v>232</v>
      </c>
      <c r="M72" s="23">
        <f t="shared" si="1"/>
        <v>279</v>
      </c>
      <c r="N72" s="24" t="str">
        <f t="array" ref="N72">INDEX('MATCH INFO'!O:O, INT((ROW()-2)/10)+2 + 29)</f>
        <v>260612_CR_ROZE_S2</v>
      </c>
    </row>
    <row r="73" spans="1:14">
      <c r="A73" s="23" t="s">
        <v>32</v>
      </c>
      <c r="B73" s="23" t="s">
        <v>147</v>
      </c>
      <c r="C73" s="23" t="s">
        <v>104</v>
      </c>
      <c r="D73" s="23" t="s">
        <v>61</v>
      </c>
      <c r="E73" s="23" t="s">
        <v>196</v>
      </c>
      <c r="F73" s="23">
        <v>18</v>
      </c>
      <c r="G73" s="23">
        <v>0</v>
      </c>
      <c r="H73" s="23">
        <v>2</v>
      </c>
      <c r="I73" s="23">
        <v>4138</v>
      </c>
      <c r="J73" s="23">
        <v>90</v>
      </c>
      <c r="K73" s="23">
        <v>2494</v>
      </c>
      <c r="L73" s="23" t="s">
        <v>232</v>
      </c>
      <c r="M73" s="23">
        <f t="shared" si="1"/>
        <v>279</v>
      </c>
      <c r="N73" s="24" t="str">
        <f t="array" ref="N73">INDEX('MATCH INFO'!O:O, INT((ROW()-2)/10)+2 + 29)</f>
        <v>260612_CR_ROZE_S2</v>
      </c>
    </row>
    <row r="74" spans="1:14">
      <c r="A74" s="23" t="s">
        <v>32</v>
      </c>
      <c r="B74" s="23" t="s">
        <v>148</v>
      </c>
      <c r="C74" s="23" t="s">
        <v>104</v>
      </c>
      <c r="D74" s="23" t="s">
        <v>61</v>
      </c>
      <c r="E74" s="23" t="s">
        <v>196</v>
      </c>
      <c r="F74" s="23">
        <v>15</v>
      </c>
      <c r="G74" s="23">
        <v>1</v>
      </c>
      <c r="H74" s="23">
        <v>4</v>
      </c>
      <c r="I74" s="23">
        <v>6550</v>
      </c>
      <c r="J74" s="23">
        <v>0</v>
      </c>
      <c r="K74" s="23">
        <v>0</v>
      </c>
      <c r="L74" s="23" t="s">
        <v>232</v>
      </c>
      <c r="M74" s="23">
        <f t="shared" si="1"/>
        <v>279</v>
      </c>
      <c r="N74" s="24" t="str">
        <f t="array" ref="N74">INDEX('MATCH INFO'!O:O, INT((ROW()-2)/10)+2 + 29)</f>
        <v>260612_CR_ROZE_S2</v>
      </c>
    </row>
    <row r="75" spans="1:14">
      <c r="A75" s="23" t="s">
        <v>32</v>
      </c>
      <c r="B75" s="23" t="s">
        <v>146</v>
      </c>
      <c r="C75" s="23" t="s">
        <v>101</v>
      </c>
      <c r="D75" s="23" t="s">
        <v>61</v>
      </c>
      <c r="E75" s="23" t="s">
        <v>196</v>
      </c>
      <c r="F75" s="23">
        <v>20</v>
      </c>
      <c r="G75" s="23">
        <v>0</v>
      </c>
      <c r="H75" s="23">
        <v>3</v>
      </c>
      <c r="I75" s="23">
        <v>6805</v>
      </c>
      <c r="J75" s="23">
        <v>0</v>
      </c>
      <c r="K75" s="23">
        <v>8447</v>
      </c>
      <c r="L75" s="23" t="s">
        <v>232</v>
      </c>
      <c r="M75" s="23">
        <f t="shared" si="1"/>
        <v>279</v>
      </c>
      <c r="N75" s="24" t="str">
        <f t="array" ref="N75">INDEX('MATCH INFO'!O:O, INT((ROW()-2)/10)+2 + 29)</f>
        <v>260612_CR_ROZE_S2</v>
      </c>
    </row>
    <row r="76" spans="1:14">
      <c r="A76" s="23" t="s">
        <v>32</v>
      </c>
      <c r="B76" s="23" t="s">
        <v>151</v>
      </c>
      <c r="C76" s="23" t="s">
        <v>109</v>
      </c>
      <c r="D76" s="23" t="s">
        <v>61</v>
      </c>
      <c r="E76" s="23" t="s">
        <v>196</v>
      </c>
      <c r="F76" s="23">
        <v>18</v>
      </c>
      <c r="G76" s="23">
        <v>0</v>
      </c>
      <c r="H76" s="23">
        <v>21</v>
      </c>
      <c r="I76" s="23">
        <v>1907</v>
      </c>
      <c r="J76" s="23">
        <v>6851</v>
      </c>
      <c r="K76" s="23">
        <v>59</v>
      </c>
      <c r="L76" s="23" t="s">
        <v>232</v>
      </c>
      <c r="M76" s="23">
        <f t="shared" si="1"/>
        <v>279</v>
      </c>
      <c r="N76" s="24" t="str">
        <f t="array" ref="N76">INDEX('MATCH INFO'!O:O, INT((ROW()-2)/10)+2 + 29)</f>
        <v>260612_CR_ROZE_S2</v>
      </c>
    </row>
    <row r="77" spans="1:14">
      <c r="A77" s="23" t="s">
        <v>21</v>
      </c>
      <c r="B77" s="23" t="s">
        <v>117</v>
      </c>
      <c r="C77" s="23" t="s">
        <v>104</v>
      </c>
      <c r="D77" s="23" t="s">
        <v>61</v>
      </c>
      <c r="E77" s="23" t="s">
        <v>196</v>
      </c>
      <c r="F77" s="23">
        <v>1</v>
      </c>
      <c r="G77" s="23">
        <v>6</v>
      </c>
      <c r="H77" s="23">
        <v>1</v>
      </c>
      <c r="I77" s="23">
        <v>2669</v>
      </c>
      <c r="J77" s="23">
        <v>194</v>
      </c>
      <c r="K77" s="23">
        <v>588</v>
      </c>
      <c r="L77" s="23" t="s">
        <v>232</v>
      </c>
      <c r="M77" s="23">
        <f t="shared" si="1"/>
        <v>279</v>
      </c>
      <c r="N77" s="24" t="str">
        <f t="array" ref="N77">INDEX('MATCH INFO'!O:O, INT((ROW()-2)/10)+2 + 29)</f>
        <v>260612_CR_ROZE_S2</v>
      </c>
    </row>
    <row r="78" spans="1:14">
      <c r="A78" s="23" t="s">
        <v>21</v>
      </c>
      <c r="B78" s="23" t="s">
        <v>122</v>
      </c>
      <c r="C78" s="23" t="s">
        <v>109</v>
      </c>
      <c r="D78" s="23" t="s">
        <v>61</v>
      </c>
      <c r="E78" s="23" t="s">
        <v>196</v>
      </c>
      <c r="F78" s="23">
        <v>1</v>
      </c>
      <c r="G78" s="23">
        <v>6</v>
      </c>
      <c r="H78" s="23">
        <v>2</v>
      </c>
      <c r="I78" s="23">
        <v>1562</v>
      </c>
      <c r="J78" s="23">
        <v>5626</v>
      </c>
      <c r="K78" s="23">
        <v>0</v>
      </c>
      <c r="L78" s="23" t="s">
        <v>232</v>
      </c>
      <c r="M78" s="23">
        <f t="shared" si="1"/>
        <v>279</v>
      </c>
      <c r="N78" s="24" t="str">
        <f t="array" ref="N78">INDEX('MATCH INFO'!O:O, INT((ROW()-2)/10)+2 + 29)</f>
        <v>260612_CR_ROZE_S2</v>
      </c>
    </row>
    <row r="79" spans="1:14">
      <c r="A79" s="23" t="s">
        <v>21</v>
      </c>
      <c r="B79" s="23" t="s">
        <v>118</v>
      </c>
      <c r="C79" s="23" t="s">
        <v>104</v>
      </c>
      <c r="D79" s="23" t="s">
        <v>61</v>
      </c>
      <c r="E79" s="23" t="s">
        <v>196</v>
      </c>
      <c r="F79" s="23">
        <v>3</v>
      </c>
      <c r="G79" s="23">
        <v>5</v>
      </c>
      <c r="H79" s="23">
        <v>1</v>
      </c>
      <c r="I79" s="23">
        <v>3648</v>
      </c>
      <c r="J79" s="23">
        <v>0</v>
      </c>
      <c r="K79" s="23">
        <v>175</v>
      </c>
      <c r="L79" s="23" t="s">
        <v>232</v>
      </c>
      <c r="M79" s="23">
        <f t="shared" si="1"/>
        <v>279</v>
      </c>
      <c r="N79" s="24" t="str">
        <f t="array" ref="N79">INDEX('MATCH INFO'!O:O, INT((ROW()-2)/10)+2 + 29)</f>
        <v>260612_CR_ROZE_S2</v>
      </c>
    </row>
    <row r="80" spans="1:14">
      <c r="A80" s="23" t="s">
        <v>21</v>
      </c>
      <c r="B80" s="23" t="s">
        <v>120</v>
      </c>
      <c r="C80" s="23" t="s">
        <v>109</v>
      </c>
      <c r="D80" s="23" t="s">
        <v>61</v>
      </c>
      <c r="E80" s="23" t="s">
        <v>196</v>
      </c>
      <c r="F80" s="23">
        <v>2</v>
      </c>
      <c r="G80" s="23">
        <v>6</v>
      </c>
      <c r="H80" s="23">
        <v>1</v>
      </c>
      <c r="I80" s="23">
        <v>1030</v>
      </c>
      <c r="J80" s="23">
        <v>4337</v>
      </c>
      <c r="K80" s="23">
        <v>1010</v>
      </c>
      <c r="L80" s="23" t="s">
        <v>232</v>
      </c>
      <c r="M80" s="23">
        <f t="shared" si="1"/>
        <v>279</v>
      </c>
      <c r="N80" s="24" t="str">
        <f t="array" ref="N80">INDEX('MATCH INFO'!O:O, INT((ROW()-2)/10)+2 + 29)</f>
        <v>260612_CR_ROZE_S2</v>
      </c>
    </row>
    <row r="81" spans="1:14">
      <c r="A81" s="23" t="s">
        <v>21</v>
      </c>
      <c r="B81" s="23" t="s">
        <v>115</v>
      </c>
      <c r="C81" s="23" t="s">
        <v>101</v>
      </c>
      <c r="D81" s="23" t="s">
        <v>61</v>
      </c>
      <c r="E81" s="23" t="s">
        <v>196</v>
      </c>
      <c r="F81" s="23">
        <v>1</v>
      </c>
      <c r="G81" s="23">
        <v>5</v>
      </c>
      <c r="H81" s="23">
        <v>1</v>
      </c>
      <c r="I81" s="23">
        <v>4168</v>
      </c>
      <c r="J81" s="23">
        <v>350</v>
      </c>
      <c r="K81" s="23">
        <v>5985</v>
      </c>
      <c r="L81" s="23" t="s">
        <v>232</v>
      </c>
      <c r="M81" s="23">
        <f t="shared" si="1"/>
        <v>279</v>
      </c>
      <c r="N81" s="24" t="str">
        <f t="array" ref="N81">INDEX('MATCH INFO'!O:O, INT((ROW()-2)/10)+2 + 29)</f>
        <v>260612_CR_ROZE_S2</v>
      </c>
    </row>
    <row r="82" spans="1:14">
      <c r="A82" s="23" t="s">
        <v>21</v>
      </c>
      <c r="B82" s="23" t="s">
        <v>117</v>
      </c>
      <c r="C82" s="23" t="s">
        <v>104</v>
      </c>
      <c r="D82" s="23" t="s">
        <v>28</v>
      </c>
      <c r="E82" s="23" t="s">
        <v>192</v>
      </c>
      <c r="F82" s="23">
        <v>10</v>
      </c>
      <c r="G82" s="23">
        <v>8</v>
      </c>
      <c r="H82" s="23">
        <v>3</v>
      </c>
      <c r="I82" s="23">
        <v>4467</v>
      </c>
      <c r="J82" s="23">
        <v>51</v>
      </c>
      <c r="K82" s="23">
        <v>4358</v>
      </c>
      <c r="L82" s="23" t="s">
        <v>214</v>
      </c>
      <c r="M82" s="23">
        <f t="shared" si="1"/>
        <v>614</v>
      </c>
      <c r="N82" s="24" t="str">
        <f t="array" ref="N82">INDEX('MATCH INFO'!O:O, INT((ROW()-2)/10)+2 + 29)</f>
        <v>260612_CR_ROZE_S3</v>
      </c>
    </row>
    <row r="83" spans="1:14">
      <c r="A83" s="23" t="s">
        <v>21</v>
      </c>
      <c r="B83" s="23" t="s">
        <v>116</v>
      </c>
      <c r="C83" s="23" t="s">
        <v>101</v>
      </c>
      <c r="D83" s="23" t="s">
        <v>28</v>
      </c>
      <c r="E83" s="23" t="s">
        <v>192</v>
      </c>
      <c r="F83" s="23">
        <v>15</v>
      </c>
      <c r="G83" s="23">
        <v>7</v>
      </c>
      <c r="H83" s="23">
        <v>0</v>
      </c>
      <c r="I83" s="23">
        <v>7518</v>
      </c>
      <c r="J83" s="23">
        <v>829</v>
      </c>
      <c r="K83" s="23">
        <v>16461</v>
      </c>
      <c r="L83" s="23" t="s">
        <v>214</v>
      </c>
      <c r="M83" s="23">
        <f t="shared" si="1"/>
        <v>614</v>
      </c>
      <c r="N83" s="24" t="str">
        <f t="array" ref="N83">INDEX('MATCH INFO'!O:O, INT((ROW()-2)/10)+2 + 29)</f>
        <v>260612_CR_ROZE_S3</v>
      </c>
    </row>
    <row r="84" spans="1:14">
      <c r="A84" s="23" t="s">
        <v>21</v>
      </c>
      <c r="B84" s="23" t="s">
        <v>122</v>
      </c>
      <c r="C84" s="23" t="s">
        <v>109</v>
      </c>
      <c r="D84" s="23" t="s">
        <v>28</v>
      </c>
      <c r="E84" s="23" t="s">
        <v>192</v>
      </c>
      <c r="F84" s="23">
        <v>4</v>
      </c>
      <c r="G84" s="23">
        <v>8</v>
      </c>
      <c r="H84" s="23">
        <v>15</v>
      </c>
      <c r="I84" s="23">
        <v>2676</v>
      </c>
      <c r="J84" s="23">
        <v>16162</v>
      </c>
      <c r="K84" s="23">
        <v>308</v>
      </c>
      <c r="L84" s="23" t="s">
        <v>214</v>
      </c>
      <c r="M84" s="23">
        <f t="shared" si="1"/>
        <v>614</v>
      </c>
      <c r="N84" s="24" t="str">
        <f t="array" ref="N84">INDEX('MATCH INFO'!O:O, INT((ROW()-2)/10)+2 + 29)</f>
        <v>260612_CR_ROZE_S3</v>
      </c>
    </row>
    <row r="85" spans="1:14">
      <c r="A85" s="23" t="s">
        <v>21</v>
      </c>
      <c r="B85" s="23" t="s">
        <v>118</v>
      </c>
      <c r="C85" s="23" t="s">
        <v>104</v>
      </c>
      <c r="D85" s="23" t="s">
        <v>28</v>
      </c>
      <c r="E85" s="23" t="s">
        <v>192</v>
      </c>
      <c r="F85" s="23">
        <v>12</v>
      </c>
      <c r="G85" s="23">
        <v>9</v>
      </c>
      <c r="H85" s="23">
        <v>1</v>
      </c>
      <c r="I85" s="23">
        <v>9529</v>
      </c>
      <c r="J85" s="23">
        <v>0</v>
      </c>
      <c r="K85" s="23">
        <v>337</v>
      </c>
      <c r="L85" s="23" t="s">
        <v>214</v>
      </c>
      <c r="M85" s="23">
        <f t="shared" si="1"/>
        <v>614</v>
      </c>
      <c r="N85" s="24" t="str">
        <f t="array" ref="N85">INDEX('MATCH INFO'!O:O, INT((ROW()-2)/10)+2 + 29)</f>
        <v>260612_CR_ROZE_S3</v>
      </c>
    </row>
    <row r="86" spans="1:14">
      <c r="A86" s="23" t="s">
        <v>21</v>
      </c>
      <c r="B86" s="23" t="s">
        <v>120</v>
      </c>
      <c r="C86" s="23" t="s">
        <v>109</v>
      </c>
      <c r="D86" s="23" t="s">
        <v>28</v>
      </c>
      <c r="E86" s="23" t="s">
        <v>192</v>
      </c>
      <c r="F86" s="23">
        <v>7</v>
      </c>
      <c r="G86" s="23">
        <v>8</v>
      </c>
      <c r="H86" s="23">
        <v>10</v>
      </c>
      <c r="I86" s="23">
        <v>2520</v>
      </c>
      <c r="J86" s="23">
        <v>7045</v>
      </c>
      <c r="K86" s="23">
        <v>2203</v>
      </c>
      <c r="L86" s="23" t="s">
        <v>214</v>
      </c>
      <c r="M86" s="23">
        <f t="shared" si="1"/>
        <v>614</v>
      </c>
      <c r="N86" s="24" t="str">
        <f t="array" ref="N86">INDEX('MATCH INFO'!O:O, INT((ROW()-2)/10)+2 + 29)</f>
        <v>260612_CR_ROZE_S3</v>
      </c>
    </row>
    <row r="87" spans="1:14">
      <c r="A87" s="23" t="s">
        <v>32</v>
      </c>
      <c r="B87" s="23" t="s">
        <v>150</v>
      </c>
      <c r="C87" s="23" t="s">
        <v>109</v>
      </c>
      <c r="D87" s="23" t="s">
        <v>28</v>
      </c>
      <c r="E87" s="23" t="s">
        <v>192</v>
      </c>
      <c r="F87" s="23">
        <v>21</v>
      </c>
      <c r="G87" s="23">
        <v>4</v>
      </c>
      <c r="H87" s="23">
        <v>20</v>
      </c>
      <c r="I87" s="23">
        <v>5396</v>
      </c>
      <c r="J87" s="23">
        <v>6367</v>
      </c>
      <c r="K87" s="23">
        <v>2093</v>
      </c>
      <c r="L87" s="23" t="s">
        <v>214</v>
      </c>
      <c r="M87" s="23">
        <f t="shared" si="1"/>
        <v>614</v>
      </c>
      <c r="N87" s="24" t="str">
        <f t="array" ref="N87">INDEX('MATCH INFO'!O:O, INT((ROW()-2)/10)+2 + 29)</f>
        <v>260612_CR_ROZE_S3</v>
      </c>
    </row>
    <row r="88" spans="1:14">
      <c r="A88" s="23" t="s">
        <v>32</v>
      </c>
      <c r="B88" s="23" t="s">
        <v>147</v>
      </c>
      <c r="C88" s="23" t="s">
        <v>104</v>
      </c>
      <c r="D88" s="23" t="s">
        <v>28</v>
      </c>
      <c r="E88" s="23" t="s">
        <v>192</v>
      </c>
      <c r="F88" s="23">
        <v>32</v>
      </c>
      <c r="G88" s="23">
        <v>2</v>
      </c>
      <c r="H88" s="23">
        <v>11</v>
      </c>
      <c r="I88" s="23">
        <v>13536</v>
      </c>
      <c r="J88" s="23">
        <v>0</v>
      </c>
      <c r="K88" s="23">
        <v>0</v>
      </c>
      <c r="L88" s="23" t="s">
        <v>214</v>
      </c>
      <c r="M88" s="23">
        <f t="shared" si="1"/>
        <v>614</v>
      </c>
      <c r="N88" s="24" t="str">
        <f t="array" ref="N88">INDEX('MATCH INFO'!O:O, INT((ROW()-2)/10)+2 + 29)</f>
        <v>260612_CR_ROZE_S3</v>
      </c>
    </row>
    <row r="89" spans="1:14">
      <c r="A89" s="23" t="s">
        <v>32</v>
      </c>
      <c r="B89" s="23" t="s">
        <v>148</v>
      </c>
      <c r="C89" s="23" t="s">
        <v>104</v>
      </c>
      <c r="D89" s="23" t="s">
        <v>28</v>
      </c>
      <c r="E89" s="23" t="s">
        <v>192</v>
      </c>
      <c r="F89" s="23">
        <v>19</v>
      </c>
      <c r="G89" s="23">
        <v>8</v>
      </c>
      <c r="H89" s="23">
        <v>0</v>
      </c>
      <c r="I89" s="23">
        <v>7110</v>
      </c>
      <c r="J89" s="23">
        <v>0</v>
      </c>
      <c r="K89" s="23">
        <v>73</v>
      </c>
      <c r="L89" s="23" t="s">
        <v>214</v>
      </c>
      <c r="M89" s="23">
        <f t="shared" si="1"/>
        <v>614</v>
      </c>
      <c r="N89" s="24" t="str">
        <f t="array" ref="N89">INDEX('MATCH INFO'!O:O, INT((ROW()-2)/10)+2 + 29)</f>
        <v>260612_CR_ROZE_S3</v>
      </c>
    </row>
    <row r="90" spans="1:14">
      <c r="A90" s="23" t="s">
        <v>32</v>
      </c>
      <c r="B90" s="23" t="s">
        <v>146</v>
      </c>
      <c r="C90" s="23" t="s">
        <v>101</v>
      </c>
      <c r="D90" s="23" t="s">
        <v>28</v>
      </c>
      <c r="E90" s="23" t="s">
        <v>192</v>
      </c>
      <c r="F90" s="23">
        <v>27</v>
      </c>
      <c r="G90" s="23">
        <v>3</v>
      </c>
      <c r="H90" s="23">
        <v>14</v>
      </c>
      <c r="I90" s="23">
        <v>10743</v>
      </c>
      <c r="J90" s="23">
        <v>0</v>
      </c>
      <c r="K90" s="23">
        <v>7285</v>
      </c>
      <c r="L90" s="23" t="s">
        <v>214</v>
      </c>
      <c r="M90" s="23">
        <f t="shared" si="1"/>
        <v>614</v>
      </c>
      <c r="N90" s="24" t="str">
        <f t="array" ref="N90">INDEX('MATCH INFO'!O:O, INT((ROW()-2)/10)+2 + 29)</f>
        <v>260612_CR_ROZE_S3</v>
      </c>
    </row>
    <row r="91" spans="1:14">
      <c r="A91" s="23" t="s">
        <v>32</v>
      </c>
      <c r="B91" s="23" t="s">
        <v>151</v>
      </c>
      <c r="C91" s="23" t="s">
        <v>109</v>
      </c>
      <c r="D91" s="23" t="s">
        <v>28</v>
      </c>
      <c r="E91" s="23" t="s">
        <v>192</v>
      </c>
      <c r="F91" s="23">
        <v>15</v>
      </c>
      <c r="G91" s="23">
        <v>3</v>
      </c>
      <c r="H91" s="23">
        <v>21</v>
      </c>
      <c r="I91" s="23">
        <v>4771</v>
      </c>
      <c r="J91" s="23">
        <v>10389</v>
      </c>
      <c r="K91" s="23">
        <v>0</v>
      </c>
      <c r="L91" s="23" t="s">
        <v>214</v>
      </c>
      <c r="M91" s="23">
        <f t="shared" si="1"/>
        <v>614</v>
      </c>
      <c r="N91" s="24" t="str">
        <f t="array" ref="N91">INDEX('MATCH INFO'!O:O, INT((ROW()-2)/10)+2 + 29)</f>
        <v>260612_CR_ROZE_S3</v>
      </c>
    </row>
    <row r="92" spans="1:14">
      <c r="A92" s="23" t="s">
        <v>50</v>
      </c>
      <c r="B92" s="23" t="s">
        <v>136</v>
      </c>
      <c r="C92" s="23" t="s">
        <v>109</v>
      </c>
      <c r="D92" s="23" t="s">
        <v>22</v>
      </c>
      <c r="E92" s="23" t="s">
        <v>188</v>
      </c>
      <c r="F92" s="23">
        <v>0</v>
      </c>
      <c r="G92" s="23">
        <v>3</v>
      </c>
      <c r="H92" s="23">
        <v>2</v>
      </c>
      <c r="I92" s="23">
        <v>2743</v>
      </c>
      <c r="J92" s="23">
        <v>6236</v>
      </c>
      <c r="K92" s="23">
        <v>0</v>
      </c>
      <c r="L92" s="23" t="s">
        <v>233</v>
      </c>
      <c r="M92" s="23">
        <f t="shared" si="1"/>
        <v>370</v>
      </c>
      <c r="N92" s="24" t="str">
        <f t="array" ref="N92">INDEX('MATCH INFO'!O:O, INT((ROW()-2)/10)+2 + 29)</f>
        <v>260613_PF_FLC_S1</v>
      </c>
    </row>
    <row r="93" spans="1:14">
      <c r="A93" s="23" t="s">
        <v>50</v>
      </c>
      <c r="B93" s="23" t="s">
        <v>133</v>
      </c>
      <c r="C93" s="23" t="s">
        <v>104</v>
      </c>
      <c r="D93" s="23" t="s">
        <v>22</v>
      </c>
      <c r="E93" s="23" t="s">
        <v>188</v>
      </c>
      <c r="F93" s="23">
        <v>3</v>
      </c>
      <c r="G93" s="23">
        <v>7</v>
      </c>
      <c r="H93" s="23">
        <v>0</v>
      </c>
      <c r="I93" s="23">
        <v>4298</v>
      </c>
      <c r="J93" s="23">
        <v>604</v>
      </c>
      <c r="K93" s="23">
        <v>0</v>
      </c>
      <c r="L93" s="23" t="s">
        <v>233</v>
      </c>
      <c r="M93" s="23">
        <f t="shared" si="1"/>
        <v>370</v>
      </c>
      <c r="N93" s="24" t="str">
        <f t="array" ref="N93">INDEX('MATCH INFO'!O:O, INT((ROW()-2)/10)+2 + 29)</f>
        <v>260613_PF_FLC_S1</v>
      </c>
    </row>
    <row r="94" spans="1:14">
      <c r="A94" s="23" t="s">
        <v>50</v>
      </c>
      <c r="B94" s="23" t="s">
        <v>131</v>
      </c>
      <c r="C94" s="23" t="s">
        <v>101</v>
      </c>
      <c r="D94" s="23" t="s">
        <v>22</v>
      </c>
      <c r="E94" s="23" t="s">
        <v>188</v>
      </c>
      <c r="F94" s="23">
        <v>3</v>
      </c>
      <c r="G94" s="23">
        <v>3</v>
      </c>
      <c r="H94" s="23">
        <v>0</v>
      </c>
      <c r="I94" s="23">
        <v>5674</v>
      </c>
      <c r="J94" s="23">
        <v>1373</v>
      </c>
      <c r="K94" s="23">
        <v>3456</v>
      </c>
      <c r="L94" s="23" t="s">
        <v>233</v>
      </c>
      <c r="M94" s="23">
        <f t="shared" si="1"/>
        <v>370</v>
      </c>
      <c r="N94" s="24" t="str">
        <f t="array" ref="N94">INDEX('MATCH INFO'!O:O, INT((ROW()-2)/10)+2 + 29)</f>
        <v>260613_PF_FLC_S1</v>
      </c>
    </row>
    <row r="95" spans="1:14">
      <c r="A95" s="23" t="s">
        <v>50</v>
      </c>
      <c r="B95" s="23" t="s">
        <v>134</v>
      </c>
      <c r="C95" s="23" t="s">
        <v>104</v>
      </c>
      <c r="D95" s="23" t="s">
        <v>22</v>
      </c>
      <c r="E95" s="23" t="s">
        <v>188</v>
      </c>
      <c r="F95" s="23">
        <v>2</v>
      </c>
      <c r="G95" s="23">
        <v>5</v>
      </c>
      <c r="H95" s="23">
        <v>0</v>
      </c>
      <c r="I95" s="23">
        <v>9862</v>
      </c>
      <c r="J95" s="23">
        <v>161</v>
      </c>
      <c r="K95" s="23">
        <v>1702</v>
      </c>
      <c r="L95" s="23" t="s">
        <v>233</v>
      </c>
      <c r="M95" s="23">
        <f t="shared" si="1"/>
        <v>370</v>
      </c>
      <c r="N95" s="24" t="str">
        <f t="array" ref="N95">INDEX('MATCH INFO'!O:O, INT((ROW()-2)/10)+2 + 29)</f>
        <v>260613_PF_FLC_S1</v>
      </c>
    </row>
    <row r="96" spans="1:14">
      <c r="A96" s="23" t="s">
        <v>50</v>
      </c>
      <c r="B96" s="23" t="s">
        <v>135</v>
      </c>
      <c r="C96" s="23" t="s">
        <v>109</v>
      </c>
      <c r="D96" s="23" t="s">
        <v>22</v>
      </c>
      <c r="E96" s="23" t="s">
        <v>188</v>
      </c>
      <c r="F96" s="23">
        <v>1</v>
      </c>
      <c r="G96" s="23">
        <v>2</v>
      </c>
      <c r="H96" s="23">
        <v>1</v>
      </c>
      <c r="I96" s="23">
        <v>911</v>
      </c>
      <c r="J96" s="23">
        <v>5646</v>
      </c>
      <c r="K96" s="23">
        <v>0</v>
      </c>
      <c r="L96" s="23" t="s">
        <v>233</v>
      </c>
      <c r="M96" s="23">
        <f t="shared" si="1"/>
        <v>370</v>
      </c>
      <c r="N96" s="24" t="str">
        <f t="array" ref="N96">INDEX('MATCH INFO'!O:O, INT((ROW()-2)/10)+2 + 29)</f>
        <v>260613_PF_FLC_S1</v>
      </c>
    </row>
    <row r="97" spans="1:14">
      <c r="A97" s="23" t="s">
        <v>31</v>
      </c>
      <c r="B97" s="23" t="s">
        <v>165</v>
      </c>
      <c r="C97" s="23" t="s">
        <v>109</v>
      </c>
      <c r="D97" s="23" t="s">
        <v>22</v>
      </c>
      <c r="E97" s="23" t="s">
        <v>188</v>
      </c>
      <c r="F97" s="23">
        <v>9</v>
      </c>
      <c r="G97" s="23">
        <v>0</v>
      </c>
      <c r="H97" s="23">
        <v>6</v>
      </c>
      <c r="I97" s="23">
        <v>1795</v>
      </c>
      <c r="J97" s="23">
        <v>6943</v>
      </c>
      <c r="K97" s="23">
        <v>0</v>
      </c>
      <c r="L97" s="23" t="s">
        <v>233</v>
      </c>
      <c r="M97" s="23">
        <f t="shared" si="1"/>
        <v>370</v>
      </c>
      <c r="N97" s="24" t="str">
        <f t="array" ref="N97">INDEX('MATCH INFO'!O:O, INT((ROW()-2)/10)+2 + 29)</f>
        <v>260613_PF_FLC_S1</v>
      </c>
    </row>
    <row r="98" spans="1:14">
      <c r="A98" s="23" t="s">
        <v>31</v>
      </c>
      <c r="B98" s="23" t="s">
        <v>166</v>
      </c>
      <c r="C98" s="23" t="s">
        <v>109</v>
      </c>
      <c r="D98" s="23" t="s">
        <v>22</v>
      </c>
      <c r="E98" s="23" t="s">
        <v>188</v>
      </c>
      <c r="F98" s="23">
        <v>9</v>
      </c>
      <c r="G98" s="23">
        <v>2</v>
      </c>
      <c r="H98" s="23">
        <v>14</v>
      </c>
      <c r="I98" s="23">
        <v>2857</v>
      </c>
      <c r="J98" s="23">
        <v>7829</v>
      </c>
      <c r="K98" s="23">
        <v>0</v>
      </c>
      <c r="L98" s="23" t="s">
        <v>233</v>
      </c>
      <c r="M98" s="23">
        <f t="shared" si="1"/>
        <v>370</v>
      </c>
      <c r="N98" s="24" t="str">
        <f t="array" ref="N98">INDEX('MATCH INFO'!O:O, INT((ROW()-2)/10)+2 + 29)</f>
        <v>260613_PF_FLC_S1</v>
      </c>
    </row>
    <row r="99" spans="1:14">
      <c r="A99" s="23" t="s">
        <v>31</v>
      </c>
      <c r="B99" s="23" t="s">
        <v>161</v>
      </c>
      <c r="C99" s="23" t="s">
        <v>101</v>
      </c>
      <c r="D99" s="23" t="s">
        <v>22</v>
      </c>
      <c r="E99" s="23" t="s">
        <v>188</v>
      </c>
      <c r="F99" s="23">
        <v>11</v>
      </c>
      <c r="G99" s="23">
        <v>1</v>
      </c>
      <c r="H99" s="23">
        <v>6</v>
      </c>
      <c r="I99" s="23">
        <v>8022</v>
      </c>
      <c r="J99" s="23">
        <v>1402</v>
      </c>
      <c r="K99" s="23">
        <v>2463</v>
      </c>
      <c r="L99" s="23" t="s">
        <v>233</v>
      </c>
      <c r="M99" s="23">
        <f t="shared" si="1"/>
        <v>370</v>
      </c>
      <c r="N99" s="24" t="str">
        <f t="array" ref="N99">INDEX('MATCH INFO'!O:O, INT((ROW()-2)/10)+2 + 29)</f>
        <v>260613_PF_FLC_S1</v>
      </c>
    </row>
    <row r="100" spans="1:14">
      <c r="A100" s="23" t="s">
        <v>31</v>
      </c>
      <c r="B100" s="23" t="s">
        <v>164</v>
      </c>
      <c r="C100" s="23" t="s">
        <v>104</v>
      </c>
      <c r="D100" s="23" t="s">
        <v>22</v>
      </c>
      <c r="E100" s="23" t="s">
        <v>188</v>
      </c>
      <c r="F100" s="23">
        <v>12</v>
      </c>
      <c r="G100" s="23">
        <v>0</v>
      </c>
      <c r="H100" s="23">
        <v>2</v>
      </c>
      <c r="I100" s="23">
        <v>11624</v>
      </c>
      <c r="J100" s="23">
        <v>510</v>
      </c>
      <c r="K100" s="23">
        <v>1508</v>
      </c>
      <c r="L100" s="23" t="s">
        <v>233</v>
      </c>
      <c r="M100" s="23">
        <f t="shared" si="1"/>
        <v>370</v>
      </c>
      <c r="N100" s="24" t="str">
        <f t="array" ref="N100">INDEX('MATCH INFO'!O:O, INT((ROW()-2)/10)+2 + 29)</f>
        <v>260613_PF_FLC_S1</v>
      </c>
    </row>
    <row r="101" spans="1:14">
      <c r="A101" s="23" t="s">
        <v>31</v>
      </c>
      <c r="B101" s="23" t="s">
        <v>162</v>
      </c>
      <c r="C101" s="23" t="s">
        <v>104</v>
      </c>
      <c r="D101" s="23" t="s">
        <v>22</v>
      </c>
      <c r="E101" s="23" t="s">
        <v>188</v>
      </c>
      <c r="F101" s="23">
        <v>12</v>
      </c>
      <c r="G101" s="23">
        <v>1</v>
      </c>
      <c r="H101" s="23">
        <v>0</v>
      </c>
      <c r="I101" s="23">
        <v>5092</v>
      </c>
      <c r="J101" s="23">
        <v>812</v>
      </c>
      <c r="K101" s="23">
        <v>0</v>
      </c>
      <c r="L101" s="23" t="s">
        <v>233</v>
      </c>
      <c r="M101" s="23">
        <f t="shared" si="1"/>
        <v>370</v>
      </c>
      <c r="N101" s="24" t="str">
        <f t="array" ref="N101">INDEX('MATCH INFO'!O:O, INT((ROW()-2)/10)+2 + 29)</f>
        <v>260613_PF_FLC_S1</v>
      </c>
    </row>
    <row r="102" spans="1:14">
      <c r="A102" s="23" t="s">
        <v>50</v>
      </c>
      <c r="B102" s="23" t="s">
        <v>136</v>
      </c>
      <c r="C102" s="23" t="s">
        <v>109</v>
      </c>
      <c r="D102" s="23" t="s">
        <v>25</v>
      </c>
      <c r="E102" s="23" t="s">
        <v>190</v>
      </c>
      <c r="F102" s="23">
        <v>8</v>
      </c>
      <c r="G102" s="23">
        <v>5</v>
      </c>
      <c r="H102" s="23">
        <v>14</v>
      </c>
      <c r="I102" s="23">
        <v>2624</v>
      </c>
      <c r="J102" s="23">
        <v>9780</v>
      </c>
      <c r="K102" s="23">
        <v>0</v>
      </c>
      <c r="L102" s="23" t="s">
        <v>234</v>
      </c>
      <c r="M102" s="23">
        <f t="shared" si="1"/>
        <v>536</v>
      </c>
      <c r="N102" s="24" t="str">
        <f t="array" ref="N102">INDEX('MATCH INFO'!O:O, INT((ROW()-2)/10)+2 + 29)</f>
        <v>260613_PF_FLC_S2</v>
      </c>
    </row>
    <row r="103" spans="1:14">
      <c r="A103" s="23" t="s">
        <v>50</v>
      </c>
      <c r="B103" s="23" t="s">
        <v>133</v>
      </c>
      <c r="C103" s="23" t="s">
        <v>104</v>
      </c>
      <c r="D103" s="23" t="s">
        <v>25</v>
      </c>
      <c r="E103" s="23" t="s">
        <v>190</v>
      </c>
      <c r="F103" s="23">
        <v>14</v>
      </c>
      <c r="G103" s="23">
        <v>6</v>
      </c>
      <c r="H103" s="23">
        <v>0</v>
      </c>
      <c r="I103" s="23">
        <v>6012</v>
      </c>
      <c r="J103" s="23">
        <v>212</v>
      </c>
      <c r="K103" s="23">
        <v>836</v>
      </c>
      <c r="L103" s="23" t="s">
        <v>234</v>
      </c>
      <c r="M103" s="23">
        <f t="shared" si="1"/>
        <v>536</v>
      </c>
      <c r="N103" s="24" t="str">
        <f t="array" ref="N103">INDEX('MATCH INFO'!O:O, INT((ROW()-2)/10)+2 + 29)</f>
        <v>260613_PF_FLC_S2</v>
      </c>
    </row>
    <row r="104" spans="1:14">
      <c r="A104" s="23" t="s">
        <v>50</v>
      </c>
      <c r="B104" s="23" t="s">
        <v>131</v>
      </c>
      <c r="C104" s="23" t="s">
        <v>101</v>
      </c>
      <c r="D104" s="23" t="s">
        <v>25</v>
      </c>
      <c r="E104" s="23" t="s">
        <v>190</v>
      </c>
      <c r="F104" s="23">
        <v>16</v>
      </c>
      <c r="G104" s="23">
        <v>6</v>
      </c>
      <c r="H104" s="23">
        <v>6</v>
      </c>
      <c r="I104" s="23">
        <v>8094</v>
      </c>
      <c r="J104" s="23">
        <v>2067</v>
      </c>
      <c r="K104" s="23">
        <v>5030</v>
      </c>
      <c r="L104" s="23" t="s">
        <v>234</v>
      </c>
      <c r="M104" s="23">
        <f t="shared" si="1"/>
        <v>536</v>
      </c>
      <c r="N104" s="24" t="str">
        <f t="array" ref="N104">INDEX('MATCH INFO'!O:O, INT((ROW()-2)/10)+2 + 29)</f>
        <v>260613_PF_FLC_S2</v>
      </c>
    </row>
    <row r="105" spans="1:14">
      <c r="A105" s="23" t="s">
        <v>50</v>
      </c>
      <c r="B105" s="23" t="s">
        <v>134</v>
      </c>
      <c r="C105" s="23" t="s">
        <v>104</v>
      </c>
      <c r="D105" s="23" t="s">
        <v>25</v>
      </c>
      <c r="E105" s="23" t="s">
        <v>190</v>
      </c>
      <c r="F105" s="23">
        <v>11</v>
      </c>
      <c r="G105" s="23">
        <v>4</v>
      </c>
      <c r="H105" s="23">
        <v>0</v>
      </c>
      <c r="I105" s="23">
        <v>10978</v>
      </c>
      <c r="J105" s="23">
        <v>0</v>
      </c>
      <c r="K105" s="23">
        <v>0</v>
      </c>
      <c r="L105" s="23" t="s">
        <v>234</v>
      </c>
      <c r="M105" s="23">
        <f t="shared" si="1"/>
        <v>536</v>
      </c>
      <c r="N105" s="24" t="str">
        <f t="array" ref="N105">INDEX('MATCH INFO'!O:O, INT((ROW()-2)/10)+2 + 29)</f>
        <v>260613_PF_FLC_S2</v>
      </c>
    </row>
    <row r="106" spans="1:14">
      <c r="A106" s="23" t="s">
        <v>50</v>
      </c>
      <c r="B106" s="23" t="s">
        <v>135</v>
      </c>
      <c r="C106" s="23" t="s">
        <v>109</v>
      </c>
      <c r="D106" s="23" t="s">
        <v>25</v>
      </c>
      <c r="E106" s="23" t="s">
        <v>190</v>
      </c>
      <c r="F106" s="23">
        <v>7</v>
      </c>
      <c r="G106" s="23">
        <v>5</v>
      </c>
      <c r="H106" s="23">
        <v>11</v>
      </c>
      <c r="I106" s="23">
        <v>3070</v>
      </c>
      <c r="J106" s="23">
        <v>6229</v>
      </c>
      <c r="K106" s="23">
        <v>1408</v>
      </c>
      <c r="L106" s="23" t="s">
        <v>234</v>
      </c>
      <c r="M106" s="23">
        <f t="shared" si="1"/>
        <v>536</v>
      </c>
      <c r="N106" s="24" t="str">
        <f t="array" ref="N106">INDEX('MATCH INFO'!O:O, INT((ROW()-2)/10)+2 + 29)</f>
        <v>260613_PF_FLC_S2</v>
      </c>
    </row>
    <row r="107" spans="1:14">
      <c r="A107" s="23" t="s">
        <v>31</v>
      </c>
      <c r="B107" s="23" t="s">
        <v>165</v>
      </c>
      <c r="C107" s="23" t="s">
        <v>109</v>
      </c>
      <c r="D107" s="23" t="s">
        <v>25</v>
      </c>
      <c r="E107" s="23" t="s">
        <v>190</v>
      </c>
      <c r="F107" s="23">
        <v>10</v>
      </c>
      <c r="G107" s="23">
        <v>3</v>
      </c>
      <c r="H107" s="23">
        <v>16</v>
      </c>
      <c r="I107" s="23">
        <v>3017</v>
      </c>
      <c r="J107" s="23">
        <v>9378</v>
      </c>
      <c r="K107" s="23">
        <v>0</v>
      </c>
      <c r="L107" s="23" t="s">
        <v>234</v>
      </c>
      <c r="M107" s="23">
        <f t="shared" si="1"/>
        <v>536</v>
      </c>
      <c r="N107" s="24" t="str">
        <f t="array" ref="N107">INDEX('MATCH INFO'!O:O, INT((ROW()-2)/10)+2 + 29)</f>
        <v>260613_PF_FLC_S2</v>
      </c>
    </row>
    <row r="108" spans="1:14">
      <c r="A108" s="23" t="s">
        <v>31</v>
      </c>
      <c r="B108" s="23" t="s">
        <v>166</v>
      </c>
      <c r="C108" s="23" t="s">
        <v>109</v>
      </c>
      <c r="D108" s="23" t="s">
        <v>25</v>
      </c>
      <c r="E108" s="23" t="s">
        <v>190</v>
      </c>
      <c r="F108" s="23">
        <v>10</v>
      </c>
      <c r="G108" s="23">
        <v>5</v>
      </c>
      <c r="H108" s="23">
        <v>8</v>
      </c>
      <c r="I108" s="23">
        <v>3431</v>
      </c>
      <c r="J108" s="23">
        <v>6700</v>
      </c>
      <c r="K108" s="23">
        <v>1248</v>
      </c>
      <c r="L108" s="23" t="s">
        <v>234</v>
      </c>
      <c r="M108" s="23">
        <f t="shared" si="1"/>
        <v>536</v>
      </c>
      <c r="N108" s="24" t="str">
        <f t="array" ref="N108">INDEX('MATCH INFO'!O:O, INT((ROW()-2)/10)+2 + 29)</f>
        <v>260613_PF_FLC_S2</v>
      </c>
    </row>
    <row r="109" spans="1:14">
      <c r="A109" s="23" t="s">
        <v>31</v>
      </c>
      <c r="B109" s="23" t="s">
        <v>161</v>
      </c>
      <c r="C109" s="23" t="s">
        <v>101</v>
      </c>
      <c r="D109" s="23" t="s">
        <v>25</v>
      </c>
      <c r="E109" s="23" t="s">
        <v>190</v>
      </c>
      <c r="F109" s="23">
        <v>19</v>
      </c>
      <c r="G109" s="23">
        <v>4</v>
      </c>
      <c r="H109" s="23">
        <v>11</v>
      </c>
      <c r="I109" s="23">
        <v>8831</v>
      </c>
      <c r="J109" s="23">
        <v>2118</v>
      </c>
      <c r="K109" s="23">
        <v>4654</v>
      </c>
      <c r="L109" s="23" t="s">
        <v>234</v>
      </c>
      <c r="M109" s="23">
        <f t="shared" si="1"/>
        <v>536</v>
      </c>
      <c r="N109" s="24" t="str">
        <f t="array" ref="N109">INDEX('MATCH INFO'!O:O, INT((ROW()-2)/10)+2 + 29)</f>
        <v>260613_PF_FLC_S2</v>
      </c>
    </row>
    <row r="110" spans="1:14">
      <c r="A110" s="23" t="s">
        <v>31</v>
      </c>
      <c r="B110" s="23" t="s">
        <v>164</v>
      </c>
      <c r="C110" s="23" t="s">
        <v>104</v>
      </c>
      <c r="D110" s="23" t="s">
        <v>25</v>
      </c>
      <c r="E110" s="23" t="s">
        <v>190</v>
      </c>
      <c r="F110" s="23">
        <v>10</v>
      </c>
      <c r="G110" s="23">
        <v>4</v>
      </c>
      <c r="H110" s="23">
        <v>0</v>
      </c>
      <c r="I110" s="23">
        <v>8835</v>
      </c>
      <c r="J110" s="23">
        <v>0</v>
      </c>
      <c r="K110" s="23">
        <v>81</v>
      </c>
      <c r="L110" s="23" t="s">
        <v>234</v>
      </c>
      <c r="M110" s="23">
        <f t="shared" si="1"/>
        <v>536</v>
      </c>
      <c r="N110" s="24" t="str">
        <f t="array" ref="N110">INDEX('MATCH INFO'!O:O, INT((ROW()-2)/10)+2 + 29)</f>
        <v>260613_PF_FLC_S2</v>
      </c>
    </row>
    <row r="111" spans="1:14">
      <c r="A111" s="23" t="s">
        <v>31</v>
      </c>
      <c r="B111" s="23" t="s">
        <v>162</v>
      </c>
      <c r="C111" s="23" t="s">
        <v>104</v>
      </c>
      <c r="D111" s="23" t="s">
        <v>25</v>
      </c>
      <c r="E111" s="23" t="s">
        <v>190</v>
      </c>
      <c r="F111" s="23">
        <v>16</v>
      </c>
      <c r="G111" s="23">
        <v>5</v>
      </c>
      <c r="H111" s="23">
        <v>0</v>
      </c>
      <c r="I111" s="23">
        <v>6924</v>
      </c>
      <c r="J111" s="23">
        <v>400</v>
      </c>
      <c r="K111" s="23">
        <v>0</v>
      </c>
      <c r="L111" s="23" t="s">
        <v>234</v>
      </c>
      <c r="M111" s="23">
        <f t="shared" si="1"/>
        <v>536</v>
      </c>
      <c r="N111" s="24" t="str">
        <f t="array" ref="N111">INDEX('MATCH INFO'!O:O, INT((ROW()-2)/10)+2 + 29)</f>
        <v>260613_PF_FLC_S2</v>
      </c>
    </row>
    <row r="112" spans="1:14">
      <c r="A112" s="23" t="s">
        <v>50</v>
      </c>
      <c r="B112" s="23" t="s">
        <v>136</v>
      </c>
      <c r="C112" s="23" t="s">
        <v>109</v>
      </c>
      <c r="D112" s="23" t="s">
        <v>28</v>
      </c>
      <c r="E112" s="23" t="s">
        <v>192</v>
      </c>
      <c r="F112" s="23">
        <v>3</v>
      </c>
      <c r="G112" s="23">
        <v>4</v>
      </c>
      <c r="H112" s="23">
        <v>9</v>
      </c>
      <c r="I112" s="23">
        <v>1920</v>
      </c>
      <c r="J112" s="23">
        <v>4482</v>
      </c>
      <c r="K112" s="23">
        <v>0</v>
      </c>
      <c r="L112" s="23" t="s">
        <v>235</v>
      </c>
      <c r="M112" s="23">
        <f t="shared" si="1"/>
        <v>400</v>
      </c>
      <c r="N112" s="24" t="str">
        <f t="array" ref="N112">INDEX('MATCH INFO'!O:O, INT((ROW()-2)/10)+2 + 29)</f>
        <v>260613_PF_FLC_S3</v>
      </c>
    </row>
    <row r="113" spans="1:14">
      <c r="A113" s="23" t="s">
        <v>50</v>
      </c>
      <c r="B113" s="23" t="s">
        <v>133</v>
      </c>
      <c r="C113" s="23" t="s">
        <v>104</v>
      </c>
      <c r="D113" s="23" t="s">
        <v>28</v>
      </c>
      <c r="E113" s="23" t="s">
        <v>192</v>
      </c>
      <c r="F113" s="23">
        <v>8</v>
      </c>
      <c r="G113" s="23">
        <v>6</v>
      </c>
      <c r="H113" s="23">
        <v>0</v>
      </c>
      <c r="I113" s="23">
        <v>3612</v>
      </c>
      <c r="J113" s="23">
        <v>23</v>
      </c>
      <c r="K113" s="23">
        <v>1685</v>
      </c>
      <c r="L113" s="23" t="s">
        <v>235</v>
      </c>
      <c r="M113" s="23">
        <f t="shared" si="1"/>
        <v>400</v>
      </c>
      <c r="N113" s="24" t="str">
        <f t="array" ref="N113">INDEX('MATCH INFO'!O:O, INT((ROW()-2)/10)+2 + 29)</f>
        <v>260613_PF_FLC_S3</v>
      </c>
    </row>
    <row r="114" spans="1:14">
      <c r="A114" s="23" t="s">
        <v>50</v>
      </c>
      <c r="B114" s="23" t="s">
        <v>131</v>
      </c>
      <c r="C114" s="23" t="s">
        <v>101</v>
      </c>
      <c r="D114" s="23" t="s">
        <v>28</v>
      </c>
      <c r="E114" s="23" t="s">
        <v>192</v>
      </c>
      <c r="F114" s="23">
        <v>7</v>
      </c>
      <c r="G114" s="23">
        <v>9</v>
      </c>
      <c r="H114" s="23">
        <v>0</v>
      </c>
      <c r="I114" s="23">
        <v>6895</v>
      </c>
      <c r="J114" s="23">
        <v>866</v>
      </c>
      <c r="K114" s="23">
        <v>4027</v>
      </c>
      <c r="L114" s="23" t="s">
        <v>235</v>
      </c>
      <c r="M114" s="23">
        <f t="shared" si="1"/>
        <v>400</v>
      </c>
      <c r="N114" s="24" t="str">
        <f t="array" ref="N114">INDEX('MATCH INFO'!O:O, INT((ROW()-2)/10)+2 + 29)</f>
        <v>260613_PF_FLC_S3</v>
      </c>
    </row>
    <row r="115" spans="1:14">
      <c r="A115" s="23" t="s">
        <v>50</v>
      </c>
      <c r="B115" s="23" t="s">
        <v>134</v>
      </c>
      <c r="C115" s="23" t="s">
        <v>104</v>
      </c>
      <c r="D115" s="23" t="s">
        <v>28</v>
      </c>
      <c r="E115" s="23" t="s">
        <v>192</v>
      </c>
      <c r="F115" s="23">
        <v>6</v>
      </c>
      <c r="G115" s="23">
        <v>7</v>
      </c>
      <c r="H115" s="23">
        <v>0</v>
      </c>
      <c r="I115" s="23">
        <v>6263</v>
      </c>
      <c r="J115" s="23">
        <v>0</v>
      </c>
      <c r="K115" s="23">
        <v>0</v>
      </c>
      <c r="L115" s="23" t="s">
        <v>235</v>
      </c>
      <c r="M115" s="23">
        <f t="shared" si="1"/>
        <v>400</v>
      </c>
      <c r="N115" s="24" t="str">
        <f t="array" ref="N115">INDEX('MATCH INFO'!O:O, INT((ROW()-2)/10)+2 + 29)</f>
        <v>260613_PF_FLC_S3</v>
      </c>
    </row>
    <row r="116" spans="1:14">
      <c r="A116" s="23" t="s">
        <v>50</v>
      </c>
      <c r="B116" s="23" t="s">
        <v>135</v>
      </c>
      <c r="C116" s="23" t="s">
        <v>109</v>
      </c>
      <c r="D116" s="23" t="s">
        <v>28</v>
      </c>
      <c r="E116" s="23" t="s">
        <v>192</v>
      </c>
      <c r="F116" s="23">
        <v>5</v>
      </c>
      <c r="G116" s="23">
        <v>6</v>
      </c>
      <c r="H116" s="23">
        <v>7</v>
      </c>
      <c r="I116" s="23">
        <v>2313</v>
      </c>
      <c r="J116" s="23">
        <v>3373</v>
      </c>
      <c r="K116" s="23">
        <v>2502</v>
      </c>
      <c r="L116" s="23" t="s">
        <v>235</v>
      </c>
      <c r="M116" s="23">
        <f t="shared" si="1"/>
        <v>400</v>
      </c>
      <c r="N116" s="24" t="str">
        <f t="array" ref="N116">INDEX('MATCH INFO'!O:O, INT((ROW()-2)/10)+2 + 29)</f>
        <v>260613_PF_FLC_S3</v>
      </c>
    </row>
    <row r="117" spans="1:14">
      <c r="A117" s="23" t="s">
        <v>31</v>
      </c>
      <c r="B117" s="23" t="s">
        <v>165</v>
      </c>
      <c r="C117" s="23" t="s">
        <v>109</v>
      </c>
      <c r="D117" s="23" t="s">
        <v>28</v>
      </c>
      <c r="E117" s="23" t="s">
        <v>192</v>
      </c>
      <c r="F117" s="23">
        <v>17</v>
      </c>
      <c r="G117" s="23">
        <v>1</v>
      </c>
      <c r="H117" s="23">
        <v>17</v>
      </c>
      <c r="I117" s="23">
        <v>3134</v>
      </c>
      <c r="J117" s="23">
        <v>6601</v>
      </c>
      <c r="K117" s="23">
        <v>0</v>
      </c>
      <c r="L117" s="23" t="s">
        <v>235</v>
      </c>
      <c r="M117" s="23">
        <f t="shared" si="1"/>
        <v>400</v>
      </c>
      <c r="N117" s="24" t="str">
        <f t="array" ref="N117">INDEX('MATCH INFO'!O:O, INT((ROW()-2)/10)+2 + 29)</f>
        <v>260613_PF_FLC_S3</v>
      </c>
    </row>
    <row r="118" spans="1:14">
      <c r="A118" s="23" t="s">
        <v>31</v>
      </c>
      <c r="B118" s="23" t="s">
        <v>166</v>
      </c>
      <c r="C118" s="23" t="s">
        <v>109</v>
      </c>
      <c r="D118" s="23" t="s">
        <v>28</v>
      </c>
      <c r="E118" s="23" t="s">
        <v>192</v>
      </c>
      <c r="F118" s="23">
        <v>14</v>
      </c>
      <c r="G118" s="23">
        <v>2</v>
      </c>
      <c r="H118" s="23">
        <v>19</v>
      </c>
      <c r="I118" s="23">
        <v>3337</v>
      </c>
      <c r="J118" s="23">
        <v>5088</v>
      </c>
      <c r="K118" s="23">
        <v>1217</v>
      </c>
      <c r="L118" s="23" t="s">
        <v>235</v>
      </c>
      <c r="M118" s="23">
        <f t="shared" si="1"/>
        <v>400</v>
      </c>
      <c r="N118" s="24" t="str">
        <f t="array" ref="N118">INDEX('MATCH INFO'!O:O, INT((ROW()-2)/10)+2 + 29)</f>
        <v>260613_PF_FLC_S3</v>
      </c>
    </row>
    <row r="119" spans="1:14">
      <c r="A119" s="23" t="s">
        <v>31</v>
      </c>
      <c r="B119" s="23" t="s">
        <v>161</v>
      </c>
      <c r="C119" s="23" t="s">
        <v>101</v>
      </c>
      <c r="D119" s="23" t="s">
        <v>28</v>
      </c>
      <c r="E119" s="23" t="s">
        <v>192</v>
      </c>
      <c r="F119" s="23">
        <v>20</v>
      </c>
      <c r="G119" s="23">
        <v>3</v>
      </c>
      <c r="H119" s="23">
        <v>14</v>
      </c>
      <c r="I119" s="23">
        <v>6316</v>
      </c>
      <c r="J119" s="23">
        <v>1772</v>
      </c>
      <c r="K119" s="23">
        <v>2435</v>
      </c>
      <c r="L119" s="23" t="s">
        <v>235</v>
      </c>
      <c r="M119" s="23">
        <f t="shared" si="1"/>
        <v>400</v>
      </c>
      <c r="N119" s="24" t="str">
        <f t="array" ref="N119">INDEX('MATCH INFO'!O:O, INT((ROW()-2)/10)+2 + 29)</f>
        <v>260613_PF_FLC_S3</v>
      </c>
    </row>
    <row r="120" spans="1:14">
      <c r="A120" s="23" t="s">
        <v>31</v>
      </c>
      <c r="B120" s="23" t="s">
        <v>164</v>
      </c>
      <c r="C120" s="23" t="s">
        <v>104</v>
      </c>
      <c r="D120" s="23" t="s">
        <v>28</v>
      </c>
      <c r="E120" s="23" t="s">
        <v>192</v>
      </c>
      <c r="F120" s="23">
        <v>18</v>
      </c>
      <c r="G120" s="23">
        <v>5</v>
      </c>
      <c r="H120" s="23">
        <v>0</v>
      </c>
      <c r="I120" s="23">
        <v>4019</v>
      </c>
      <c r="J120" s="23">
        <v>0</v>
      </c>
      <c r="K120" s="23">
        <v>91</v>
      </c>
      <c r="L120" s="23" t="s">
        <v>235</v>
      </c>
      <c r="M120" s="23">
        <f t="shared" si="1"/>
        <v>400</v>
      </c>
      <c r="N120" s="24" t="str">
        <f t="array" ref="N120">INDEX('MATCH INFO'!O:O, INT((ROW()-2)/10)+2 + 29)</f>
        <v>260613_PF_FLC_S3</v>
      </c>
    </row>
    <row r="121" spans="1:14">
      <c r="A121" s="23" t="s">
        <v>31</v>
      </c>
      <c r="B121" s="23" t="s">
        <v>162</v>
      </c>
      <c r="C121" s="23" t="s">
        <v>104</v>
      </c>
      <c r="D121" s="23" t="s">
        <v>28</v>
      </c>
      <c r="E121" s="23" t="s">
        <v>192</v>
      </c>
      <c r="F121" s="23">
        <v>24</v>
      </c>
      <c r="G121" s="23">
        <v>1</v>
      </c>
      <c r="H121" s="23">
        <v>0</v>
      </c>
      <c r="I121" s="23">
        <v>4874</v>
      </c>
      <c r="J121" s="23">
        <v>60</v>
      </c>
      <c r="K121" s="23">
        <v>1776</v>
      </c>
      <c r="L121" s="23" t="s">
        <v>235</v>
      </c>
      <c r="M121" s="23">
        <f t="shared" si="1"/>
        <v>400</v>
      </c>
      <c r="N121" s="24" t="str">
        <f t="array" ref="N121">INDEX('MATCH INFO'!O:O, INT((ROW()-2)/10)+2 + 29)</f>
        <v>260613_PF_FLC_S3</v>
      </c>
    </row>
    <row r="122" spans="1:14">
      <c r="A122" s="23" t="s">
        <v>41</v>
      </c>
      <c r="B122" s="23" t="s">
        <v>157</v>
      </c>
      <c r="C122" s="23" t="s">
        <v>109</v>
      </c>
      <c r="D122" s="23" t="s">
        <v>22</v>
      </c>
      <c r="E122" s="23" t="s">
        <v>188</v>
      </c>
      <c r="F122" s="23">
        <v>11</v>
      </c>
      <c r="G122" s="23">
        <v>0</v>
      </c>
      <c r="H122" s="23">
        <v>9</v>
      </c>
      <c r="I122" s="23">
        <v>2126</v>
      </c>
      <c r="J122" s="23">
        <v>3043</v>
      </c>
      <c r="K122" s="23">
        <v>0</v>
      </c>
      <c r="L122" s="23" t="s">
        <v>236</v>
      </c>
      <c r="M122" s="23">
        <f t="shared" si="1"/>
        <v>385.00000000000006</v>
      </c>
      <c r="N122" s="24" t="str">
        <f t="array" ref="N122">INDEX('MATCH INFO'!O:O, INT((ROW()-2)/10)+2 + 29)</f>
        <v>260613_T1_O2_S1</v>
      </c>
    </row>
    <row r="123" spans="1:14">
      <c r="A123" s="23" t="s">
        <v>41</v>
      </c>
      <c r="B123" s="23" t="s">
        <v>152</v>
      </c>
      <c r="C123" s="23" t="s">
        <v>101</v>
      </c>
      <c r="D123" s="23" t="s">
        <v>22</v>
      </c>
      <c r="E123" s="23" t="s">
        <v>188</v>
      </c>
      <c r="F123" s="23">
        <v>14</v>
      </c>
      <c r="G123" s="23">
        <v>0</v>
      </c>
      <c r="H123" s="23">
        <v>3</v>
      </c>
      <c r="I123" s="23">
        <v>5845</v>
      </c>
      <c r="J123" s="23">
        <v>1469</v>
      </c>
      <c r="K123" s="23">
        <v>3050</v>
      </c>
      <c r="L123" s="23" t="s">
        <v>236</v>
      </c>
      <c r="M123" s="23">
        <f t="shared" si="1"/>
        <v>385.00000000000006</v>
      </c>
      <c r="N123" s="24" t="str">
        <f t="array" ref="N123">INDEX('MATCH INFO'!O:O, INT((ROW()-2)/10)+2 + 29)</f>
        <v>260613_T1_O2_S1</v>
      </c>
    </row>
    <row r="124" spans="1:14">
      <c r="A124" s="23" t="s">
        <v>41</v>
      </c>
      <c r="B124" s="23" t="s">
        <v>155</v>
      </c>
      <c r="C124" s="23" t="s">
        <v>104</v>
      </c>
      <c r="D124" s="23" t="s">
        <v>22</v>
      </c>
      <c r="E124" s="23" t="s">
        <v>188</v>
      </c>
      <c r="F124" s="23">
        <v>10</v>
      </c>
      <c r="G124" s="23">
        <v>3</v>
      </c>
      <c r="H124" s="23">
        <v>4</v>
      </c>
      <c r="I124" s="23">
        <v>4199</v>
      </c>
      <c r="J124" s="23">
        <v>0</v>
      </c>
      <c r="K124" s="23">
        <v>0</v>
      </c>
      <c r="L124" s="23" t="s">
        <v>236</v>
      </c>
      <c r="M124" s="23">
        <f t="shared" si="1"/>
        <v>385.00000000000006</v>
      </c>
      <c r="N124" s="24" t="str">
        <f t="array" ref="N124">INDEX('MATCH INFO'!O:O, INT((ROW()-2)/10)+2 + 29)</f>
        <v>260613_T1_O2_S1</v>
      </c>
    </row>
    <row r="125" spans="1:14">
      <c r="A125" s="23" t="s">
        <v>41</v>
      </c>
      <c r="B125" s="23" t="s">
        <v>158</v>
      </c>
      <c r="C125" s="23" t="s">
        <v>109</v>
      </c>
      <c r="D125" s="23" t="s">
        <v>22</v>
      </c>
      <c r="E125" s="23" t="s">
        <v>188</v>
      </c>
      <c r="F125" s="23">
        <v>12</v>
      </c>
      <c r="G125" s="23">
        <v>0</v>
      </c>
      <c r="H125" s="23">
        <v>10</v>
      </c>
      <c r="I125" s="23">
        <v>5909</v>
      </c>
      <c r="J125" s="23">
        <v>2881</v>
      </c>
      <c r="K125" s="23">
        <v>0</v>
      </c>
      <c r="L125" s="23" t="s">
        <v>236</v>
      </c>
      <c r="M125" s="23">
        <f t="shared" si="1"/>
        <v>385.00000000000006</v>
      </c>
      <c r="N125" s="24" t="str">
        <f t="array" ref="N125">INDEX('MATCH INFO'!O:O, INT((ROW()-2)/10)+2 + 29)</f>
        <v>260613_T1_O2_S1</v>
      </c>
    </row>
    <row r="126" spans="1:14">
      <c r="A126" s="23" t="s">
        <v>41</v>
      </c>
      <c r="B126" s="23" t="s">
        <v>154</v>
      </c>
      <c r="C126" s="23" t="s">
        <v>104</v>
      </c>
      <c r="D126" s="23" t="s">
        <v>22</v>
      </c>
      <c r="E126" s="23" t="s">
        <v>188</v>
      </c>
      <c r="F126" s="23">
        <v>13</v>
      </c>
      <c r="G126" s="23">
        <v>3</v>
      </c>
      <c r="H126" s="23">
        <v>0</v>
      </c>
      <c r="I126" s="23">
        <v>6956</v>
      </c>
      <c r="J126" s="23">
        <v>95</v>
      </c>
      <c r="K126" s="23">
        <v>0</v>
      </c>
      <c r="L126" s="23" t="s">
        <v>236</v>
      </c>
      <c r="M126" s="23">
        <f t="shared" si="1"/>
        <v>385.00000000000006</v>
      </c>
      <c r="N126" s="24" t="str">
        <f t="array" ref="N126">INDEX('MATCH INFO'!O:O, INT((ROW()-2)/10)+2 + 29)</f>
        <v>260613_T1_O2_S1</v>
      </c>
    </row>
    <row r="127" spans="1:14">
      <c r="A127" s="23" t="s">
        <v>20</v>
      </c>
      <c r="B127" s="23" t="s">
        <v>108</v>
      </c>
      <c r="C127" s="23" t="s">
        <v>109</v>
      </c>
      <c r="D127" s="23" t="s">
        <v>22</v>
      </c>
      <c r="E127" s="23" t="s">
        <v>188</v>
      </c>
      <c r="F127" s="23">
        <v>1</v>
      </c>
      <c r="G127" s="23">
        <v>4</v>
      </c>
      <c r="H127" s="23">
        <v>1</v>
      </c>
      <c r="I127" s="23">
        <v>1280</v>
      </c>
      <c r="J127" s="23">
        <v>2131</v>
      </c>
      <c r="K127" s="23">
        <v>0</v>
      </c>
      <c r="L127" s="23" t="s">
        <v>236</v>
      </c>
      <c r="M127" s="23">
        <f t="shared" si="1"/>
        <v>385.00000000000006</v>
      </c>
      <c r="N127" s="24" t="str">
        <f t="array" ref="N127">INDEX('MATCH INFO'!O:O, INT((ROW()-2)/10)+2 + 29)</f>
        <v>260613_T1_O2_S1</v>
      </c>
    </row>
    <row r="128" spans="1:14">
      <c r="A128" s="23" t="s">
        <v>20</v>
      </c>
      <c r="B128" s="23" t="s">
        <v>100</v>
      </c>
      <c r="C128" s="23" t="s">
        <v>101</v>
      </c>
      <c r="D128" s="23" t="s">
        <v>22</v>
      </c>
      <c r="E128" s="23" t="s">
        <v>188</v>
      </c>
      <c r="F128" s="23">
        <v>3</v>
      </c>
      <c r="G128" s="23">
        <v>4</v>
      </c>
      <c r="H128" s="23">
        <v>0</v>
      </c>
      <c r="I128" s="23">
        <v>4946</v>
      </c>
      <c r="J128" s="23">
        <v>1886</v>
      </c>
      <c r="K128" s="23">
        <v>2765</v>
      </c>
      <c r="L128" s="23" t="s">
        <v>236</v>
      </c>
      <c r="M128" s="23">
        <f t="shared" si="1"/>
        <v>385.00000000000006</v>
      </c>
      <c r="N128" s="24" t="str">
        <f t="array" ref="N128">INDEX('MATCH INFO'!O:O, INT((ROW()-2)/10)+2 + 29)</f>
        <v>260613_T1_O2_S1</v>
      </c>
    </row>
    <row r="129" spans="1:14">
      <c r="A129" s="23" t="s">
        <v>20</v>
      </c>
      <c r="B129" s="23" t="s">
        <v>111</v>
      </c>
      <c r="C129" s="23" t="s">
        <v>109</v>
      </c>
      <c r="D129" s="23" t="s">
        <v>22</v>
      </c>
      <c r="E129" s="23" t="s">
        <v>188</v>
      </c>
      <c r="F129" s="23">
        <v>3</v>
      </c>
      <c r="G129" s="23">
        <v>6</v>
      </c>
      <c r="H129" s="23">
        <v>0</v>
      </c>
      <c r="I129" s="23">
        <v>2760</v>
      </c>
      <c r="J129" s="23">
        <v>4817</v>
      </c>
      <c r="K129" s="23">
        <v>0</v>
      </c>
      <c r="L129" s="23" t="s">
        <v>236</v>
      </c>
      <c r="M129" s="23">
        <f t="shared" si="1"/>
        <v>385.00000000000006</v>
      </c>
      <c r="N129" s="24" t="str">
        <f t="array" ref="N129">INDEX('MATCH INFO'!O:O, INT((ROW()-2)/10)+2 + 29)</f>
        <v>260613_T1_O2_S1</v>
      </c>
    </row>
    <row r="130" spans="1:14">
      <c r="A130" s="23" t="s">
        <v>20</v>
      </c>
      <c r="B130" s="23" t="s">
        <v>106</v>
      </c>
      <c r="C130" s="23" t="s">
        <v>104</v>
      </c>
      <c r="D130" s="23" t="s">
        <v>22</v>
      </c>
      <c r="E130" s="23" t="s">
        <v>188</v>
      </c>
      <c r="F130" s="23">
        <v>0</v>
      </c>
      <c r="G130" s="23">
        <v>6</v>
      </c>
      <c r="H130" s="23">
        <v>0</v>
      </c>
      <c r="I130" s="23">
        <v>2391</v>
      </c>
      <c r="J130" s="23">
        <v>0</v>
      </c>
      <c r="K130" s="23">
        <v>29</v>
      </c>
      <c r="L130" s="23" t="s">
        <v>236</v>
      </c>
      <c r="M130" s="23">
        <f t="shared" ref="M130:M193" si="2">L130*86400</f>
        <v>385.00000000000006</v>
      </c>
      <c r="N130" s="24" t="str">
        <f t="array" ref="N130">INDEX('MATCH INFO'!O:O, INT((ROW()-2)/10)+2 + 29)</f>
        <v>260613_T1_O2_S1</v>
      </c>
    </row>
    <row r="131" spans="1:14">
      <c r="A131" s="23" t="s">
        <v>20</v>
      </c>
      <c r="B131" s="23" t="s">
        <v>103</v>
      </c>
      <c r="C131" s="23" t="s">
        <v>104</v>
      </c>
      <c r="D131" s="23" t="s">
        <v>22</v>
      </c>
      <c r="E131" s="23" t="s">
        <v>188</v>
      </c>
      <c r="F131" s="23">
        <v>4</v>
      </c>
      <c r="G131" s="23">
        <v>6</v>
      </c>
      <c r="H131" s="23">
        <v>0</v>
      </c>
      <c r="I131" s="23">
        <v>4873</v>
      </c>
      <c r="J131" s="23">
        <v>126</v>
      </c>
      <c r="K131" s="23">
        <v>0</v>
      </c>
      <c r="L131" s="23" t="s">
        <v>236</v>
      </c>
      <c r="M131" s="23">
        <f t="shared" si="2"/>
        <v>385.00000000000006</v>
      </c>
      <c r="N131" s="24" t="str">
        <f t="array" ref="N131">INDEX('MATCH INFO'!O:O, INT((ROW()-2)/10)+2 + 29)</f>
        <v>260613_T1_O2_S1</v>
      </c>
    </row>
    <row r="132" spans="1:14">
      <c r="A132" s="23" t="s">
        <v>41</v>
      </c>
      <c r="B132" s="23" t="s">
        <v>157</v>
      </c>
      <c r="C132" s="23" t="s">
        <v>109</v>
      </c>
      <c r="D132" s="23" t="s">
        <v>69</v>
      </c>
      <c r="E132" s="23" t="s">
        <v>201</v>
      </c>
      <c r="F132" s="23">
        <v>8</v>
      </c>
      <c r="G132" s="23">
        <v>1</v>
      </c>
      <c r="H132" s="23">
        <v>11</v>
      </c>
      <c r="I132" s="23">
        <v>1088</v>
      </c>
      <c r="J132" s="23">
        <v>5193</v>
      </c>
      <c r="K132" s="23">
        <v>0</v>
      </c>
      <c r="L132" s="23" t="s">
        <v>237</v>
      </c>
      <c r="M132" s="23">
        <f t="shared" si="2"/>
        <v>303</v>
      </c>
      <c r="N132" s="24" t="str">
        <f t="array" ref="N132">INDEX('MATCH INFO'!O:O, INT((ROW()-2)/10)+2 + 29)</f>
        <v>260613_T1_O2_S2</v>
      </c>
    </row>
    <row r="133" spans="1:14">
      <c r="A133" s="23" t="s">
        <v>41</v>
      </c>
      <c r="B133" s="23" t="s">
        <v>153</v>
      </c>
      <c r="C133" s="23" t="s">
        <v>101</v>
      </c>
      <c r="D133" s="23" t="s">
        <v>69</v>
      </c>
      <c r="E133" s="23" t="s">
        <v>201</v>
      </c>
      <c r="F133" s="23">
        <v>8</v>
      </c>
      <c r="G133" s="23">
        <v>0</v>
      </c>
      <c r="H133" s="23">
        <v>1</v>
      </c>
      <c r="I133" s="23">
        <v>5135</v>
      </c>
      <c r="J133" s="23">
        <v>0</v>
      </c>
      <c r="K133" s="23">
        <v>8503</v>
      </c>
      <c r="L133" s="23" t="s">
        <v>237</v>
      </c>
      <c r="M133" s="23">
        <f t="shared" si="2"/>
        <v>303</v>
      </c>
      <c r="N133" s="24" t="str">
        <f t="array" ref="N133">INDEX('MATCH INFO'!O:O, INT((ROW()-2)/10)+2 + 29)</f>
        <v>260613_T1_O2_S2</v>
      </c>
    </row>
    <row r="134" spans="1:14">
      <c r="A134" s="23" t="s">
        <v>41</v>
      </c>
      <c r="B134" s="23" t="s">
        <v>155</v>
      </c>
      <c r="C134" s="23" t="s">
        <v>104</v>
      </c>
      <c r="D134" s="23" t="s">
        <v>69</v>
      </c>
      <c r="E134" s="23" t="s">
        <v>201</v>
      </c>
      <c r="F134" s="23">
        <v>11</v>
      </c>
      <c r="G134" s="23">
        <v>1</v>
      </c>
      <c r="H134" s="23">
        <v>1</v>
      </c>
      <c r="I134" s="23">
        <v>3868</v>
      </c>
      <c r="J134" s="23">
        <v>0</v>
      </c>
      <c r="K134" s="23">
        <v>0</v>
      </c>
      <c r="L134" s="23" t="s">
        <v>237</v>
      </c>
      <c r="M134" s="23">
        <f t="shared" si="2"/>
        <v>303</v>
      </c>
      <c r="N134" s="24" t="str">
        <f t="array" ref="N134">INDEX('MATCH INFO'!O:O, INT((ROW()-2)/10)+2 + 29)</f>
        <v>260613_T1_O2_S2</v>
      </c>
    </row>
    <row r="135" spans="1:14">
      <c r="A135" s="23" t="s">
        <v>41</v>
      </c>
      <c r="B135" s="23" t="s">
        <v>158</v>
      </c>
      <c r="C135" s="23" t="s">
        <v>109</v>
      </c>
      <c r="D135" s="23" t="s">
        <v>69</v>
      </c>
      <c r="E135" s="23" t="s">
        <v>201</v>
      </c>
      <c r="F135" s="23">
        <v>8</v>
      </c>
      <c r="G135" s="23">
        <v>1</v>
      </c>
      <c r="H135" s="23">
        <v>7</v>
      </c>
      <c r="I135" s="23">
        <v>2651</v>
      </c>
      <c r="J135" s="23">
        <v>4322</v>
      </c>
      <c r="K135" s="23">
        <v>0</v>
      </c>
      <c r="L135" s="23" t="s">
        <v>237</v>
      </c>
      <c r="M135" s="23">
        <f t="shared" si="2"/>
        <v>303</v>
      </c>
      <c r="N135" s="24" t="str">
        <f t="array" ref="N135">INDEX('MATCH INFO'!O:O, INT((ROW()-2)/10)+2 + 29)</f>
        <v>260613_T1_O2_S2</v>
      </c>
    </row>
    <row r="136" spans="1:14">
      <c r="A136" s="23" t="s">
        <v>41</v>
      </c>
      <c r="B136" s="23" t="s">
        <v>154</v>
      </c>
      <c r="C136" s="23" t="s">
        <v>104</v>
      </c>
      <c r="D136" s="23" t="s">
        <v>69</v>
      </c>
      <c r="E136" s="23" t="s">
        <v>201</v>
      </c>
      <c r="F136" s="23">
        <v>11</v>
      </c>
      <c r="G136" s="23">
        <v>1</v>
      </c>
      <c r="H136" s="23">
        <v>1</v>
      </c>
      <c r="I136" s="23">
        <v>4660</v>
      </c>
      <c r="J136" s="23">
        <v>0</v>
      </c>
      <c r="K136" s="23">
        <v>0</v>
      </c>
      <c r="L136" s="23" t="s">
        <v>237</v>
      </c>
      <c r="M136" s="23">
        <f t="shared" si="2"/>
        <v>303</v>
      </c>
      <c r="N136" s="24" t="str">
        <f t="array" ref="N136">INDEX('MATCH INFO'!O:O, INT((ROW()-2)/10)+2 + 29)</f>
        <v>260613_T1_O2_S2</v>
      </c>
    </row>
    <row r="137" spans="1:14">
      <c r="A137" s="23" t="s">
        <v>20</v>
      </c>
      <c r="B137" s="23" t="s">
        <v>108</v>
      </c>
      <c r="C137" s="23" t="s">
        <v>109</v>
      </c>
      <c r="D137" s="23" t="s">
        <v>69</v>
      </c>
      <c r="E137" s="23" t="s">
        <v>201</v>
      </c>
      <c r="F137" s="23">
        <v>1</v>
      </c>
      <c r="G137" s="23">
        <v>1</v>
      </c>
      <c r="H137" s="23">
        <v>0</v>
      </c>
      <c r="I137" s="23">
        <v>327</v>
      </c>
      <c r="J137" s="23">
        <v>3514</v>
      </c>
      <c r="K137" s="23">
        <v>201</v>
      </c>
      <c r="L137" s="23" t="s">
        <v>237</v>
      </c>
      <c r="M137" s="23">
        <f t="shared" si="2"/>
        <v>303</v>
      </c>
      <c r="N137" s="24" t="str">
        <f t="array" ref="N137">INDEX('MATCH INFO'!O:O, INT((ROW()-2)/10)+2 + 29)</f>
        <v>260613_T1_O2_S2</v>
      </c>
    </row>
    <row r="138" spans="1:14">
      <c r="A138" s="23" t="s">
        <v>20</v>
      </c>
      <c r="B138" s="23" t="s">
        <v>111</v>
      </c>
      <c r="C138" s="23" t="s">
        <v>109</v>
      </c>
      <c r="D138" s="23" t="s">
        <v>69</v>
      </c>
      <c r="E138" s="23" t="s">
        <v>201</v>
      </c>
      <c r="F138" s="23">
        <v>1</v>
      </c>
      <c r="G138" s="23">
        <v>5</v>
      </c>
      <c r="H138" s="23">
        <v>0</v>
      </c>
      <c r="I138" s="23">
        <v>1386</v>
      </c>
      <c r="J138" s="23">
        <v>4632</v>
      </c>
      <c r="K138" s="23">
        <v>247</v>
      </c>
      <c r="L138" s="23" t="s">
        <v>237</v>
      </c>
      <c r="M138" s="23">
        <f t="shared" si="2"/>
        <v>303</v>
      </c>
      <c r="N138" s="24" t="str">
        <f t="array" ref="N138">INDEX('MATCH INFO'!O:O, INT((ROW()-2)/10)+2 + 29)</f>
        <v>260613_T1_O2_S2</v>
      </c>
    </row>
    <row r="139" spans="1:14">
      <c r="A139" s="23" t="s">
        <v>20</v>
      </c>
      <c r="B139" s="23" t="s">
        <v>106</v>
      </c>
      <c r="C139" s="23" t="s">
        <v>104</v>
      </c>
      <c r="D139" s="23" t="s">
        <v>69</v>
      </c>
      <c r="E139" s="23" t="s">
        <v>201</v>
      </c>
      <c r="F139" s="23">
        <v>1</v>
      </c>
      <c r="G139" s="23">
        <v>3</v>
      </c>
      <c r="H139" s="23">
        <v>0</v>
      </c>
      <c r="I139" s="23">
        <v>4101</v>
      </c>
      <c r="J139" s="23">
        <v>0</v>
      </c>
      <c r="K139" s="23">
        <v>735</v>
      </c>
      <c r="L139" s="23" t="s">
        <v>237</v>
      </c>
      <c r="M139" s="23">
        <f t="shared" si="2"/>
        <v>303</v>
      </c>
      <c r="N139" s="24" t="str">
        <f t="array" ref="N139">INDEX('MATCH INFO'!O:O, INT((ROW()-2)/10)+2 + 29)</f>
        <v>260613_T1_O2_S2</v>
      </c>
    </row>
    <row r="140" spans="1:14">
      <c r="A140" s="23" t="s">
        <v>20</v>
      </c>
      <c r="B140" s="23" t="s">
        <v>102</v>
      </c>
      <c r="C140" s="23" t="s">
        <v>101</v>
      </c>
      <c r="D140" s="23" t="s">
        <v>69</v>
      </c>
      <c r="E140" s="23" t="s">
        <v>201</v>
      </c>
      <c r="F140" s="23">
        <v>2</v>
      </c>
      <c r="G140" s="23">
        <v>3</v>
      </c>
      <c r="H140" s="23">
        <v>0</v>
      </c>
      <c r="I140" s="23">
        <v>3047</v>
      </c>
      <c r="J140" s="23">
        <v>0</v>
      </c>
      <c r="K140" s="23">
        <v>10772</v>
      </c>
      <c r="L140" s="23" t="s">
        <v>237</v>
      </c>
      <c r="M140" s="23">
        <f t="shared" si="2"/>
        <v>303</v>
      </c>
      <c r="N140" s="24" t="str">
        <f t="array" ref="N140">INDEX('MATCH INFO'!O:O, INT((ROW()-2)/10)+2 + 29)</f>
        <v>260613_T1_O2_S2</v>
      </c>
    </row>
    <row r="141" spans="1:14">
      <c r="A141" s="23" t="s">
        <v>20</v>
      </c>
      <c r="B141" s="23" t="s">
        <v>103</v>
      </c>
      <c r="C141" s="23" t="s">
        <v>104</v>
      </c>
      <c r="D141" s="23" t="s">
        <v>69</v>
      </c>
      <c r="E141" s="23" t="s">
        <v>201</v>
      </c>
      <c r="F141" s="23">
        <v>2</v>
      </c>
      <c r="G141" s="23">
        <v>6</v>
      </c>
      <c r="H141" s="23">
        <v>0</v>
      </c>
      <c r="I141" s="23">
        <v>3465</v>
      </c>
      <c r="J141" s="23">
        <v>0</v>
      </c>
      <c r="K141" s="23">
        <v>345</v>
      </c>
      <c r="L141" s="23" t="s">
        <v>237</v>
      </c>
      <c r="M141" s="23">
        <f t="shared" si="2"/>
        <v>303</v>
      </c>
      <c r="N141" s="24" t="str">
        <f t="array" ref="N141">INDEX('MATCH INFO'!O:O, INT((ROW()-2)/10)+2 + 29)</f>
        <v>260613_T1_O2_S2</v>
      </c>
    </row>
    <row r="142" spans="1:14">
      <c r="A142" s="23" t="s">
        <v>41</v>
      </c>
      <c r="B142" s="23" t="s">
        <v>157</v>
      </c>
      <c r="C142" s="23" t="s">
        <v>109</v>
      </c>
      <c r="D142" s="23" t="s">
        <v>37</v>
      </c>
      <c r="E142" s="23" t="s">
        <v>196</v>
      </c>
      <c r="F142" s="23">
        <v>27</v>
      </c>
      <c r="G142" s="23">
        <v>6</v>
      </c>
      <c r="H142" s="23">
        <v>18</v>
      </c>
      <c r="I142" s="23">
        <v>9264</v>
      </c>
      <c r="J142" s="23">
        <v>6792</v>
      </c>
      <c r="K142" s="23">
        <v>1395</v>
      </c>
      <c r="L142" s="23" t="s">
        <v>238</v>
      </c>
      <c r="M142" s="23">
        <f t="shared" si="2"/>
        <v>796</v>
      </c>
      <c r="N142" s="24" t="str">
        <f t="array" ref="N142">INDEX('MATCH INFO'!O:O, INT((ROW()-2)/10)+2 + 29)</f>
        <v>260613_T1_O2_S3</v>
      </c>
    </row>
    <row r="143" spans="1:14">
      <c r="A143" s="23" t="s">
        <v>41</v>
      </c>
      <c r="B143" s="23" t="s">
        <v>153</v>
      </c>
      <c r="C143" s="23" t="s">
        <v>101</v>
      </c>
      <c r="D143" s="23" t="s">
        <v>37</v>
      </c>
      <c r="E143" s="23" t="s">
        <v>196</v>
      </c>
      <c r="F143" s="23">
        <v>28</v>
      </c>
      <c r="G143" s="23">
        <v>5</v>
      </c>
      <c r="H143" s="23">
        <v>5</v>
      </c>
      <c r="I143" s="23">
        <v>14079</v>
      </c>
      <c r="J143" s="23">
        <v>100</v>
      </c>
      <c r="K143" s="23">
        <v>26659</v>
      </c>
      <c r="L143" s="23" t="s">
        <v>238</v>
      </c>
      <c r="M143" s="23">
        <f t="shared" si="2"/>
        <v>796</v>
      </c>
      <c r="N143" s="24" t="str">
        <f t="array" ref="N143">INDEX('MATCH INFO'!O:O, INT((ROW()-2)/10)+2 + 29)</f>
        <v>260613_T1_O2_S3</v>
      </c>
    </row>
    <row r="144" spans="1:14">
      <c r="A144" s="23" t="s">
        <v>41</v>
      </c>
      <c r="B144" s="23" t="s">
        <v>155</v>
      </c>
      <c r="C144" s="23" t="s">
        <v>104</v>
      </c>
      <c r="D144" s="23" t="s">
        <v>37</v>
      </c>
      <c r="E144" s="23" t="s">
        <v>196</v>
      </c>
      <c r="F144" s="23">
        <v>25</v>
      </c>
      <c r="G144" s="23">
        <v>6</v>
      </c>
      <c r="H144" s="23">
        <v>0</v>
      </c>
      <c r="I144" s="23">
        <v>13053</v>
      </c>
      <c r="J144" s="23">
        <v>0</v>
      </c>
      <c r="K144" s="23">
        <v>0</v>
      </c>
      <c r="L144" s="23" t="s">
        <v>238</v>
      </c>
      <c r="M144" s="23">
        <f t="shared" si="2"/>
        <v>796</v>
      </c>
      <c r="N144" s="24" t="str">
        <f t="array" ref="N144">INDEX('MATCH INFO'!O:O, INT((ROW()-2)/10)+2 + 29)</f>
        <v>260613_T1_O2_S3</v>
      </c>
    </row>
    <row r="145" spans="1:14">
      <c r="A145" s="23" t="s">
        <v>41</v>
      </c>
      <c r="B145" s="23" t="s">
        <v>158</v>
      </c>
      <c r="C145" s="23" t="s">
        <v>109</v>
      </c>
      <c r="D145" s="23" t="s">
        <v>37</v>
      </c>
      <c r="E145" s="23" t="s">
        <v>196</v>
      </c>
      <c r="F145" s="23">
        <v>19</v>
      </c>
      <c r="G145" s="23">
        <v>8</v>
      </c>
      <c r="H145" s="23">
        <v>21</v>
      </c>
      <c r="I145" s="23">
        <v>5096</v>
      </c>
      <c r="J145" s="23">
        <v>13737</v>
      </c>
      <c r="K145" s="23">
        <v>0</v>
      </c>
      <c r="L145" s="23" t="s">
        <v>238</v>
      </c>
      <c r="M145" s="23">
        <f t="shared" si="2"/>
        <v>796</v>
      </c>
      <c r="N145" s="24" t="str">
        <f t="array" ref="N145">INDEX('MATCH INFO'!O:O, INT((ROW()-2)/10)+2 + 29)</f>
        <v>260613_T1_O2_S3</v>
      </c>
    </row>
    <row r="146" spans="1:14">
      <c r="A146" s="23" t="s">
        <v>41</v>
      </c>
      <c r="B146" s="23" t="s">
        <v>154</v>
      </c>
      <c r="C146" s="23" t="s">
        <v>104</v>
      </c>
      <c r="D146" s="23" t="s">
        <v>37</v>
      </c>
      <c r="E146" s="23" t="s">
        <v>196</v>
      </c>
      <c r="F146" s="23">
        <v>23</v>
      </c>
      <c r="G146" s="23">
        <v>8</v>
      </c>
      <c r="H146" s="23">
        <v>5</v>
      </c>
      <c r="I146" s="23">
        <v>13740</v>
      </c>
      <c r="J146" s="23">
        <v>0</v>
      </c>
      <c r="K146" s="23">
        <v>0</v>
      </c>
      <c r="L146" s="23" t="s">
        <v>238</v>
      </c>
      <c r="M146" s="23">
        <f t="shared" si="2"/>
        <v>796</v>
      </c>
      <c r="N146" s="24" t="str">
        <f t="array" ref="N146">INDEX('MATCH INFO'!O:O, INT((ROW()-2)/10)+2 + 29)</f>
        <v>260613_T1_O2_S3</v>
      </c>
    </row>
    <row r="147" spans="1:14">
      <c r="A147" s="23" t="s">
        <v>20</v>
      </c>
      <c r="B147" s="23" t="s">
        <v>108</v>
      </c>
      <c r="C147" s="23" t="s">
        <v>109</v>
      </c>
      <c r="D147" s="23" t="s">
        <v>37</v>
      </c>
      <c r="E147" s="23" t="s">
        <v>196</v>
      </c>
      <c r="F147" s="23">
        <v>8</v>
      </c>
      <c r="G147" s="23">
        <v>8</v>
      </c>
      <c r="H147" s="23">
        <v>10</v>
      </c>
      <c r="I147" s="23">
        <v>5653</v>
      </c>
      <c r="J147" s="23">
        <v>12408</v>
      </c>
      <c r="K147" s="23">
        <v>1098</v>
      </c>
      <c r="L147" s="23" t="s">
        <v>238</v>
      </c>
      <c r="M147" s="23">
        <f t="shared" si="2"/>
        <v>796</v>
      </c>
      <c r="N147" s="24" t="str">
        <f t="array" ref="N147">INDEX('MATCH INFO'!O:O, INT((ROW()-2)/10)+2 + 29)</f>
        <v>260613_T1_O2_S3</v>
      </c>
    </row>
    <row r="148" spans="1:14">
      <c r="A148" s="23" t="s">
        <v>20</v>
      </c>
      <c r="B148" s="23" t="s">
        <v>111</v>
      </c>
      <c r="C148" s="23" t="s">
        <v>109</v>
      </c>
      <c r="D148" s="23" t="s">
        <v>37</v>
      </c>
      <c r="E148" s="23" t="s">
        <v>196</v>
      </c>
      <c r="F148" s="23">
        <v>15</v>
      </c>
      <c r="G148" s="23">
        <v>9</v>
      </c>
      <c r="H148" s="23">
        <v>14</v>
      </c>
      <c r="I148" s="23">
        <v>4418</v>
      </c>
      <c r="J148" s="23">
        <v>17881</v>
      </c>
      <c r="K148" s="23">
        <v>0</v>
      </c>
      <c r="L148" s="23" t="s">
        <v>238</v>
      </c>
      <c r="M148" s="23">
        <f t="shared" si="2"/>
        <v>796</v>
      </c>
      <c r="N148" s="24" t="str">
        <f t="array" ref="N148">INDEX('MATCH INFO'!O:O, INT((ROW()-2)/10)+2 + 29)</f>
        <v>260613_T1_O2_S3</v>
      </c>
    </row>
    <row r="149" spans="1:14">
      <c r="A149" s="23" t="s">
        <v>20</v>
      </c>
      <c r="B149" s="23" t="s">
        <v>106</v>
      </c>
      <c r="C149" s="23" t="s">
        <v>104</v>
      </c>
      <c r="D149" s="23" t="s">
        <v>37</v>
      </c>
      <c r="E149" s="23" t="s">
        <v>196</v>
      </c>
      <c r="F149" s="23">
        <v>20</v>
      </c>
      <c r="G149" s="23">
        <v>9</v>
      </c>
      <c r="H149" s="23">
        <v>5</v>
      </c>
      <c r="I149" s="23">
        <v>8727</v>
      </c>
      <c r="J149" s="23">
        <v>0</v>
      </c>
      <c r="K149" s="23">
        <v>193</v>
      </c>
      <c r="L149" s="23" t="s">
        <v>238</v>
      </c>
      <c r="M149" s="23">
        <f t="shared" si="2"/>
        <v>796</v>
      </c>
      <c r="N149" s="24" t="str">
        <f t="array" ref="N149">INDEX('MATCH INFO'!O:O, INT((ROW()-2)/10)+2 + 29)</f>
        <v>260613_T1_O2_S3</v>
      </c>
    </row>
    <row r="150" spans="1:14">
      <c r="A150" s="23" t="s">
        <v>20</v>
      </c>
      <c r="B150" s="23" t="s">
        <v>102</v>
      </c>
      <c r="C150" s="23" t="s">
        <v>101</v>
      </c>
      <c r="D150" s="23" t="s">
        <v>37</v>
      </c>
      <c r="E150" s="23" t="s">
        <v>196</v>
      </c>
      <c r="F150" s="23">
        <v>18</v>
      </c>
      <c r="G150" s="23">
        <v>9</v>
      </c>
      <c r="H150" s="23">
        <v>3</v>
      </c>
      <c r="I150" s="23">
        <v>12228</v>
      </c>
      <c r="J150" s="23">
        <v>0</v>
      </c>
      <c r="K150" s="23">
        <v>32692</v>
      </c>
      <c r="L150" s="23" t="s">
        <v>238</v>
      </c>
      <c r="M150" s="23">
        <f t="shared" si="2"/>
        <v>796</v>
      </c>
      <c r="N150" s="24" t="str">
        <f t="array" ref="N150">INDEX('MATCH INFO'!O:O, INT((ROW()-2)/10)+2 + 29)</f>
        <v>260613_T1_O2_S3</v>
      </c>
    </row>
    <row r="151" spans="1:14">
      <c r="A151" s="23" t="s">
        <v>20</v>
      </c>
      <c r="B151" s="23" t="s">
        <v>103</v>
      </c>
      <c r="C151" s="23" t="s">
        <v>104</v>
      </c>
      <c r="D151" s="23" t="s">
        <v>37</v>
      </c>
      <c r="E151" s="23" t="s">
        <v>196</v>
      </c>
      <c r="F151" s="23">
        <v>13</v>
      </c>
      <c r="G151" s="23">
        <v>9</v>
      </c>
      <c r="H151" s="23">
        <v>2</v>
      </c>
      <c r="I151" s="23">
        <v>7236</v>
      </c>
      <c r="J151" s="23">
        <v>1917</v>
      </c>
      <c r="K151" s="23">
        <v>4144</v>
      </c>
      <c r="L151" s="23" t="s">
        <v>238</v>
      </c>
      <c r="M151" s="23">
        <f t="shared" si="2"/>
        <v>796</v>
      </c>
      <c r="N151" s="24" t="str">
        <f t="array" ref="N151">INDEX('MATCH INFO'!O:O, INT((ROW()-2)/10)+2 + 29)</f>
        <v>260613_T1_O2_S3</v>
      </c>
    </row>
    <row r="152" spans="1:14">
      <c r="A152" s="23" t="s">
        <v>53</v>
      </c>
      <c r="B152" s="23" t="s">
        <v>173</v>
      </c>
      <c r="C152" s="23" t="s">
        <v>109</v>
      </c>
      <c r="D152" s="23" t="s">
        <v>33</v>
      </c>
      <c r="E152" s="23" t="s">
        <v>188</v>
      </c>
      <c r="F152" s="23">
        <v>0</v>
      </c>
      <c r="G152" s="23">
        <v>6</v>
      </c>
      <c r="H152" s="23">
        <v>3</v>
      </c>
      <c r="I152" s="23">
        <v>2439</v>
      </c>
      <c r="J152" s="23">
        <v>5719</v>
      </c>
      <c r="K152" s="23">
        <v>0</v>
      </c>
      <c r="L152" s="23" t="s">
        <v>239</v>
      </c>
      <c r="M152" s="23">
        <f t="shared" si="2"/>
        <v>404.00000000000006</v>
      </c>
      <c r="N152" s="24" t="str">
        <f t="array" ref="N152">INDEX('MATCH INFO'!O:O, INT((ROW()-2)/10)+2 + 29)</f>
        <v>260613_SB_ZETA_S1</v>
      </c>
    </row>
    <row r="153" spans="1:14">
      <c r="A153" s="23" t="s">
        <v>53</v>
      </c>
      <c r="B153" s="23" t="s">
        <v>169</v>
      </c>
      <c r="C153" s="23" t="s">
        <v>101</v>
      </c>
      <c r="D153" s="23" t="s">
        <v>33</v>
      </c>
      <c r="E153" s="23" t="s">
        <v>188</v>
      </c>
      <c r="F153" s="23">
        <v>2</v>
      </c>
      <c r="G153" s="23">
        <v>5</v>
      </c>
      <c r="H153" s="23">
        <v>0</v>
      </c>
      <c r="I153" s="23">
        <v>4431</v>
      </c>
      <c r="J153" s="23">
        <v>537</v>
      </c>
      <c r="K153" s="23">
        <v>14071</v>
      </c>
      <c r="L153" s="23" t="s">
        <v>239</v>
      </c>
      <c r="M153" s="23">
        <f t="shared" si="2"/>
        <v>404.00000000000006</v>
      </c>
      <c r="N153" s="24" t="str">
        <f t="array" ref="N153">INDEX('MATCH INFO'!O:O, INT((ROW()-2)/10)+2 + 29)</f>
        <v>260613_SB_ZETA_S1</v>
      </c>
    </row>
    <row r="154" spans="1:14">
      <c r="A154" s="23" t="s">
        <v>53</v>
      </c>
      <c r="B154" s="59" t="s">
        <v>440</v>
      </c>
      <c r="C154" s="23" t="s">
        <v>104</v>
      </c>
      <c r="D154" s="23" t="s">
        <v>33</v>
      </c>
      <c r="E154" s="23" t="s">
        <v>188</v>
      </c>
      <c r="F154" s="23">
        <v>2</v>
      </c>
      <c r="G154" s="23">
        <v>7</v>
      </c>
      <c r="H154" s="23">
        <v>0</v>
      </c>
      <c r="I154" s="23">
        <v>2593</v>
      </c>
      <c r="J154" s="23">
        <v>590</v>
      </c>
      <c r="K154" s="23">
        <v>1073</v>
      </c>
      <c r="L154" s="23" t="s">
        <v>239</v>
      </c>
      <c r="M154" s="23">
        <f t="shared" si="2"/>
        <v>404.00000000000006</v>
      </c>
      <c r="N154" s="24" t="str">
        <f t="array" ref="N154">INDEX('MATCH INFO'!O:O, INT((ROW()-2)/10)+2 + 29)</f>
        <v>260613_SB_ZETA_S1</v>
      </c>
    </row>
    <row r="155" spans="1:14">
      <c r="A155" s="23" t="s">
        <v>53</v>
      </c>
      <c r="B155" s="23" t="s">
        <v>171</v>
      </c>
      <c r="C155" s="23" t="s">
        <v>104</v>
      </c>
      <c r="D155" s="23" t="s">
        <v>33</v>
      </c>
      <c r="E155" s="23" t="s">
        <v>188</v>
      </c>
      <c r="F155" s="23">
        <v>2</v>
      </c>
      <c r="G155" s="23">
        <v>7</v>
      </c>
      <c r="H155" s="23">
        <v>0</v>
      </c>
      <c r="I155" s="23">
        <v>6121</v>
      </c>
      <c r="J155" s="23">
        <v>0</v>
      </c>
      <c r="K155" s="23">
        <v>747</v>
      </c>
      <c r="L155" s="23" t="s">
        <v>239</v>
      </c>
      <c r="M155" s="23">
        <f t="shared" si="2"/>
        <v>404.00000000000006</v>
      </c>
      <c r="N155" s="24" t="str">
        <f t="array" ref="N155">INDEX('MATCH INFO'!O:O, INT((ROW()-2)/10)+2 + 29)</f>
        <v>260613_SB_ZETA_S1</v>
      </c>
    </row>
    <row r="156" spans="1:14">
      <c r="A156" s="23" t="s">
        <v>53</v>
      </c>
      <c r="B156" s="23" t="s">
        <v>174</v>
      </c>
      <c r="C156" s="23" t="s">
        <v>109</v>
      </c>
      <c r="D156" s="23" t="s">
        <v>33</v>
      </c>
      <c r="E156" s="23" t="s">
        <v>188</v>
      </c>
      <c r="F156" s="23">
        <v>1</v>
      </c>
      <c r="G156" s="23">
        <v>6</v>
      </c>
      <c r="H156" s="23">
        <v>1</v>
      </c>
      <c r="I156" s="23">
        <v>591</v>
      </c>
      <c r="J156" s="23">
        <v>5352</v>
      </c>
      <c r="K156" s="23">
        <v>248</v>
      </c>
      <c r="L156" s="23" t="s">
        <v>239</v>
      </c>
      <c r="M156" s="23">
        <f t="shared" si="2"/>
        <v>404.00000000000006</v>
      </c>
      <c r="N156" s="24" t="str">
        <f t="array" ref="N156">INDEX('MATCH INFO'!O:O, INT((ROW()-2)/10)+2 + 29)</f>
        <v>260613_SB_ZETA_S1</v>
      </c>
    </row>
    <row r="157" spans="1:14">
      <c r="A157" s="23" t="s">
        <v>42</v>
      </c>
      <c r="B157" s="23" t="s">
        <v>139</v>
      </c>
      <c r="C157" s="23" t="s">
        <v>101</v>
      </c>
      <c r="D157" s="23" t="s">
        <v>33</v>
      </c>
      <c r="E157" s="23" t="s">
        <v>188</v>
      </c>
      <c r="F157" s="23">
        <v>24</v>
      </c>
      <c r="G157" s="23">
        <v>0</v>
      </c>
      <c r="H157" s="23">
        <v>9</v>
      </c>
      <c r="I157" s="23">
        <v>6325</v>
      </c>
      <c r="J157" s="23">
        <v>645</v>
      </c>
      <c r="K157" s="23">
        <v>6930</v>
      </c>
      <c r="L157" s="23" t="s">
        <v>239</v>
      </c>
      <c r="M157" s="23">
        <f t="shared" si="2"/>
        <v>404.00000000000006</v>
      </c>
      <c r="N157" s="24" t="str">
        <f t="array" ref="N157">INDEX('MATCH INFO'!O:O, INT((ROW()-2)/10)+2 + 29)</f>
        <v>260613_SB_ZETA_S1</v>
      </c>
    </row>
    <row r="158" spans="1:14">
      <c r="A158" s="23" t="s">
        <v>42</v>
      </c>
      <c r="B158" s="23" t="s">
        <v>141</v>
      </c>
      <c r="C158" s="23" t="s">
        <v>104</v>
      </c>
      <c r="D158" s="23" t="s">
        <v>33</v>
      </c>
      <c r="E158" s="23" t="s">
        <v>188</v>
      </c>
      <c r="F158" s="23">
        <v>19</v>
      </c>
      <c r="G158" s="23">
        <v>1</v>
      </c>
      <c r="H158" s="23">
        <v>3</v>
      </c>
      <c r="I158" s="23">
        <v>8603</v>
      </c>
      <c r="J158" s="23">
        <v>454</v>
      </c>
      <c r="K158" s="23">
        <v>735</v>
      </c>
      <c r="L158" s="23" t="s">
        <v>239</v>
      </c>
      <c r="M158" s="23">
        <f t="shared" si="2"/>
        <v>404.00000000000006</v>
      </c>
      <c r="N158" s="24" t="str">
        <f t="array" ref="N158">INDEX('MATCH INFO'!O:O, INT((ROW()-2)/10)+2 + 29)</f>
        <v>260613_SB_ZETA_S1</v>
      </c>
    </row>
    <row r="159" spans="1:14">
      <c r="A159" s="23" t="s">
        <v>42</v>
      </c>
      <c r="B159" s="23" t="s">
        <v>140</v>
      </c>
      <c r="C159" s="23" t="s">
        <v>104</v>
      </c>
      <c r="D159" s="23" t="s">
        <v>33</v>
      </c>
      <c r="E159" s="23" t="s">
        <v>188</v>
      </c>
      <c r="F159" s="23">
        <v>20</v>
      </c>
      <c r="G159" s="23">
        <v>0</v>
      </c>
      <c r="H159" s="23">
        <v>6</v>
      </c>
      <c r="I159" s="23">
        <v>6701</v>
      </c>
      <c r="J159" s="23">
        <v>0</v>
      </c>
      <c r="K159" s="23">
        <v>0</v>
      </c>
      <c r="L159" s="23" t="s">
        <v>239</v>
      </c>
      <c r="M159" s="23">
        <f t="shared" si="2"/>
        <v>404.00000000000006</v>
      </c>
      <c r="N159" s="24" t="str">
        <f t="array" ref="N159">INDEX('MATCH INFO'!O:O, INT((ROW()-2)/10)+2 + 29)</f>
        <v>260613_SB_ZETA_S1</v>
      </c>
    </row>
    <row r="160" spans="1:14">
      <c r="A160" s="23" t="s">
        <v>42</v>
      </c>
      <c r="B160" s="23" t="s">
        <v>143</v>
      </c>
      <c r="C160" s="23" t="s">
        <v>109</v>
      </c>
      <c r="D160" s="23" t="s">
        <v>33</v>
      </c>
      <c r="E160" s="23" t="s">
        <v>188</v>
      </c>
      <c r="F160" s="23">
        <v>10</v>
      </c>
      <c r="G160" s="23">
        <v>2</v>
      </c>
      <c r="H160" s="23">
        <v>9</v>
      </c>
      <c r="I160" s="23">
        <v>2104</v>
      </c>
      <c r="J160" s="23">
        <v>5104</v>
      </c>
      <c r="K160" s="23">
        <v>0</v>
      </c>
      <c r="L160" s="23" t="s">
        <v>239</v>
      </c>
      <c r="M160" s="23">
        <f t="shared" si="2"/>
        <v>404.00000000000006</v>
      </c>
      <c r="N160" s="24" t="str">
        <f t="array" ref="N160">INDEX('MATCH INFO'!O:O, INT((ROW()-2)/10)+2 + 29)</f>
        <v>260613_SB_ZETA_S1</v>
      </c>
    </row>
    <row r="161" spans="1:14">
      <c r="A161" s="23" t="s">
        <v>42</v>
      </c>
      <c r="B161" s="23" t="s">
        <v>142</v>
      </c>
      <c r="C161" s="23" t="s">
        <v>109</v>
      </c>
      <c r="D161" s="23" t="s">
        <v>33</v>
      </c>
      <c r="E161" s="23" t="s">
        <v>188</v>
      </c>
      <c r="F161" s="23">
        <v>14</v>
      </c>
      <c r="G161" s="23">
        <v>0</v>
      </c>
      <c r="H161" s="23">
        <v>17</v>
      </c>
      <c r="I161" s="23">
        <v>2012</v>
      </c>
      <c r="J161" s="23">
        <v>5984</v>
      </c>
      <c r="K161" s="23">
        <v>0</v>
      </c>
      <c r="L161" s="23" t="s">
        <v>239</v>
      </c>
      <c r="M161" s="23">
        <f t="shared" si="2"/>
        <v>404.00000000000006</v>
      </c>
      <c r="N161" s="24" t="str">
        <f t="array" ref="N161">INDEX('MATCH INFO'!O:O, INT((ROW()-2)/10)+2 + 29)</f>
        <v>260613_SB_ZETA_S1</v>
      </c>
    </row>
    <row r="162" spans="1:14">
      <c r="A162" s="23" t="s">
        <v>53</v>
      </c>
      <c r="B162" s="23" t="s">
        <v>173</v>
      </c>
      <c r="C162" s="23" t="s">
        <v>109</v>
      </c>
      <c r="D162" s="23" t="s">
        <v>44</v>
      </c>
      <c r="E162" s="23" t="s">
        <v>190</v>
      </c>
      <c r="F162" s="23">
        <v>8</v>
      </c>
      <c r="G162" s="23">
        <v>6</v>
      </c>
      <c r="H162" s="23">
        <v>11</v>
      </c>
      <c r="I162" s="23">
        <v>3769</v>
      </c>
      <c r="J162" s="23">
        <v>4762</v>
      </c>
      <c r="K162" s="23">
        <v>1327</v>
      </c>
      <c r="L162" s="23" t="s">
        <v>240</v>
      </c>
      <c r="M162" s="23">
        <f t="shared" si="2"/>
        <v>471.00000000000006</v>
      </c>
      <c r="N162" s="24" t="str">
        <f t="array" ref="N162">INDEX('MATCH INFO'!O:O, INT((ROW()-2)/10)+2 + 29)</f>
        <v>260613_SB_ZETA_S2</v>
      </c>
    </row>
    <row r="163" spans="1:14">
      <c r="A163" s="23" t="s">
        <v>53</v>
      </c>
      <c r="B163" s="23" t="s">
        <v>169</v>
      </c>
      <c r="C163" s="23" t="s">
        <v>101</v>
      </c>
      <c r="D163" s="23" t="s">
        <v>44</v>
      </c>
      <c r="E163" s="23" t="s">
        <v>190</v>
      </c>
      <c r="F163" s="23">
        <v>14</v>
      </c>
      <c r="G163" s="23">
        <v>5</v>
      </c>
      <c r="H163" s="23">
        <v>6</v>
      </c>
      <c r="I163" s="23">
        <v>9840</v>
      </c>
      <c r="J163" s="23">
        <v>2589</v>
      </c>
      <c r="K163" s="23">
        <v>5533</v>
      </c>
      <c r="L163" s="23" t="s">
        <v>240</v>
      </c>
      <c r="M163" s="23">
        <f t="shared" si="2"/>
        <v>471.00000000000006</v>
      </c>
      <c r="N163" s="24" t="str">
        <f t="array" ref="N163">INDEX('MATCH INFO'!O:O, INT((ROW()-2)/10)+2 + 29)</f>
        <v>260613_SB_ZETA_S2</v>
      </c>
    </row>
    <row r="164" spans="1:14">
      <c r="A164" s="23" t="s">
        <v>53</v>
      </c>
      <c r="B164" s="23" t="s">
        <v>172</v>
      </c>
      <c r="C164" s="23" t="s">
        <v>109</v>
      </c>
      <c r="D164" s="23" t="s">
        <v>44</v>
      </c>
      <c r="E164" s="23" t="s">
        <v>190</v>
      </c>
      <c r="F164" s="23">
        <v>9</v>
      </c>
      <c r="G164" s="23">
        <v>6</v>
      </c>
      <c r="H164" s="23">
        <v>0</v>
      </c>
      <c r="I164" s="23">
        <v>4714</v>
      </c>
      <c r="J164" s="23">
        <v>765</v>
      </c>
      <c r="K164" s="23">
        <v>0</v>
      </c>
      <c r="L164" s="23" t="s">
        <v>240</v>
      </c>
      <c r="M164" s="23">
        <f t="shared" si="2"/>
        <v>471.00000000000006</v>
      </c>
      <c r="N164" s="24" t="str">
        <f t="array" ref="N164">INDEX('MATCH INFO'!O:O, INT((ROW()-2)/10)+2 + 29)</f>
        <v>260613_SB_ZETA_S2</v>
      </c>
    </row>
    <row r="165" spans="1:14">
      <c r="A165" s="23" t="s">
        <v>53</v>
      </c>
      <c r="B165" s="23" t="s">
        <v>171</v>
      </c>
      <c r="C165" s="23" t="s">
        <v>104</v>
      </c>
      <c r="D165" s="23" t="s">
        <v>44</v>
      </c>
      <c r="E165" s="23" t="s">
        <v>190</v>
      </c>
      <c r="F165" s="23">
        <v>15</v>
      </c>
      <c r="G165" s="23">
        <v>9</v>
      </c>
      <c r="H165" s="23">
        <v>0</v>
      </c>
      <c r="I165" s="23">
        <v>6833</v>
      </c>
      <c r="J165" s="23">
        <v>0</v>
      </c>
      <c r="K165" s="23">
        <v>0</v>
      </c>
      <c r="L165" s="23" t="s">
        <v>240</v>
      </c>
      <c r="M165" s="23">
        <f t="shared" si="2"/>
        <v>471.00000000000006</v>
      </c>
      <c r="N165" s="24" t="str">
        <f t="array" ref="N165">INDEX('MATCH INFO'!O:O, INT((ROW()-2)/10)+2 + 29)</f>
        <v>260613_SB_ZETA_S2</v>
      </c>
    </row>
    <row r="166" spans="1:14">
      <c r="A166" s="23" t="s">
        <v>53</v>
      </c>
      <c r="B166" s="23" t="s">
        <v>174</v>
      </c>
      <c r="C166" s="23" t="s">
        <v>109</v>
      </c>
      <c r="D166" s="23" t="s">
        <v>44</v>
      </c>
      <c r="E166" s="23" t="s">
        <v>190</v>
      </c>
      <c r="F166" s="23">
        <v>5</v>
      </c>
      <c r="G166" s="23">
        <v>9</v>
      </c>
      <c r="H166" s="23">
        <v>12</v>
      </c>
      <c r="I166" s="23">
        <v>2599</v>
      </c>
      <c r="J166" s="23">
        <v>8910</v>
      </c>
      <c r="K166" s="23">
        <v>0</v>
      </c>
      <c r="L166" s="23" t="s">
        <v>240</v>
      </c>
      <c r="M166" s="23">
        <f t="shared" si="2"/>
        <v>471.00000000000006</v>
      </c>
      <c r="N166" s="24" t="str">
        <f t="array" ref="N166">INDEX('MATCH INFO'!O:O, INT((ROW()-2)/10)+2 + 29)</f>
        <v>260613_SB_ZETA_S2</v>
      </c>
    </row>
    <row r="167" spans="1:14">
      <c r="A167" s="23" t="s">
        <v>42</v>
      </c>
      <c r="B167" s="23" t="s">
        <v>141</v>
      </c>
      <c r="C167" s="23" t="s">
        <v>104</v>
      </c>
      <c r="D167" s="23" t="s">
        <v>44</v>
      </c>
      <c r="E167" s="23" t="s">
        <v>190</v>
      </c>
      <c r="F167" s="23">
        <v>27</v>
      </c>
      <c r="G167" s="23">
        <v>5</v>
      </c>
      <c r="H167" s="23">
        <v>0</v>
      </c>
      <c r="I167" s="23">
        <v>7288</v>
      </c>
      <c r="J167" s="23">
        <v>0</v>
      </c>
      <c r="K167" s="23">
        <v>0</v>
      </c>
      <c r="L167" s="23" t="s">
        <v>240</v>
      </c>
      <c r="M167" s="23">
        <f t="shared" si="2"/>
        <v>471.00000000000006</v>
      </c>
      <c r="N167" s="24" t="str">
        <f t="array" ref="N167">INDEX('MATCH INFO'!O:O, INT((ROW()-2)/10)+2 + 29)</f>
        <v>260613_SB_ZETA_S2</v>
      </c>
    </row>
    <row r="168" spans="1:14">
      <c r="A168" s="23" t="s">
        <v>42</v>
      </c>
      <c r="B168" s="23" t="s">
        <v>138</v>
      </c>
      <c r="C168" s="23" t="s">
        <v>101</v>
      </c>
      <c r="D168" s="23" t="s">
        <v>44</v>
      </c>
      <c r="E168" s="23" t="s">
        <v>190</v>
      </c>
      <c r="F168" s="23">
        <v>23</v>
      </c>
      <c r="G168" s="23">
        <v>4</v>
      </c>
      <c r="H168" s="23">
        <v>16</v>
      </c>
      <c r="I168" s="23">
        <v>9622</v>
      </c>
      <c r="J168" s="23">
        <v>2409</v>
      </c>
      <c r="K168" s="23">
        <v>4409</v>
      </c>
      <c r="L168" s="23" t="s">
        <v>240</v>
      </c>
      <c r="M168" s="23">
        <f t="shared" si="2"/>
        <v>471.00000000000006</v>
      </c>
      <c r="N168" s="24" t="str">
        <f t="array" ref="N168">INDEX('MATCH INFO'!O:O, INT((ROW()-2)/10)+2 + 29)</f>
        <v>260613_SB_ZETA_S2</v>
      </c>
    </row>
    <row r="169" spans="1:14">
      <c r="A169" s="23" t="s">
        <v>42</v>
      </c>
      <c r="B169" s="23" t="s">
        <v>140</v>
      </c>
      <c r="C169" s="23" t="s">
        <v>104</v>
      </c>
      <c r="D169" s="23" t="s">
        <v>44</v>
      </c>
      <c r="E169" s="23" t="s">
        <v>190</v>
      </c>
      <c r="F169" s="23">
        <v>25</v>
      </c>
      <c r="G169" s="23">
        <v>2</v>
      </c>
      <c r="H169" s="23">
        <v>0</v>
      </c>
      <c r="I169" s="23">
        <v>8910</v>
      </c>
      <c r="J169" s="23">
        <v>548</v>
      </c>
      <c r="K169" s="23">
        <v>0</v>
      </c>
      <c r="L169" s="23" t="s">
        <v>240</v>
      </c>
      <c r="M169" s="23">
        <f t="shared" si="2"/>
        <v>471.00000000000006</v>
      </c>
      <c r="N169" s="24" t="str">
        <f t="array" ref="N169">INDEX('MATCH INFO'!O:O, INT((ROW()-2)/10)+2 + 29)</f>
        <v>260613_SB_ZETA_S2</v>
      </c>
    </row>
    <row r="170" spans="1:14">
      <c r="A170" s="23" t="s">
        <v>42</v>
      </c>
      <c r="B170" s="23" t="s">
        <v>143</v>
      </c>
      <c r="C170" s="23" t="s">
        <v>109</v>
      </c>
      <c r="D170" s="23" t="s">
        <v>44</v>
      </c>
      <c r="E170" s="23" t="s">
        <v>190</v>
      </c>
      <c r="F170" s="23">
        <v>10</v>
      </c>
      <c r="G170" s="23">
        <v>5</v>
      </c>
      <c r="H170" s="23">
        <v>23</v>
      </c>
      <c r="I170" s="23">
        <v>3582</v>
      </c>
      <c r="J170" s="23">
        <v>7286</v>
      </c>
      <c r="K170" s="23">
        <v>0</v>
      </c>
      <c r="L170" s="23" t="s">
        <v>240</v>
      </c>
      <c r="M170" s="23">
        <f t="shared" si="2"/>
        <v>471.00000000000006</v>
      </c>
      <c r="N170" s="24" t="str">
        <f t="array" ref="N170">INDEX('MATCH INFO'!O:O, INT((ROW()-2)/10)+2 + 29)</f>
        <v>260613_SB_ZETA_S2</v>
      </c>
    </row>
    <row r="171" spans="1:14">
      <c r="A171" s="23" t="s">
        <v>42</v>
      </c>
      <c r="B171" s="23" t="s">
        <v>142</v>
      </c>
      <c r="C171" s="23" t="s">
        <v>109</v>
      </c>
      <c r="D171" s="23" t="s">
        <v>44</v>
      </c>
      <c r="E171" s="23" t="s">
        <v>190</v>
      </c>
      <c r="F171" s="23">
        <v>23</v>
      </c>
      <c r="G171" s="23">
        <v>3</v>
      </c>
      <c r="H171" s="23">
        <v>20</v>
      </c>
      <c r="I171" s="23">
        <v>4712</v>
      </c>
      <c r="J171" s="23">
        <v>4655</v>
      </c>
      <c r="K171" s="23">
        <v>1502</v>
      </c>
      <c r="L171" s="23" t="s">
        <v>240</v>
      </c>
      <c r="M171" s="23">
        <f t="shared" si="2"/>
        <v>471.00000000000006</v>
      </c>
      <c r="N171" s="24" t="str">
        <f t="array" ref="N171">INDEX('MATCH INFO'!O:O, INT((ROW()-2)/10)+2 + 29)</f>
        <v>260613_SB_ZETA_S2</v>
      </c>
    </row>
    <row r="172" spans="1:14">
      <c r="A172" s="23" t="s">
        <v>53</v>
      </c>
      <c r="B172" s="23" t="s">
        <v>173</v>
      </c>
      <c r="C172" s="23" t="s">
        <v>109</v>
      </c>
      <c r="D172" s="23" t="s">
        <v>37</v>
      </c>
      <c r="E172" s="23" t="s">
        <v>196</v>
      </c>
      <c r="F172" s="23">
        <v>14</v>
      </c>
      <c r="G172" s="23">
        <v>10</v>
      </c>
      <c r="H172" s="23">
        <v>22</v>
      </c>
      <c r="I172" s="23">
        <v>6029</v>
      </c>
      <c r="J172" s="23">
        <v>16907</v>
      </c>
      <c r="K172" s="23">
        <v>1000</v>
      </c>
      <c r="L172" s="23" t="s">
        <v>241</v>
      </c>
      <c r="M172" s="23">
        <f t="shared" si="2"/>
        <v>951.99999999999989</v>
      </c>
      <c r="N172" s="24" t="str">
        <f t="array" ref="N172">INDEX('MATCH INFO'!O:O, INT((ROW()-2)/10)+2 + 29)</f>
        <v>260613_SB_ZETA_S3</v>
      </c>
    </row>
    <row r="173" spans="1:14">
      <c r="A173" s="23" t="s">
        <v>53</v>
      </c>
      <c r="B173" s="23" t="s">
        <v>169</v>
      </c>
      <c r="C173" s="23" t="s">
        <v>101</v>
      </c>
      <c r="D173" s="23" t="s">
        <v>37</v>
      </c>
      <c r="E173" s="23" t="s">
        <v>196</v>
      </c>
      <c r="F173" s="23">
        <v>21</v>
      </c>
      <c r="G173" s="23">
        <v>11</v>
      </c>
      <c r="H173" s="23">
        <v>3</v>
      </c>
      <c r="I173" s="23">
        <v>13656</v>
      </c>
      <c r="J173" s="23">
        <v>511</v>
      </c>
      <c r="K173" s="23">
        <v>32696</v>
      </c>
      <c r="L173" s="23" t="s">
        <v>241</v>
      </c>
      <c r="M173" s="23">
        <f t="shared" si="2"/>
        <v>951.99999999999989</v>
      </c>
      <c r="N173" s="24" t="str">
        <f t="array" ref="N173">INDEX('MATCH INFO'!O:O, INT((ROW()-2)/10)+2 + 29)</f>
        <v>260613_SB_ZETA_S3</v>
      </c>
    </row>
    <row r="174" spans="1:14">
      <c r="A174" s="23" t="s">
        <v>53</v>
      </c>
      <c r="B174" s="23" t="s">
        <v>172</v>
      </c>
      <c r="C174" s="23" t="s">
        <v>109</v>
      </c>
      <c r="D174" s="23" t="s">
        <v>37</v>
      </c>
      <c r="E174" s="23" t="s">
        <v>196</v>
      </c>
      <c r="F174" s="23">
        <v>14</v>
      </c>
      <c r="G174" s="23">
        <v>16</v>
      </c>
      <c r="H174" s="23">
        <v>4</v>
      </c>
      <c r="I174" s="23">
        <v>10138</v>
      </c>
      <c r="J174" s="23">
        <v>1052</v>
      </c>
      <c r="K174" s="23">
        <v>3370</v>
      </c>
      <c r="L174" s="23" t="s">
        <v>241</v>
      </c>
      <c r="M174" s="23">
        <f t="shared" si="2"/>
        <v>951.99999999999989</v>
      </c>
      <c r="N174" s="24" t="str">
        <f t="array" ref="N174">INDEX('MATCH INFO'!O:O, INT((ROW()-2)/10)+2 + 29)</f>
        <v>260613_SB_ZETA_S3</v>
      </c>
    </row>
    <row r="175" spans="1:14">
      <c r="A175" s="23" t="s">
        <v>53</v>
      </c>
      <c r="B175" s="23" t="s">
        <v>171</v>
      </c>
      <c r="C175" s="23" t="s">
        <v>104</v>
      </c>
      <c r="D175" s="23" t="s">
        <v>37</v>
      </c>
      <c r="E175" s="23" t="s">
        <v>196</v>
      </c>
      <c r="F175" s="23">
        <v>19</v>
      </c>
      <c r="G175" s="23">
        <v>14</v>
      </c>
      <c r="H175" s="23">
        <v>1</v>
      </c>
      <c r="I175" s="23">
        <v>12086</v>
      </c>
      <c r="J175" s="23">
        <v>0</v>
      </c>
      <c r="K175" s="23">
        <v>300</v>
      </c>
      <c r="L175" s="23" t="s">
        <v>241</v>
      </c>
      <c r="M175" s="23">
        <f t="shared" si="2"/>
        <v>951.99999999999989</v>
      </c>
      <c r="N175" s="24" t="str">
        <f t="array" ref="N175">INDEX('MATCH INFO'!O:O, INT((ROW()-2)/10)+2 + 29)</f>
        <v>260613_SB_ZETA_S3</v>
      </c>
    </row>
    <row r="176" spans="1:14">
      <c r="A176" s="23" t="s">
        <v>53</v>
      </c>
      <c r="B176" s="23" t="s">
        <v>174</v>
      </c>
      <c r="C176" s="23" t="s">
        <v>109</v>
      </c>
      <c r="D176" s="23" t="s">
        <v>37</v>
      </c>
      <c r="E176" s="23" t="s">
        <v>196</v>
      </c>
      <c r="F176" s="23">
        <v>13</v>
      </c>
      <c r="G176" s="23">
        <v>10</v>
      </c>
      <c r="H176" s="23">
        <v>24</v>
      </c>
      <c r="I176" s="23">
        <v>5307</v>
      </c>
      <c r="J176" s="23">
        <v>18146</v>
      </c>
      <c r="K176" s="23">
        <v>2671</v>
      </c>
      <c r="L176" s="23" t="s">
        <v>241</v>
      </c>
      <c r="M176" s="23">
        <f t="shared" si="2"/>
        <v>951.99999999999989</v>
      </c>
      <c r="N176" s="24" t="str">
        <f t="array" ref="N176">INDEX('MATCH INFO'!O:O, INT((ROW()-2)/10)+2 + 29)</f>
        <v>260613_SB_ZETA_S3</v>
      </c>
    </row>
    <row r="177" spans="1:14">
      <c r="A177" s="23" t="s">
        <v>42</v>
      </c>
      <c r="B177" s="23" t="s">
        <v>139</v>
      </c>
      <c r="C177" s="23" t="s">
        <v>101</v>
      </c>
      <c r="D177" s="23" t="s">
        <v>37</v>
      </c>
      <c r="E177" s="23" t="s">
        <v>196</v>
      </c>
      <c r="F177" s="23">
        <v>23</v>
      </c>
      <c r="G177" s="23">
        <v>8</v>
      </c>
      <c r="H177" s="23">
        <v>3</v>
      </c>
      <c r="I177" s="23">
        <v>16278</v>
      </c>
      <c r="J177" s="23">
        <v>20</v>
      </c>
      <c r="K177" s="23">
        <v>29020</v>
      </c>
      <c r="L177" s="23" t="s">
        <v>241</v>
      </c>
      <c r="M177" s="23">
        <f t="shared" si="2"/>
        <v>951.99999999999989</v>
      </c>
      <c r="N177" s="24" t="str">
        <f t="array" ref="N177">INDEX('MATCH INFO'!O:O, INT((ROW()-2)/10)+2 + 29)</f>
        <v>260613_SB_ZETA_S3</v>
      </c>
    </row>
    <row r="178" spans="1:14">
      <c r="A178" s="23" t="s">
        <v>42</v>
      </c>
      <c r="B178" s="23" t="s">
        <v>141</v>
      </c>
      <c r="C178" s="23" t="s">
        <v>104</v>
      </c>
      <c r="D178" s="23" t="s">
        <v>37</v>
      </c>
      <c r="E178" s="23" t="s">
        <v>196</v>
      </c>
      <c r="F178" s="23">
        <v>32</v>
      </c>
      <c r="G178" s="23">
        <v>9</v>
      </c>
      <c r="H178" s="23">
        <v>3</v>
      </c>
      <c r="I178" s="23">
        <v>13933</v>
      </c>
      <c r="J178" s="23">
        <v>0</v>
      </c>
      <c r="K178" s="23">
        <v>247</v>
      </c>
      <c r="L178" s="23" t="s">
        <v>241</v>
      </c>
      <c r="M178" s="23">
        <f t="shared" si="2"/>
        <v>951.99999999999989</v>
      </c>
      <c r="N178" s="24" t="str">
        <f t="array" ref="N178">INDEX('MATCH INFO'!O:O, INT((ROW()-2)/10)+2 + 29)</f>
        <v>260613_SB_ZETA_S3</v>
      </c>
    </row>
    <row r="179" spans="1:14">
      <c r="A179" s="23" t="s">
        <v>42</v>
      </c>
      <c r="B179" s="23" t="s">
        <v>140</v>
      </c>
      <c r="C179" s="23" t="s">
        <v>104</v>
      </c>
      <c r="D179" s="23" t="s">
        <v>37</v>
      </c>
      <c r="E179" s="23" t="s">
        <v>196</v>
      </c>
      <c r="F179" s="23">
        <v>33</v>
      </c>
      <c r="G179" s="23">
        <v>5</v>
      </c>
      <c r="H179" s="23">
        <v>10</v>
      </c>
      <c r="I179" s="23">
        <v>14232</v>
      </c>
      <c r="J179" s="23">
        <v>54</v>
      </c>
      <c r="K179" s="23">
        <v>2463</v>
      </c>
      <c r="L179" s="23" t="s">
        <v>241</v>
      </c>
      <c r="M179" s="23">
        <f t="shared" si="2"/>
        <v>951.99999999999989</v>
      </c>
      <c r="N179" s="24" t="str">
        <f t="array" ref="N179">INDEX('MATCH INFO'!O:O, INT((ROW()-2)/10)+2 + 29)</f>
        <v>260613_SB_ZETA_S3</v>
      </c>
    </row>
    <row r="180" spans="1:14">
      <c r="A180" s="23" t="s">
        <v>42</v>
      </c>
      <c r="B180" s="23" t="s">
        <v>143</v>
      </c>
      <c r="C180" s="23" t="s">
        <v>109</v>
      </c>
      <c r="D180" s="23" t="s">
        <v>37</v>
      </c>
      <c r="E180" s="23" t="s">
        <v>196</v>
      </c>
      <c r="F180" s="23">
        <v>22</v>
      </c>
      <c r="G180" s="23">
        <v>6</v>
      </c>
      <c r="H180" s="23">
        <v>24</v>
      </c>
      <c r="I180" s="23">
        <v>7767</v>
      </c>
      <c r="J180" s="23">
        <v>13635</v>
      </c>
      <c r="K180" s="23">
        <v>1215</v>
      </c>
      <c r="L180" s="23" t="s">
        <v>241</v>
      </c>
      <c r="M180" s="23">
        <f t="shared" si="2"/>
        <v>951.99999999999989</v>
      </c>
      <c r="N180" s="24" t="str">
        <f t="array" ref="N180">INDEX('MATCH INFO'!O:O, INT((ROW()-2)/10)+2 + 29)</f>
        <v>260613_SB_ZETA_S3</v>
      </c>
    </row>
    <row r="181" spans="1:14">
      <c r="A181" s="23" t="s">
        <v>42</v>
      </c>
      <c r="B181" s="23" t="s">
        <v>142</v>
      </c>
      <c r="C181" s="23" t="s">
        <v>109</v>
      </c>
      <c r="D181" s="23" t="s">
        <v>37</v>
      </c>
      <c r="E181" s="23" t="s">
        <v>196</v>
      </c>
      <c r="F181" s="23">
        <v>34</v>
      </c>
      <c r="G181" s="23">
        <v>8</v>
      </c>
      <c r="H181" s="23">
        <v>36</v>
      </c>
      <c r="I181" s="23">
        <v>13978</v>
      </c>
      <c r="J181" s="23">
        <v>8957</v>
      </c>
      <c r="K181" s="23">
        <v>1072</v>
      </c>
      <c r="L181" s="23" t="s">
        <v>241</v>
      </c>
      <c r="M181" s="23">
        <f t="shared" si="2"/>
        <v>951.99999999999989</v>
      </c>
      <c r="N181" s="24" t="str">
        <f t="array" ref="N181">INDEX('MATCH INFO'!O:O, INT((ROW()-2)/10)+2 + 29)</f>
        <v>260613_SB_ZETA_S3</v>
      </c>
    </row>
    <row r="182" spans="1:14">
      <c r="A182" s="23" t="s">
        <v>21</v>
      </c>
      <c r="B182" s="23" t="s">
        <v>117</v>
      </c>
      <c r="C182" s="23" t="s">
        <v>104</v>
      </c>
      <c r="D182" s="23" t="s">
        <v>54</v>
      </c>
      <c r="E182" s="23" t="s">
        <v>188</v>
      </c>
      <c r="F182" s="23">
        <v>11</v>
      </c>
      <c r="G182" s="23">
        <v>4</v>
      </c>
      <c r="H182" s="23">
        <v>2</v>
      </c>
      <c r="I182" s="23">
        <v>5138</v>
      </c>
      <c r="J182" s="23">
        <v>0</v>
      </c>
      <c r="K182" s="23">
        <v>0</v>
      </c>
      <c r="L182" s="23" t="s">
        <v>242</v>
      </c>
      <c r="M182" s="23">
        <f t="shared" si="2"/>
        <v>361</v>
      </c>
      <c r="N182" s="24" t="str">
        <f t="array" ref="N182">INDEX('MATCH INFO'!O:O, INT((ROW()-2)/10)+2 + 29)</f>
        <v>260614_ROZE_PF_S1</v>
      </c>
    </row>
    <row r="183" spans="1:14">
      <c r="A183" s="23" t="s">
        <v>21</v>
      </c>
      <c r="B183" s="23" t="s">
        <v>122</v>
      </c>
      <c r="C183" s="23" t="s">
        <v>109</v>
      </c>
      <c r="D183" s="23" t="s">
        <v>54</v>
      </c>
      <c r="E183" s="23" t="s">
        <v>188</v>
      </c>
      <c r="F183" s="23">
        <v>5</v>
      </c>
      <c r="G183" s="23">
        <v>0</v>
      </c>
      <c r="H183" s="23">
        <v>10</v>
      </c>
      <c r="I183" s="23">
        <v>1348</v>
      </c>
      <c r="J183" s="23">
        <v>6774</v>
      </c>
      <c r="K183" s="23">
        <v>0</v>
      </c>
      <c r="L183" s="23" t="s">
        <v>242</v>
      </c>
      <c r="M183" s="23">
        <f t="shared" si="2"/>
        <v>361</v>
      </c>
      <c r="N183" s="24" t="str">
        <f t="array" ref="N183">INDEX('MATCH INFO'!O:O, INT((ROW()-2)/10)+2 + 29)</f>
        <v>260614_ROZE_PF_S1</v>
      </c>
    </row>
    <row r="184" spans="1:14">
      <c r="A184" s="23" t="s">
        <v>21</v>
      </c>
      <c r="B184" s="23" t="s">
        <v>118</v>
      </c>
      <c r="C184" s="23" t="s">
        <v>104</v>
      </c>
      <c r="D184" s="23" t="s">
        <v>54</v>
      </c>
      <c r="E184" s="23" t="s">
        <v>188</v>
      </c>
      <c r="F184" s="23">
        <v>14</v>
      </c>
      <c r="G184" s="23">
        <v>2</v>
      </c>
      <c r="H184" s="23">
        <v>0</v>
      </c>
      <c r="I184" s="23">
        <v>5628</v>
      </c>
      <c r="J184" s="23">
        <v>0</v>
      </c>
      <c r="K184" s="23">
        <v>0</v>
      </c>
      <c r="L184" s="23" t="s">
        <v>242</v>
      </c>
      <c r="M184" s="23">
        <f t="shared" si="2"/>
        <v>361</v>
      </c>
      <c r="N184" s="24" t="str">
        <f t="array" ref="N184">INDEX('MATCH INFO'!O:O, INT((ROW()-2)/10)+2 + 29)</f>
        <v>260614_ROZE_PF_S1</v>
      </c>
    </row>
    <row r="185" spans="1:14">
      <c r="A185" s="23" t="s">
        <v>21</v>
      </c>
      <c r="B185" s="23" t="s">
        <v>120</v>
      </c>
      <c r="C185" s="23" t="s">
        <v>109</v>
      </c>
      <c r="D185" s="23" t="s">
        <v>54</v>
      </c>
      <c r="E185" s="23" t="s">
        <v>188</v>
      </c>
      <c r="F185" s="23">
        <v>9</v>
      </c>
      <c r="G185" s="23">
        <v>1</v>
      </c>
      <c r="H185" s="23">
        <v>11</v>
      </c>
      <c r="I185" s="23">
        <v>2640</v>
      </c>
      <c r="J185" s="23">
        <v>4835</v>
      </c>
      <c r="K185" s="23">
        <v>518</v>
      </c>
      <c r="L185" s="23" t="s">
        <v>242</v>
      </c>
      <c r="M185" s="23">
        <f t="shared" si="2"/>
        <v>361</v>
      </c>
      <c r="N185" s="24" t="str">
        <f t="array" ref="N185">INDEX('MATCH INFO'!O:O, INT((ROW()-2)/10)+2 + 29)</f>
        <v>260614_ROZE_PF_S1</v>
      </c>
    </row>
    <row r="186" spans="1:14">
      <c r="A186" s="23" t="s">
        <v>21</v>
      </c>
      <c r="B186" s="23" t="s">
        <v>115</v>
      </c>
      <c r="C186" s="23" t="s">
        <v>101</v>
      </c>
      <c r="D186" s="23" t="s">
        <v>54</v>
      </c>
      <c r="E186" s="23" t="s">
        <v>188</v>
      </c>
      <c r="F186" s="23">
        <v>11</v>
      </c>
      <c r="G186" s="23">
        <v>0</v>
      </c>
      <c r="H186" s="23">
        <v>1</v>
      </c>
      <c r="I186" s="23">
        <v>6900</v>
      </c>
      <c r="J186" s="23">
        <v>0</v>
      </c>
      <c r="K186" s="23">
        <v>7164</v>
      </c>
      <c r="L186" s="23" t="s">
        <v>242</v>
      </c>
      <c r="M186" s="23">
        <f t="shared" si="2"/>
        <v>361</v>
      </c>
      <c r="N186" s="24" t="str">
        <f t="array" ref="N186">INDEX('MATCH INFO'!O:O, INT((ROW()-2)/10)+2 + 29)</f>
        <v>260614_ROZE_PF_S1</v>
      </c>
    </row>
    <row r="187" spans="1:14">
      <c r="A187" s="23" t="s">
        <v>50</v>
      </c>
      <c r="B187" s="23" t="s">
        <v>136</v>
      </c>
      <c r="C187" s="23" t="s">
        <v>109</v>
      </c>
      <c r="D187" s="23" t="s">
        <v>54</v>
      </c>
      <c r="E187" s="23" t="s">
        <v>188</v>
      </c>
      <c r="F187" s="23">
        <v>1</v>
      </c>
      <c r="G187" s="23">
        <v>4</v>
      </c>
      <c r="H187" s="23">
        <v>3</v>
      </c>
      <c r="I187" s="23">
        <v>1160</v>
      </c>
      <c r="J187" s="23">
        <v>7421</v>
      </c>
      <c r="K187" s="23">
        <v>0</v>
      </c>
      <c r="L187" s="23" t="s">
        <v>242</v>
      </c>
      <c r="M187" s="23">
        <f t="shared" si="2"/>
        <v>361</v>
      </c>
      <c r="N187" s="24" t="str">
        <f t="array" ref="N187">INDEX('MATCH INFO'!O:O, INT((ROW()-2)/10)+2 + 29)</f>
        <v>260614_ROZE_PF_S1</v>
      </c>
    </row>
    <row r="188" spans="1:14">
      <c r="A188" s="23" t="s">
        <v>50</v>
      </c>
      <c r="B188" s="23" t="s">
        <v>133</v>
      </c>
      <c r="C188" s="23" t="s">
        <v>104</v>
      </c>
      <c r="D188" s="23" t="s">
        <v>54</v>
      </c>
      <c r="E188" s="23" t="s">
        <v>188</v>
      </c>
      <c r="F188" s="23">
        <v>3</v>
      </c>
      <c r="G188" s="23">
        <v>5</v>
      </c>
      <c r="H188" s="23">
        <v>0</v>
      </c>
      <c r="I188" s="23">
        <v>3781</v>
      </c>
      <c r="J188" s="23">
        <v>22</v>
      </c>
      <c r="K188" s="23">
        <v>649</v>
      </c>
      <c r="L188" s="23" t="s">
        <v>242</v>
      </c>
      <c r="M188" s="23">
        <f t="shared" si="2"/>
        <v>361</v>
      </c>
      <c r="N188" s="24" t="str">
        <f t="array" ref="N188">INDEX('MATCH INFO'!O:O, INT((ROW()-2)/10)+2 + 29)</f>
        <v>260614_ROZE_PF_S1</v>
      </c>
    </row>
    <row r="189" spans="1:14">
      <c r="A189" s="23" t="s">
        <v>50</v>
      </c>
      <c r="B189" s="23" t="s">
        <v>131</v>
      </c>
      <c r="C189" s="23" t="s">
        <v>101</v>
      </c>
      <c r="D189" s="23" t="s">
        <v>54</v>
      </c>
      <c r="E189" s="23" t="s">
        <v>188</v>
      </c>
      <c r="F189" s="23">
        <v>2</v>
      </c>
      <c r="G189" s="23">
        <v>5</v>
      </c>
      <c r="H189" s="23">
        <v>0</v>
      </c>
      <c r="I189" s="23">
        <v>2909</v>
      </c>
      <c r="J189" s="23">
        <v>1094</v>
      </c>
      <c r="K189" s="23">
        <v>3737</v>
      </c>
      <c r="L189" s="23" t="s">
        <v>242</v>
      </c>
      <c r="M189" s="23">
        <f t="shared" si="2"/>
        <v>361</v>
      </c>
      <c r="N189" s="24" t="str">
        <f t="array" ref="N189">INDEX('MATCH INFO'!O:O, INT((ROW()-2)/10)+2 + 29)</f>
        <v>260614_ROZE_PF_S1</v>
      </c>
    </row>
    <row r="190" spans="1:14">
      <c r="A190" s="23" t="s">
        <v>50</v>
      </c>
      <c r="B190" s="23" t="s">
        <v>134</v>
      </c>
      <c r="C190" s="23" t="s">
        <v>104</v>
      </c>
      <c r="D190" s="23" t="s">
        <v>54</v>
      </c>
      <c r="E190" s="23" t="s">
        <v>188</v>
      </c>
      <c r="F190" s="23">
        <v>6</v>
      </c>
      <c r="G190" s="23">
        <v>4</v>
      </c>
      <c r="H190" s="23">
        <v>0</v>
      </c>
      <c r="I190" s="23">
        <v>4861</v>
      </c>
      <c r="J190" s="23">
        <v>0</v>
      </c>
      <c r="K190" s="23">
        <v>0</v>
      </c>
      <c r="L190" s="23" t="s">
        <v>242</v>
      </c>
      <c r="M190" s="23">
        <f t="shared" si="2"/>
        <v>361</v>
      </c>
      <c r="N190" s="24" t="str">
        <f t="array" ref="N190">INDEX('MATCH INFO'!O:O, INT((ROW()-2)/10)+2 + 29)</f>
        <v>260614_ROZE_PF_S1</v>
      </c>
    </row>
    <row r="191" spans="1:14">
      <c r="A191" s="23" t="s">
        <v>50</v>
      </c>
      <c r="B191" s="23" t="s">
        <v>135</v>
      </c>
      <c r="C191" s="23" t="s">
        <v>109</v>
      </c>
      <c r="D191" s="23" t="s">
        <v>54</v>
      </c>
      <c r="E191" s="23" t="s">
        <v>188</v>
      </c>
      <c r="F191" s="23">
        <v>3</v>
      </c>
      <c r="G191" s="23">
        <v>4</v>
      </c>
      <c r="H191" s="23">
        <v>4</v>
      </c>
      <c r="I191" s="23">
        <v>2209</v>
      </c>
      <c r="J191" s="23">
        <v>2474</v>
      </c>
      <c r="K191" s="23">
        <v>339</v>
      </c>
      <c r="L191" s="23" t="s">
        <v>242</v>
      </c>
      <c r="M191" s="23">
        <f t="shared" si="2"/>
        <v>361</v>
      </c>
      <c r="N191" s="24" t="str">
        <f t="array" ref="N191">INDEX('MATCH INFO'!O:O, INT((ROW()-2)/10)+2 + 29)</f>
        <v>260614_ROZE_PF_S1</v>
      </c>
    </row>
    <row r="192" spans="1:14">
      <c r="A192" s="23" t="s">
        <v>31</v>
      </c>
      <c r="B192" s="23" t="s">
        <v>165</v>
      </c>
      <c r="C192" s="23" t="s">
        <v>109</v>
      </c>
      <c r="D192" s="23" t="s">
        <v>43</v>
      </c>
      <c r="E192" s="23" t="s">
        <v>201</v>
      </c>
      <c r="F192" s="23">
        <v>9</v>
      </c>
      <c r="G192" s="23">
        <v>1</v>
      </c>
      <c r="H192" s="23">
        <v>11</v>
      </c>
      <c r="I192" s="23">
        <v>1479</v>
      </c>
      <c r="J192" s="23">
        <v>5736</v>
      </c>
      <c r="K192" s="23">
        <v>0</v>
      </c>
      <c r="L192" s="23" t="s">
        <v>243</v>
      </c>
      <c r="M192" s="23">
        <f t="shared" si="2"/>
        <v>358</v>
      </c>
      <c r="N192" s="24" t="str">
        <f t="array" ref="N192">INDEX('MATCH INFO'!O:O, INT((ROW()-2)/10)+2 + 29)</f>
        <v>260614_ROZE_PF_S2</v>
      </c>
    </row>
    <row r="193" spans="1:14">
      <c r="A193" s="23" t="s">
        <v>31</v>
      </c>
      <c r="B193" s="23" t="s">
        <v>166</v>
      </c>
      <c r="C193" s="23" t="s">
        <v>109</v>
      </c>
      <c r="D193" s="23" t="s">
        <v>43</v>
      </c>
      <c r="E193" s="23" t="s">
        <v>201</v>
      </c>
      <c r="F193" s="23">
        <v>8</v>
      </c>
      <c r="G193" s="23">
        <v>3</v>
      </c>
      <c r="H193" s="23">
        <v>13</v>
      </c>
      <c r="I193" s="23">
        <v>1837</v>
      </c>
      <c r="J193" s="23">
        <v>7864</v>
      </c>
      <c r="K193" s="23">
        <v>0</v>
      </c>
      <c r="L193" s="23" t="s">
        <v>243</v>
      </c>
      <c r="M193" s="23">
        <f t="shared" si="2"/>
        <v>358</v>
      </c>
      <c r="N193" s="24" t="str">
        <f t="array" ref="N193">INDEX('MATCH INFO'!O:O, INT((ROW()-2)/10)+2 + 29)</f>
        <v>260614_ROZE_PF_S2</v>
      </c>
    </row>
    <row r="194" spans="1:14">
      <c r="A194" s="23" t="s">
        <v>31</v>
      </c>
      <c r="B194" s="23" t="s">
        <v>161</v>
      </c>
      <c r="C194" s="23" t="s">
        <v>101</v>
      </c>
      <c r="D194" s="23" t="s">
        <v>43</v>
      </c>
      <c r="E194" s="23" t="s">
        <v>201</v>
      </c>
      <c r="F194" s="23">
        <v>17</v>
      </c>
      <c r="G194" s="23">
        <v>1</v>
      </c>
      <c r="H194" s="23">
        <v>10</v>
      </c>
      <c r="I194" s="23">
        <v>6751</v>
      </c>
      <c r="J194" s="23">
        <v>1997</v>
      </c>
      <c r="K194" s="23">
        <v>1968</v>
      </c>
      <c r="L194" s="23" t="s">
        <v>243</v>
      </c>
      <c r="M194" s="23">
        <f t="shared" ref="M194:M257" si="3">L194*86400</f>
        <v>358</v>
      </c>
      <c r="N194" s="24" t="str">
        <f t="array" ref="N194">INDEX('MATCH INFO'!O:O, INT((ROW()-2)/10)+2 + 29)</f>
        <v>260614_ROZE_PF_S2</v>
      </c>
    </row>
    <row r="195" spans="1:14">
      <c r="A195" s="23" t="s">
        <v>31</v>
      </c>
      <c r="B195" s="23" t="s">
        <v>164</v>
      </c>
      <c r="C195" s="23" t="s">
        <v>104</v>
      </c>
      <c r="D195" s="23" t="s">
        <v>43</v>
      </c>
      <c r="E195" s="23" t="s">
        <v>201</v>
      </c>
      <c r="F195" s="23">
        <v>12</v>
      </c>
      <c r="G195" s="23">
        <v>3</v>
      </c>
      <c r="H195" s="23">
        <v>1</v>
      </c>
      <c r="I195" s="23">
        <v>9369</v>
      </c>
      <c r="J195" s="23">
        <v>32</v>
      </c>
      <c r="K195" s="23">
        <v>1256</v>
      </c>
      <c r="L195" s="23" t="s">
        <v>243</v>
      </c>
      <c r="M195" s="23">
        <f t="shared" si="3"/>
        <v>358</v>
      </c>
      <c r="N195" s="24" t="str">
        <f t="array" ref="N195">INDEX('MATCH INFO'!O:O, INT((ROW()-2)/10)+2 + 29)</f>
        <v>260614_ROZE_PF_S2</v>
      </c>
    </row>
    <row r="196" spans="1:14">
      <c r="A196" s="23" t="s">
        <v>31</v>
      </c>
      <c r="B196" s="23" t="s">
        <v>162</v>
      </c>
      <c r="C196" s="23" t="s">
        <v>104</v>
      </c>
      <c r="D196" s="23" t="s">
        <v>43</v>
      </c>
      <c r="E196" s="23" t="s">
        <v>201</v>
      </c>
      <c r="F196" s="23">
        <v>17</v>
      </c>
      <c r="G196" s="23">
        <v>1</v>
      </c>
      <c r="H196" s="23">
        <v>1</v>
      </c>
      <c r="I196" s="23">
        <v>7710</v>
      </c>
      <c r="J196" s="23">
        <v>856</v>
      </c>
      <c r="K196" s="23">
        <v>0</v>
      </c>
      <c r="L196" s="23" t="s">
        <v>243</v>
      </c>
      <c r="M196" s="23">
        <f t="shared" si="3"/>
        <v>358</v>
      </c>
      <c r="N196" s="24" t="str">
        <f t="array" ref="N196">INDEX('MATCH INFO'!O:O, INT((ROW()-2)/10)+2 + 29)</f>
        <v>260614_ROZE_PF_S2</v>
      </c>
    </row>
    <row r="197" spans="1:14">
      <c r="A197" s="23" t="s">
        <v>41</v>
      </c>
      <c r="B197" s="23" t="s">
        <v>157</v>
      </c>
      <c r="C197" s="23" t="s">
        <v>109</v>
      </c>
      <c r="D197" s="23" t="s">
        <v>43</v>
      </c>
      <c r="E197" s="23" t="s">
        <v>201</v>
      </c>
      <c r="F197" s="23">
        <v>7</v>
      </c>
      <c r="G197" s="23">
        <v>2</v>
      </c>
      <c r="H197" s="23">
        <v>6</v>
      </c>
      <c r="I197" s="23">
        <v>1581</v>
      </c>
      <c r="J197" s="23">
        <v>5530</v>
      </c>
      <c r="K197" s="23">
        <v>0</v>
      </c>
      <c r="L197" s="23" t="s">
        <v>243</v>
      </c>
      <c r="M197" s="23">
        <f t="shared" si="3"/>
        <v>358</v>
      </c>
      <c r="N197" s="24" t="str">
        <f t="array" ref="N197">INDEX('MATCH INFO'!O:O, INT((ROW()-2)/10)+2 + 29)</f>
        <v>260614_ROZE_PF_S2</v>
      </c>
    </row>
    <row r="198" spans="1:14">
      <c r="A198" s="23" t="s">
        <v>41</v>
      </c>
      <c r="B198" s="23" t="s">
        <v>152</v>
      </c>
      <c r="C198" s="23" t="s">
        <v>101</v>
      </c>
      <c r="D198" s="23" t="s">
        <v>43</v>
      </c>
      <c r="E198" s="23" t="s">
        <v>201</v>
      </c>
      <c r="F198" s="23">
        <v>5</v>
      </c>
      <c r="G198" s="23">
        <v>5</v>
      </c>
      <c r="H198" s="23">
        <v>3</v>
      </c>
      <c r="I198" s="23">
        <v>7259</v>
      </c>
      <c r="J198" s="23">
        <v>1436</v>
      </c>
      <c r="K198" s="23">
        <v>5886</v>
      </c>
      <c r="L198" s="23" t="s">
        <v>243</v>
      </c>
      <c r="M198" s="23">
        <f t="shared" si="3"/>
        <v>358</v>
      </c>
      <c r="N198" s="24" t="str">
        <f t="array" ref="N198">INDEX('MATCH INFO'!O:O, INT((ROW()-2)/10)+2 + 29)</f>
        <v>260614_ROZE_PF_S2</v>
      </c>
    </row>
    <row r="199" spans="1:14">
      <c r="A199" s="23" t="s">
        <v>41</v>
      </c>
      <c r="B199" s="23" t="s">
        <v>155</v>
      </c>
      <c r="C199" s="23" t="s">
        <v>104</v>
      </c>
      <c r="D199" s="23" t="s">
        <v>43</v>
      </c>
      <c r="E199" s="23" t="s">
        <v>201</v>
      </c>
      <c r="F199" s="23">
        <v>6</v>
      </c>
      <c r="G199" s="23">
        <v>5</v>
      </c>
      <c r="H199" s="23">
        <v>0</v>
      </c>
      <c r="I199" s="23">
        <v>6872</v>
      </c>
      <c r="J199" s="23">
        <v>0</v>
      </c>
      <c r="K199" s="23">
        <v>1254</v>
      </c>
      <c r="L199" s="23" t="s">
        <v>243</v>
      </c>
      <c r="M199" s="23">
        <f t="shared" si="3"/>
        <v>358</v>
      </c>
      <c r="N199" s="24" t="str">
        <f t="array" ref="N199">INDEX('MATCH INFO'!O:O, INT((ROW()-2)/10)+2 + 29)</f>
        <v>260614_ROZE_PF_S2</v>
      </c>
    </row>
    <row r="200" spans="1:14">
      <c r="A200" s="23" t="s">
        <v>41</v>
      </c>
      <c r="B200" s="23" t="s">
        <v>158</v>
      </c>
      <c r="C200" s="23" t="s">
        <v>109</v>
      </c>
      <c r="D200" s="23" t="s">
        <v>43</v>
      </c>
      <c r="E200" s="23" t="s">
        <v>201</v>
      </c>
      <c r="F200" s="23">
        <v>3</v>
      </c>
      <c r="G200" s="23">
        <v>5</v>
      </c>
      <c r="H200" s="23">
        <v>6</v>
      </c>
      <c r="I200" s="23">
        <v>3706</v>
      </c>
      <c r="J200" s="23">
        <v>7216</v>
      </c>
      <c r="K200" s="23">
        <v>0</v>
      </c>
      <c r="L200" s="23" t="s">
        <v>243</v>
      </c>
      <c r="M200" s="23">
        <f t="shared" si="3"/>
        <v>358</v>
      </c>
      <c r="N200" s="24" t="str">
        <f t="array" ref="N200">INDEX('MATCH INFO'!O:O, INT((ROW()-2)/10)+2 + 29)</f>
        <v>260614_ROZE_PF_S2</v>
      </c>
    </row>
    <row r="201" spans="1:14">
      <c r="A201" s="23" t="s">
        <v>41</v>
      </c>
      <c r="B201" s="23" t="s">
        <v>154</v>
      </c>
      <c r="C201" s="23" t="s">
        <v>104</v>
      </c>
      <c r="D201" s="23" t="s">
        <v>43</v>
      </c>
      <c r="E201" s="23" t="s">
        <v>201</v>
      </c>
      <c r="F201" s="23">
        <v>6</v>
      </c>
      <c r="G201" s="23">
        <v>5</v>
      </c>
      <c r="H201" s="23">
        <v>0</v>
      </c>
      <c r="I201" s="23">
        <v>4682</v>
      </c>
      <c r="J201" s="23">
        <v>518</v>
      </c>
      <c r="K201" s="23">
        <v>0</v>
      </c>
      <c r="L201" s="23" t="s">
        <v>243</v>
      </c>
      <c r="M201" s="23">
        <f t="shared" si="3"/>
        <v>358</v>
      </c>
      <c r="N201" s="24" t="str">
        <f t="array" ref="N201">INDEX('MATCH INFO'!O:O, INT((ROW()-2)/10)+2 + 29)</f>
        <v>260614_ROZE_PF_S2</v>
      </c>
    </row>
    <row r="202" spans="1:14">
      <c r="A202" s="23" t="s">
        <v>41</v>
      </c>
      <c r="B202" s="23" t="s">
        <v>157</v>
      </c>
      <c r="C202" s="23" t="s">
        <v>109</v>
      </c>
      <c r="D202" s="23" t="s">
        <v>28</v>
      </c>
      <c r="E202" s="23" t="s">
        <v>192</v>
      </c>
      <c r="F202" s="23">
        <v>5</v>
      </c>
      <c r="G202" s="23">
        <v>6</v>
      </c>
      <c r="H202" s="23">
        <v>12</v>
      </c>
      <c r="I202" s="23">
        <v>2232</v>
      </c>
      <c r="J202" s="23">
        <v>9423</v>
      </c>
      <c r="K202" s="23">
        <v>0</v>
      </c>
      <c r="L202" s="23" t="s">
        <v>244</v>
      </c>
      <c r="M202" s="23">
        <f t="shared" si="3"/>
        <v>632</v>
      </c>
      <c r="N202" s="24" t="str">
        <f t="array" ref="N202">INDEX('MATCH INFO'!O:O, INT((ROW()-2)/10)+2 + 29)</f>
        <v>260614_ROZE_PF_S3</v>
      </c>
    </row>
    <row r="203" spans="1:14">
      <c r="A203" s="23" t="s">
        <v>41</v>
      </c>
      <c r="B203" s="23" t="s">
        <v>152</v>
      </c>
      <c r="C203" s="23" t="s">
        <v>101</v>
      </c>
      <c r="D203" s="23" t="s">
        <v>28</v>
      </c>
      <c r="E203" s="23" t="s">
        <v>192</v>
      </c>
      <c r="F203" s="23">
        <v>16</v>
      </c>
      <c r="G203" s="23">
        <v>6</v>
      </c>
      <c r="H203" s="23">
        <v>7</v>
      </c>
      <c r="I203" s="23">
        <v>10520</v>
      </c>
      <c r="J203" s="23">
        <v>1942</v>
      </c>
      <c r="K203" s="23">
        <v>10230</v>
      </c>
      <c r="L203" s="23" t="s">
        <v>244</v>
      </c>
      <c r="M203" s="23">
        <f t="shared" si="3"/>
        <v>632</v>
      </c>
      <c r="N203" s="24" t="str">
        <f t="array" ref="N203">INDEX('MATCH INFO'!O:O, INT((ROW()-2)/10)+2 + 29)</f>
        <v>260614_ROZE_PF_S3</v>
      </c>
    </row>
    <row r="204" spans="1:14">
      <c r="A204" s="23" t="s">
        <v>41</v>
      </c>
      <c r="B204" s="23" t="s">
        <v>155</v>
      </c>
      <c r="C204" s="23" t="s">
        <v>104</v>
      </c>
      <c r="D204" s="23" t="s">
        <v>28</v>
      </c>
      <c r="E204" s="23" t="s">
        <v>192</v>
      </c>
      <c r="F204" s="23">
        <v>16</v>
      </c>
      <c r="G204" s="23">
        <v>8</v>
      </c>
      <c r="H204" s="23">
        <v>0</v>
      </c>
      <c r="I204" s="23">
        <v>9514</v>
      </c>
      <c r="J204" s="23">
        <v>0</v>
      </c>
      <c r="K204" s="23">
        <v>0</v>
      </c>
      <c r="L204" s="23" t="s">
        <v>244</v>
      </c>
      <c r="M204" s="23">
        <f t="shared" si="3"/>
        <v>632</v>
      </c>
      <c r="N204" s="24" t="str">
        <f t="array" ref="N204">INDEX('MATCH INFO'!O:O, INT((ROW()-2)/10)+2 + 29)</f>
        <v>260614_ROZE_PF_S3</v>
      </c>
    </row>
    <row r="205" spans="1:14">
      <c r="A205" s="23" t="s">
        <v>41</v>
      </c>
      <c r="B205" s="23" t="s">
        <v>158</v>
      </c>
      <c r="C205" s="23" t="s">
        <v>109</v>
      </c>
      <c r="D205" s="23" t="s">
        <v>28</v>
      </c>
      <c r="E205" s="23" t="s">
        <v>192</v>
      </c>
      <c r="F205" s="23">
        <v>4</v>
      </c>
      <c r="G205" s="23">
        <v>8</v>
      </c>
      <c r="H205" s="23">
        <v>12</v>
      </c>
      <c r="I205" s="23">
        <v>4762</v>
      </c>
      <c r="J205" s="23">
        <v>9250</v>
      </c>
      <c r="K205" s="23">
        <v>2158</v>
      </c>
      <c r="L205" s="23" t="s">
        <v>244</v>
      </c>
      <c r="M205" s="23">
        <f t="shared" si="3"/>
        <v>632</v>
      </c>
      <c r="N205" s="24" t="str">
        <f t="array" ref="N205">INDEX('MATCH INFO'!O:O, INT((ROW()-2)/10)+2 + 29)</f>
        <v>260614_ROZE_PF_S3</v>
      </c>
    </row>
    <row r="206" spans="1:14">
      <c r="A206" s="23" t="s">
        <v>41</v>
      </c>
      <c r="B206" s="23" t="s">
        <v>154</v>
      </c>
      <c r="C206" s="23" t="s">
        <v>104</v>
      </c>
      <c r="D206" s="23" t="s">
        <v>28</v>
      </c>
      <c r="E206" s="23" t="s">
        <v>192</v>
      </c>
      <c r="F206" s="23">
        <v>8</v>
      </c>
      <c r="G206" s="23">
        <v>7</v>
      </c>
      <c r="H206" s="23">
        <v>3</v>
      </c>
      <c r="I206" s="23">
        <v>8185</v>
      </c>
      <c r="J206" s="23">
        <v>171</v>
      </c>
      <c r="K206" s="23">
        <v>1014</v>
      </c>
      <c r="L206" s="23" t="s">
        <v>244</v>
      </c>
      <c r="M206" s="23">
        <f t="shared" si="3"/>
        <v>632</v>
      </c>
      <c r="N206" s="24" t="str">
        <f t="array" ref="N206">INDEX('MATCH INFO'!O:O, INT((ROW()-2)/10)+2 + 29)</f>
        <v>260614_ROZE_PF_S3</v>
      </c>
    </row>
    <row r="207" spans="1:14">
      <c r="A207" s="23" t="s">
        <v>31</v>
      </c>
      <c r="B207" s="23" t="s">
        <v>165</v>
      </c>
      <c r="C207" s="23" t="s">
        <v>109</v>
      </c>
      <c r="D207" s="23" t="s">
        <v>28</v>
      </c>
      <c r="E207" s="23" t="s">
        <v>192</v>
      </c>
      <c r="F207" s="23">
        <v>17</v>
      </c>
      <c r="G207" s="23">
        <v>5</v>
      </c>
      <c r="H207" s="23">
        <v>19</v>
      </c>
      <c r="I207" s="23">
        <v>3809</v>
      </c>
      <c r="J207" s="23">
        <v>10847</v>
      </c>
      <c r="K207" s="23">
        <v>0</v>
      </c>
      <c r="L207" s="23" t="s">
        <v>244</v>
      </c>
      <c r="M207" s="23">
        <f t="shared" si="3"/>
        <v>632</v>
      </c>
      <c r="N207" s="24" t="str">
        <f t="array" ref="N207">INDEX('MATCH INFO'!O:O, INT((ROW()-2)/10)+2 + 29)</f>
        <v>260614_ROZE_PF_S3</v>
      </c>
    </row>
    <row r="208" spans="1:14">
      <c r="A208" s="23" t="s">
        <v>31</v>
      </c>
      <c r="B208" s="23" t="s">
        <v>166</v>
      </c>
      <c r="C208" s="23" t="s">
        <v>109</v>
      </c>
      <c r="D208" s="23" t="s">
        <v>28</v>
      </c>
      <c r="E208" s="23" t="s">
        <v>192</v>
      </c>
      <c r="F208" s="23">
        <v>14</v>
      </c>
      <c r="G208" s="23">
        <v>6</v>
      </c>
      <c r="H208" s="23">
        <v>21</v>
      </c>
      <c r="I208" s="23">
        <v>5125</v>
      </c>
      <c r="J208" s="23">
        <v>9338</v>
      </c>
      <c r="K208" s="23">
        <v>705</v>
      </c>
      <c r="L208" s="23" t="s">
        <v>244</v>
      </c>
      <c r="M208" s="23">
        <f t="shared" si="3"/>
        <v>632</v>
      </c>
      <c r="N208" s="24" t="str">
        <f t="array" ref="N208">INDEX('MATCH INFO'!O:O, INT((ROW()-2)/10)+2 + 29)</f>
        <v>260614_ROZE_PF_S3</v>
      </c>
    </row>
    <row r="209" spans="1:14">
      <c r="A209" s="23" t="s">
        <v>31</v>
      </c>
      <c r="B209" s="23" t="s">
        <v>161</v>
      </c>
      <c r="C209" s="23" t="s">
        <v>101</v>
      </c>
      <c r="D209" s="23" t="s">
        <v>28</v>
      </c>
      <c r="E209" s="23" t="s">
        <v>192</v>
      </c>
      <c r="F209" s="23">
        <v>25</v>
      </c>
      <c r="G209" s="23">
        <v>3</v>
      </c>
      <c r="H209" s="23">
        <v>18</v>
      </c>
      <c r="I209" s="23">
        <v>9109</v>
      </c>
      <c r="J209" s="23">
        <v>2599</v>
      </c>
      <c r="K209" s="23">
        <v>20660</v>
      </c>
      <c r="L209" s="23" t="s">
        <v>244</v>
      </c>
      <c r="M209" s="23">
        <f t="shared" si="3"/>
        <v>632</v>
      </c>
      <c r="N209" s="24" t="str">
        <f t="array" ref="N209">INDEX('MATCH INFO'!O:O, INT((ROW()-2)/10)+2 + 29)</f>
        <v>260614_ROZE_PF_S3</v>
      </c>
    </row>
    <row r="210" spans="1:14">
      <c r="A210" s="23" t="s">
        <v>31</v>
      </c>
      <c r="B210" s="23" t="s">
        <v>164</v>
      </c>
      <c r="C210" s="23" t="s">
        <v>104</v>
      </c>
      <c r="D210" s="23" t="s">
        <v>28</v>
      </c>
      <c r="E210" s="23" t="s">
        <v>192</v>
      </c>
      <c r="F210" s="23">
        <v>19</v>
      </c>
      <c r="G210" s="23">
        <v>5</v>
      </c>
      <c r="H210" s="23">
        <v>0</v>
      </c>
      <c r="I210" s="23">
        <v>10098</v>
      </c>
      <c r="J210" s="23">
        <v>0</v>
      </c>
      <c r="K210" s="23">
        <v>0</v>
      </c>
      <c r="L210" s="23" t="s">
        <v>244</v>
      </c>
      <c r="M210" s="23">
        <f t="shared" si="3"/>
        <v>632</v>
      </c>
      <c r="N210" s="24" t="str">
        <f t="array" ref="N210">INDEX('MATCH INFO'!O:O, INT((ROW()-2)/10)+2 + 29)</f>
        <v>260614_ROZE_PF_S3</v>
      </c>
    </row>
    <row r="211" spans="1:14">
      <c r="A211" s="23" t="s">
        <v>31</v>
      </c>
      <c r="B211" s="23" t="s">
        <v>162</v>
      </c>
      <c r="C211" s="23" t="s">
        <v>104</v>
      </c>
      <c r="D211" s="23" t="s">
        <v>28</v>
      </c>
      <c r="E211" s="23" t="s">
        <v>192</v>
      </c>
      <c r="F211" s="23">
        <v>21</v>
      </c>
      <c r="G211" s="23">
        <v>2</v>
      </c>
      <c r="H211" s="23">
        <v>0</v>
      </c>
      <c r="I211" s="23">
        <v>9728</v>
      </c>
      <c r="J211" s="23">
        <v>31</v>
      </c>
      <c r="K211" s="23">
        <v>0</v>
      </c>
      <c r="L211" s="23" t="s">
        <v>244</v>
      </c>
      <c r="M211" s="23">
        <f t="shared" si="3"/>
        <v>632</v>
      </c>
      <c r="N211" s="24" t="str">
        <f t="array" ref="N211">INDEX('MATCH INFO'!O:O, INT((ROW()-2)/10)+2 + 29)</f>
        <v>260614_ROZE_PF_S3</v>
      </c>
    </row>
    <row r="212" spans="1:14">
      <c r="A212" s="23" t="s">
        <v>50</v>
      </c>
      <c r="B212" s="23" t="s">
        <v>136</v>
      </c>
      <c r="C212" s="23" t="s">
        <v>109</v>
      </c>
      <c r="D212" s="23" t="s">
        <v>25</v>
      </c>
      <c r="E212" s="23" t="s">
        <v>190</v>
      </c>
      <c r="F212" s="23">
        <v>6</v>
      </c>
      <c r="G212" s="23">
        <v>5</v>
      </c>
      <c r="H212" s="23">
        <v>25</v>
      </c>
      <c r="I212" s="23">
        <v>2511</v>
      </c>
      <c r="J212" s="23">
        <v>15740</v>
      </c>
      <c r="K212" s="23">
        <v>0</v>
      </c>
      <c r="L212" s="23" t="s">
        <v>245</v>
      </c>
      <c r="M212" s="23">
        <f t="shared" si="3"/>
        <v>676</v>
      </c>
      <c r="N212" s="24" t="str">
        <f t="array" ref="N212">INDEX('MATCH INFO'!O:O, INT((ROW()-2)/10)+2 + 29)</f>
        <v>260614_CR_CB_S1</v>
      </c>
    </row>
    <row r="213" spans="1:14">
      <c r="A213" s="23" t="s">
        <v>50</v>
      </c>
      <c r="B213" s="23" t="s">
        <v>133</v>
      </c>
      <c r="C213" s="23" t="s">
        <v>104</v>
      </c>
      <c r="D213" s="23" t="s">
        <v>25</v>
      </c>
      <c r="E213" s="23" t="s">
        <v>190</v>
      </c>
      <c r="F213" s="23">
        <v>16</v>
      </c>
      <c r="G213" s="23">
        <v>6</v>
      </c>
      <c r="H213" s="23">
        <v>0</v>
      </c>
      <c r="I213" s="23">
        <v>5528</v>
      </c>
      <c r="J213" s="23">
        <v>230</v>
      </c>
      <c r="K213" s="23">
        <v>2095</v>
      </c>
      <c r="L213" s="23" t="s">
        <v>245</v>
      </c>
      <c r="M213" s="23">
        <f t="shared" si="3"/>
        <v>676</v>
      </c>
      <c r="N213" s="24" t="str">
        <f t="array" ref="N213">INDEX('MATCH INFO'!O:O, INT((ROW()-2)/10)+2 + 29)</f>
        <v>260614_CR_CB_S1</v>
      </c>
    </row>
    <row r="214" spans="1:14">
      <c r="A214" s="23" t="s">
        <v>50</v>
      </c>
      <c r="B214" s="23" t="s">
        <v>131</v>
      </c>
      <c r="C214" s="23" t="s">
        <v>101</v>
      </c>
      <c r="D214" s="23" t="s">
        <v>25</v>
      </c>
      <c r="E214" s="23" t="s">
        <v>190</v>
      </c>
      <c r="F214" s="23">
        <v>17</v>
      </c>
      <c r="G214" s="23">
        <v>4</v>
      </c>
      <c r="H214" s="23">
        <v>3</v>
      </c>
      <c r="I214" s="23">
        <v>11392</v>
      </c>
      <c r="J214" s="23">
        <v>550</v>
      </c>
      <c r="K214" s="23">
        <v>22697</v>
      </c>
      <c r="L214" s="23" t="s">
        <v>245</v>
      </c>
      <c r="M214" s="23">
        <f t="shared" si="3"/>
        <v>676</v>
      </c>
      <c r="N214" s="24" t="str">
        <f t="array" ref="N214">INDEX('MATCH INFO'!O:O, INT((ROW()-2)/10)+2 + 29)</f>
        <v>260614_CR_CB_S1</v>
      </c>
    </row>
    <row r="215" spans="1:14">
      <c r="A215" s="23" t="s">
        <v>50</v>
      </c>
      <c r="B215" s="23" t="s">
        <v>134</v>
      </c>
      <c r="C215" s="23" t="s">
        <v>104</v>
      </c>
      <c r="D215" s="23" t="s">
        <v>25</v>
      </c>
      <c r="E215" s="23" t="s">
        <v>190</v>
      </c>
      <c r="F215" s="23">
        <v>22</v>
      </c>
      <c r="G215" s="23">
        <v>3</v>
      </c>
      <c r="H215" s="23">
        <v>0</v>
      </c>
      <c r="I215" s="23">
        <v>11903</v>
      </c>
      <c r="J215" s="23">
        <v>0</v>
      </c>
      <c r="K215" s="23">
        <v>0</v>
      </c>
      <c r="L215" s="23" t="s">
        <v>245</v>
      </c>
      <c r="M215" s="23">
        <f t="shared" si="3"/>
        <v>676</v>
      </c>
      <c r="N215" s="24" t="str">
        <f t="array" ref="N215">INDEX('MATCH INFO'!O:O, INT((ROW()-2)/10)+2 + 29)</f>
        <v>260614_CR_CB_S1</v>
      </c>
    </row>
    <row r="216" spans="1:14">
      <c r="A216" s="23" t="s">
        <v>50</v>
      </c>
      <c r="B216" s="23" t="s">
        <v>135</v>
      </c>
      <c r="C216" s="23" t="s">
        <v>109</v>
      </c>
      <c r="D216" s="23" t="s">
        <v>25</v>
      </c>
      <c r="E216" s="23" t="s">
        <v>190</v>
      </c>
      <c r="F216" s="23">
        <v>10</v>
      </c>
      <c r="G216" s="23">
        <v>6</v>
      </c>
      <c r="H216" s="23">
        <v>16</v>
      </c>
      <c r="I216" s="23">
        <v>3279</v>
      </c>
      <c r="J216" s="23">
        <v>5329</v>
      </c>
      <c r="K216" s="23">
        <v>1792</v>
      </c>
      <c r="L216" s="23" t="s">
        <v>245</v>
      </c>
      <c r="M216" s="23">
        <f t="shared" si="3"/>
        <v>676</v>
      </c>
      <c r="N216" s="24" t="str">
        <f t="array" ref="N216">INDEX('MATCH INFO'!O:O, INT((ROW()-2)/10)+2 + 29)</f>
        <v>260614_CR_CB_S1</v>
      </c>
    </row>
    <row r="217" spans="1:14">
      <c r="A217" s="23" t="s">
        <v>21</v>
      </c>
      <c r="B217" s="23" t="s">
        <v>117</v>
      </c>
      <c r="C217" s="23" t="s">
        <v>104</v>
      </c>
      <c r="D217" s="23" t="s">
        <v>25</v>
      </c>
      <c r="E217" s="23" t="s">
        <v>190</v>
      </c>
      <c r="F217" s="23">
        <v>21</v>
      </c>
      <c r="G217" s="23">
        <v>6</v>
      </c>
      <c r="H217" s="23">
        <v>7</v>
      </c>
      <c r="I217" s="23">
        <v>10940</v>
      </c>
      <c r="J217" s="23">
        <v>0</v>
      </c>
      <c r="K217" s="23">
        <v>0</v>
      </c>
      <c r="L217" s="23" t="s">
        <v>245</v>
      </c>
      <c r="M217" s="23">
        <f t="shared" si="3"/>
        <v>676</v>
      </c>
      <c r="N217" s="24" t="str">
        <f t="array" ref="N217">INDEX('MATCH INFO'!O:O, INT((ROW()-2)/10)+2 + 29)</f>
        <v>260614_CR_CB_S1</v>
      </c>
    </row>
    <row r="218" spans="1:14">
      <c r="A218" s="23" t="s">
        <v>21</v>
      </c>
      <c r="B218" s="23" t="s">
        <v>122</v>
      </c>
      <c r="C218" s="23" t="s">
        <v>109</v>
      </c>
      <c r="D218" s="23" t="s">
        <v>25</v>
      </c>
      <c r="E218" s="23" t="s">
        <v>190</v>
      </c>
      <c r="F218" s="23">
        <v>8</v>
      </c>
      <c r="G218" s="23">
        <v>4</v>
      </c>
      <c r="H218" s="23">
        <v>13</v>
      </c>
      <c r="I218" s="23">
        <v>3554</v>
      </c>
      <c r="J218" s="23">
        <v>12902</v>
      </c>
      <c r="K218" s="23">
        <v>0</v>
      </c>
      <c r="L218" s="23" t="s">
        <v>245</v>
      </c>
      <c r="M218" s="23">
        <f t="shared" si="3"/>
        <v>676</v>
      </c>
      <c r="N218" s="24" t="str">
        <f t="array" ref="N218">INDEX('MATCH INFO'!O:O, INT((ROW()-2)/10)+2 + 29)</f>
        <v>260614_CR_CB_S1</v>
      </c>
    </row>
    <row r="219" spans="1:14">
      <c r="A219" s="23" t="s">
        <v>21</v>
      </c>
      <c r="B219" s="23" t="s">
        <v>118</v>
      </c>
      <c r="C219" s="23" t="s">
        <v>104</v>
      </c>
      <c r="D219" s="23" t="s">
        <v>25</v>
      </c>
      <c r="E219" s="23" t="s">
        <v>190</v>
      </c>
      <c r="F219" s="23">
        <v>11</v>
      </c>
      <c r="G219" s="23">
        <v>5</v>
      </c>
      <c r="H219" s="23">
        <v>0</v>
      </c>
      <c r="I219" s="23">
        <v>10181</v>
      </c>
      <c r="J219" s="23">
        <v>0</v>
      </c>
      <c r="K219" s="23">
        <v>0</v>
      </c>
      <c r="L219" s="23" t="s">
        <v>245</v>
      </c>
      <c r="M219" s="23">
        <f t="shared" si="3"/>
        <v>676</v>
      </c>
      <c r="N219" s="24" t="str">
        <f t="array" ref="N219">INDEX('MATCH INFO'!O:O, INT((ROW()-2)/10)+2 + 29)</f>
        <v>260614_CR_CB_S1</v>
      </c>
    </row>
    <row r="220" spans="1:14">
      <c r="A220" s="23" t="s">
        <v>21</v>
      </c>
      <c r="B220" s="23" t="s">
        <v>120</v>
      </c>
      <c r="C220" s="23" t="s">
        <v>109</v>
      </c>
      <c r="D220" s="23" t="s">
        <v>25</v>
      </c>
      <c r="E220" s="23" t="s">
        <v>190</v>
      </c>
      <c r="F220" s="23">
        <v>9</v>
      </c>
      <c r="G220" s="23">
        <v>7</v>
      </c>
      <c r="H220" s="23">
        <v>12</v>
      </c>
      <c r="I220" s="23">
        <v>3735</v>
      </c>
      <c r="J220" s="23">
        <v>7862</v>
      </c>
      <c r="K220" s="23">
        <v>1020</v>
      </c>
      <c r="L220" s="23" t="s">
        <v>245</v>
      </c>
      <c r="M220" s="23">
        <f t="shared" si="3"/>
        <v>676</v>
      </c>
      <c r="N220" s="24" t="str">
        <f t="array" ref="N220">INDEX('MATCH INFO'!O:O, INT((ROW()-2)/10)+2 + 29)</f>
        <v>260614_CR_CB_S1</v>
      </c>
    </row>
    <row r="221" spans="1:14">
      <c r="A221" s="23" t="s">
        <v>21</v>
      </c>
      <c r="B221" s="23" t="s">
        <v>115</v>
      </c>
      <c r="C221" s="23" t="s">
        <v>101</v>
      </c>
      <c r="D221" s="23" t="s">
        <v>25</v>
      </c>
      <c r="E221" s="23" t="s">
        <v>190</v>
      </c>
      <c r="F221" s="23">
        <v>12</v>
      </c>
      <c r="G221" s="23">
        <v>6</v>
      </c>
      <c r="H221" s="23">
        <v>5</v>
      </c>
      <c r="I221" s="23">
        <v>10281</v>
      </c>
      <c r="J221" s="23">
        <v>472</v>
      </c>
      <c r="K221" s="23">
        <v>16017</v>
      </c>
      <c r="L221" s="23" t="s">
        <v>245</v>
      </c>
      <c r="M221" s="23">
        <f t="shared" si="3"/>
        <v>676</v>
      </c>
      <c r="N221" s="24" t="str">
        <f t="array" ref="N221">INDEX('MATCH INFO'!O:O, INT((ROW()-2)/10)+2 + 29)</f>
        <v>260614_CR_CB_S1</v>
      </c>
    </row>
    <row r="222" spans="1:14">
      <c r="A222" s="23" t="s">
        <v>50</v>
      </c>
      <c r="B222" s="23" t="s">
        <v>136</v>
      </c>
      <c r="C222" s="23" t="s">
        <v>109</v>
      </c>
      <c r="D222" s="23" t="s">
        <v>28</v>
      </c>
      <c r="E222" s="23" t="s">
        <v>192</v>
      </c>
      <c r="F222" s="23">
        <v>1</v>
      </c>
      <c r="G222" s="23">
        <v>6</v>
      </c>
      <c r="H222" s="23">
        <v>0</v>
      </c>
      <c r="I222" s="23">
        <v>1403</v>
      </c>
      <c r="J222" s="23">
        <v>6159</v>
      </c>
      <c r="K222" s="23">
        <v>0</v>
      </c>
      <c r="L222" s="23" t="s">
        <v>246</v>
      </c>
      <c r="M222" s="23">
        <f t="shared" si="3"/>
        <v>322</v>
      </c>
      <c r="N222" s="24" t="str">
        <f t="array" ref="N222">INDEX('MATCH INFO'!O:O, INT((ROW()-2)/10)+2 + 29)</f>
        <v>260614_CR_CB_S2</v>
      </c>
    </row>
    <row r="223" spans="1:14">
      <c r="A223" s="23" t="s">
        <v>50</v>
      </c>
      <c r="B223" s="23" t="s">
        <v>133</v>
      </c>
      <c r="C223" s="23" t="s">
        <v>104</v>
      </c>
      <c r="D223" s="23" t="s">
        <v>28</v>
      </c>
      <c r="E223" s="23" t="s">
        <v>192</v>
      </c>
      <c r="F223" s="23">
        <v>2</v>
      </c>
      <c r="G223" s="23">
        <v>3</v>
      </c>
      <c r="H223" s="23">
        <v>0</v>
      </c>
      <c r="I223" s="23">
        <v>3118</v>
      </c>
      <c r="J223" s="23">
        <v>1058</v>
      </c>
      <c r="K223" s="23">
        <v>3452</v>
      </c>
      <c r="L223" s="23" t="s">
        <v>246</v>
      </c>
      <c r="M223" s="23">
        <f t="shared" si="3"/>
        <v>322</v>
      </c>
      <c r="N223" s="24" t="str">
        <f t="array" ref="N223">INDEX('MATCH INFO'!O:O, INT((ROW()-2)/10)+2 + 29)</f>
        <v>260614_CR_CB_S2</v>
      </c>
    </row>
    <row r="224" spans="1:14">
      <c r="A224" s="23" t="s">
        <v>50</v>
      </c>
      <c r="B224" s="23" t="s">
        <v>131</v>
      </c>
      <c r="C224" s="23" t="s">
        <v>101</v>
      </c>
      <c r="D224" s="23" t="s">
        <v>28</v>
      </c>
      <c r="E224" s="23" t="s">
        <v>192</v>
      </c>
      <c r="F224" s="23">
        <v>1</v>
      </c>
      <c r="G224" s="23">
        <v>5</v>
      </c>
      <c r="H224" s="23">
        <v>0</v>
      </c>
      <c r="I224" s="23">
        <v>6252</v>
      </c>
      <c r="J224" s="23">
        <v>275</v>
      </c>
      <c r="K224" s="23">
        <v>10236</v>
      </c>
      <c r="L224" s="23" t="s">
        <v>246</v>
      </c>
      <c r="M224" s="23">
        <f t="shared" si="3"/>
        <v>322</v>
      </c>
      <c r="N224" s="24" t="str">
        <f t="array" ref="N224">INDEX('MATCH INFO'!O:O, INT((ROW()-2)/10)+2 + 29)</f>
        <v>260614_CR_CB_S2</v>
      </c>
    </row>
    <row r="225" spans="1:14">
      <c r="A225" s="23" t="s">
        <v>50</v>
      </c>
      <c r="B225" s="23" t="s">
        <v>134</v>
      </c>
      <c r="C225" s="23" t="s">
        <v>104</v>
      </c>
      <c r="D225" s="23" t="s">
        <v>28</v>
      </c>
      <c r="E225" s="23" t="s">
        <v>192</v>
      </c>
      <c r="F225" s="23">
        <v>5</v>
      </c>
      <c r="G225" s="23">
        <v>4</v>
      </c>
      <c r="H225" s="23">
        <v>0</v>
      </c>
      <c r="I225" s="23">
        <v>5235</v>
      </c>
      <c r="J225" s="23">
        <v>0</v>
      </c>
      <c r="K225" s="23">
        <v>0</v>
      </c>
      <c r="L225" s="23" t="s">
        <v>246</v>
      </c>
      <c r="M225" s="23">
        <f t="shared" si="3"/>
        <v>322</v>
      </c>
      <c r="N225" s="24" t="str">
        <f t="array" ref="N225">INDEX('MATCH INFO'!O:O, INT((ROW()-2)/10)+2 + 29)</f>
        <v>260614_CR_CB_S2</v>
      </c>
    </row>
    <row r="226" spans="1:14">
      <c r="A226" s="23" t="s">
        <v>50</v>
      </c>
      <c r="B226" s="23" t="s">
        <v>135</v>
      </c>
      <c r="C226" s="23" t="s">
        <v>109</v>
      </c>
      <c r="D226" s="23" t="s">
        <v>28</v>
      </c>
      <c r="E226" s="23" t="s">
        <v>192</v>
      </c>
      <c r="F226" s="23">
        <v>3</v>
      </c>
      <c r="G226" s="23">
        <v>4</v>
      </c>
      <c r="H226" s="23">
        <v>2</v>
      </c>
      <c r="I226" s="23">
        <v>1603</v>
      </c>
      <c r="J226" s="23">
        <v>5845</v>
      </c>
      <c r="K226" s="23">
        <v>0</v>
      </c>
      <c r="L226" s="23" t="s">
        <v>246</v>
      </c>
      <c r="M226" s="23">
        <f t="shared" si="3"/>
        <v>322</v>
      </c>
      <c r="N226" s="24" t="str">
        <f t="array" ref="N226">INDEX('MATCH INFO'!O:O, INT((ROW()-2)/10)+2 + 29)</f>
        <v>260614_CR_CB_S2</v>
      </c>
    </row>
    <row r="227" spans="1:14">
      <c r="A227" s="23" t="s">
        <v>21</v>
      </c>
      <c r="B227" s="23" t="s">
        <v>117</v>
      </c>
      <c r="C227" s="23" t="s">
        <v>104</v>
      </c>
      <c r="D227" s="23" t="s">
        <v>28</v>
      </c>
      <c r="E227" s="23" t="s">
        <v>192</v>
      </c>
      <c r="F227" s="23">
        <v>12</v>
      </c>
      <c r="G227" s="23">
        <v>2</v>
      </c>
      <c r="H227" s="23">
        <v>0</v>
      </c>
      <c r="I227" s="23">
        <v>4233</v>
      </c>
      <c r="J227" s="23">
        <v>64</v>
      </c>
      <c r="K227" s="23">
        <v>521</v>
      </c>
      <c r="L227" s="23" t="s">
        <v>246</v>
      </c>
      <c r="M227" s="23">
        <f t="shared" si="3"/>
        <v>322</v>
      </c>
      <c r="N227" s="24" t="str">
        <f t="array" ref="N227">INDEX('MATCH INFO'!O:O, INT((ROW()-2)/10)+2 + 29)</f>
        <v>260614_CR_CB_S2</v>
      </c>
    </row>
    <row r="228" spans="1:14">
      <c r="A228" s="23" t="s">
        <v>21</v>
      </c>
      <c r="B228" s="23" t="s">
        <v>122</v>
      </c>
      <c r="C228" s="23" t="s">
        <v>109</v>
      </c>
      <c r="D228" s="23" t="s">
        <v>28</v>
      </c>
      <c r="E228" s="23" t="s">
        <v>192</v>
      </c>
      <c r="F228" s="23">
        <v>9</v>
      </c>
      <c r="G228" s="23">
        <v>1</v>
      </c>
      <c r="H228" s="23">
        <v>10</v>
      </c>
      <c r="I228" s="23">
        <v>2316</v>
      </c>
      <c r="J228" s="23">
        <v>7039</v>
      </c>
      <c r="K228" s="23">
        <v>0</v>
      </c>
      <c r="L228" s="23" t="s">
        <v>246</v>
      </c>
      <c r="M228" s="23">
        <f t="shared" si="3"/>
        <v>322</v>
      </c>
      <c r="N228" s="24" t="str">
        <f t="array" ref="N228">INDEX('MATCH INFO'!O:O, INT((ROW()-2)/10)+2 + 29)</f>
        <v>260614_CR_CB_S2</v>
      </c>
    </row>
    <row r="229" spans="1:14">
      <c r="A229" s="23" t="s">
        <v>21</v>
      </c>
      <c r="B229" s="23" t="s">
        <v>118</v>
      </c>
      <c r="C229" s="23" t="s">
        <v>104</v>
      </c>
      <c r="D229" s="23" t="s">
        <v>28</v>
      </c>
      <c r="E229" s="23" t="s">
        <v>192</v>
      </c>
      <c r="F229" s="23">
        <v>16</v>
      </c>
      <c r="G229" s="23">
        <v>1</v>
      </c>
      <c r="H229" s="23">
        <v>0</v>
      </c>
      <c r="I229" s="23">
        <v>6690</v>
      </c>
      <c r="J229" s="23">
        <v>0</v>
      </c>
      <c r="K229" s="23">
        <v>0</v>
      </c>
      <c r="L229" s="23" t="s">
        <v>246</v>
      </c>
      <c r="M229" s="23">
        <f t="shared" si="3"/>
        <v>322</v>
      </c>
      <c r="N229" s="24" t="str">
        <f t="array" ref="N229">INDEX('MATCH INFO'!O:O, INT((ROW()-2)/10)+2 + 29)</f>
        <v>260614_CR_CB_S2</v>
      </c>
    </row>
    <row r="230" spans="1:14">
      <c r="A230" s="23" t="s">
        <v>21</v>
      </c>
      <c r="B230" s="23" t="s">
        <v>120</v>
      </c>
      <c r="C230" s="23" t="s">
        <v>109</v>
      </c>
      <c r="D230" s="23" t="s">
        <v>28</v>
      </c>
      <c r="E230" s="23" t="s">
        <v>192</v>
      </c>
      <c r="F230" s="23">
        <v>11</v>
      </c>
      <c r="G230" s="23">
        <v>0</v>
      </c>
      <c r="H230" s="23">
        <v>14</v>
      </c>
      <c r="I230" s="23">
        <v>3281</v>
      </c>
      <c r="J230" s="23">
        <v>6322</v>
      </c>
      <c r="K230" s="23">
        <v>450</v>
      </c>
      <c r="L230" s="23" t="s">
        <v>246</v>
      </c>
      <c r="M230" s="23">
        <f t="shared" si="3"/>
        <v>322</v>
      </c>
      <c r="N230" s="24" t="str">
        <f t="array" ref="N230">INDEX('MATCH INFO'!O:O, INT((ROW()-2)/10)+2 + 29)</f>
        <v>260614_CR_CB_S2</v>
      </c>
    </row>
    <row r="231" spans="1:14">
      <c r="A231" s="23" t="s">
        <v>21</v>
      </c>
      <c r="B231" s="23" t="s">
        <v>115</v>
      </c>
      <c r="C231" s="23" t="s">
        <v>101</v>
      </c>
      <c r="D231" s="23" t="s">
        <v>28</v>
      </c>
      <c r="E231" s="23" t="s">
        <v>192</v>
      </c>
      <c r="F231" s="23">
        <v>12</v>
      </c>
      <c r="G231" s="23">
        <v>1</v>
      </c>
      <c r="H231" s="23">
        <v>0</v>
      </c>
      <c r="I231" s="23">
        <v>7397</v>
      </c>
      <c r="J231" s="23">
        <v>0</v>
      </c>
      <c r="K231" s="23">
        <v>7671</v>
      </c>
      <c r="L231" s="23" t="s">
        <v>246</v>
      </c>
      <c r="M231" s="23">
        <f t="shared" si="3"/>
        <v>322</v>
      </c>
      <c r="N231" s="24" t="str">
        <f t="array" ref="N231">INDEX('MATCH INFO'!O:O, INT((ROW()-2)/10)+2 + 29)</f>
        <v>260614_CR_CB_S2</v>
      </c>
    </row>
    <row r="232" spans="1:14">
      <c r="A232" s="23" t="s">
        <v>32</v>
      </c>
      <c r="B232" s="23" t="s">
        <v>150</v>
      </c>
      <c r="C232" s="23" t="s">
        <v>109</v>
      </c>
      <c r="D232" s="23" t="s">
        <v>54</v>
      </c>
      <c r="E232" s="23" t="s">
        <v>188</v>
      </c>
      <c r="F232" s="23">
        <v>20</v>
      </c>
      <c r="G232" s="23">
        <v>3</v>
      </c>
      <c r="H232" s="23">
        <v>12</v>
      </c>
      <c r="I232" s="23">
        <v>5820</v>
      </c>
      <c r="J232" s="23">
        <v>8113</v>
      </c>
      <c r="K232" s="23">
        <v>1695</v>
      </c>
      <c r="L232" s="23" t="s">
        <v>247</v>
      </c>
      <c r="M232" s="23">
        <f t="shared" si="3"/>
        <v>494</v>
      </c>
      <c r="N232" s="24" t="str">
        <f t="array" ref="N232">INDEX('MATCH INFO'!O:O, INT((ROW()-2)/10)+2 + 29)</f>
        <v>260614_CR_CB_S3</v>
      </c>
    </row>
    <row r="233" spans="1:14">
      <c r="A233" s="23" t="s">
        <v>32</v>
      </c>
      <c r="B233" s="23" t="s">
        <v>148</v>
      </c>
      <c r="C233" s="23" t="s">
        <v>104</v>
      </c>
      <c r="D233" s="23" t="s">
        <v>54</v>
      </c>
      <c r="E233" s="23" t="s">
        <v>188</v>
      </c>
      <c r="F233" s="23">
        <v>20</v>
      </c>
      <c r="G233" s="23">
        <v>6</v>
      </c>
      <c r="H233" s="23">
        <v>2</v>
      </c>
      <c r="I233" s="23">
        <v>9372</v>
      </c>
      <c r="J233" s="23">
        <v>345</v>
      </c>
      <c r="K233" s="23">
        <v>76</v>
      </c>
      <c r="L233" s="23" t="s">
        <v>247</v>
      </c>
      <c r="M233" s="23">
        <f t="shared" si="3"/>
        <v>494</v>
      </c>
      <c r="N233" s="24" t="str">
        <f t="array" ref="N233">INDEX('MATCH INFO'!O:O, INT((ROW()-2)/10)+2 + 29)</f>
        <v>260614_CR_CB_S3</v>
      </c>
    </row>
    <row r="234" spans="1:14">
      <c r="A234" s="23" t="s">
        <v>32</v>
      </c>
      <c r="B234" s="23" t="s">
        <v>146</v>
      </c>
      <c r="C234" s="23" t="s">
        <v>101</v>
      </c>
      <c r="D234" s="23" t="s">
        <v>54</v>
      </c>
      <c r="E234" s="23" t="s">
        <v>188</v>
      </c>
      <c r="F234" s="23">
        <v>23</v>
      </c>
      <c r="G234" s="23">
        <v>2</v>
      </c>
      <c r="H234" s="23">
        <v>13</v>
      </c>
      <c r="I234" s="23">
        <v>10391</v>
      </c>
      <c r="J234" s="23">
        <v>1154</v>
      </c>
      <c r="K234" s="23">
        <v>10003</v>
      </c>
      <c r="L234" s="23" t="s">
        <v>247</v>
      </c>
      <c r="M234" s="23">
        <f t="shared" si="3"/>
        <v>494</v>
      </c>
      <c r="N234" s="24" t="str">
        <f t="array" ref="N234">INDEX('MATCH INFO'!O:O, INT((ROW()-2)/10)+2 + 29)</f>
        <v>260614_CR_CB_S3</v>
      </c>
    </row>
    <row r="235" spans="1:14">
      <c r="A235" s="23" t="s">
        <v>32</v>
      </c>
      <c r="B235" s="23" t="s">
        <v>149</v>
      </c>
      <c r="C235" s="23" t="s">
        <v>104</v>
      </c>
      <c r="D235" s="23" t="s">
        <v>54</v>
      </c>
      <c r="E235" s="23" t="s">
        <v>188</v>
      </c>
      <c r="F235" s="23">
        <v>23</v>
      </c>
      <c r="G235" s="23">
        <v>3</v>
      </c>
      <c r="H235" s="23">
        <v>5</v>
      </c>
      <c r="I235" s="23">
        <v>9360</v>
      </c>
      <c r="J235" s="23">
        <v>78</v>
      </c>
      <c r="K235" s="23">
        <v>1819</v>
      </c>
      <c r="L235" s="23" t="s">
        <v>247</v>
      </c>
      <c r="M235" s="23">
        <f t="shared" si="3"/>
        <v>494</v>
      </c>
      <c r="N235" s="24" t="str">
        <f t="array" ref="N235">INDEX('MATCH INFO'!O:O, INT((ROW()-2)/10)+2 + 29)</f>
        <v>260614_CR_CB_S3</v>
      </c>
    </row>
    <row r="236" spans="1:14">
      <c r="A236" s="23" t="s">
        <v>32</v>
      </c>
      <c r="B236" s="23" t="s">
        <v>151</v>
      </c>
      <c r="C236" s="23" t="s">
        <v>109</v>
      </c>
      <c r="D236" s="23" t="s">
        <v>54</v>
      </c>
      <c r="E236" s="23" t="s">
        <v>188</v>
      </c>
      <c r="F236" s="23">
        <v>16</v>
      </c>
      <c r="G236" s="23">
        <v>3</v>
      </c>
      <c r="H236" s="23">
        <v>20</v>
      </c>
      <c r="I236" s="23">
        <v>5125</v>
      </c>
      <c r="J236" s="23">
        <v>14633</v>
      </c>
      <c r="K236" s="23">
        <v>0</v>
      </c>
      <c r="L236" s="23" t="s">
        <v>247</v>
      </c>
      <c r="M236" s="23">
        <f t="shared" si="3"/>
        <v>494</v>
      </c>
      <c r="N236" s="24" t="str">
        <f t="array" ref="N236">INDEX('MATCH INFO'!O:O, INT((ROW()-2)/10)+2 + 29)</f>
        <v>260614_CR_CB_S3</v>
      </c>
    </row>
    <row r="237" spans="1:14">
      <c r="A237" s="23" t="s">
        <v>51</v>
      </c>
      <c r="B237" s="23" t="s">
        <v>126</v>
      </c>
      <c r="C237" s="23" t="s">
        <v>104</v>
      </c>
      <c r="D237" s="23" t="s">
        <v>54</v>
      </c>
      <c r="E237" s="23" t="s">
        <v>188</v>
      </c>
      <c r="F237" s="23">
        <v>12</v>
      </c>
      <c r="G237" s="23">
        <v>7</v>
      </c>
      <c r="H237" s="23">
        <v>2</v>
      </c>
      <c r="I237" s="23">
        <v>7517</v>
      </c>
      <c r="J237" s="23">
        <v>537</v>
      </c>
      <c r="K237" s="23">
        <v>4197</v>
      </c>
      <c r="L237" s="23" t="s">
        <v>247</v>
      </c>
      <c r="M237" s="23">
        <f t="shared" si="3"/>
        <v>494</v>
      </c>
      <c r="N237" s="24" t="str">
        <f t="array" ref="N237">INDEX('MATCH INFO'!O:O, INT((ROW()-2)/10)+2 + 29)</f>
        <v>260614_CR_CB_S3</v>
      </c>
    </row>
    <row r="238" spans="1:14">
      <c r="A238" s="23" t="s">
        <v>51</v>
      </c>
      <c r="B238" s="23" t="s">
        <v>125</v>
      </c>
      <c r="C238" s="23" t="s">
        <v>101</v>
      </c>
      <c r="D238" s="23" t="s">
        <v>54</v>
      </c>
      <c r="E238" s="23" t="s">
        <v>188</v>
      </c>
      <c r="F238" s="23">
        <v>8</v>
      </c>
      <c r="G238" s="23">
        <v>8</v>
      </c>
      <c r="H238" s="23">
        <v>3</v>
      </c>
      <c r="I238" s="23">
        <v>11756</v>
      </c>
      <c r="J238" s="23">
        <v>291</v>
      </c>
      <c r="K238" s="23">
        <v>17346</v>
      </c>
      <c r="L238" s="23" t="s">
        <v>247</v>
      </c>
      <c r="M238" s="23">
        <f t="shared" si="3"/>
        <v>494</v>
      </c>
      <c r="N238" s="24" t="str">
        <f t="array" ref="N238">INDEX('MATCH INFO'!O:O, INT((ROW()-2)/10)+2 + 29)</f>
        <v>260614_CR_CB_S3</v>
      </c>
    </row>
    <row r="239" spans="1:14">
      <c r="A239" s="23" t="s">
        <v>51</v>
      </c>
      <c r="B239" s="23" t="s">
        <v>127</v>
      </c>
      <c r="C239" s="23" t="s">
        <v>104</v>
      </c>
      <c r="D239" s="23" t="s">
        <v>54</v>
      </c>
      <c r="E239" s="23" t="s">
        <v>188</v>
      </c>
      <c r="F239" s="23">
        <v>9</v>
      </c>
      <c r="G239" s="23">
        <v>9</v>
      </c>
      <c r="H239" s="23">
        <v>0</v>
      </c>
      <c r="I239" s="23">
        <v>8123</v>
      </c>
      <c r="J239" s="23">
        <v>0</v>
      </c>
      <c r="K239" s="23">
        <v>0</v>
      </c>
      <c r="L239" s="23" t="s">
        <v>247</v>
      </c>
      <c r="M239" s="23">
        <f t="shared" si="3"/>
        <v>494</v>
      </c>
      <c r="N239" s="24" t="str">
        <f t="array" ref="N239">INDEX('MATCH INFO'!O:O, INT((ROW()-2)/10)+2 + 29)</f>
        <v>260614_CR_CB_S3</v>
      </c>
    </row>
    <row r="240" spans="1:14">
      <c r="A240" s="23" t="s">
        <v>51</v>
      </c>
      <c r="B240" s="23" t="s">
        <v>128</v>
      </c>
      <c r="C240" s="23" t="s">
        <v>109</v>
      </c>
      <c r="D240" s="23" t="s">
        <v>54</v>
      </c>
      <c r="E240" s="23" t="s">
        <v>188</v>
      </c>
      <c r="F240" s="23">
        <v>7</v>
      </c>
      <c r="G240" s="23">
        <v>6</v>
      </c>
      <c r="H240" s="23">
        <v>10</v>
      </c>
      <c r="I240" s="23">
        <v>5047</v>
      </c>
      <c r="J240" s="23">
        <v>10605</v>
      </c>
      <c r="K240" s="23">
        <v>1815</v>
      </c>
      <c r="L240" s="23" t="s">
        <v>247</v>
      </c>
      <c r="M240" s="23">
        <f t="shared" si="3"/>
        <v>494</v>
      </c>
      <c r="N240" s="24" t="str">
        <f t="array" ref="N240">INDEX('MATCH INFO'!O:O, INT((ROW()-2)/10)+2 + 29)</f>
        <v>260614_CR_CB_S3</v>
      </c>
    </row>
    <row r="241" spans="1:14">
      <c r="A241" s="23" t="s">
        <v>51</v>
      </c>
      <c r="B241" s="23" t="s">
        <v>129</v>
      </c>
      <c r="C241" s="23" t="s">
        <v>109</v>
      </c>
      <c r="D241" s="23" t="s">
        <v>54</v>
      </c>
      <c r="E241" s="23" t="s">
        <v>188</v>
      </c>
      <c r="F241" s="23">
        <v>7</v>
      </c>
      <c r="G241" s="23">
        <v>6</v>
      </c>
      <c r="H241" s="23">
        <v>13</v>
      </c>
      <c r="I241" s="23">
        <v>3258</v>
      </c>
      <c r="J241" s="23">
        <v>13580</v>
      </c>
      <c r="K241" s="23">
        <v>0</v>
      </c>
      <c r="L241" s="23" t="s">
        <v>247</v>
      </c>
      <c r="M241" s="23">
        <f t="shared" si="3"/>
        <v>494</v>
      </c>
      <c r="N241" s="24" t="str">
        <f t="array" ref="N241">INDEX('MATCH INFO'!O:O, INT((ROW()-2)/10)+2 + 29)</f>
        <v>260614_CR_CB_S3</v>
      </c>
    </row>
    <row r="242" spans="1:14">
      <c r="A242" s="23" t="s">
        <v>51</v>
      </c>
      <c r="B242" s="23" t="s">
        <v>126</v>
      </c>
      <c r="C242" s="23" t="s">
        <v>104</v>
      </c>
      <c r="D242" s="23" t="s">
        <v>28</v>
      </c>
      <c r="E242" s="23" t="s">
        <v>192</v>
      </c>
      <c r="F242" s="23">
        <v>6</v>
      </c>
      <c r="G242" s="23">
        <v>4</v>
      </c>
      <c r="H242" s="23">
        <v>0</v>
      </c>
      <c r="I242" s="23">
        <v>3749</v>
      </c>
      <c r="J242" s="23">
        <v>550</v>
      </c>
      <c r="K242" s="23">
        <v>0</v>
      </c>
      <c r="L242" s="23" t="s">
        <v>248</v>
      </c>
      <c r="M242" s="23">
        <f t="shared" si="3"/>
        <v>281</v>
      </c>
      <c r="N242" s="24" t="str">
        <f t="array" ref="N242">INDEX('MATCH INFO'!O:O, INT((ROW()-2)/10)+2 + 29)</f>
        <v>260614_FLC_T1_S1</v>
      </c>
    </row>
    <row r="243" spans="1:14">
      <c r="A243" s="23" t="s">
        <v>51</v>
      </c>
      <c r="B243" s="23" t="s">
        <v>125</v>
      </c>
      <c r="C243" s="23" t="s">
        <v>101</v>
      </c>
      <c r="D243" s="23" t="s">
        <v>28</v>
      </c>
      <c r="E243" s="23" t="s">
        <v>192</v>
      </c>
      <c r="F243" s="23">
        <v>3</v>
      </c>
      <c r="G243" s="23">
        <v>5</v>
      </c>
      <c r="H243" s="23">
        <v>1</v>
      </c>
      <c r="I243" s="23">
        <v>3919</v>
      </c>
      <c r="J243" s="23">
        <v>0</v>
      </c>
      <c r="K243" s="23">
        <v>7319</v>
      </c>
      <c r="L243" s="23" t="s">
        <v>248</v>
      </c>
      <c r="M243" s="23">
        <f t="shared" si="3"/>
        <v>281</v>
      </c>
      <c r="N243" s="24" t="str">
        <f t="array" ref="N243">INDEX('MATCH INFO'!O:O, INT((ROW()-2)/10)+2 + 29)</f>
        <v>260614_FLC_T1_S1</v>
      </c>
    </row>
    <row r="244" spans="1:14">
      <c r="A244" s="23" t="s">
        <v>51</v>
      </c>
      <c r="B244" s="23" t="s">
        <v>127</v>
      </c>
      <c r="C244" s="23" t="s">
        <v>104</v>
      </c>
      <c r="D244" s="23" t="s">
        <v>28</v>
      </c>
      <c r="E244" s="23" t="s">
        <v>192</v>
      </c>
      <c r="F244" s="23">
        <v>6</v>
      </c>
      <c r="G244" s="23">
        <v>5</v>
      </c>
      <c r="H244" s="23">
        <v>0</v>
      </c>
      <c r="I244" s="23">
        <v>4971</v>
      </c>
      <c r="J244" s="23">
        <v>0</v>
      </c>
      <c r="K244" s="23">
        <v>381</v>
      </c>
      <c r="L244" s="23" t="s">
        <v>248</v>
      </c>
      <c r="M244" s="23">
        <f t="shared" si="3"/>
        <v>281</v>
      </c>
      <c r="N244" s="24" t="str">
        <f t="array" ref="N244">INDEX('MATCH INFO'!O:O, INT((ROW()-2)/10)+2 + 29)</f>
        <v>260614_FLC_T1_S1</v>
      </c>
    </row>
    <row r="245" spans="1:14">
      <c r="A245" s="23" t="s">
        <v>51</v>
      </c>
      <c r="B245" s="23" t="s">
        <v>128</v>
      </c>
      <c r="C245" s="23" t="s">
        <v>109</v>
      </c>
      <c r="D245" s="23" t="s">
        <v>28</v>
      </c>
      <c r="E245" s="23" t="s">
        <v>192</v>
      </c>
      <c r="F245" s="23">
        <v>1</v>
      </c>
      <c r="G245" s="23">
        <v>3</v>
      </c>
      <c r="H245" s="23">
        <v>4</v>
      </c>
      <c r="I245" s="23">
        <v>665</v>
      </c>
      <c r="J245" s="23">
        <v>4037</v>
      </c>
      <c r="K245" s="23">
        <v>0</v>
      </c>
      <c r="L245" s="23" t="s">
        <v>248</v>
      </c>
      <c r="M245" s="23">
        <f t="shared" si="3"/>
        <v>281</v>
      </c>
      <c r="N245" s="24" t="str">
        <f t="array" ref="N245">INDEX('MATCH INFO'!O:O, INT((ROW()-2)/10)+2 + 29)</f>
        <v>260614_FLC_T1_S1</v>
      </c>
    </row>
    <row r="246" spans="1:14">
      <c r="A246" s="23" t="s">
        <v>51</v>
      </c>
      <c r="B246" s="23" t="s">
        <v>129</v>
      </c>
      <c r="C246" s="23" t="s">
        <v>109</v>
      </c>
      <c r="D246" s="23" t="s">
        <v>28</v>
      </c>
      <c r="E246" s="23" t="s">
        <v>192</v>
      </c>
      <c r="F246" s="23">
        <v>4</v>
      </c>
      <c r="G246" s="23">
        <v>4</v>
      </c>
      <c r="H246" s="23">
        <v>6</v>
      </c>
      <c r="I246" s="23">
        <v>1663</v>
      </c>
      <c r="J246" s="23">
        <v>5825</v>
      </c>
      <c r="K246" s="23">
        <v>0</v>
      </c>
      <c r="L246" s="23" t="s">
        <v>248</v>
      </c>
      <c r="M246" s="23">
        <f t="shared" si="3"/>
        <v>281</v>
      </c>
      <c r="N246" s="24" t="str">
        <f t="array" ref="N246">INDEX('MATCH INFO'!O:O, INT((ROW()-2)/10)+2 + 29)</f>
        <v>260614_FLC_T1_S1</v>
      </c>
    </row>
    <row r="247" spans="1:14">
      <c r="A247" s="23" t="s">
        <v>32</v>
      </c>
      <c r="B247" s="23" t="s">
        <v>150</v>
      </c>
      <c r="C247" s="23" t="s">
        <v>109</v>
      </c>
      <c r="D247" s="23" t="s">
        <v>28</v>
      </c>
      <c r="E247" s="23" t="s">
        <v>192</v>
      </c>
      <c r="F247" s="23">
        <v>13</v>
      </c>
      <c r="G247" s="23">
        <v>1</v>
      </c>
      <c r="H247" s="23">
        <v>15</v>
      </c>
      <c r="I247" s="23">
        <v>2501</v>
      </c>
      <c r="J247" s="23">
        <v>2826</v>
      </c>
      <c r="K247" s="23">
        <v>346</v>
      </c>
      <c r="L247" s="23" t="s">
        <v>248</v>
      </c>
      <c r="M247" s="23">
        <f t="shared" si="3"/>
        <v>281</v>
      </c>
      <c r="N247" s="24" t="str">
        <f t="array" ref="N247">INDEX('MATCH INFO'!O:O, INT((ROW()-2)/10)+2 + 29)</f>
        <v>260614_FLC_T1_S1</v>
      </c>
    </row>
    <row r="248" spans="1:14">
      <c r="A248" s="23" t="s">
        <v>32</v>
      </c>
      <c r="B248" s="23" t="s">
        <v>148</v>
      </c>
      <c r="C248" s="23" t="s">
        <v>104</v>
      </c>
      <c r="D248" s="23" t="s">
        <v>28</v>
      </c>
      <c r="E248" s="23" t="s">
        <v>192</v>
      </c>
      <c r="F248" s="23">
        <v>10</v>
      </c>
      <c r="G248" s="23">
        <v>3</v>
      </c>
      <c r="H248" s="23">
        <v>1</v>
      </c>
      <c r="I248" s="23">
        <v>4485</v>
      </c>
      <c r="J248" s="23">
        <v>212</v>
      </c>
      <c r="K248" s="23">
        <v>201</v>
      </c>
      <c r="L248" s="23" t="s">
        <v>248</v>
      </c>
      <c r="M248" s="23">
        <f t="shared" si="3"/>
        <v>281</v>
      </c>
      <c r="N248" s="24" t="str">
        <f t="array" ref="N248">INDEX('MATCH INFO'!O:O, INT((ROW()-2)/10)+2 + 29)</f>
        <v>260614_FLC_T1_S1</v>
      </c>
    </row>
    <row r="249" spans="1:14">
      <c r="A249" s="23" t="s">
        <v>32</v>
      </c>
      <c r="B249" s="23" t="s">
        <v>146</v>
      </c>
      <c r="C249" s="23" t="s">
        <v>101</v>
      </c>
      <c r="D249" s="23" t="s">
        <v>28</v>
      </c>
      <c r="E249" s="23" t="s">
        <v>192</v>
      </c>
      <c r="F249" s="23">
        <v>13</v>
      </c>
      <c r="G249" s="23">
        <v>2</v>
      </c>
      <c r="H249" s="23">
        <v>3</v>
      </c>
      <c r="I249" s="23">
        <v>5009</v>
      </c>
      <c r="J249" s="23">
        <v>819</v>
      </c>
      <c r="K249" s="23">
        <v>6623</v>
      </c>
      <c r="L249" s="23" t="s">
        <v>248</v>
      </c>
      <c r="M249" s="23">
        <f t="shared" si="3"/>
        <v>281</v>
      </c>
      <c r="N249" s="24" t="str">
        <f t="array" ref="N249">INDEX('MATCH INFO'!O:O, INT((ROW()-2)/10)+2 + 29)</f>
        <v>260614_FLC_T1_S1</v>
      </c>
    </row>
    <row r="250" spans="1:14">
      <c r="A250" s="23" t="s">
        <v>32</v>
      </c>
      <c r="B250" s="23" t="s">
        <v>149</v>
      </c>
      <c r="C250" s="23" t="s">
        <v>104</v>
      </c>
      <c r="D250" s="23" t="s">
        <v>28</v>
      </c>
      <c r="E250" s="23" t="s">
        <v>192</v>
      </c>
      <c r="F250" s="23">
        <v>15</v>
      </c>
      <c r="G250" s="23">
        <v>1</v>
      </c>
      <c r="H250" s="23">
        <v>4</v>
      </c>
      <c r="I250" s="23">
        <v>5399</v>
      </c>
      <c r="J250" s="23">
        <v>171</v>
      </c>
      <c r="K250" s="23">
        <v>1126</v>
      </c>
      <c r="L250" s="23" t="s">
        <v>248</v>
      </c>
      <c r="M250" s="23">
        <f t="shared" si="3"/>
        <v>281</v>
      </c>
      <c r="N250" s="24" t="str">
        <f t="array" ref="N250">INDEX('MATCH INFO'!O:O, INT((ROW()-2)/10)+2 + 29)</f>
        <v>260614_FLC_T1_S1</v>
      </c>
    </row>
    <row r="251" spans="1:14">
      <c r="A251" s="23" t="s">
        <v>32</v>
      </c>
      <c r="B251" s="23" t="s">
        <v>151</v>
      </c>
      <c r="C251" s="23" t="s">
        <v>109</v>
      </c>
      <c r="D251" s="23" t="s">
        <v>28</v>
      </c>
      <c r="E251" s="23" t="s">
        <v>192</v>
      </c>
      <c r="F251" s="23">
        <v>10</v>
      </c>
      <c r="G251" s="23">
        <v>1</v>
      </c>
      <c r="H251" s="23">
        <v>16</v>
      </c>
      <c r="I251" s="23">
        <v>2840</v>
      </c>
      <c r="J251" s="23">
        <v>5774</v>
      </c>
      <c r="K251" s="23">
        <v>0</v>
      </c>
      <c r="L251" s="23" t="s">
        <v>248</v>
      </c>
      <c r="M251" s="23">
        <f t="shared" si="3"/>
        <v>281</v>
      </c>
      <c r="N251" s="24" t="str">
        <f t="array" ref="N251">INDEX('MATCH INFO'!O:O, INT((ROW()-2)/10)+2 + 29)</f>
        <v>260614_FLC_T1_S1</v>
      </c>
    </row>
    <row r="252" spans="1:14">
      <c r="A252" s="23" t="s">
        <v>51</v>
      </c>
      <c r="B252" s="23" t="s">
        <v>126</v>
      </c>
      <c r="C252" s="23" t="s">
        <v>104</v>
      </c>
      <c r="D252" s="23" t="s">
        <v>25</v>
      </c>
      <c r="E252" s="23" t="s">
        <v>190</v>
      </c>
      <c r="F252" s="23">
        <v>17</v>
      </c>
      <c r="G252" s="23">
        <v>9</v>
      </c>
      <c r="H252" s="23">
        <v>0</v>
      </c>
      <c r="I252" s="23">
        <v>10164</v>
      </c>
      <c r="J252" s="23">
        <v>500</v>
      </c>
      <c r="K252" s="23">
        <v>0</v>
      </c>
      <c r="L252" s="23" t="s">
        <v>249</v>
      </c>
      <c r="M252" s="23">
        <f t="shared" si="3"/>
        <v>700</v>
      </c>
      <c r="N252" s="24" t="str">
        <f t="array" ref="N252">INDEX('MATCH INFO'!O:O, INT((ROW()-2)/10)+2 + 29)</f>
        <v>260614_FLC_T1_S2</v>
      </c>
    </row>
    <row r="253" spans="1:14">
      <c r="A253" s="23" t="s">
        <v>51</v>
      </c>
      <c r="B253" s="23" t="s">
        <v>124</v>
      </c>
      <c r="C253" s="23" t="s">
        <v>101</v>
      </c>
      <c r="D253" s="23" t="s">
        <v>25</v>
      </c>
      <c r="E253" s="23" t="s">
        <v>190</v>
      </c>
      <c r="F253" s="23">
        <v>17</v>
      </c>
      <c r="G253" s="23">
        <v>7</v>
      </c>
      <c r="H253" s="23">
        <v>11</v>
      </c>
      <c r="I253" s="23">
        <v>14120</v>
      </c>
      <c r="J253" s="23">
        <v>4164</v>
      </c>
      <c r="K253" s="23">
        <v>7870</v>
      </c>
      <c r="L253" s="23" t="s">
        <v>249</v>
      </c>
      <c r="M253" s="23">
        <f t="shared" si="3"/>
        <v>700</v>
      </c>
      <c r="N253" s="24" t="str">
        <f t="array" ref="N253">INDEX('MATCH INFO'!O:O, INT((ROW()-2)/10)+2 + 29)</f>
        <v>260614_FLC_T1_S2</v>
      </c>
    </row>
    <row r="254" spans="1:14">
      <c r="A254" s="23" t="s">
        <v>51</v>
      </c>
      <c r="B254" s="23" t="s">
        <v>127</v>
      </c>
      <c r="C254" s="23" t="s">
        <v>104</v>
      </c>
      <c r="D254" s="23" t="s">
        <v>25</v>
      </c>
      <c r="E254" s="23" t="s">
        <v>190</v>
      </c>
      <c r="F254" s="23">
        <v>21</v>
      </c>
      <c r="G254" s="23">
        <v>7</v>
      </c>
      <c r="H254" s="23">
        <v>0</v>
      </c>
      <c r="I254" s="23">
        <v>16950</v>
      </c>
      <c r="J254" s="23">
        <v>514</v>
      </c>
      <c r="K254" s="23">
        <v>1594</v>
      </c>
      <c r="L254" s="23" t="s">
        <v>249</v>
      </c>
      <c r="M254" s="23">
        <f t="shared" si="3"/>
        <v>700</v>
      </c>
      <c r="N254" s="24" t="str">
        <f t="array" ref="N254">INDEX('MATCH INFO'!O:O, INT((ROW()-2)/10)+2 + 29)</f>
        <v>260614_FLC_T1_S2</v>
      </c>
    </row>
    <row r="255" spans="1:14">
      <c r="A255" s="23" t="s">
        <v>51</v>
      </c>
      <c r="B255" s="23" t="s">
        <v>128</v>
      </c>
      <c r="C255" s="23" t="s">
        <v>109</v>
      </c>
      <c r="D255" s="23" t="s">
        <v>25</v>
      </c>
      <c r="E255" s="23" t="s">
        <v>190</v>
      </c>
      <c r="F255" s="23">
        <v>17</v>
      </c>
      <c r="G255" s="23">
        <v>7</v>
      </c>
      <c r="H255" s="23">
        <v>10</v>
      </c>
      <c r="I255" s="23">
        <v>3238</v>
      </c>
      <c r="J255" s="23">
        <v>9568</v>
      </c>
      <c r="K255" s="23">
        <v>0</v>
      </c>
      <c r="L255" s="23" t="s">
        <v>249</v>
      </c>
      <c r="M255" s="23">
        <f t="shared" si="3"/>
        <v>700</v>
      </c>
      <c r="N255" s="24" t="str">
        <f t="array" ref="N255">INDEX('MATCH INFO'!O:O, INT((ROW()-2)/10)+2 + 29)</f>
        <v>260614_FLC_T1_S2</v>
      </c>
    </row>
    <row r="256" spans="1:14">
      <c r="A256" s="23" t="s">
        <v>51</v>
      </c>
      <c r="B256" s="23" t="s">
        <v>129</v>
      </c>
      <c r="C256" s="23" t="s">
        <v>109</v>
      </c>
      <c r="D256" s="23" t="s">
        <v>25</v>
      </c>
      <c r="E256" s="23" t="s">
        <v>190</v>
      </c>
      <c r="F256" s="23">
        <v>9</v>
      </c>
      <c r="G256" s="23">
        <v>9</v>
      </c>
      <c r="H256" s="23">
        <v>21</v>
      </c>
      <c r="I256" s="23">
        <v>5306</v>
      </c>
      <c r="J256" s="23">
        <v>16101</v>
      </c>
      <c r="K256" s="23">
        <v>0</v>
      </c>
      <c r="L256" s="23" t="s">
        <v>249</v>
      </c>
      <c r="M256" s="23">
        <f t="shared" si="3"/>
        <v>700</v>
      </c>
      <c r="N256" s="24" t="str">
        <f t="array" ref="N256">INDEX('MATCH INFO'!O:O, INT((ROW()-2)/10)+2 + 29)</f>
        <v>260614_FLC_T1_S2</v>
      </c>
    </row>
    <row r="257" spans="1:14">
      <c r="A257" s="23" t="s">
        <v>32</v>
      </c>
      <c r="B257" s="23" t="s">
        <v>150</v>
      </c>
      <c r="C257" s="23" t="s">
        <v>109</v>
      </c>
      <c r="D257" s="23" t="s">
        <v>25</v>
      </c>
      <c r="E257" s="23" t="s">
        <v>190</v>
      </c>
      <c r="F257" s="23">
        <v>20</v>
      </c>
      <c r="G257" s="23">
        <v>7</v>
      </c>
      <c r="H257" s="23">
        <v>17</v>
      </c>
      <c r="I257" s="23">
        <v>4803</v>
      </c>
      <c r="J257" s="23">
        <v>9193</v>
      </c>
      <c r="K257" s="23">
        <v>1013</v>
      </c>
      <c r="L257" s="23" t="s">
        <v>249</v>
      </c>
      <c r="M257" s="23">
        <f t="shared" si="3"/>
        <v>700</v>
      </c>
      <c r="N257" s="24" t="str">
        <f t="array" ref="N257">INDEX('MATCH INFO'!O:O, INT((ROW()-2)/10)+2 + 29)</f>
        <v>260614_FLC_T1_S2</v>
      </c>
    </row>
    <row r="258" spans="1:14">
      <c r="A258" s="23" t="s">
        <v>32</v>
      </c>
      <c r="B258" s="23" t="s">
        <v>148</v>
      </c>
      <c r="C258" s="23" t="s">
        <v>104</v>
      </c>
      <c r="D258" s="23" t="s">
        <v>25</v>
      </c>
      <c r="E258" s="23" t="s">
        <v>190</v>
      </c>
      <c r="F258" s="23">
        <v>25</v>
      </c>
      <c r="G258" s="23">
        <v>8</v>
      </c>
      <c r="H258" s="23">
        <v>3</v>
      </c>
      <c r="I258" s="23">
        <v>16976</v>
      </c>
      <c r="J258" s="23">
        <v>103</v>
      </c>
      <c r="K258" s="23">
        <v>1703</v>
      </c>
      <c r="L258" s="23" t="s">
        <v>249</v>
      </c>
      <c r="M258" s="23">
        <f t="shared" ref="M258:M321" si="4">L258*86400</f>
        <v>700</v>
      </c>
      <c r="N258" s="24" t="str">
        <f t="array" ref="N258">INDEX('MATCH INFO'!O:O, INT((ROW()-2)/10)+2 + 29)</f>
        <v>260614_FLC_T1_S2</v>
      </c>
    </row>
    <row r="259" spans="1:14">
      <c r="A259" s="23" t="s">
        <v>32</v>
      </c>
      <c r="B259" s="23" t="s">
        <v>146</v>
      </c>
      <c r="C259" s="23" t="s">
        <v>101</v>
      </c>
      <c r="D259" s="23" t="s">
        <v>25</v>
      </c>
      <c r="E259" s="23" t="s">
        <v>190</v>
      </c>
      <c r="F259" s="23">
        <v>25</v>
      </c>
      <c r="G259" s="23">
        <v>7</v>
      </c>
      <c r="H259" s="23">
        <v>15</v>
      </c>
      <c r="I259" s="23">
        <v>13585</v>
      </c>
      <c r="J259" s="23">
        <v>2274</v>
      </c>
      <c r="K259" s="23">
        <v>13468</v>
      </c>
      <c r="L259" s="23" t="s">
        <v>249</v>
      </c>
      <c r="M259" s="23">
        <f t="shared" si="4"/>
        <v>700</v>
      </c>
      <c r="N259" s="24" t="str">
        <f t="array" ref="N259">INDEX('MATCH INFO'!O:O, INT((ROW()-2)/10)+2 + 29)</f>
        <v>260614_FLC_T1_S2</v>
      </c>
    </row>
    <row r="260" spans="1:14">
      <c r="A260" s="23" t="s">
        <v>32</v>
      </c>
      <c r="B260" s="23" t="s">
        <v>149</v>
      </c>
      <c r="C260" s="23" t="s">
        <v>104</v>
      </c>
      <c r="D260" s="23" t="s">
        <v>25</v>
      </c>
      <c r="E260" s="23" t="s">
        <v>190</v>
      </c>
      <c r="F260" s="23">
        <v>23</v>
      </c>
      <c r="G260" s="23">
        <v>4</v>
      </c>
      <c r="H260" s="23">
        <v>0</v>
      </c>
      <c r="I260" s="23">
        <v>9627</v>
      </c>
      <c r="J260" s="23">
        <v>592</v>
      </c>
      <c r="K260" s="23">
        <v>1845</v>
      </c>
      <c r="L260" s="23" t="s">
        <v>249</v>
      </c>
      <c r="M260" s="23">
        <f t="shared" si="4"/>
        <v>700</v>
      </c>
      <c r="N260" s="24" t="str">
        <f t="array" ref="N260">INDEX('MATCH INFO'!O:O, INT((ROW()-2)/10)+2 + 29)</f>
        <v>260614_FLC_T1_S2</v>
      </c>
    </row>
    <row r="261" spans="1:14">
      <c r="A261" s="23" t="s">
        <v>32</v>
      </c>
      <c r="B261" s="23" t="s">
        <v>151</v>
      </c>
      <c r="C261" s="23" t="s">
        <v>109</v>
      </c>
      <c r="D261" s="23" t="s">
        <v>25</v>
      </c>
      <c r="E261" s="23" t="s">
        <v>190</v>
      </c>
      <c r="F261" s="23">
        <v>16</v>
      </c>
      <c r="G261" s="23">
        <v>4</v>
      </c>
      <c r="H261" s="23">
        <v>26</v>
      </c>
      <c r="I261" s="23">
        <v>6928</v>
      </c>
      <c r="J261" s="23">
        <v>17628</v>
      </c>
      <c r="K261" s="23">
        <v>0</v>
      </c>
      <c r="L261" s="23" t="s">
        <v>249</v>
      </c>
      <c r="M261" s="23">
        <f t="shared" si="4"/>
        <v>700</v>
      </c>
      <c r="N261" s="24" t="str">
        <f t="array" ref="N261">INDEX('MATCH INFO'!O:O, INT((ROW()-2)/10)+2 + 29)</f>
        <v>260614_FLC_T1_S2</v>
      </c>
    </row>
    <row r="262" spans="1:14">
      <c r="A262" s="23" t="s">
        <v>31</v>
      </c>
      <c r="B262" s="23" t="s">
        <v>163</v>
      </c>
      <c r="C262" s="23" t="s">
        <v>104</v>
      </c>
      <c r="D262" s="23" t="s">
        <v>33</v>
      </c>
      <c r="E262" s="23" t="s">
        <v>188</v>
      </c>
      <c r="F262" s="23">
        <v>28</v>
      </c>
      <c r="G262" s="23">
        <v>13</v>
      </c>
      <c r="H262" s="23">
        <v>11</v>
      </c>
      <c r="I262" s="23">
        <v>10663</v>
      </c>
      <c r="J262" s="23">
        <v>766</v>
      </c>
      <c r="K262" s="23">
        <v>4423</v>
      </c>
      <c r="L262" s="23" t="s">
        <v>250</v>
      </c>
      <c r="M262" s="23">
        <f t="shared" si="4"/>
        <v>913.99999999999989</v>
      </c>
      <c r="N262" s="24" t="str">
        <f t="array" ref="N262">INDEX('MATCH INFO'!O:O, INT((ROW()-2)/10)+2 + 29)</f>
        <v>260614_FLC_T1_S3</v>
      </c>
    </row>
    <row r="263" spans="1:14">
      <c r="A263" s="23" t="s">
        <v>31</v>
      </c>
      <c r="B263" s="23" t="s">
        <v>165</v>
      </c>
      <c r="C263" s="23" t="s">
        <v>109</v>
      </c>
      <c r="D263" s="23" t="s">
        <v>33</v>
      </c>
      <c r="E263" s="23" t="s">
        <v>188</v>
      </c>
      <c r="F263" s="23">
        <v>24</v>
      </c>
      <c r="G263" s="23">
        <v>11</v>
      </c>
      <c r="H263" s="23">
        <v>34</v>
      </c>
      <c r="I263" s="23">
        <v>7845</v>
      </c>
      <c r="J263" s="23">
        <v>19712</v>
      </c>
      <c r="K263" s="23">
        <v>5374</v>
      </c>
      <c r="L263" s="23" t="s">
        <v>250</v>
      </c>
      <c r="M263" s="23">
        <f t="shared" si="4"/>
        <v>913.99999999999989</v>
      </c>
      <c r="N263" s="24" t="str">
        <f t="array" ref="N263">INDEX('MATCH INFO'!O:O, INT((ROW()-2)/10)+2 + 29)</f>
        <v>260614_FLC_T1_S3</v>
      </c>
    </row>
    <row r="264" spans="1:14">
      <c r="A264" s="23" t="s">
        <v>31</v>
      </c>
      <c r="B264" s="23" t="s">
        <v>166</v>
      </c>
      <c r="C264" s="23" t="s">
        <v>109</v>
      </c>
      <c r="D264" s="23" t="s">
        <v>33</v>
      </c>
      <c r="E264" s="23" t="s">
        <v>188</v>
      </c>
      <c r="F264" s="23">
        <v>19</v>
      </c>
      <c r="G264" s="23">
        <v>11</v>
      </c>
      <c r="H264" s="23">
        <v>42</v>
      </c>
      <c r="I264" s="23">
        <v>6020</v>
      </c>
      <c r="J264" s="23">
        <v>17452</v>
      </c>
      <c r="K264" s="23">
        <v>0</v>
      </c>
      <c r="L264" s="23" t="s">
        <v>250</v>
      </c>
      <c r="M264" s="23">
        <f t="shared" si="4"/>
        <v>913.99999999999989</v>
      </c>
      <c r="N264" s="24" t="str">
        <f t="array" ref="N264">INDEX('MATCH INFO'!O:O, INT((ROW()-2)/10)+2 + 29)</f>
        <v>260614_FLC_T1_S3</v>
      </c>
    </row>
    <row r="265" spans="1:14">
      <c r="A265" s="23" t="s">
        <v>31</v>
      </c>
      <c r="B265" s="23" t="s">
        <v>164</v>
      </c>
      <c r="C265" s="23" t="s">
        <v>104</v>
      </c>
      <c r="D265" s="23" t="s">
        <v>33</v>
      </c>
      <c r="E265" s="23" t="s">
        <v>188</v>
      </c>
      <c r="F265" s="23">
        <v>34</v>
      </c>
      <c r="G265" s="23">
        <v>13</v>
      </c>
      <c r="H265" s="23">
        <v>4</v>
      </c>
      <c r="I265" s="23">
        <v>17787</v>
      </c>
      <c r="J265" s="23">
        <v>1112</v>
      </c>
      <c r="K265" s="23">
        <v>2052</v>
      </c>
      <c r="L265" s="23" t="s">
        <v>250</v>
      </c>
      <c r="M265" s="23">
        <f t="shared" si="4"/>
        <v>913.99999999999989</v>
      </c>
      <c r="N265" s="24" t="str">
        <f t="array" ref="N265">INDEX('MATCH INFO'!O:O, INT((ROW()-2)/10)+2 + 29)</f>
        <v>260614_FLC_T1_S3</v>
      </c>
    </row>
    <row r="266" spans="1:14">
      <c r="A266" s="23" t="s">
        <v>31</v>
      </c>
      <c r="B266" s="23" t="s">
        <v>160</v>
      </c>
      <c r="C266" s="23" t="s">
        <v>101</v>
      </c>
      <c r="D266" s="23" t="s">
        <v>33</v>
      </c>
      <c r="E266" s="23" t="s">
        <v>188</v>
      </c>
      <c r="F266" s="23">
        <v>34</v>
      </c>
      <c r="G266" s="23">
        <v>9</v>
      </c>
      <c r="H266" s="23">
        <v>8</v>
      </c>
      <c r="I266" s="23">
        <v>21862</v>
      </c>
      <c r="J266" s="23">
        <v>0</v>
      </c>
      <c r="K266" s="23">
        <v>31123</v>
      </c>
      <c r="L266" s="23" t="s">
        <v>250</v>
      </c>
      <c r="M266" s="23">
        <f t="shared" si="4"/>
        <v>913.99999999999989</v>
      </c>
      <c r="N266" s="24" t="str">
        <f t="array" ref="N266">INDEX('MATCH INFO'!O:O, INT((ROW()-2)/10)+2 + 29)</f>
        <v>260614_FLC_T1_S3</v>
      </c>
    </row>
    <row r="267" spans="1:14">
      <c r="A267" s="23" t="s">
        <v>41</v>
      </c>
      <c r="B267" s="23" t="s">
        <v>157</v>
      </c>
      <c r="C267" s="23" t="s">
        <v>109</v>
      </c>
      <c r="D267" s="23" t="s">
        <v>33</v>
      </c>
      <c r="E267" s="23" t="s">
        <v>188</v>
      </c>
      <c r="F267" s="23">
        <v>30</v>
      </c>
      <c r="G267" s="23">
        <v>9</v>
      </c>
      <c r="H267" s="23">
        <v>34</v>
      </c>
      <c r="I267" s="23">
        <v>6646</v>
      </c>
      <c r="J267" s="23">
        <v>13750</v>
      </c>
      <c r="K267" s="23">
        <v>2855</v>
      </c>
      <c r="L267" s="23" t="s">
        <v>250</v>
      </c>
      <c r="M267" s="23">
        <f t="shared" si="4"/>
        <v>913.99999999999989</v>
      </c>
      <c r="N267" s="24" t="str">
        <f t="array" ref="N267">INDEX('MATCH INFO'!O:O, INT((ROW()-2)/10)+2 + 29)</f>
        <v>260614_FLC_T1_S3</v>
      </c>
    </row>
    <row r="268" spans="1:14">
      <c r="A268" s="23" t="s">
        <v>41</v>
      </c>
      <c r="B268" s="23" t="s">
        <v>152</v>
      </c>
      <c r="C268" s="23" t="s">
        <v>101</v>
      </c>
      <c r="D268" s="23" t="s">
        <v>33</v>
      </c>
      <c r="E268" s="23" t="s">
        <v>188</v>
      </c>
      <c r="F268" s="23">
        <v>43</v>
      </c>
      <c r="G268" s="23">
        <v>11</v>
      </c>
      <c r="H268" s="23">
        <v>26</v>
      </c>
      <c r="I268" s="23">
        <v>15518</v>
      </c>
      <c r="J268" s="23">
        <v>3699</v>
      </c>
      <c r="K268" s="23">
        <v>8999</v>
      </c>
      <c r="L268" s="23" t="s">
        <v>250</v>
      </c>
      <c r="M268" s="23">
        <f t="shared" si="4"/>
        <v>913.99999999999989</v>
      </c>
      <c r="N268" s="24" t="str">
        <f t="array" ref="N268">INDEX('MATCH INFO'!O:O, INT((ROW()-2)/10)+2 + 29)</f>
        <v>260614_FLC_T1_S3</v>
      </c>
    </row>
    <row r="269" spans="1:14">
      <c r="A269" s="23" t="s">
        <v>41</v>
      </c>
      <c r="B269" s="23" t="s">
        <v>155</v>
      </c>
      <c r="C269" s="23" t="s">
        <v>104</v>
      </c>
      <c r="D269" s="23" t="s">
        <v>33</v>
      </c>
      <c r="E269" s="23" t="s">
        <v>188</v>
      </c>
      <c r="F269" s="23">
        <v>37</v>
      </c>
      <c r="G269" s="23">
        <v>11</v>
      </c>
      <c r="H269" s="23">
        <v>0</v>
      </c>
      <c r="I269" s="23">
        <v>19533</v>
      </c>
      <c r="J269" s="23">
        <v>0</v>
      </c>
      <c r="K269" s="23">
        <v>0</v>
      </c>
      <c r="L269" s="23" t="s">
        <v>250</v>
      </c>
      <c r="M269" s="23">
        <f t="shared" si="4"/>
        <v>913.99999999999989</v>
      </c>
      <c r="N269" s="24" t="str">
        <f t="array" ref="N269">INDEX('MATCH INFO'!O:O, INT((ROW()-2)/10)+2 + 29)</f>
        <v>260614_FLC_T1_S3</v>
      </c>
    </row>
    <row r="270" spans="1:14">
      <c r="A270" s="23" t="s">
        <v>41</v>
      </c>
      <c r="B270" s="23" t="s">
        <v>158</v>
      </c>
      <c r="C270" s="23" t="s">
        <v>109</v>
      </c>
      <c r="D270" s="23" t="s">
        <v>33</v>
      </c>
      <c r="E270" s="23" t="s">
        <v>188</v>
      </c>
      <c r="F270" s="23">
        <v>17</v>
      </c>
      <c r="G270" s="23">
        <v>9</v>
      </c>
      <c r="H270" s="23">
        <v>40</v>
      </c>
      <c r="I270" s="23">
        <v>5743</v>
      </c>
      <c r="J270" s="23">
        <v>19079</v>
      </c>
      <c r="K270" s="23">
        <v>0</v>
      </c>
      <c r="L270" s="23" t="s">
        <v>250</v>
      </c>
      <c r="M270" s="23">
        <f t="shared" si="4"/>
        <v>913.99999999999989</v>
      </c>
      <c r="N270" s="24" t="str">
        <f t="array" ref="N270">INDEX('MATCH INFO'!O:O, INT((ROW()-2)/10)+2 + 29)</f>
        <v>260614_FLC_T1_S3</v>
      </c>
    </row>
    <row r="271" spans="1:14">
      <c r="A271" s="23" t="s">
        <v>41</v>
      </c>
      <c r="B271" s="23" t="s">
        <v>154</v>
      </c>
      <c r="C271" s="23" t="s">
        <v>104</v>
      </c>
      <c r="D271" s="23" t="s">
        <v>33</v>
      </c>
      <c r="E271" s="23" t="s">
        <v>188</v>
      </c>
      <c r="F271" s="23">
        <v>42</v>
      </c>
      <c r="G271" s="23">
        <v>11</v>
      </c>
      <c r="H271" s="23">
        <v>0</v>
      </c>
      <c r="I271" s="23">
        <v>16802</v>
      </c>
      <c r="J271" s="23">
        <v>881</v>
      </c>
      <c r="K271" s="23">
        <v>0</v>
      </c>
      <c r="L271" s="23" t="s">
        <v>250</v>
      </c>
      <c r="M271" s="23">
        <f t="shared" si="4"/>
        <v>913.99999999999989</v>
      </c>
      <c r="N271" s="24" t="str">
        <f t="array" ref="N271">INDEX('MATCH INFO'!O:O, INT((ROW()-2)/10)+2 + 29)</f>
        <v>260614_FLC_T1_S3</v>
      </c>
    </row>
    <row r="272" spans="1:14">
      <c r="A272" s="23" t="s">
        <v>41</v>
      </c>
      <c r="B272" s="23" t="s">
        <v>157</v>
      </c>
      <c r="C272" s="23" t="s">
        <v>109</v>
      </c>
      <c r="D272" s="23" t="s">
        <v>251</v>
      </c>
      <c r="E272" s="23" t="s">
        <v>196</v>
      </c>
      <c r="F272" s="23">
        <v>17</v>
      </c>
      <c r="G272" s="23">
        <v>7</v>
      </c>
      <c r="H272" s="23">
        <v>15</v>
      </c>
      <c r="I272" s="23">
        <v>3869</v>
      </c>
      <c r="J272" s="23">
        <v>7977</v>
      </c>
      <c r="K272" s="23">
        <v>905</v>
      </c>
      <c r="L272" s="23" t="s">
        <v>252</v>
      </c>
      <c r="M272" s="23">
        <f t="shared" si="4"/>
        <v>803.99999999999989</v>
      </c>
      <c r="N272" s="24" t="str">
        <f t="array" ref="N272">INDEX('MATCH INFO'!O:O, INT((ROW()-2)/10)+2 + 29)</f>
        <v>260614_FLC_T1_S4</v>
      </c>
    </row>
    <row r="273" spans="1:14">
      <c r="A273" s="23" t="s">
        <v>41</v>
      </c>
      <c r="B273" s="23" t="s">
        <v>152</v>
      </c>
      <c r="C273" s="23" t="s">
        <v>101</v>
      </c>
      <c r="D273" s="23" t="s">
        <v>251</v>
      </c>
      <c r="E273" s="23" t="s">
        <v>196</v>
      </c>
      <c r="F273" s="23">
        <v>27</v>
      </c>
      <c r="G273" s="23">
        <v>8</v>
      </c>
      <c r="H273" s="23">
        <v>8</v>
      </c>
      <c r="I273" s="23">
        <v>12898</v>
      </c>
      <c r="J273" s="23">
        <v>2004</v>
      </c>
      <c r="K273" s="23">
        <v>7635</v>
      </c>
      <c r="L273" s="23" t="s">
        <v>252</v>
      </c>
      <c r="M273" s="23">
        <f t="shared" si="4"/>
        <v>803.99999999999989</v>
      </c>
      <c r="N273" s="24" t="str">
        <f t="array" ref="N273">INDEX('MATCH INFO'!O:O, INT((ROW()-2)/10)+2 + 29)</f>
        <v>260614_FLC_T1_S4</v>
      </c>
    </row>
    <row r="274" spans="1:14">
      <c r="A274" s="23" t="s">
        <v>41</v>
      </c>
      <c r="B274" s="23" t="s">
        <v>155</v>
      </c>
      <c r="C274" s="23" t="s">
        <v>104</v>
      </c>
      <c r="D274" s="23" t="s">
        <v>251</v>
      </c>
      <c r="E274" s="23" t="s">
        <v>196</v>
      </c>
      <c r="F274" s="23">
        <v>19</v>
      </c>
      <c r="G274" s="23">
        <v>9</v>
      </c>
      <c r="H274" s="23">
        <v>0</v>
      </c>
      <c r="I274" s="23">
        <v>12244</v>
      </c>
      <c r="J274" s="23">
        <v>28</v>
      </c>
      <c r="K274" s="23">
        <v>861</v>
      </c>
      <c r="L274" s="23" t="s">
        <v>252</v>
      </c>
      <c r="M274" s="23">
        <f t="shared" si="4"/>
        <v>803.99999999999989</v>
      </c>
      <c r="N274" s="24" t="str">
        <f t="array" ref="N274">INDEX('MATCH INFO'!O:O, INT((ROW()-2)/10)+2 + 29)</f>
        <v>260614_FLC_T1_S4</v>
      </c>
    </row>
    <row r="275" spans="1:14">
      <c r="A275" s="23" t="s">
        <v>41</v>
      </c>
      <c r="B275" s="23" t="s">
        <v>158</v>
      </c>
      <c r="C275" s="23" t="s">
        <v>109</v>
      </c>
      <c r="D275" s="23" t="s">
        <v>251</v>
      </c>
      <c r="E275" s="23" t="s">
        <v>196</v>
      </c>
      <c r="F275" s="23">
        <v>16</v>
      </c>
      <c r="G275" s="23">
        <v>8</v>
      </c>
      <c r="H275" s="23">
        <v>21</v>
      </c>
      <c r="I275" s="23">
        <v>5201</v>
      </c>
      <c r="J275" s="23">
        <v>11991</v>
      </c>
      <c r="K275" s="23">
        <v>0</v>
      </c>
      <c r="L275" s="23" t="s">
        <v>252</v>
      </c>
      <c r="M275" s="23">
        <f t="shared" si="4"/>
        <v>803.99999999999989</v>
      </c>
      <c r="N275" s="24" t="str">
        <f t="array" ref="N275">INDEX('MATCH INFO'!O:O, INT((ROW()-2)/10)+2 + 29)</f>
        <v>260614_FLC_T1_S4</v>
      </c>
    </row>
    <row r="276" spans="1:14">
      <c r="A276" s="23" t="s">
        <v>41</v>
      </c>
      <c r="B276" s="23" t="s">
        <v>154</v>
      </c>
      <c r="C276" s="23" t="s">
        <v>104</v>
      </c>
      <c r="D276" s="23" t="s">
        <v>251</v>
      </c>
      <c r="E276" s="23" t="s">
        <v>196</v>
      </c>
      <c r="F276" s="23">
        <v>19</v>
      </c>
      <c r="G276" s="23">
        <v>7</v>
      </c>
      <c r="H276" s="23">
        <v>7</v>
      </c>
      <c r="I276" s="23">
        <v>10065</v>
      </c>
      <c r="J276" s="23">
        <v>268</v>
      </c>
      <c r="K276" s="23">
        <v>337</v>
      </c>
      <c r="L276" s="23" t="s">
        <v>252</v>
      </c>
      <c r="M276" s="23">
        <f t="shared" si="4"/>
        <v>803.99999999999989</v>
      </c>
      <c r="N276" s="24" t="str">
        <f t="array" ref="N276">INDEX('MATCH INFO'!O:O, INT((ROW()-2)/10)+2 + 29)</f>
        <v>260614_FLC_T1_S4</v>
      </c>
    </row>
    <row r="277" spans="1:14">
      <c r="A277" s="23" t="s">
        <v>31</v>
      </c>
      <c r="B277" s="23" t="s">
        <v>163</v>
      </c>
      <c r="C277" s="23" t="s">
        <v>104</v>
      </c>
      <c r="D277" s="23" t="s">
        <v>251</v>
      </c>
      <c r="E277" s="23" t="s">
        <v>196</v>
      </c>
      <c r="F277" s="23">
        <v>24</v>
      </c>
      <c r="G277" s="23">
        <v>6</v>
      </c>
      <c r="H277" s="23">
        <v>4</v>
      </c>
      <c r="I277" s="23">
        <v>7355</v>
      </c>
      <c r="J277" s="23">
        <v>73</v>
      </c>
      <c r="K277" s="23">
        <v>653</v>
      </c>
      <c r="L277" s="23" t="s">
        <v>252</v>
      </c>
      <c r="M277" s="23">
        <f t="shared" si="4"/>
        <v>803.99999999999989</v>
      </c>
      <c r="N277" s="24" t="str">
        <f t="array" ref="N277">INDEX('MATCH INFO'!O:O, INT((ROW()-2)/10)+2 + 29)</f>
        <v>260614_FLC_T1_S4</v>
      </c>
    </row>
    <row r="278" spans="1:14">
      <c r="A278" s="23" t="s">
        <v>31</v>
      </c>
      <c r="B278" s="23" t="s">
        <v>165</v>
      </c>
      <c r="C278" s="23" t="s">
        <v>109</v>
      </c>
      <c r="D278" s="23" t="s">
        <v>251</v>
      </c>
      <c r="E278" s="23" t="s">
        <v>196</v>
      </c>
      <c r="F278" s="23">
        <v>11</v>
      </c>
      <c r="G278" s="23">
        <v>9</v>
      </c>
      <c r="H278" s="23">
        <v>22</v>
      </c>
      <c r="I278" s="23">
        <v>3437</v>
      </c>
      <c r="J278" s="23">
        <v>11091</v>
      </c>
      <c r="K278" s="23">
        <v>1255</v>
      </c>
      <c r="L278" s="23" t="s">
        <v>252</v>
      </c>
      <c r="M278" s="23">
        <f t="shared" si="4"/>
        <v>803.99999999999989</v>
      </c>
      <c r="N278" s="24" t="str">
        <f t="array" ref="N278">INDEX('MATCH INFO'!O:O, INT((ROW()-2)/10)+2 + 29)</f>
        <v>260614_FLC_T1_S4</v>
      </c>
    </row>
    <row r="279" spans="1:14">
      <c r="A279" s="23" t="s">
        <v>31</v>
      </c>
      <c r="B279" s="23" t="s">
        <v>166</v>
      </c>
      <c r="C279" s="23" t="s">
        <v>109</v>
      </c>
      <c r="D279" s="23" t="s">
        <v>251</v>
      </c>
      <c r="E279" s="23" t="s">
        <v>196</v>
      </c>
      <c r="F279" s="23">
        <v>12</v>
      </c>
      <c r="G279" s="23">
        <v>9</v>
      </c>
      <c r="H279" s="23">
        <v>26</v>
      </c>
      <c r="I279" s="23">
        <v>5336</v>
      </c>
      <c r="J279" s="23">
        <v>13099</v>
      </c>
      <c r="K279" s="23">
        <v>0</v>
      </c>
      <c r="L279" s="23" t="s">
        <v>252</v>
      </c>
      <c r="M279" s="23">
        <f t="shared" si="4"/>
        <v>803.99999999999989</v>
      </c>
      <c r="N279" s="24" t="str">
        <f t="array" ref="N279">INDEX('MATCH INFO'!O:O, INT((ROW()-2)/10)+2 + 29)</f>
        <v>260614_FLC_T1_S4</v>
      </c>
    </row>
    <row r="280" spans="1:14">
      <c r="A280" s="23" t="s">
        <v>31</v>
      </c>
      <c r="B280" s="23" t="s">
        <v>164</v>
      </c>
      <c r="C280" s="23" t="s">
        <v>104</v>
      </c>
      <c r="D280" s="23" t="s">
        <v>251</v>
      </c>
      <c r="E280" s="23" t="s">
        <v>196</v>
      </c>
      <c r="F280" s="23">
        <v>30</v>
      </c>
      <c r="G280" s="23">
        <v>7</v>
      </c>
      <c r="H280" s="23">
        <v>1</v>
      </c>
      <c r="I280" s="23">
        <v>16064</v>
      </c>
      <c r="J280" s="23">
        <v>223</v>
      </c>
      <c r="K280" s="23">
        <v>1971</v>
      </c>
      <c r="L280" s="23" t="s">
        <v>252</v>
      </c>
      <c r="M280" s="23">
        <f t="shared" si="4"/>
        <v>803.99999999999989</v>
      </c>
      <c r="N280" s="24" t="str">
        <f t="array" ref="N280">INDEX('MATCH INFO'!O:O, INT((ROW()-2)/10)+2 + 29)</f>
        <v>260614_FLC_T1_S4</v>
      </c>
    </row>
    <row r="281" spans="1:14">
      <c r="A281" s="23" t="s">
        <v>31</v>
      </c>
      <c r="B281" s="23" t="s">
        <v>160</v>
      </c>
      <c r="C281" s="23" t="s">
        <v>101</v>
      </c>
      <c r="D281" s="23" t="s">
        <v>251</v>
      </c>
      <c r="E281" s="23" t="s">
        <v>196</v>
      </c>
      <c r="F281" s="23">
        <v>20</v>
      </c>
      <c r="G281" s="23">
        <v>6</v>
      </c>
      <c r="H281" s="23">
        <v>5</v>
      </c>
      <c r="I281" s="23">
        <v>12475</v>
      </c>
      <c r="J281" s="23">
        <v>623</v>
      </c>
      <c r="K281" s="23">
        <v>19741</v>
      </c>
      <c r="L281" s="23" t="s">
        <v>252</v>
      </c>
      <c r="M281" s="23">
        <f t="shared" si="4"/>
        <v>803.99999999999989</v>
      </c>
      <c r="N281" s="24" t="str">
        <f t="array" ref="N281">INDEX('MATCH INFO'!O:O, INT((ROW()-2)/10)+2 + 29)</f>
        <v>260614_FLC_T1_S4</v>
      </c>
    </row>
    <row r="282" spans="1:14">
      <c r="A282" s="23" t="s">
        <v>41</v>
      </c>
      <c r="B282" s="23" t="s">
        <v>157</v>
      </c>
      <c r="C282" s="23" t="s">
        <v>109</v>
      </c>
      <c r="D282" s="23" t="s">
        <v>44</v>
      </c>
      <c r="E282" s="23" t="s">
        <v>190</v>
      </c>
      <c r="F282" s="23">
        <v>23</v>
      </c>
      <c r="G282" s="23">
        <v>1</v>
      </c>
      <c r="H282" s="23">
        <v>19</v>
      </c>
      <c r="I282" s="23">
        <v>3204</v>
      </c>
      <c r="J282" s="23">
        <v>5452</v>
      </c>
      <c r="K282" s="23">
        <v>482</v>
      </c>
      <c r="L282" s="23" t="s">
        <v>253</v>
      </c>
      <c r="M282" s="23">
        <f t="shared" si="4"/>
        <v>447.00000000000006</v>
      </c>
      <c r="N282" s="24" t="str">
        <f t="array" ref="N282">INDEX('MATCH INFO'!O:O, INT((ROW()-2)/10)+2 + 29)</f>
        <v>260614_FLC_T1_S5</v>
      </c>
    </row>
    <row r="283" spans="1:14">
      <c r="A283" s="23" t="s">
        <v>41</v>
      </c>
      <c r="B283" s="23" t="s">
        <v>152</v>
      </c>
      <c r="C283" s="23" t="s">
        <v>101</v>
      </c>
      <c r="D283" s="23" t="s">
        <v>44</v>
      </c>
      <c r="E283" s="23" t="s">
        <v>190</v>
      </c>
      <c r="F283" s="23">
        <v>30</v>
      </c>
      <c r="G283" s="23">
        <v>2</v>
      </c>
      <c r="H283" s="23">
        <v>20</v>
      </c>
      <c r="I283" s="23">
        <v>9793</v>
      </c>
      <c r="J283" s="23">
        <v>2448</v>
      </c>
      <c r="K283" s="23">
        <v>5153</v>
      </c>
      <c r="L283" s="23" t="s">
        <v>253</v>
      </c>
      <c r="M283" s="23">
        <f t="shared" si="4"/>
        <v>447.00000000000006</v>
      </c>
      <c r="N283" s="24" t="str">
        <f t="array" ref="N283">INDEX('MATCH INFO'!O:O, INT((ROW()-2)/10)+2 + 29)</f>
        <v>260614_FLC_T1_S5</v>
      </c>
    </row>
    <row r="284" spans="1:14">
      <c r="A284" s="23" t="s">
        <v>41</v>
      </c>
      <c r="B284" s="23" t="s">
        <v>155</v>
      </c>
      <c r="C284" s="23" t="s">
        <v>104</v>
      </c>
      <c r="D284" s="23" t="s">
        <v>44</v>
      </c>
      <c r="E284" s="23" t="s">
        <v>190</v>
      </c>
      <c r="F284" s="23">
        <v>27</v>
      </c>
      <c r="G284" s="23">
        <v>3</v>
      </c>
      <c r="H284" s="23">
        <v>0</v>
      </c>
      <c r="I284" s="23">
        <v>9284</v>
      </c>
      <c r="J284" s="23">
        <v>0</v>
      </c>
      <c r="K284" s="23">
        <v>0</v>
      </c>
      <c r="L284" s="23" t="s">
        <v>253</v>
      </c>
      <c r="M284" s="23">
        <f t="shared" si="4"/>
        <v>447.00000000000006</v>
      </c>
      <c r="N284" s="24" t="str">
        <f t="array" ref="N284">INDEX('MATCH INFO'!O:O, INT((ROW()-2)/10)+2 + 29)</f>
        <v>260614_FLC_T1_S5</v>
      </c>
    </row>
    <row r="285" spans="1:14">
      <c r="A285" s="23" t="s">
        <v>41</v>
      </c>
      <c r="B285" s="23" t="s">
        <v>158</v>
      </c>
      <c r="C285" s="23" t="s">
        <v>109</v>
      </c>
      <c r="D285" s="23" t="s">
        <v>44</v>
      </c>
      <c r="E285" s="23" t="s">
        <v>190</v>
      </c>
      <c r="F285" s="23">
        <v>14</v>
      </c>
      <c r="G285" s="23">
        <v>3</v>
      </c>
      <c r="H285" s="23">
        <v>31</v>
      </c>
      <c r="I285" s="23">
        <v>3701</v>
      </c>
      <c r="J285" s="23">
        <v>7454</v>
      </c>
      <c r="K285" s="23">
        <v>0</v>
      </c>
      <c r="L285" s="23" t="s">
        <v>253</v>
      </c>
      <c r="M285" s="23">
        <f t="shared" si="4"/>
        <v>447.00000000000006</v>
      </c>
      <c r="N285" s="24" t="str">
        <f t="array" ref="N285">INDEX('MATCH INFO'!O:O, INT((ROW()-2)/10)+2 + 29)</f>
        <v>260614_FLC_T1_S5</v>
      </c>
    </row>
    <row r="286" spans="1:14">
      <c r="A286" s="23" t="s">
        <v>41</v>
      </c>
      <c r="B286" s="23" t="s">
        <v>154</v>
      </c>
      <c r="C286" s="23" t="s">
        <v>104</v>
      </c>
      <c r="D286" s="23" t="s">
        <v>44</v>
      </c>
      <c r="E286" s="23" t="s">
        <v>190</v>
      </c>
      <c r="F286" s="23">
        <v>27</v>
      </c>
      <c r="G286" s="23">
        <v>4</v>
      </c>
      <c r="H286" s="23">
        <v>7</v>
      </c>
      <c r="I286" s="23">
        <v>8237</v>
      </c>
      <c r="J286" s="23">
        <v>309</v>
      </c>
      <c r="K286" s="23">
        <v>375</v>
      </c>
      <c r="L286" s="23" t="s">
        <v>253</v>
      </c>
      <c r="M286" s="23">
        <f t="shared" si="4"/>
        <v>447.00000000000006</v>
      </c>
      <c r="N286" s="24" t="str">
        <f t="array" ref="N286">INDEX('MATCH INFO'!O:O, INT((ROW()-2)/10)+2 + 29)</f>
        <v>260614_FLC_T1_S5</v>
      </c>
    </row>
    <row r="287" spans="1:14">
      <c r="A287" s="23" t="s">
        <v>31</v>
      </c>
      <c r="B287" s="23" t="s">
        <v>165</v>
      </c>
      <c r="C287" s="23" t="s">
        <v>109</v>
      </c>
      <c r="D287" s="23" t="s">
        <v>44</v>
      </c>
      <c r="E287" s="23" t="s">
        <v>190</v>
      </c>
      <c r="F287" s="23">
        <v>4</v>
      </c>
      <c r="G287" s="23">
        <v>7</v>
      </c>
      <c r="H287" s="23">
        <v>6</v>
      </c>
      <c r="I287" s="23">
        <v>2661</v>
      </c>
      <c r="J287" s="23">
        <v>5198</v>
      </c>
      <c r="K287" s="23">
        <v>2173</v>
      </c>
      <c r="L287" s="23" t="s">
        <v>253</v>
      </c>
      <c r="M287" s="23">
        <f t="shared" si="4"/>
        <v>447.00000000000006</v>
      </c>
      <c r="N287" s="24" t="str">
        <f t="array" ref="N287">INDEX('MATCH INFO'!O:O, INT((ROW()-2)/10)+2 + 29)</f>
        <v>260614_FLC_T1_S5</v>
      </c>
    </row>
    <row r="288" spans="1:14">
      <c r="A288" s="23" t="s">
        <v>31</v>
      </c>
      <c r="B288" s="23" t="s">
        <v>166</v>
      </c>
      <c r="C288" s="23" t="s">
        <v>109</v>
      </c>
      <c r="D288" s="23" t="s">
        <v>44</v>
      </c>
      <c r="E288" s="23" t="s">
        <v>190</v>
      </c>
      <c r="F288" s="23">
        <v>7</v>
      </c>
      <c r="G288" s="23">
        <v>7</v>
      </c>
      <c r="H288" s="23">
        <v>7</v>
      </c>
      <c r="I288" s="23">
        <v>3670</v>
      </c>
      <c r="J288" s="23">
        <v>7347</v>
      </c>
      <c r="K288" s="23">
        <v>0</v>
      </c>
      <c r="L288" s="23" t="s">
        <v>253</v>
      </c>
      <c r="M288" s="23">
        <f t="shared" si="4"/>
        <v>447.00000000000006</v>
      </c>
      <c r="N288" s="24" t="str">
        <f t="array" ref="N288">INDEX('MATCH INFO'!O:O, INT((ROW()-2)/10)+2 + 29)</f>
        <v>260614_FLC_T1_S5</v>
      </c>
    </row>
    <row r="289" spans="1:14">
      <c r="A289" s="23" t="s">
        <v>31</v>
      </c>
      <c r="B289" s="23" t="s">
        <v>161</v>
      </c>
      <c r="C289" s="23" t="s">
        <v>101</v>
      </c>
      <c r="D289" s="23" t="s">
        <v>44</v>
      </c>
      <c r="E289" s="23" t="s">
        <v>190</v>
      </c>
      <c r="F289" s="23">
        <v>8</v>
      </c>
      <c r="G289" s="23">
        <v>9</v>
      </c>
      <c r="H289" s="23">
        <v>6</v>
      </c>
      <c r="I289" s="23">
        <v>5874</v>
      </c>
      <c r="J289" s="23">
        <v>2083</v>
      </c>
      <c r="K289" s="23">
        <v>4282</v>
      </c>
      <c r="L289" s="23" t="s">
        <v>253</v>
      </c>
      <c r="M289" s="23">
        <f t="shared" si="4"/>
        <v>447.00000000000006</v>
      </c>
      <c r="N289" s="24" t="str">
        <f t="array" ref="N289">INDEX('MATCH INFO'!O:O, INT((ROW()-2)/10)+2 + 29)</f>
        <v>260614_FLC_T1_S5</v>
      </c>
    </row>
    <row r="290" spans="1:14">
      <c r="A290" s="23" t="s">
        <v>31</v>
      </c>
      <c r="B290" s="23" t="s">
        <v>164</v>
      </c>
      <c r="C290" s="23" t="s">
        <v>104</v>
      </c>
      <c r="D290" s="23" t="s">
        <v>44</v>
      </c>
      <c r="E290" s="23" t="s">
        <v>190</v>
      </c>
      <c r="F290" s="23">
        <v>5</v>
      </c>
      <c r="G290" s="23">
        <v>9</v>
      </c>
      <c r="H290" s="23">
        <v>0</v>
      </c>
      <c r="I290" s="23">
        <v>6360</v>
      </c>
      <c r="J290" s="23">
        <v>0</v>
      </c>
      <c r="K290" s="23">
        <v>0</v>
      </c>
      <c r="L290" s="23" t="s">
        <v>253</v>
      </c>
      <c r="M290" s="23">
        <f t="shared" si="4"/>
        <v>447.00000000000006</v>
      </c>
      <c r="N290" s="24" t="str">
        <f t="array" ref="N290">INDEX('MATCH INFO'!O:O, INT((ROW()-2)/10)+2 + 29)</f>
        <v>260614_FLC_T1_S5</v>
      </c>
    </row>
    <row r="291" spans="1:14">
      <c r="A291" s="23" t="s">
        <v>31</v>
      </c>
      <c r="B291" s="23" t="s">
        <v>162</v>
      </c>
      <c r="C291" s="23" t="s">
        <v>104</v>
      </c>
      <c r="D291" s="23" t="s">
        <v>44</v>
      </c>
      <c r="E291" s="23" t="s">
        <v>190</v>
      </c>
      <c r="F291" s="23">
        <v>11</v>
      </c>
      <c r="G291" s="23">
        <v>8</v>
      </c>
      <c r="H291" s="23">
        <v>0</v>
      </c>
      <c r="I291" s="23">
        <v>5798</v>
      </c>
      <c r="J291" s="23">
        <v>615</v>
      </c>
      <c r="K291" s="23">
        <v>0</v>
      </c>
      <c r="L291" s="23" t="s">
        <v>253</v>
      </c>
      <c r="M291" s="23">
        <f t="shared" si="4"/>
        <v>447.00000000000006</v>
      </c>
      <c r="N291" s="24" t="str">
        <f t="array" ref="N291">INDEX('MATCH INFO'!O:O, INT((ROW()-2)/10)+2 + 29)</f>
        <v>260614_FLC_T1_S5</v>
      </c>
    </row>
  </sheetData>
  <phoneticPr fontId="8" type="noConversion"/>
  <conditionalFormatting sqref="A2:N291">
    <cfRule type="expression" dxfId="9" priority="1">
      <formula>MOD(ROW()-1, 10)=0</formula>
    </cfRule>
    <cfRule type="expression" dxfId="8" priority="2">
      <formula>MOD(INT((ROW()-2)/10), 2)=1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1"/>
  <sheetViews>
    <sheetView workbookViewId="0"/>
  </sheetViews>
  <sheetFormatPr baseColWidth="10" defaultRowHeight="18"/>
  <cols>
    <col min="2" max="2" width="10.85546875" style="3" customWidth="1"/>
    <col min="3" max="3" width="8.7109375" style="3" customWidth="1"/>
    <col min="4" max="4" width="15.28515625" style="3" customWidth="1"/>
    <col min="5" max="12" width="8.7109375" style="3" customWidth="1"/>
    <col min="13" max="13" width="16.7109375" style="3" customWidth="1"/>
    <col min="14" max="14" width="22.28515625" style="3" customWidth="1"/>
  </cols>
  <sheetData>
    <row r="1" spans="1:14">
      <c r="A1" s="22" t="s">
        <v>175</v>
      </c>
      <c r="B1" s="22" t="s">
        <v>176</v>
      </c>
      <c r="C1" s="22" t="s">
        <v>177</v>
      </c>
      <c r="D1" s="22" t="s">
        <v>178</v>
      </c>
      <c r="E1" s="22" t="s">
        <v>179</v>
      </c>
      <c r="F1" s="22" t="s">
        <v>180</v>
      </c>
      <c r="G1" s="22" t="s">
        <v>181</v>
      </c>
      <c r="H1" s="22" t="s">
        <v>182</v>
      </c>
      <c r="I1" s="22" t="s">
        <v>183</v>
      </c>
      <c r="J1" s="22" t="s">
        <v>184</v>
      </c>
      <c r="K1" s="22" t="s">
        <v>185</v>
      </c>
      <c r="L1" s="22" t="s">
        <v>186</v>
      </c>
      <c r="M1" s="4" t="s">
        <v>187</v>
      </c>
      <c r="N1" s="7" t="s">
        <v>14</v>
      </c>
    </row>
    <row r="2" spans="1:14">
      <c r="A2" s="23" t="s">
        <v>21</v>
      </c>
      <c r="B2" s="23" t="s">
        <v>117</v>
      </c>
      <c r="C2" s="23" t="s">
        <v>104</v>
      </c>
      <c r="D2" s="23" t="s">
        <v>22</v>
      </c>
      <c r="E2" s="23" t="s">
        <v>188</v>
      </c>
      <c r="F2" s="23">
        <v>30</v>
      </c>
      <c r="G2" s="23">
        <v>7</v>
      </c>
      <c r="H2" s="23">
        <v>6</v>
      </c>
      <c r="I2" s="23">
        <v>14489</v>
      </c>
      <c r="J2" s="23">
        <v>455</v>
      </c>
      <c r="K2" s="23">
        <v>660</v>
      </c>
      <c r="L2" s="23" t="s">
        <v>254</v>
      </c>
      <c r="M2" s="23">
        <f t="shared" ref="M2:M65" si="0">L2*86400</f>
        <v>832.00000000000011</v>
      </c>
      <c r="N2" s="24" t="str">
        <f t="array" ref="N2">INDEX('MATCH INFO'!O:O, INT((ROW()-2)/10)+2 + 29+29)</f>
        <v>260619_ROZE_CB_S1</v>
      </c>
    </row>
    <row r="3" spans="1:14">
      <c r="A3" s="23" t="s">
        <v>21</v>
      </c>
      <c r="B3" s="23" t="s">
        <v>116</v>
      </c>
      <c r="C3" s="23" t="s">
        <v>101</v>
      </c>
      <c r="D3" s="23" t="s">
        <v>22</v>
      </c>
      <c r="E3" s="23" t="s">
        <v>188</v>
      </c>
      <c r="F3" s="23">
        <v>29</v>
      </c>
      <c r="G3" s="23">
        <v>4</v>
      </c>
      <c r="H3" s="23">
        <v>9</v>
      </c>
      <c r="I3" s="23">
        <v>10005</v>
      </c>
      <c r="J3" s="23">
        <v>1867</v>
      </c>
      <c r="K3" s="23">
        <v>7876</v>
      </c>
      <c r="L3" s="23" t="s">
        <v>254</v>
      </c>
      <c r="M3" s="23">
        <f t="shared" si="0"/>
        <v>832.00000000000011</v>
      </c>
      <c r="N3" s="24" t="str">
        <f t="array" ref="N3">INDEX('MATCH INFO'!O:O, INT((ROW()-2)/10)+2 + 29+29)</f>
        <v>260619_ROZE_CB_S1</v>
      </c>
    </row>
    <row r="4" spans="1:14">
      <c r="A4" s="23" t="s">
        <v>21</v>
      </c>
      <c r="B4" s="23" t="s">
        <v>122</v>
      </c>
      <c r="C4" s="23" t="s">
        <v>109</v>
      </c>
      <c r="D4" s="23" t="s">
        <v>22</v>
      </c>
      <c r="E4" s="23" t="s">
        <v>188</v>
      </c>
      <c r="F4" s="23">
        <v>17</v>
      </c>
      <c r="G4" s="23">
        <v>7</v>
      </c>
      <c r="H4" s="23">
        <v>24</v>
      </c>
      <c r="I4" s="23">
        <v>8525</v>
      </c>
      <c r="J4" s="23">
        <v>7263</v>
      </c>
      <c r="K4" s="23">
        <v>512</v>
      </c>
      <c r="L4" s="23" t="s">
        <v>254</v>
      </c>
      <c r="M4" s="23">
        <f t="shared" si="0"/>
        <v>832.00000000000011</v>
      </c>
      <c r="N4" s="24" t="str">
        <f t="array" ref="N4">INDEX('MATCH INFO'!O:O, INT((ROW()-2)/10)+2 + 29+29)</f>
        <v>260619_ROZE_CB_S1</v>
      </c>
    </row>
    <row r="5" spans="1:14">
      <c r="A5" s="23" t="s">
        <v>21</v>
      </c>
      <c r="B5" s="23" t="s">
        <v>118</v>
      </c>
      <c r="C5" s="23" t="s">
        <v>104</v>
      </c>
      <c r="D5" s="23" t="s">
        <v>22</v>
      </c>
      <c r="E5" s="23" t="s">
        <v>188</v>
      </c>
      <c r="F5" s="23">
        <v>26</v>
      </c>
      <c r="G5" s="23">
        <v>10</v>
      </c>
      <c r="H5" s="23">
        <v>3</v>
      </c>
      <c r="I5" s="23">
        <v>13794</v>
      </c>
      <c r="J5" s="23">
        <v>0</v>
      </c>
      <c r="K5" s="23">
        <v>860</v>
      </c>
      <c r="L5" s="23" t="s">
        <v>254</v>
      </c>
      <c r="M5" s="23">
        <f t="shared" si="0"/>
        <v>832.00000000000011</v>
      </c>
      <c r="N5" s="24" t="str">
        <f t="array" ref="N5">INDEX('MATCH INFO'!O:O, INT((ROW()-2)/10)+2 + 29+29)</f>
        <v>260619_ROZE_CB_S1</v>
      </c>
    </row>
    <row r="6" spans="1:14">
      <c r="A6" s="23" t="s">
        <v>21</v>
      </c>
      <c r="B6" s="23" t="s">
        <v>120</v>
      </c>
      <c r="C6" s="23" t="s">
        <v>109</v>
      </c>
      <c r="D6" s="23" t="s">
        <v>22</v>
      </c>
      <c r="E6" s="23" t="s">
        <v>188</v>
      </c>
      <c r="F6" s="23">
        <v>15</v>
      </c>
      <c r="G6" s="23">
        <v>5</v>
      </c>
      <c r="H6" s="23">
        <v>20</v>
      </c>
      <c r="I6" s="23">
        <v>2695</v>
      </c>
      <c r="J6" s="23">
        <v>10386</v>
      </c>
      <c r="K6" s="23">
        <v>0</v>
      </c>
      <c r="L6" s="23" t="s">
        <v>254</v>
      </c>
      <c r="M6" s="23">
        <f t="shared" si="0"/>
        <v>832.00000000000011</v>
      </c>
      <c r="N6" s="24" t="str">
        <f t="array" ref="N6">INDEX('MATCH INFO'!O:O, INT((ROW()-2)/10)+2 + 29+29)</f>
        <v>260619_ROZE_CB_S1</v>
      </c>
    </row>
    <row r="7" spans="1:14">
      <c r="A7" s="23" t="s">
        <v>51</v>
      </c>
      <c r="B7" s="23" t="s">
        <v>126</v>
      </c>
      <c r="C7" s="23" t="s">
        <v>104</v>
      </c>
      <c r="D7" s="23" t="s">
        <v>22</v>
      </c>
      <c r="E7" s="23" t="s">
        <v>188</v>
      </c>
      <c r="F7" s="23">
        <v>18</v>
      </c>
      <c r="G7" s="23">
        <v>9</v>
      </c>
      <c r="H7" s="23">
        <v>3</v>
      </c>
      <c r="I7" s="23">
        <v>12526</v>
      </c>
      <c r="J7" s="23">
        <v>0</v>
      </c>
      <c r="K7" s="23">
        <v>503</v>
      </c>
      <c r="L7" s="23" t="s">
        <v>254</v>
      </c>
      <c r="M7" s="23">
        <f t="shared" si="0"/>
        <v>832.00000000000011</v>
      </c>
      <c r="N7" s="24" t="str">
        <f t="array" ref="N7">INDEX('MATCH INFO'!O:O, INT((ROW()-2)/10)+2 + 29+29)</f>
        <v>260619_ROZE_CB_S1</v>
      </c>
    </row>
    <row r="8" spans="1:14">
      <c r="A8" s="23" t="s">
        <v>51</v>
      </c>
      <c r="B8" s="23" t="s">
        <v>124</v>
      </c>
      <c r="C8" s="23" t="s">
        <v>101</v>
      </c>
      <c r="D8" s="23" t="s">
        <v>22</v>
      </c>
      <c r="E8" s="23" t="s">
        <v>188</v>
      </c>
      <c r="F8" s="23">
        <v>13</v>
      </c>
      <c r="G8" s="23">
        <v>9</v>
      </c>
      <c r="H8" s="23">
        <v>0</v>
      </c>
      <c r="I8" s="23">
        <v>9539</v>
      </c>
      <c r="J8" s="23">
        <v>5685</v>
      </c>
      <c r="K8" s="23">
        <v>2066</v>
      </c>
      <c r="L8" s="23" t="s">
        <v>254</v>
      </c>
      <c r="M8" s="23">
        <f t="shared" si="0"/>
        <v>832.00000000000011</v>
      </c>
      <c r="N8" s="24" t="str">
        <f t="array" ref="N8">INDEX('MATCH INFO'!O:O, INT((ROW()-2)/10)+2 + 29+29)</f>
        <v>260619_ROZE_CB_S1</v>
      </c>
    </row>
    <row r="9" spans="1:14">
      <c r="A9" s="23" t="s">
        <v>51</v>
      </c>
      <c r="B9" s="23" t="s">
        <v>127</v>
      </c>
      <c r="C9" s="23" t="s">
        <v>104</v>
      </c>
      <c r="D9" s="23" t="s">
        <v>22</v>
      </c>
      <c r="E9" s="23" t="s">
        <v>188</v>
      </c>
      <c r="F9" s="23">
        <v>20</v>
      </c>
      <c r="G9" s="23">
        <v>12</v>
      </c>
      <c r="H9" s="23">
        <v>1</v>
      </c>
      <c r="I9" s="23">
        <v>13718</v>
      </c>
      <c r="J9" s="23">
        <v>0</v>
      </c>
      <c r="K9" s="23">
        <v>418</v>
      </c>
      <c r="L9" s="23" t="s">
        <v>254</v>
      </c>
      <c r="M9" s="23">
        <f t="shared" si="0"/>
        <v>832.00000000000011</v>
      </c>
      <c r="N9" s="24" t="str">
        <f t="array" ref="N9">INDEX('MATCH INFO'!O:O, INT((ROW()-2)/10)+2 + 29+29)</f>
        <v>260619_ROZE_CB_S1</v>
      </c>
    </row>
    <row r="10" spans="1:14">
      <c r="A10" s="23" t="s">
        <v>51</v>
      </c>
      <c r="B10" s="23" t="s">
        <v>128</v>
      </c>
      <c r="C10" s="23" t="s">
        <v>109</v>
      </c>
      <c r="D10" s="23" t="s">
        <v>22</v>
      </c>
      <c r="E10" s="23" t="s">
        <v>188</v>
      </c>
      <c r="F10" s="23">
        <v>15</v>
      </c>
      <c r="G10" s="23">
        <v>8</v>
      </c>
      <c r="H10" s="23">
        <v>19</v>
      </c>
      <c r="I10" s="23">
        <v>5087</v>
      </c>
      <c r="J10" s="23">
        <v>10222</v>
      </c>
      <c r="K10" s="23">
        <v>2500</v>
      </c>
      <c r="L10" s="23" t="s">
        <v>254</v>
      </c>
      <c r="M10" s="23">
        <f t="shared" si="0"/>
        <v>832.00000000000011</v>
      </c>
      <c r="N10" s="24" t="str">
        <f t="array" ref="N10">INDEX('MATCH INFO'!O:O, INT((ROW()-2)/10)+2 + 29+29)</f>
        <v>260619_ROZE_CB_S1</v>
      </c>
    </row>
    <row r="11" spans="1:14">
      <c r="A11" s="23" t="s">
        <v>51</v>
      </c>
      <c r="B11" s="23" t="s">
        <v>129</v>
      </c>
      <c r="C11" s="23" t="s">
        <v>109</v>
      </c>
      <c r="D11" s="23" t="s">
        <v>22</v>
      </c>
      <c r="E11" s="23" t="s">
        <v>188</v>
      </c>
      <c r="F11" s="23">
        <v>7</v>
      </c>
      <c r="G11" s="23">
        <v>7</v>
      </c>
      <c r="H11" s="23">
        <v>20</v>
      </c>
      <c r="I11" s="23">
        <v>4741</v>
      </c>
      <c r="J11" s="23">
        <v>11599</v>
      </c>
      <c r="K11" s="23">
        <v>0</v>
      </c>
      <c r="L11" s="23" t="s">
        <v>254</v>
      </c>
      <c r="M11" s="23">
        <f t="shared" si="0"/>
        <v>832.00000000000011</v>
      </c>
      <c r="N11" s="24" t="str">
        <f t="array" ref="N11">INDEX('MATCH INFO'!O:O, INT((ROW()-2)/10)+2 + 29+29)</f>
        <v>260619_ROZE_CB_S1</v>
      </c>
    </row>
    <row r="12" spans="1:14">
      <c r="A12" s="23" t="s">
        <v>21</v>
      </c>
      <c r="B12" s="23" t="s">
        <v>117</v>
      </c>
      <c r="C12" s="23" t="s">
        <v>104</v>
      </c>
      <c r="D12" s="23" t="s">
        <v>69</v>
      </c>
      <c r="E12" s="23" t="s">
        <v>201</v>
      </c>
      <c r="F12" s="23">
        <v>21</v>
      </c>
      <c r="G12" s="23">
        <v>11</v>
      </c>
      <c r="H12" s="23">
        <v>5</v>
      </c>
      <c r="I12" s="23">
        <v>21199</v>
      </c>
      <c r="J12" s="23">
        <v>91</v>
      </c>
      <c r="K12" s="23">
        <v>198</v>
      </c>
      <c r="L12" s="23" t="s">
        <v>255</v>
      </c>
      <c r="M12" s="23">
        <f t="shared" si="0"/>
        <v>1133</v>
      </c>
      <c r="N12" s="24" t="str">
        <f t="array" ref="N12">INDEX('MATCH INFO'!O:O, INT((ROW()-2)/10)+2 + 29+29)</f>
        <v>260619_ROZE_CB_S2</v>
      </c>
    </row>
    <row r="13" spans="1:14">
      <c r="A13" s="23" t="s">
        <v>21</v>
      </c>
      <c r="B13" s="23" t="s">
        <v>122</v>
      </c>
      <c r="C13" s="23" t="s">
        <v>109</v>
      </c>
      <c r="D13" s="23" t="s">
        <v>69</v>
      </c>
      <c r="E13" s="23" t="s">
        <v>201</v>
      </c>
      <c r="F13" s="23">
        <v>11</v>
      </c>
      <c r="G13" s="23">
        <v>6</v>
      </c>
      <c r="H13" s="23">
        <v>22</v>
      </c>
      <c r="I13" s="23">
        <v>5148</v>
      </c>
      <c r="J13" s="23">
        <v>29534</v>
      </c>
      <c r="K13" s="23">
        <v>0</v>
      </c>
      <c r="L13" s="23" t="s">
        <v>255</v>
      </c>
      <c r="M13" s="23">
        <f t="shared" si="0"/>
        <v>1133</v>
      </c>
      <c r="N13" s="24" t="str">
        <f t="array" ref="N13">INDEX('MATCH INFO'!O:O, INT((ROW()-2)/10)+2 + 29+29)</f>
        <v>260619_ROZE_CB_S2</v>
      </c>
    </row>
    <row r="14" spans="1:14">
      <c r="A14" s="23" t="s">
        <v>21</v>
      </c>
      <c r="B14" s="23" t="s">
        <v>118</v>
      </c>
      <c r="C14" s="23" t="s">
        <v>104</v>
      </c>
      <c r="D14" s="23" t="s">
        <v>69</v>
      </c>
      <c r="E14" s="23" t="s">
        <v>201</v>
      </c>
      <c r="F14" s="23">
        <v>19</v>
      </c>
      <c r="G14" s="23">
        <v>12</v>
      </c>
      <c r="H14" s="23">
        <v>3</v>
      </c>
      <c r="I14" s="23">
        <v>20717</v>
      </c>
      <c r="J14" s="23">
        <v>186</v>
      </c>
      <c r="K14" s="23">
        <v>511</v>
      </c>
      <c r="L14" s="23" t="s">
        <v>255</v>
      </c>
      <c r="M14" s="23">
        <f t="shared" si="0"/>
        <v>1133</v>
      </c>
      <c r="N14" s="24" t="str">
        <f t="array" ref="N14">INDEX('MATCH INFO'!O:O, INT((ROW()-2)/10)+2 + 29+29)</f>
        <v>260619_ROZE_CB_S2</v>
      </c>
    </row>
    <row r="15" spans="1:14">
      <c r="A15" s="23" t="s">
        <v>21</v>
      </c>
      <c r="B15" s="23" t="s">
        <v>120</v>
      </c>
      <c r="C15" s="23" t="s">
        <v>109</v>
      </c>
      <c r="D15" s="23" t="s">
        <v>69</v>
      </c>
      <c r="E15" s="23" t="s">
        <v>201</v>
      </c>
      <c r="F15" s="23">
        <v>11</v>
      </c>
      <c r="G15" s="23">
        <v>8</v>
      </c>
      <c r="H15" s="23">
        <v>14</v>
      </c>
      <c r="I15" s="23">
        <v>6032</v>
      </c>
      <c r="J15" s="23">
        <v>13426</v>
      </c>
      <c r="K15" s="23">
        <v>400</v>
      </c>
      <c r="L15" s="23" t="s">
        <v>255</v>
      </c>
      <c r="M15" s="23">
        <f t="shared" si="0"/>
        <v>1133</v>
      </c>
      <c r="N15" s="24" t="str">
        <f t="array" ref="N15">INDEX('MATCH INFO'!O:O, INT((ROW()-2)/10)+2 + 29+29)</f>
        <v>260619_ROZE_CB_S2</v>
      </c>
    </row>
    <row r="16" spans="1:14">
      <c r="A16" s="23" t="s">
        <v>21</v>
      </c>
      <c r="B16" s="23" t="s">
        <v>115</v>
      </c>
      <c r="C16" s="23" t="s">
        <v>101</v>
      </c>
      <c r="D16" s="23" t="s">
        <v>69</v>
      </c>
      <c r="E16" s="23" t="s">
        <v>201</v>
      </c>
      <c r="F16" s="23">
        <v>18</v>
      </c>
      <c r="G16" s="23">
        <v>8</v>
      </c>
      <c r="H16" s="23">
        <v>5</v>
      </c>
      <c r="I16" s="23">
        <v>18871</v>
      </c>
      <c r="J16" s="23">
        <v>505</v>
      </c>
      <c r="K16" s="23">
        <v>35547</v>
      </c>
      <c r="L16" s="23" t="s">
        <v>255</v>
      </c>
      <c r="M16" s="23">
        <f t="shared" si="0"/>
        <v>1133</v>
      </c>
      <c r="N16" s="24" t="str">
        <f t="array" ref="N16">INDEX('MATCH INFO'!O:O, INT((ROW()-2)/10)+2 + 29+29)</f>
        <v>260619_ROZE_CB_S2</v>
      </c>
    </row>
    <row r="17" spans="1:14">
      <c r="A17" s="23" t="s">
        <v>51</v>
      </c>
      <c r="B17" s="23" t="s">
        <v>126</v>
      </c>
      <c r="C17" s="23" t="s">
        <v>104</v>
      </c>
      <c r="D17" s="23" t="s">
        <v>69</v>
      </c>
      <c r="E17" s="23" t="s">
        <v>201</v>
      </c>
      <c r="F17" s="23">
        <v>27</v>
      </c>
      <c r="G17" s="23">
        <v>6</v>
      </c>
      <c r="H17" s="23">
        <v>10</v>
      </c>
      <c r="I17" s="23">
        <v>13545</v>
      </c>
      <c r="J17" s="23">
        <v>2897</v>
      </c>
      <c r="K17" s="23">
        <v>9612</v>
      </c>
      <c r="L17" s="23" t="s">
        <v>255</v>
      </c>
      <c r="M17" s="23">
        <f t="shared" si="0"/>
        <v>1133</v>
      </c>
      <c r="N17" s="24" t="str">
        <f t="array" ref="N17">INDEX('MATCH INFO'!O:O, INT((ROW()-2)/10)+2 + 29+29)</f>
        <v>260619_ROZE_CB_S2</v>
      </c>
    </row>
    <row r="18" spans="1:14">
      <c r="A18" s="23" t="s">
        <v>51</v>
      </c>
      <c r="B18" s="23" t="s">
        <v>125</v>
      </c>
      <c r="C18" s="23" t="s">
        <v>101</v>
      </c>
      <c r="D18" s="23" t="s">
        <v>69</v>
      </c>
      <c r="E18" s="23" t="s">
        <v>201</v>
      </c>
      <c r="F18" s="23">
        <v>28</v>
      </c>
      <c r="G18" s="23">
        <v>6</v>
      </c>
      <c r="H18" s="23">
        <v>6</v>
      </c>
      <c r="I18" s="23">
        <v>19819</v>
      </c>
      <c r="J18" s="23">
        <v>393</v>
      </c>
      <c r="K18" s="23">
        <v>42551</v>
      </c>
      <c r="L18" s="23" t="s">
        <v>255</v>
      </c>
      <c r="M18" s="23">
        <f t="shared" si="0"/>
        <v>1133</v>
      </c>
      <c r="N18" s="24" t="str">
        <f t="array" ref="N18">INDEX('MATCH INFO'!O:O, INT((ROW()-2)/10)+2 + 29+29)</f>
        <v>260619_ROZE_CB_S2</v>
      </c>
    </row>
    <row r="19" spans="1:14">
      <c r="A19" s="23" t="s">
        <v>51</v>
      </c>
      <c r="B19" s="23" t="s">
        <v>127</v>
      </c>
      <c r="C19" s="23" t="s">
        <v>104</v>
      </c>
      <c r="D19" s="23" t="s">
        <v>69</v>
      </c>
      <c r="E19" s="23" t="s">
        <v>201</v>
      </c>
      <c r="F19" s="23">
        <v>37</v>
      </c>
      <c r="G19" s="23">
        <v>8</v>
      </c>
      <c r="H19" s="23">
        <v>1</v>
      </c>
      <c r="I19" s="23">
        <v>21946</v>
      </c>
      <c r="J19" s="23">
        <v>255</v>
      </c>
      <c r="K19" s="23">
        <v>559</v>
      </c>
      <c r="L19" s="23" t="s">
        <v>255</v>
      </c>
      <c r="M19" s="23">
        <f t="shared" si="0"/>
        <v>1133</v>
      </c>
      <c r="N19" s="24" t="str">
        <f t="array" ref="N19">INDEX('MATCH INFO'!O:O, INT((ROW()-2)/10)+2 + 29+29)</f>
        <v>260619_ROZE_CB_S2</v>
      </c>
    </row>
    <row r="20" spans="1:14">
      <c r="A20" s="23" t="s">
        <v>51</v>
      </c>
      <c r="B20" s="23" t="s">
        <v>128</v>
      </c>
      <c r="C20" s="23" t="s">
        <v>109</v>
      </c>
      <c r="D20" s="23" t="s">
        <v>69</v>
      </c>
      <c r="E20" s="23" t="s">
        <v>201</v>
      </c>
      <c r="F20" s="23">
        <v>15</v>
      </c>
      <c r="G20" s="23">
        <v>8</v>
      </c>
      <c r="H20" s="23">
        <v>26</v>
      </c>
      <c r="I20" s="23">
        <v>7637</v>
      </c>
      <c r="J20" s="23">
        <v>17351</v>
      </c>
      <c r="K20" s="23">
        <v>2348</v>
      </c>
      <c r="L20" s="23" t="s">
        <v>255</v>
      </c>
      <c r="M20" s="23">
        <f t="shared" si="0"/>
        <v>1133</v>
      </c>
      <c r="N20" s="24" t="str">
        <f t="array" ref="N20">INDEX('MATCH INFO'!O:O, INT((ROW()-2)/10)+2 + 29+29)</f>
        <v>260619_ROZE_CB_S2</v>
      </c>
    </row>
    <row r="21" spans="1:14">
      <c r="A21" s="23" t="s">
        <v>51</v>
      </c>
      <c r="B21" s="23" t="s">
        <v>129</v>
      </c>
      <c r="C21" s="23" t="s">
        <v>109</v>
      </c>
      <c r="D21" s="23" t="s">
        <v>69</v>
      </c>
      <c r="E21" s="23" t="s">
        <v>201</v>
      </c>
      <c r="F21" s="23">
        <v>14</v>
      </c>
      <c r="G21" s="23">
        <v>2</v>
      </c>
      <c r="H21" s="23">
        <v>38</v>
      </c>
      <c r="I21" s="23">
        <v>3400</v>
      </c>
      <c r="J21" s="23">
        <v>31253</v>
      </c>
      <c r="K21" s="23">
        <v>0</v>
      </c>
      <c r="L21" s="23" t="s">
        <v>255</v>
      </c>
      <c r="M21" s="23">
        <f t="shared" si="0"/>
        <v>1133</v>
      </c>
      <c r="N21" s="24" t="str">
        <f t="array" ref="N21">INDEX('MATCH INFO'!O:O, INT((ROW()-2)/10)+2 + 29+29)</f>
        <v>260619_ROZE_CB_S2</v>
      </c>
    </row>
    <row r="22" spans="1:14">
      <c r="A22" s="23" t="s">
        <v>21</v>
      </c>
      <c r="B22" s="23" t="s">
        <v>117</v>
      </c>
      <c r="C22" s="23" t="s">
        <v>104</v>
      </c>
      <c r="D22" s="23" t="s">
        <v>28</v>
      </c>
      <c r="E22" s="23" t="s">
        <v>192</v>
      </c>
      <c r="F22" s="23">
        <v>16</v>
      </c>
      <c r="G22" s="23">
        <v>1</v>
      </c>
      <c r="H22" s="23">
        <v>3</v>
      </c>
      <c r="I22" s="23">
        <v>5617</v>
      </c>
      <c r="J22" s="23">
        <v>0</v>
      </c>
      <c r="K22" s="23">
        <v>558</v>
      </c>
      <c r="L22" s="23" t="s">
        <v>256</v>
      </c>
      <c r="M22" s="23">
        <f t="shared" si="0"/>
        <v>254</v>
      </c>
      <c r="N22" s="24" t="str">
        <f t="array" ref="N22">INDEX('MATCH INFO'!O:O, INT((ROW()-2)/10)+2 + 29+29)</f>
        <v>260619_ROZE_CB_S3</v>
      </c>
    </row>
    <row r="23" spans="1:14">
      <c r="A23" s="23" t="s">
        <v>21</v>
      </c>
      <c r="B23" s="23" t="s">
        <v>116</v>
      </c>
      <c r="C23" s="23" t="s">
        <v>101</v>
      </c>
      <c r="D23" s="23" t="s">
        <v>28</v>
      </c>
      <c r="E23" s="23" t="s">
        <v>192</v>
      </c>
      <c r="F23" s="23">
        <v>17</v>
      </c>
      <c r="G23" s="23">
        <v>0</v>
      </c>
      <c r="H23" s="23">
        <v>9</v>
      </c>
      <c r="I23" s="23">
        <v>6734</v>
      </c>
      <c r="J23" s="23">
        <v>1415</v>
      </c>
      <c r="K23" s="23">
        <v>2906</v>
      </c>
      <c r="L23" s="23" t="s">
        <v>256</v>
      </c>
      <c r="M23" s="23">
        <f t="shared" si="0"/>
        <v>254</v>
      </c>
      <c r="N23" s="24" t="str">
        <f t="array" ref="N23">INDEX('MATCH INFO'!O:O, INT((ROW()-2)/10)+2 + 29+29)</f>
        <v>260619_ROZE_CB_S3</v>
      </c>
    </row>
    <row r="24" spans="1:14">
      <c r="A24" s="23" t="s">
        <v>21</v>
      </c>
      <c r="B24" s="23" t="s">
        <v>122</v>
      </c>
      <c r="C24" s="23" t="s">
        <v>109</v>
      </c>
      <c r="D24" s="23" t="s">
        <v>28</v>
      </c>
      <c r="E24" s="23" t="s">
        <v>192</v>
      </c>
      <c r="F24" s="23">
        <v>8</v>
      </c>
      <c r="G24" s="23">
        <v>0</v>
      </c>
      <c r="H24" s="23">
        <v>15</v>
      </c>
      <c r="I24" s="23">
        <v>1373</v>
      </c>
      <c r="J24" s="23">
        <v>7275</v>
      </c>
      <c r="K24" s="23">
        <v>0</v>
      </c>
      <c r="L24" s="23" t="s">
        <v>256</v>
      </c>
      <c r="M24" s="23">
        <f t="shared" si="0"/>
        <v>254</v>
      </c>
      <c r="N24" s="24" t="str">
        <f t="array" ref="N24">INDEX('MATCH INFO'!O:O, INT((ROW()-2)/10)+2 + 29+29)</f>
        <v>260619_ROZE_CB_S3</v>
      </c>
    </row>
    <row r="25" spans="1:14">
      <c r="A25" s="23" t="s">
        <v>21</v>
      </c>
      <c r="B25" s="23" t="s">
        <v>118</v>
      </c>
      <c r="C25" s="23" t="s">
        <v>104</v>
      </c>
      <c r="D25" s="23" t="s">
        <v>28</v>
      </c>
      <c r="E25" s="23" t="s">
        <v>192</v>
      </c>
      <c r="F25" s="23">
        <v>14</v>
      </c>
      <c r="G25" s="23">
        <v>1</v>
      </c>
      <c r="H25" s="23">
        <v>0</v>
      </c>
      <c r="I25" s="23">
        <v>5380</v>
      </c>
      <c r="J25" s="23">
        <v>0</v>
      </c>
      <c r="K25" s="23">
        <v>0</v>
      </c>
      <c r="L25" s="23" t="s">
        <v>256</v>
      </c>
      <c r="M25" s="23">
        <f t="shared" si="0"/>
        <v>254</v>
      </c>
      <c r="N25" s="24" t="str">
        <f t="array" ref="N25">INDEX('MATCH INFO'!O:O, INT((ROW()-2)/10)+2 + 29+29)</f>
        <v>260619_ROZE_CB_S3</v>
      </c>
    </row>
    <row r="26" spans="1:14">
      <c r="A26" s="23" t="s">
        <v>21</v>
      </c>
      <c r="B26" s="23" t="s">
        <v>120</v>
      </c>
      <c r="C26" s="23" t="s">
        <v>109</v>
      </c>
      <c r="D26" s="23" t="s">
        <v>28</v>
      </c>
      <c r="E26" s="23" t="s">
        <v>192</v>
      </c>
      <c r="F26" s="23">
        <v>13</v>
      </c>
      <c r="G26" s="23">
        <v>1</v>
      </c>
      <c r="H26" s="23">
        <v>12</v>
      </c>
      <c r="I26" s="23">
        <v>2515</v>
      </c>
      <c r="J26" s="23">
        <v>4543</v>
      </c>
      <c r="K26" s="23">
        <v>1523</v>
      </c>
      <c r="L26" s="23" t="s">
        <v>256</v>
      </c>
      <c r="M26" s="23">
        <f t="shared" si="0"/>
        <v>254</v>
      </c>
      <c r="N26" s="24" t="str">
        <f t="array" ref="N26">INDEX('MATCH INFO'!O:O, INT((ROW()-2)/10)+2 + 29+29)</f>
        <v>260619_ROZE_CB_S3</v>
      </c>
    </row>
    <row r="27" spans="1:14">
      <c r="A27" s="23" t="s">
        <v>51</v>
      </c>
      <c r="B27" s="23" t="s">
        <v>126</v>
      </c>
      <c r="C27" s="23" t="s">
        <v>104</v>
      </c>
      <c r="D27" s="23" t="s">
        <v>28</v>
      </c>
      <c r="E27" s="23" t="s">
        <v>192</v>
      </c>
      <c r="F27" s="23">
        <v>0</v>
      </c>
      <c r="G27" s="23">
        <v>5</v>
      </c>
      <c r="H27" s="23">
        <v>0</v>
      </c>
      <c r="I27" s="23">
        <v>3136</v>
      </c>
      <c r="J27" s="23">
        <v>0</v>
      </c>
      <c r="K27" s="23">
        <v>153</v>
      </c>
      <c r="L27" s="23" t="s">
        <v>256</v>
      </c>
      <c r="M27" s="23">
        <f t="shared" si="0"/>
        <v>254</v>
      </c>
      <c r="N27" s="24" t="str">
        <f t="array" ref="N27">INDEX('MATCH INFO'!O:O, INT((ROW()-2)/10)+2 + 29+29)</f>
        <v>260619_ROZE_CB_S3</v>
      </c>
    </row>
    <row r="28" spans="1:14">
      <c r="A28" s="23" t="s">
        <v>51</v>
      </c>
      <c r="B28" s="23" t="s">
        <v>125</v>
      </c>
      <c r="C28" s="23" t="s">
        <v>101</v>
      </c>
      <c r="D28" s="23" t="s">
        <v>28</v>
      </c>
      <c r="E28" s="23" t="s">
        <v>192</v>
      </c>
      <c r="F28" s="23">
        <v>3</v>
      </c>
      <c r="G28" s="23">
        <v>6</v>
      </c>
      <c r="H28" s="23">
        <v>3</v>
      </c>
      <c r="I28" s="23">
        <v>5729</v>
      </c>
      <c r="J28" s="23">
        <v>1529</v>
      </c>
      <c r="K28" s="23">
        <v>3479</v>
      </c>
      <c r="L28" s="23" t="s">
        <v>256</v>
      </c>
      <c r="M28" s="23">
        <f t="shared" si="0"/>
        <v>254</v>
      </c>
      <c r="N28" s="24" t="str">
        <f t="array" ref="N28">INDEX('MATCH INFO'!O:O, INT((ROW()-2)/10)+2 + 29+29)</f>
        <v>260619_ROZE_CB_S3</v>
      </c>
    </row>
    <row r="29" spans="1:14">
      <c r="A29" s="23" t="s">
        <v>51</v>
      </c>
      <c r="B29" s="23" t="s">
        <v>127</v>
      </c>
      <c r="C29" s="23" t="s">
        <v>104</v>
      </c>
      <c r="D29" s="23" t="s">
        <v>28</v>
      </c>
      <c r="E29" s="23" t="s">
        <v>192</v>
      </c>
      <c r="F29" s="23">
        <v>2</v>
      </c>
      <c r="G29" s="23">
        <v>5</v>
      </c>
      <c r="H29" s="23">
        <v>0</v>
      </c>
      <c r="I29" s="23">
        <v>6025</v>
      </c>
      <c r="J29" s="23">
        <v>0</v>
      </c>
      <c r="K29" s="23">
        <v>229</v>
      </c>
      <c r="L29" s="23" t="s">
        <v>256</v>
      </c>
      <c r="M29" s="23">
        <f t="shared" si="0"/>
        <v>254</v>
      </c>
      <c r="N29" s="24" t="str">
        <f t="array" ref="N29">INDEX('MATCH INFO'!O:O, INT((ROW()-2)/10)+2 + 29+29)</f>
        <v>260619_ROZE_CB_S3</v>
      </c>
    </row>
    <row r="30" spans="1:14">
      <c r="A30" s="23" t="s">
        <v>51</v>
      </c>
      <c r="B30" s="23" t="s">
        <v>128</v>
      </c>
      <c r="C30" s="23" t="s">
        <v>109</v>
      </c>
      <c r="D30" s="23" t="s">
        <v>28</v>
      </c>
      <c r="E30" s="23" t="s">
        <v>192</v>
      </c>
      <c r="F30" s="23">
        <v>3</v>
      </c>
      <c r="G30" s="23">
        <v>3</v>
      </c>
      <c r="H30" s="23">
        <v>0</v>
      </c>
      <c r="I30" s="23">
        <v>2063</v>
      </c>
      <c r="J30" s="23">
        <v>3366</v>
      </c>
      <c r="K30" s="23">
        <v>1233</v>
      </c>
      <c r="L30" s="23" t="s">
        <v>256</v>
      </c>
      <c r="M30" s="23">
        <f t="shared" si="0"/>
        <v>254</v>
      </c>
      <c r="N30" s="24" t="str">
        <f t="array" ref="N30">INDEX('MATCH INFO'!O:O, INT((ROW()-2)/10)+2 + 29+29)</f>
        <v>260619_ROZE_CB_S3</v>
      </c>
    </row>
    <row r="31" spans="1:14">
      <c r="A31" s="23" t="s">
        <v>51</v>
      </c>
      <c r="B31" s="23" t="s">
        <v>129</v>
      </c>
      <c r="C31" s="23" t="s">
        <v>109</v>
      </c>
      <c r="D31" s="23" t="s">
        <v>28</v>
      </c>
      <c r="E31" s="23" t="s">
        <v>192</v>
      </c>
      <c r="F31" s="23">
        <v>0</v>
      </c>
      <c r="G31" s="23">
        <v>3</v>
      </c>
      <c r="H31" s="23">
        <v>2</v>
      </c>
      <c r="I31" s="23">
        <v>1434</v>
      </c>
      <c r="J31" s="23">
        <v>4830</v>
      </c>
      <c r="K31" s="23">
        <v>0</v>
      </c>
      <c r="L31" s="23" t="s">
        <v>256</v>
      </c>
      <c r="M31" s="23">
        <f t="shared" si="0"/>
        <v>254</v>
      </c>
      <c r="N31" s="24" t="str">
        <f t="array" ref="N31">INDEX('MATCH INFO'!O:O, INT((ROW()-2)/10)+2 + 29+29)</f>
        <v>260619_ROZE_CB_S3</v>
      </c>
    </row>
    <row r="32" spans="1:14">
      <c r="A32" s="23" t="s">
        <v>21</v>
      </c>
      <c r="B32" s="23" t="s">
        <v>117</v>
      </c>
      <c r="C32" s="23" t="s">
        <v>104</v>
      </c>
      <c r="D32" s="23" t="s">
        <v>61</v>
      </c>
      <c r="E32" s="23" t="s">
        <v>196</v>
      </c>
      <c r="F32" s="23">
        <v>31</v>
      </c>
      <c r="G32" s="23">
        <v>4</v>
      </c>
      <c r="H32" s="23">
        <v>11</v>
      </c>
      <c r="I32" s="23">
        <v>11200</v>
      </c>
      <c r="J32" s="23">
        <v>1027</v>
      </c>
      <c r="K32" s="23">
        <v>4316</v>
      </c>
      <c r="L32" s="23" t="s">
        <v>257</v>
      </c>
      <c r="M32" s="23">
        <f t="shared" si="0"/>
        <v>748.99999999999989</v>
      </c>
      <c r="N32" s="24" t="str">
        <f t="array" ref="N32">INDEX('MATCH INFO'!O:O, INT((ROW()-2)/10)+2 + 29+29)</f>
        <v>260619_ROZE_CB_S4</v>
      </c>
    </row>
    <row r="33" spans="1:14">
      <c r="A33" s="23" t="s">
        <v>21</v>
      </c>
      <c r="B33" s="23" t="s">
        <v>116</v>
      </c>
      <c r="C33" s="23" t="s">
        <v>101</v>
      </c>
      <c r="D33" s="23" t="s">
        <v>61</v>
      </c>
      <c r="E33" s="23" t="s">
        <v>196</v>
      </c>
      <c r="F33" s="23">
        <v>32</v>
      </c>
      <c r="G33" s="23">
        <v>3</v>
      </c>
      <c r="H33" s="23">
        <v>9</v>
      </c>
      <c r="I33" s="23">
        <v>10368</v>
      </c>
      <c r="J33" s="23">
        <v>2576</v>
      </c>
      <c r="K33" s="23">
        <v>13673</v>
      </c>
      <c r="L33" s="23" t="s">
        <v>257</v>
      </c>
      <c r="M33" s="23">
        <f t="shared" si="0"/>
        <v>748.99999999999989</v>
      </c>
      <c r="N33" s="24" t="str">
        <f t="array" ref="N33">INDEX('MATCH INFO'!O:O, INT((ROW()-2)/10)+2 + 29+29)</f>
        <v>260619_ROZE_CB_S4</v>
      </c>
    </row>
    <row r="34" spans="1:14">
      <c r="A34" s="23" t="s">
        <v>21</v>
      </c>
      <c r="B34" s="23" t="s">
        <v>122</v>
      </c>
      <c r="C34" s="23" t="s">
        <v>109</v>
      </c>
      <c r="D34" s="23" t="s">
        <v>61</v>
      </c>
      <c r="E34" s="23" t="s">
        <v>196</v>
      </c>
      <c r="F34" s="23">
        <v>26</v>
      </c>
      <c r="G34" s="23">
        <v>4</v>
      </c>
      <c r="H34" s="23">
        <v>33</v>
      </c>
      <c r="I34" s="23">
        <v>5241</v>
      </c>
      <c r="J34" s="23">
        <v>14870</v>
      </c>
      <c r="K34" s="23">
        <v>0</v>
      </c>
      <c r="L34" s="23" t="s">
        <v>257</v>
      </c>
      <c r="M34" s="23">
        <f t="shared" si="0"/>
        <v>748.99999999999989</v>
      </c>
      <c r="N34" s="24" t="str">
        <f t="array" ref="N34">INDEX('MATCH INFO'!O:O, INT((ROW()-2)/10)+2 + 29+29)</f>
        <v>260619_ROZE_CB_S4</v>
      </c>
    </row>
    <row r="35" spans="1:14">
      <c r="A35" s="23" t="s">
        <v>21</v>
      </c>
      <c r="B35" s="23" t="s">
        <v>118</v>
      </c>
      <c r="C35" s="23" t="s">
        <v>104</v>
      </c>
      <c r="D35" s="23" t="s">
        <v>61</v>
      </c>
      <c r="E35" s="23" t="s">
        <v>196</v>
      </c>
      <c r="F35" s="23">
        <v>24</v>
      </c>
      <c r="G35" s="23">
        <v>8</v>
      </c>
      <c r="H35" s="23">
        <v>3</v>
      </c>
      <c r="I35" s="23">
        <v>12240</v>
      </c>
      <c r="J35" s="23">
        <v>171</v>
      </c>
      <c r="K35" s="23">
        <v>302</v>
      </c>
      <c r="L35" s="23" t="s">
        <v>257</v>
      </c>
      <c r="M35" s="23">
        <f t="shared" si="0"/>
        <v>748.99999999999989</v>
      </c>
      <c r="N35" s="24" t="str">
        <f t="array" ref="N35">INDEX('MATCH INFO'!O:O, INT((ROW()-2)/10)+2 + 29+29)</f>
        <v>260619_ROZE_CB_S4</v>
      </c>
    </row>
    <row r="36" spans="1:14">
      <c r="A36" s="23" t="s">
        <v>21</v>
      </c>
      <c r="B36" s="23" t="s">
        <v>120</v>
      </c>
      <c r="C36" s="23" t="s">
        <v>109</v>
      </c>
      <c r="D36" s="23" t="s">
        <v>61</v>
      </c>
      <c r="E36" s="23" t="s">
        <v>196</v>
      </c>
      <c r="F36" s="23">
        <v>20</v>
      </c>
      <c r="G36" s="23">
        <v>4</v>
      </c>
      <c r="H36" s="23">
        <v>24</v>
      </c>
      <c r="I36" s="23">
        <v>4279</v>
      </c>
      <c r="J36" s="23">
        <v>9699</v>
      </c>
      <c r="K36" s="23">
        <v>1710</v>
      </c>
      <c r="L36" s="23" t="s">
        <v>257</v>
      </c>
      <c r="M36" s="23">
        <f t="shared" si="0"/>
        <v>748.99999999999989</v>
      </c>
      <c r="N36" s="24" t="str">
        <f t="array" ref="N36">INDEX('MATCH INFO'!O:O, INT((ROW()-2)/10)+2 + 29+29)</f>
        <v>260619_ROZE_CB_S4</v>
      </c>
    </row>
    <row r="37" spans="1:14">
      <c r="A37" s="23" t="s">
        <v>51</v>
      </c>
      <c r="B37" s="23" t="s">
        <v>126</v>
      </c>
      <c r="C37" s="23" t="s">
        <v>104</v>
      </c>
      <c r="D37" s="23" t="s">
        <v>61</v>
      </c>
      <c r="E37" s="23" t="s">
        <v>196</v>
      </c>
      <c r="F37" s="23">
        <v>15</v>
      </c>
      <c r="G37" s="23">
        <v>9</v>
      </c>
      <c r="H37" s="23">
        <v>2</v>
      </c>
      <c r="I37" s="23">
        <v>8841</v>
      </c>
      <c r="J37" s="23">
        <v>1193</v>
      </c>
      <c r="K37" s="23">
        <v>1679</v>
      </c>
      <c r="L37" s="23" t="s">
        <v>257</v>
      </c>
      <c r="M37" s="23">
        <f t="shared" si="0"/>
        <v>748.99999999999989</v>
      </c>
      <c r="N37" s="24" t="str">
        <f t="array" ref="N37">INDEX('MATCH INFO'!O:O, INT((ROW()-2)/10)+2 + 29+29)</f>
        <v>260619_ROZE_CB_S4</v>
      </c>
    </row>
    <row r="38" spans="1:14">
      <c r="A38" s="23" t="s">
        <v>51</v>
      </c>
      <c r="B38" s="23" t="s">
        <v>125</v>
      </c>
      <c r="C38" s="23" t="s">
        <v>101</v>
      </c>
      <c r="D38" s="23" t="s">
        <v>61</v>
      </c>
      <c r="E38" s="23" t="s">
        <v>196</v>
      </c>
      <c r="F38" s="23">
        <v>16</v>
      </c>
      <c r="G38" s="23">
        <v>10</v>
      </c>
      <c r="H38" s="23">
        <v>2</v>
      </c>
      <c r="I38" s="23">
        <v>12741</v>
      </c>
      <c r="J38" s="23">
        <v>245</v>
      </c>
      <c r="K38" s="23">
        <v>21736</v>
      </c>
      <c r="L38" s="23" t="s">
        <v>257</v>
      </c>
      <c r="M38" s="23">
        <f t="shared" si="0"/>
        <v>748.99999999999989</v>
      </c>
      <c r="N38" s="24" t="str">
        <f t="array" ref="N38">INDEX('MATCH INFO'!O:O, INT((ROW()-2)/10)+2 + 29+29)</f>
        <v>260619_ROZE_CB_S4</v>
      </c>
    </row>
    <row r="39" spans="1:14">
      <c r="A39" s="23" t="s">
        <v>51</v>
      </c>
      <c r="B39" s="23" t="s">
        <v>127</v>
      </c>
      <c r="C39" s="23" t="s">
        <v>104</v>
      </c>
      <c r="D39" s="23" t="s">
        <v>61</v>
      </c>
      <c r="E39" s="23" t="s">
        <v>196</v>
      </c>
      <c r="F39" s="23">
        <v>13</v>
      </c>
      <c r="G39" s="23">
        <v>11</v>
      </c>
      <c r="H39" s="23">
        <v>1</v>
      </c>
      <c r="I39" s="23">
        <v>11226</v>
      </c>
      <c r="J39" s="23">
        <v>6</v>
      </c>
      <c r="K39" s="23">
        <v>1978</v>
      </c>
      <c r="L39" s="23" t="s">
        <v>257</v>
      </c>
      <c r="M39" s="23">
        <f t="shared" si="0"/>
        <v>748.99999999999989</v>
      </c>
      <c r="N39" s="24" t="str">
        <f t="array" ref="N39">INDEX('MATCH INFO'!O:O, INT((ROW()-2)/10)+2 + 29+29)</f>
        <v>260619_ROZE_CB_S4</v>
      </c>
    </row>
    <row r="40" spans="1:14">
      <c r="A40" s="23" t="s">
        <v>51</v>
      </c>
      <c r="B40" s="23" t="s">
        <v>128</v>
      </c>
      <c r="C40" s="23" t="s">
        <v>109</v>
      </c>
      <c r="D40" s="23" t="s">
        <v>61</v>
      </c>
      <c r="E40" s="23" t="s">
        <v>196</v>
      </c>
      <c r="F40" s="23">
        <v>9</v>
      </c>
      <c r="G40" s="23">
        <v>9</v>
      </c>
      <c r="H40" s="23">
        <v>11</v>
      </c>
      <c r="I40" s="23">
        <v>4630</v>
      </c>
      <c r="J40" s="23">
        <v>10332</v>
      </c>
      <c r="K40" s="23">
        <v>668</v>
      </c>
      <c r="L40" s="23" t="s">
        <v>257</v>
      </c>
      <c r="M40" s="23">
        <f t="shared" si="0"/>
        <v>748.99999999999989</v>
      </c>
      <c r="N40" s="24" t="str">
        <f t="array" ref="N40">INDEX('MATCH INFO'!O:O, INT((ROW()-2)/10)+2 + 29+29)</f>
        <v>260619_ROZE_CB_S4</v>
      </c>
    </row>
    <row r="41" spans="1:14">
      <c r="A41" s="23" t="s">
        <v>51</v>
      </c>
      <c r="B41" s="23" t="s">
        <v>129</v>
      </c>
      <c r="C41" s="23" t="s">
        <v>109</v>
      </c>
      <c r="D41" s="23" t="s">
        <v>61</v>
      </c>
      <c r="E41" s="23" t="s">
        <v>196</v>
      </c>
      <c r="F41" s="23">
        <v>9</v>
      </c>
      <c r="G41" s="23">
        <v>6</v>
      </c>
      <c r="H41" s="23">
        <v>13</v>
      </c>
      <c r="I41" s="23">
        <v>4804</v>
      </c>
      <c r="J41" s="23">
        <v>11676</v>
      </c>
      <c r="K41" s="23">
        <v>0</v>
      </c>
      <c r="L41" s="23" t="s">
        <v>257</v>
      </c>
      <c r="M41" s="23">
        <f t="shared" si="0"/>
        <v>748.99999999999989</v>
      </c>
      <c r="N41" s="24" t="str">
        <f t="array" ref="N41">INDEX('MATCH INFO'!O:O, INT((ROW()-2)/10)+2 + 29+29)</f>
        <v>260619_ROZE_CB_S4</v>
      </c>
    </row>
    <row r="42" spans="1:14">
      <c r="A42" s="23" t="s">
        <v>31</v>
      </c>
      <c r="B42" s="23" t="s">
        <v>165</v>
      </c>
      <c r="C42" s="23" t="s">
        <v>109</v>
      </c>
      <c r="D42" s="23" t="s">
        <v>22</v>
      </c>
      <c r="E42" s="23" t="s">
        <v>188</v>
      </c>
      <c r="F42" s="23">
        <v>7</v>
      </c>
      <c r="G42" s="23">
        <v>1</v>
      </c>
      <c r="H42" s="23">
        <v>10</v>
      </c>
      <c r="I42" s="23">
        <v>2647</v>
      </c>
      <c r="J42" s="23">
        <v>6762</v>
      </c>
      <c r="K42" s="23">
        <v>0</v>
      </c>
      <c r="L42" s="23" t="s">
        <v>258</v>
      </c>
      <c r="M42" s="23">
        <f t="shared" si="0"/>
        <v>427</v>
      </c>
      <c r="N42" s="24" t="str">
        <f t="array" ref="N42">INDEX('MATCH INFO'!O:O, INT((ROW()-2)/10)+2 + 29+29)</f>
        <v>260619_FLC_O2_S1</v>
      </c>
    </row>
    <row r="43" spans="1:14">
      <c r="A43" s="23" t="s">
        <v>31</v>
      </c>
      <c r="B43" s="23" t="s">
        <v>166</v>
      </c>
      <c r="C43" s="23" t="s">
        <v>109</v>
      </c>
      <c r="D43" s="23" t="s">
        <v>22</v>
      </c>
      <c r="E43" s="23" t="s">
        <v>188</v>
      </c>
      <c r="F43" s="23">
        <v>11</v>
      </c>
      <c r="G43" s="23">
        <v>2</v>
      </c>
      <c r="H43" s="23">
        <v>11</v>
      </c>
      <c r="I43" s="23">
        <v>4494</v>
      </c>
      <c r="J43" s="23">
        <v>6207</v>
      </c>
      <c r="K43" s="23">
        <v>1179</v>
      </c>
      <c r="L43" s="23" t="s">
        <v>258</v>
      </c>
      <c r="M43" s="23">
        <f t="shared" si="0"/>
        <v>427</v>
      </c>
      <c r="N43" s="24" t="str">
        <f t="array" ref="N43">INDEX('MATCH INFO'!O:O, INT((ROW()-2)/10)+2 + 29+29)</f>
        <v>260619_FLC_O2_S1</v>
      </c>
    </row>
    <row r="44" spans="1:14">
      <c r="A44" s="23" t="s">
        <v>31</v>
      </c>
      <c r="B44" s="23" t="s">
        <v>161</v>
      </c>
      <c r="C44" s="23" t="s">
        <v>101</v>
      </c>
      <c r="D44" s="23" t="s">
        <v>22</v>
      </c>
      <c r="E44" s="23" t="s">
        <v>188</v>
      </c>
      <c r="F44" s="23">
        <v>14</v>
      </c>
      <c r="G44" s="23">
        <v>0</v>
      </c>
      <c r="H44" s="23">
        <v>9</v>
      </c>
      <c r="I44" s="23">
        <v>5092</v>
      </c>
      <c r="J44" s="23">
        <v>1706</v>
      </c>
      <c r="K44" s="23">
        <v>10046</v>
      </c>
      <c r="L44" s="23" t="s">
        <v>258</v>
      </c>
      <c r="M44" s="23">
        <f t="shared" si="0"/>
        <v>427</v>
      </c>
      <c r="N44" s="24" t="str">
        <f t="array" ref="N44">INDEX('MATCH INFO'!O:O, INT((ROW()-2)/10)+2 + 29+29)</f>
        <v>260619_FLC_O2_S1</v>
      </c>
    </row>
    <row r="45" spans="1:14">
      <c r="A45" s="23" t="s">
        <v>31</v>
      </c>
      <c r="B45" s="23" t="s">
        <v>164</v>
      </c>
      <c r="C45" s="23" t="s">
        <v>104</v>
      </c>
      <c r="D45" s="23" t="s">
        <v>22</v>
      </c>
      <c r="E45" s="23" t="s">
        <v>188</v>
      </c>
      <c r="F45" s="23">
        <v>11</v>
      </c>
      <c r="G45" s="23">
        <v>2</v>
      </c>
      <c r="H45" s="23">
        <v>0</v>
      </c>
      <c r="I45" s="23">
        <v>6014</v>
      </c>
      <c r="J45" s="23">
        <v>0</v>
      </c>
      <c r="K45" s="23">
        <v>28</v>
      </c>
      <c r="L45" s="23" t="s">
        <v>258</v>
      </c>
      <c r="M45" s="23">
        <f t="shared" si="0"/>
        <v>427</v>
      </c>
      <c r="N45" s="24" t="str">
        <f t="array" ref="N45">INDEX('MATCH INFO'!O:O, INT((ROW()-2)/10)+2 + 29+29)</f>
        <v>260619_FLC_O2_S1</v>
      </c>
    </row>
    <row r="46" spans="1:14">
      <c r="A46" s="23" t="s">
        <v>31</v>
      </c>
      <c r="B46" s="23" t="s">
        <v>162</v>
      </c>
      <c r="C46" s="23" t="s">
        <v>104</v>
      </c>
      <c r="D46" s="23" t="s">
        <v>22</v>
      </c>
      <c r="E46" s="23" t="s">
        <v>188</v>
      </c>
      <c r="F46" s="23">
        <v>8</v>
      </c>
      <c r="G46" s="23">
        <v>3</v>
      </c>
      <c r="H46" s="23">
        <v>3</v>
      </c>
      <c r="I46" s="23">
        <v>6299</v>
      </c>
      <c r="J46" s="23">
        <v>233</v>
      </c>
      <c r="K46" s="23">
        <v>382</v>
      </c>
      <c r="L46" s="23" t="s">
        <v>258</v>
      </c>
      <c r="M46" s="23">
        <f t="shared" si="0"/>
        <v>427</v>
      </c>
      <c r="N46" s="24" t="str">
        <f t="array" ref="N46">INDEX('MATCH INFO'!O:O, INT((ROW()-2)/10)+2 + 29+29)</f>
        <v>260619_FLC_O2_S1</v>
      </c>
    </row>
    <row r="47" spans="1:14">
      <c r="A47" s="23" t="s">
        <v>20</v>
      </c>
      <c r="B47" s="23" t="s">
        <v>108</v>
      </c>
      <c r="C47" s="23" t="s">
        <v>109</v>
      </c>
      <c r="D47" s="23" t="s">
        <v>22</v>
      </c>
      <c r="E47" s="23" t="s">
        <v>188</v>
      </c>
      <c r="F47" s="23">
        <v>2</v>
      </c>
      <c r="G47" s="23">
        <v>5</v>
      </c>
      <c r="H47" s="23">
        <v>2</v>
      </c>
      <c r="I47" s="23">
        <v>2690</v>
      </c>
      <c r="J47" s="23">
        <v>4805</v>
      </c>
      <c r="K47" s="23">
        <v>1199</v>
      </c>
      <c r="L47" s="23" t="s">
        <v>258</v>
      </c>
      <c r="M47" s="23">
        <f t="shared" si="0"/>
        <v>427</v>
      </c>
      <c r="N47" s="24" t="str">
        <f t="array" ref="N47">INDEX('MATCH INFO'!O:O, INT((ROW()-2)/10)+2 + 29+29)</f>
        <v>260619_FLC_O2_S1</v>
      </c>
    </row>
    <row r="48" spans="1:14">
      <c r="A48" s="23" t="s">
        <v>20</v>
      </c>
      <c r="B48" s="23" t="s">
        <v>100</v>
      </c>
      <c r="C48" s="23" t="s">
        <v>101</v>
      </c>
      <c r="D48" s="23" t="s">
        <v>22</v>
      </c>
      <c r="E48" s="23" t="s">
        <v>188</v>
      </c>
      <c r="F48" s="23">
        <v>5</v>
      </c>
      <c r="G48" s="23">
        <v>3</v>
      </c>
      <c r="H48" s="23">
        <v>0</v>
      </c>
      <c r="I48" s="23">
        <v>5820</v>
      </c>
      <c r="J48" s="23">
        <v>757</v>
      </c>
      <c r="K48" s="23">
        <v>7995</v>
      </c>
      <c r="L48" s="23" t="s">
        <v>258</v>
      </c>
      <c r="M48" s="23">
        <f t="shared" si="0"/>
        <v>427</v>
      </c>
      <c r="N48" s="24" t="str">
        <f t="array" ref="N48">INDEX('MATCH INFO'!O:O, INT((ROW()-2)/10)+2 + 29+29)</f>
        <v>260619_FLC_O2_S1</v>
      </c>
    </row>
    <row r="49" spans="1:14">
      <c r="A49" s="23" t="s">
        <v>20</v>
      </c>
      <c r="B49" s="23" t="s">
        <v>111</v>
      </c>
      <c r="C49" s="23" t="s">
        <v>109</v>
      </c>
      <c r="D49" s="23" t="s">
        <v>22</v>
      </c>
      <c r="E49" s="23" t="s">
        <v>188</v>
      </c>
      <c r="F49" s="23">
        <v>2</v>
      </c>
      <c r="G49" s="23">
        <v>4</v>
      </c>
      <c r="H49" s="23">
        <v>5</v>
      </c>
      <c r="I49" s="23">
        <v>3486</v>
      </c>
      <c r="J49" s="23">
        <v>5385</v>
      </c>
      <c r="K49" s="23">
        <v>0</v>
      </c>
      <c r="L49" s="23" t="s">
        <v>258</v>
      </c>
      <c r="M49" s="23">
        <f t="shared" si="0"/>
        <v>427</v>
      </c>
      <c r="N49" s="24" t="str">
        <f t="array" ref="N49">INDEX('MATCH INFO'!O:O, INT((ROW()-2)/10)+2 + 29+29)</f>
        <v>260619_FLC_O2_S1</v>
      </c>
    </row>
    <row r="50" spans="1:14">
      <c r="A50" s="23" t="s">
        <v>20</v>
      </c>
      <c r="B50" s="23" t="s">
        <v>106</v>
      </c>
      <c r="C50" s="23" t="s">
        <v>104</v>
      </c>
      <c r="D50" s="23" t="s">
        <v>22</v>
      </c>
      <c r="E50" s="23" t="s">
        <v>188</v>
      </c>
      <c r="F50" s="23">
        <v>5</v>
      </c>
      <c r="G50" s="23">
        <v>4</v>
      </c>
      <c r="H50" s="23">
        <v>1</v>
      </c>
      <c r="I50" s="23">
        <v>4728</v>
      </c>
      <c r="J50" s="23">
        <v>59</v>
      </c>
      <c r="K50" s="23">
        <v>118</v>
      </c>
      <c r="L50" s="23" t="s">
        <v>258</v>
      </c>
      <c r="M50" s="23">
        <f t="shared" si="0"/>
        <v>427</v>
      </c>
      <c r="N50" s="24" t="str">
        <f t="array" ref="N50">INDEX('MATCH INFO'!O:O, INT((ROW()-2)/10)+2 + 29+29)</f>
        <v>260619_FLC_O2_S1</v>
      </c>
    </row>
    <row r="51" spans="1:14">
      <c r="A51" s="23" t="s">
        <v>20</v>
      </c>
      <c r="B51" s="23" t="s">
        <v>103</v>
      </c>
      <c r="C51" s="23" t="s">
        <v>104</v>
      </c>
      <c r="D51" s="23" t="s">
        <v>22</v>
      </c>
      <c r="E51" s="23" t="s">
        <v>188</v>
      </c>
      <c r="F51" s="23">
        <v>2</v>
      </c>
      <c r="G51" s="23">
        <v>5</v>
      </c>
      <c r="H51" s="23">
        <v>0</v>
      </c>
      <c r="I51" s="23">
        <v>3291</v>
      </c>
      <c r="J51" s="23">
        <v>0</v>
      </c>
      <c r="K51" s="23">
        <v>0</v>
      </c>
      <c r="L51" s="23" t="s">
        <v>258</v>
      </c>
      <c r="M51" s="23">
        <f t="shared" si="0"/>
        <v>427</v>
      </c>
      <c r="N51" s="24" t="str">
        <f t="array" ref="N51">INDEX('MATCH INFO'!O:O, INT((ROW()-2)/10)+2 + 29+29)</f>
        <v>260619_FLC_O2_S1</v>
      </c>
    </row>
    <row r="52" spans="1:14">
      <c r="A52" s="23" t="s">
        <v>20</v>
      </c>
      <c r="B52" s="23" t="s">
        <v>108</v>
      </c>
      <c r="C52" s="23" t="s">
        <v>109</v>
      </c>
      <c r="D52" s="23" t="s">
        <v>56</v>
      </c>
      <c r="E52" s="23" t="s">
        <v>196</v>
      </c>
      <c r="F52" s="23">
        <v>17</v>
      </c>
      <c r="G52" s="23">
        <v>5</v>
      </c>
      <c r="H52" s="23">
        <v>15</v>
      </c>
      <c r="I52" s="23">
        <v>3590</v>
      </c>
      <c r="J52" s="23">
        <v>15730</v>
      </c>
      <c r="K52" s="23">
        <v>0</v>
      </c>
      <c r="L52" s="23" t="s">
        <v>259</v>
      </c>
      <c r="M52" s="23">
        <f t="shared" si="0"/>
        <v>748</v>
      </c>
      <c r="N52" s="24" t="str">
        <f t="array" ref="N52">INDEX('MATCH INFO'!O:O, INT((ROW()-2)/10)+2 + 29+29)</f>
        <v>260619_FLC_O2_S2</v>
      </c>
    </row>
    <row r="53" spans="1:14">
      <c r="A53" s="23" t="s">
        <v>20</v>
      </c>
      <c r="B53" s="23" t="s">
        <v>111</v>
      </c>
      <c r="C53" s="23" t="s">
        <v>109</v>
      </c>
      <c r="D53" s="23" t="s">
        <v>56</v>
      </c>
      <c r="E53" s="23" t="s">
        <v>196</v>
      </c>
      <c r="F53" s="23">
        <v>10</v>
      </c>
      <c r="G53" s="23">
        <v>12</v>
      </c>
      <c r="H53" s="23">
        <v>18</v>
      </c>
      <c r="I53" s="23">
        <v>4629</v>
      </c>
      <c r="J53" s="23">
        <v>18152</v>
      </c>
      <c r="K53" s="23">
        <v>0</v>
      </c>
      <c r="L53" s="23" t="s">
        <v>259</v>
      </c>
      <c r="M53" s="23">
        <f t="shared" si="0"/>
        <v>748</v>
      </c>
      <c r="N53" s="24" t="str">
        <f t="array" ref="N53">INDEX('MATCH INFO'!O:O, INT((ROW()-2)/10)+2 + 29+29)</f>
        <v>260619_FLC_O2_S2</v>
      </c>
    </row>
    <row r="54" spans="1:14">
      <c r="A54" s="23" t="s">
        <v>20</v>
      </c>
      <c r="B54" s="23" t="s">
        <v>106</v>
      </c>
      <c r="C54" s="23" t="s">
        <v>104</v>
      </c>
      <c r="D54" s="23" t="s">
        <v>56</v>
      </c>
      <c r="E54" s="23" t="s">
        <v>196</v>
      </c>
      <c r="F54" s="23">
        <v>21</v>
      </c>
      <c r="G54" s="23">
        <v>8</v>
      </c>
      <c r="H54" s="23">
        <v>4</v>
      </c>
      <c r="I54" s="23">
        <v>17212</v>
      </c>
      <c r="J54" s="23">
        <v>172</v>
      </c>
      <c r="K54" s="23">
        <v>1689</v>
      </c>
      <c r="L54" s="23" t="s">
        <v>259</v>
      </c>
      <c r="M54" s="23">
        <f t="shared" si="0"/>
        <v>748</v>
      </c>
      <c r="N54" s="24" t="str">
        <f t="array" ref="N54">INDEX('MATCH INFO'!O:O, INT((ROW()-2)/10)+2 + 29+29)</f>
        <v>260619_FLC_O2_S2</v>
      </c>
    </row>
    <row r="55" spans="1:14">
      <c r="A55" s="23" t="s">
        <v>20</v>
      </c>
      <c r="B55" s="23" t="s">
        <v>102</v>
      </c>
      <c r="C55" s="23" t="s">
        <v>101</v>
      </c>
      <c r="D55" s="23" t="s">
        <v>56</v>
      </c>
      <c r="E55" s="23" t="s">
        <v>196</v>
      </c>
      <c r="F55" s="23">
        <v>18</v>
      </c>
      <c r="G55" s="23">
        <v>10</v>
      </c>
      <c r="H55" s="23">
        <v>12</v>
      </c>
      <c r="I55" s="23">
        <v>17971</v>
      </c>
      <c r="J55" s="23">
        <v>4928</v>
      </c>
      <c r="K55" s="23">
        <v>10936</v>
      </c>
      <c r="L55" s="23" t="s">
        <v>259</v>
      </c>
      <c r="M55" s="23">
        <f t="shared" si="0"/>
        <v>748</v>
      </c>
      <c r="N55" s="24" t="str">
        <f t="array" ref="N55">INDEX('MATCH INFO'!O:O, INT((ROW()-2)/10)+2 + 29+29)</f>
        <v>260619_FLC_O2_S2</v>
      </c>
    </row>
    <row r="56" spans="1:14">
      <c r="A56" s="23" t="s">
        <v>20</v>
      </c>
      <c r="B56" s="23" t="s">
        <v>103</v>
      </c>
      <c r="C56" s="23" t="s">
        <v>104</v>
      </c>
      <c r="D56" s="23" t="s">
        <v>56</v>
      </c>
      <c r="E56" s="23" t="s">
        <v>196</v>
      </c>
      <c r="F56" s="23">
        <v>19</v>
      </c>
      <c r="G56" s="23">
        <v>10</v>
      </c>
      <c r="H56" s="23">
        <v>0</v>
      </c>
      <c r="I56" s="23">
        <v>10251</v>
      </c>
      <c r="J56" s="23">
        <v>1515</v>
      </c>
      <c r="K56" s="23">
        <v>100</v>
      </c>
      <c r="L56" s="23" t="s">
        <v>259</v>
      </c>
      <c r="M56" s="23">
        <f t="shared" si="0"/>
        <v>748</v>
      </c>
      <c r="N56" s="24" t="str">
        <f t="array" ref="N56">INDEX('MATCH INFO'!O:O, INT((ROW()-2)/10)+2 + 29+29)</f>
        <v>260619_FLC_O2_S2</v>
      </c>
    </row>
    <row r="57" spans="1:14">
      <c r="A57" s="23" t="s">
        <v>31</v>
      </c>
      <c r="B57" s="23" t="s">
        <v>165</v>
      </c>
      <c r="C57" s="23" t="s">
        <v>109</v>
      </c>
      <c r="D57" s="23" t="s">
        <v>56</v>
      </c>
      <c r="E57" s="23" t="s">
        <v>196</v>
      </c>
      <c r="F57" s="23">
        <v>18</v>
      </c>
      <c r="G57" s="23">
        <v>3</v>
      </c>
      <c r="H57" s="23">
        <v>26</v>
      </c>
      <c r="I57" s="23">
        <v>5812</v>
      </c>
      <c r="J57" s="23">
        <v>15210</v>
      </c>
      <c r="K57" s="23">
        <v>0</v>
      </c>
      <c r="L57" s="23" t="s">
        <v>259</v>
      </c>
      <c r="M57" s="23">
        <f t="shared" si="0"/>
        <v>748</v>
      </c>
      <c r="N57" s="24" t="str">
        <f t="array" ref="N57">INDEX('MATCH INFO'!O:O, INT((ROW()-2)/10)+2 + 29+29)</f>
        <v>260619_FLC_O2_S2</v>
      </c>
    </row>
    <row r="58" spans="1:14">
      <c r="A58" s="23" t="s">
        <v>31</v>
      </c>
      <c r="B58" s="23" t="s">
        <v>166</v>
      </c>
      <c r="C58" s="23" t="s">
        <v>109</v>
      </c>
      <c r="D58" s="23" t="s">
        <v>56</v>
      </c>
      <c r="E58" s="23" t="s">
        <v>196</v>
      </c>
      <c r="F58" s="23">
        <v>17</v>
      </c>
      <c r="G58" s="23">
        <v>6</v>
      </c>
      <c r="H58" s="23">
        <v>27</v>
      </c>
      <c r="I58" s="23">
        <v>6765</v>
      </c>
      <c r="J58" s="23">
        <v>12125</v>
      </c>
      <c r="K58" s="23">
        <v>6694</v>
      </c>
      <c r="L58" s="23" t="s">
        <v>259</v>
      </c>
      <c r="M58" s="23">
        <f t="shared" si="0"/>
        <v>748</v>
      </c>
      <c r="N58" s="24" t="str">
        <f t="array" ref="N58">INDEX('MATCH INFO'!O:O, INT((ROW()-2)/10)+2 + 29+29)</f>
        <v>260619_FLC_O2_S2</v>
      </c>
    </row>
    <row r="59" spans="1:14">
      <c r="A59" s="23" t="s">
        <v>31</v>
      </c>
      <c r="B59" s="23" t="s">
        <v>161</v>
      </c>
      <c r="C59" s="23" t="s">
        <v>101</v>
      </c>
      <c r="D59" s="23" t="s">
        <v>56</v>
      </c>
      <c r="E59" s="23" t="s">
        <v>196</v>
      </c>
      <c r="F59" s="23">
        <v>32</v>
      </c>
      <c r="G59" s="23">
        <v>5</v>
      </c>
      <c r="H59" s="23">
        <v>29</v>
      </c>
      <c r="I59" s="23">
        <v>20897</v>
      </c>
      <c r="J59" s="23">
        <v>4997</v>
      </c>
      <c r="K59" s="23">
        <v>10300</v>
      </c>
      <c r="L59" s="23" t="s">
        <v>259</v>
      </c>
      <c r="M59" s="23">
        <f t="shared" si="0"/>
        <v>748</v>
      </c>
      <c r="N59" s="24" t="str">
        <f t="array" ref="N59">INDEX('MATCH INFO'!O:O, INT((ROW()-2)/10)+2 + 29+29)</f>
        <v>260619_FLC_O2_S2</v>
      </c>
    </row>
    <row r="60" spans="1:14">
      <c r="A60" s="23" t="s">
        <v>31</v>
      </c>
      <c r="B60" s="23" t="s">
        <v>164</v>
      </c>
      <c r="C60" s="23" t="s">
        <v>104</v>
      </c>
      <c r="D60" s="23" t="s">
        <v>56</v>
      </c>
      <c r="E60" s="23" t="s">
        <v>196</v>
      </c>
      <c r="F60" s="23">
        <v>34</v>
      </c>
      <c r="G60" s="23">
        <v>7</v>
      </c>
      <c r="H60" s="23">
        <v>7</v>
      </c>
      <c r="I60" s="23">
        <v>17066</v>
      </c>
      <c r="J60" s="23">
        <v>370</v>
      </c>
      <c r="K60" s="23">
        <v>1118</v>
      </c>
      <c r="L60" s="23" t="s">
        <v>259</v>
      </c>
      <c r="M60" s="23">
        <f t="shared" si="0"/>
        <v>748</v>
      </c>
      <c r="N60" s="24" t="str">
        <f t="array" ref="N60">INDEX('MATCH INFO'!O:O, INT((ROW()-2)/10)+2 + 29+29)</f>
        <v>260619_FLC_O2_S2</v>
      </c>
    </row>
    <row r="61" spans="1:14">
      <c r="A61" s="23" t="s">
        <v>31</v>
      </c>
      <c r="B61" s="23" t="s">
        <v>162</v>
      </c>
      <c r="C61" s="23" t="s">
        <v>104</v>
      </c>
      <c r="D61" s="23" t="s">
        <v>56</v>
      </c>
      <c r="E61" s="23" t="s">
        <v>196</v>
      </c>
      <c r="F61" s="23">
        <v>33</v>
      </c>
      <c r="G61" s="23">
        <v>7</v>
      </c>
      <c r="H61" s="23">
        <v>6</v>
      </c>
      <c r="I61" s="23">
        <v>16429</v>
      </c>
      <c r="J61" s="23">
        <v>203</v>
      </c>
      <c r="K61" s="23">
        <v>327</v>
      </c>
      <c r="L61" s="23" t="s">
        <v>259</v>
      </c>
      <c r="M61" s="23">
        <f t="shared" si="0"/>
        <v>748</v>
      </c>
      <c r="N61" s="24" t="str">
        <f t="array" ref="N61">INDEX('MATCH INFO'!O:O, INT((ROW()-2)/10)+2 + 29+29)</f>
        <v>260619_FLC_O2_S2</v>
      </c>
    </row>
    <row r="62" spans="1:14">
      <c r="A62" s="23" t="s">
        <v>20</v>
      </c>
      <c r="B62" s="23" t="s">
        <v>108</v>
      </c>
      <c r="C62" s="23" t="s">
        <v>109</v>
      </c>
      <c r="D62" s="23" t="s">
        <v>69</v>
      </c>
      <c r="E62" s="23" t="s">
        <v>201</v>
      </c>
      <c r="F62" s="23">
        <v>5</v>
      </c>
      <c r="G62" s="23">
        <v>4</v>
      </c>
      <c r="H62" s="23">
        <v>3</v>
      </c>
      <c r="I62" s="23">
        <v>4376</v>
      </c>
      <c r="J62" s="23">
        <v>5963</v>
      </c>
      <c r="K62" s="23">
        <v>506</v>
      </c>
      <c r="L62" s="23" t="s">
        <v>260</v>
      </c>
      <c r="M62" s="23">
        <f t="shared" si="0"/>
        <v>540</v>
      </c>
      <c r="N62" s="24" t="str">
        <f t="array" ref="N62">INDEX('MATCH INFO'!O:O, INT((ROW()-2)/10)+2 + 29+29)</f>
        <v>260619_FLC_O2_S3</v>
      </c>
    </row>
    <row r="63" spans="1:14">
      <c r="A63" s="23" t="s">
        <v>20</v>
      </c>
      <c r="B63" s="23" t="s">
        <v>111</v>
      </c>
      <c r="C63" s="23" t="s">
        <v>109</v>
      </c>
      <c r="D63" s="23" t="s">
        <v>69</v>
      </c>
      <c r="E63" s="23" t="s">
        <v>201</v>
      </c>
      <c r="F63" s="23">
        <v>8</v>
      </c>
      <c r="G63" s="23">
        <v>5</v>
      </c>
      <c r="H63" s="23">
        <v>8</v>
      </c>
      <c r="I63" s="23">
        <v>5218</v>
      </c>
      <c r="J63" s="23">
        <v>9008</v>
      </c>
      <c r="K63" s="23">
        <v>612</v>
      </c>
      <c r="L63" s="23" t="s">
        <v>260</v>
      </c>
      <c r="M63" s="23">
        <f t="shared" si="0"/>
        <v>540</v>
      </c>
      <c r="N63" s="24" t="str">
        <f t="array" ref="N63">INDEX('MATCH INFO'!O:O, INT((ROW()-2)/10)+2 + 29+29)</f>
        <v>260619_FLC_O2_S3</v>
      </c>
    </row>
    <row r="64" spans="1:14">
      <c r="A64" s="23" t="s">
        <v>20</v>
      </c>
      <c r="B64" s="23" t="s">
        <v>106</v>
      </c>
      <c r="C64" s="23" t="s">
        <v>104</v>
      </c>
      <c r="D64" s="23" t="s">
        <v>69</v>
      </c>
      <c r="E64" s="23" t="s">
        <v>201</v>
      </c>
      <c r="F64" s="23">
        <v>9</v>
      </c>
      <c r="G64" s="23">
        <v>8</v>
      </c>
      <c r="H64" s="23">
        <v>1</v>
      </c>
      <c r="I64" s="23">
        <v>6290</v>
      </c>
      <c r="J64" s="23">
        <v>198</v>
      </c>
      <c r="K64" s="23">
        <v>202</v>
      </c>
      <c r="L64" s="23" t="s">
        <v>260</v>
      </c>
      <c r="M64" s="23">
        <f t="shared" si="0"/>
        <v>540</v>
      </c>
      <c r="N64" s="24" t="str">
        <f t="array" ref="N64">INDEX('MATCH INFO'!O:O, INT((ROW()-2)/10)+2 + 29+29)</f>
        <v>260619_FLC_O2_S3</v>
      </c>
    </row>
    <row r="65" spans="1:14">
      <c r="A65" s="23" t="s">
        <v>20</v>
      </c>
      <c r="B65" s="23" t="s">
        <v>102</v>
      </c>
      <c r="C65" s="23" t="s">
        <v>101</v>
      </c>
      <c r="D65" s="23" t="s">
        <v>69</v>
      </c>
      <c r="E65" s="23" t="s">
        <v>201</v>
      </c>
      <c r="F65" s="23">
        <v>8</v>
      </c>
      <c r="G65" s="23">
        <v>8</v>
      </c>
      <c r="H65" s="23">
        <v>3</v>
      </c>
      <c r="I65" s="23">
        <v>6168</v>
      </c>
      <c r="J65" s="23">
        <v>305</v>
      </c>
      <c r="K65" s="23">
        <v>13315</v>
      </c>
      <c r="L65" s="23" t="s">
        <v>260</v>
      </c>
      <c r="M65" s="23">
        <f t="shared" si="0"/>
        <v>540</v>
      </c>
      <c r="N65" s="24" t="str">
        <f t="array" ref="N65">INDEX('MATCH INFO'!O:O, INT((ROW()-2)/10)+2 + 29+29)</f>
        <v>260619_FLC_O2_S3</v>
      </c>
    </row>
    <row r="66" spans="1:14">
      <c r="A66" s="23" t="s">
        <v>20</v>
      </c>
      <c r="B66" s="23" t="s">
        <v>103</v>
      </c>
      <c r="C66" s="23" t="s">
        <v>104</v>
      </c>
      <c r="D66" s="23" t="s">
        <v>69</v>
      </c>
      <c r="E66" s="23" t="s">
        <v>201</v>
      </c>
      <c r="F66" s="23">
        <v>4</v>
      </c>
      <c r="G66" s="23">
        <v>7</v>
      </c>
      <c r="H66" s="23">
        <v>1</v>
      </c>
      <c r="I66" s="23">
        <v>6767</v>
      </c>
      <c r="J66" s="23">
        <v>142</v>
      </c>
      <c r="K66" s="23">
        <v>291</v>
      </c>
      <c r="L66" s="23" t="s">
        <v>260</v>
      </c>
      <c r="M66" s="23">
        <f t="shared" ref="M66:M129" si="1">L66*86400</f>
        <v>540</v>
      </c>
      <c r="N66" s="24" t="str">
        <f t="array" ref="N66">INDEX('MATCH INFO'!O:O, INT((ROW()-2)/10)+2 + 29+29)</f>
        <v>260619_FLC_O2_S3</v>
      </c>
    </row>
    <row r="67" spans="1:14">
      <c r="A67" s="23" t="s">
        <v>31</v>
      </c>
      <c r="B67" s="23" t="s">
        <v>163</v>
      </c>
      <c r="C67" s="23" t="s">
        <v>104</v>
      </c>
      <c r="D67" s="23" t="s">
        <v>69</v>
      </c>
      <c r="E67" s="23" t="s">
        <v>201</v>
      </c>
      <c r="F67" s="23">
        <v>19</v>
      </c>
      <c r="G67" s="23">
        <v>2</v>
      </c>
      <c r="H67" s="23">
        <v>7</v>
      </c>
      <c r="I67" s="23">
        <v>9004</v>
      </c>
      <c r="J67" s="23">
        <v>180</v>
      </c>
      <c r="K67" s="23">
        <v>3601</v>
      </c>
      <c r="L67" s="23" t="s">
        <v>260</v>
      </c>
      <c r="M67" s="23">
        <f t="shared" si="1"/>
        <v>540</v>
      </c>
      <c r="N67" s="24" t="str">
        <f t="array" ref="N67">INDEX('MATCH INFO'!O:O, INT((ROW()-2)/10)+2 + 29+29)</f>
        <v>260619_FLC_O2_S3</v>
      </c>
    </row>
    <row r="68" spans="1:14">
      <c r="A68" s="23" t="s">
        <v>31</v>
      </c>
      <c r="B68" s="23" t="s">
        <v>165</v>
      </c>
      <c r="C68" s="23" t="s">
        <v>109</v>
      </c>
      <c r="D68" s="23" t="s">
        <v>69</v>
      </c>
      <c r="E68" s="23" t="s">
        <v>201</v>
      </c>
      <c r="F68" s="23">
        <v>20</v>
      </c>
      <c r="G68" s="23">
        <v>3</v>
      </c>
      <c r="H68" s="23">
        <v>16</v>
      </c>
      <c r="I68" s="23">
        <v>3252</v>
      </c>
      <c r="J68" s="23">
        <v>8508</v>
      </c>
      <c r="K68" s="23">
        <v>0</v>
      </c>
      <c r="L68" s="23" t="s">
        <v>260</v>
      </c>
      <c r="M68" s="23">
        <f t="shared" si="1"/>
        <v>540</v>
      </c>
      <c r="N68" s="24" t="str">
        <f t="array" ref="N68">INDEX('MATCH INFO'!O:O, INT((ROW()-2)/10)+2 + 29+29)</f>
        <v>260619_FLC_O2_S3</v>
      </c>
    </row>
    <row r="69" spans="1:14">
      <c r="A69" s="23" t="s">
        <v>31</v>
      </c>
      <c r="B69" s="23" t="s">
        <v>166</v>
      </c>
      <c r="C69" s="23" t="s">
        <v>109</v>
      </c>
      <c r="D69" s="23" t="s">
        <v>69</v>
      </c>
      <c r="E69" s="23" t="s">
        <v>201</v>
      </c>
      <c r="F69" s="23">
        <v>7</v>
      </c>
      <c r="G69" s="23">
        <v>4</v>
      </c>
      <c r="H69" s="23">
        <v>20</v>
      </c>
      <c r="I69" s="23">
        <v>2101</v>
      </c>
      <c r="J69" s="23">
        <v>9082</v>
      </c>
      <c r="K69" s="23">
        <v>0</v>
      </c>
      <c r="L69" s="23" t="s">
        <v>260</v>
      </c>
      <c r="M69" s="23">
        <f t="shared" si="1"/>
        <v>540</v>
      </c>
      <c r="N69" s="24" t="str">
        <f t="array" ref="N69">INDEX('MATCH INFO'!O:O, INT((ROW()-2)/10)+2 + 29+29)</f>
        <v>260619_FLC_O2_S3</v>
      </c>
    </row>
    <row r="70" spans="1:14">
      <c r="A70" s="23" t="s">
        <v>31</v>
      </c>
      <c r="B70" s="23" t="s">
        <v>164</v>
      </c>
      <c r="C70" s="23" t="s">
        <v>104</v>
      </c>
      <c r="D70" s="23" t="s">
        <v>69</v>
      </c>
      <c r="E70" s="23" t="s">
        <v>201</v>
      </c>
      <c r="F70" s="23">
        <v>21</v>
      </c>
      <c r="G70" s="23">
        <v>5</v>
      </c>
      <c r="H70" s="23">
        <v>0</v>
      </c>
      <c r="I70" s="23">
        <v>8441</v>
      </c>
      <c r="J70" s="23">
        <v>0</v>
      </c>
      <c r="K70" s="23">
        <v>49</v>
      </c>
      <c r="L70" s="23" t="s">
        <v>260</v>
      </c>
      <c r="M70" s="23">
        <f t="shared" si="1"/>
        <v>540</v>
      </c>
      <c r="N70" s="24" t="str">
        <f t="array" ref="N70">INDEX('MATCH INFO'!O:O, INT((ROW()-2)/10)+2 + 29+29)</f>
        <v>260619_FLC_O2_S3</v>
      </c>
    </row>
    <row r="71" spans="1:14">
      <c r="A71" s="23" t="s">
        <v>31</v>
      </c>
      <c r="B71" s="23" t="s">
        <v>160</v>
      </c>
      <c r="C71" s="23" t="s">
        <v>101</v>
      </c>
      <c r="D71" s="23" t="s">
        <v>69</v>
      </c>
      <c r="E71" s="23" t="s">
        <v>201</v>
      </c>
      <c r="F71" s="23">
        <v>22</v>
      </c>
      <c r="G71" s="23">
        <v>3</v>
      </c>
      <c r="H71" s="23">
        <v>8</v>
      </c>
      <c r="I71" s="23">
        <v>8167</v>
      </c>
      <c r="J71" s="23">
        <v>722</v>
      </c>
      <c r="K71" s="23">
        <v>17518</v>
      </c>
      <c r="L71" s="23" t="s">
        <v>260</v>
      </c>
      <c r="M71" s="23">
        <f t="shared" si="1"/>
        <v>540</v>
      </c>
      <c r="N71" s="24" t="str">
        <f t="array" ref="N71">INDEX('MATCH INFO'!O:O, INT((ROW()-2)/10)+2 + 29+29)</f>
        <v>260619_FLC_O2_S3</v>
      </c>
    </row>
    <row r="72" spans="1:14">
      <c r="A72" s="23" t="s">
        <v>41</v>
      </c>
      <c r="B72" s="23" t="s">
        <v>157</v>
      </c>
      <c r="C72" s="23" t="s">
        <v>109</v>
      </c>
      <c r="D72" s="23" t="s">
        <v>22</v>
      </c>
      <c r="E72" s="23" t="s">
        <v>188</v>
      </c>
      <c r="F72" s="23">
        <v>5</v>
      </c>
      <c r="G72" s="23">
        <v>8</v>
      </c>
      <c r="H72" s="23">
        <v>11</v>
      </c>
      <c r="I72" s="23">
        <v>2885</v>
      </c>
      <c r="J72" s="23">
        <v>8280</v>
      </c>
      <c r="K72" s="23">
        <v>1007</v>
      </c>
      <c r="L72" s="23" t="s">
        <v>261</v>
      </c>
      <c r="M72" s="23">
        <f t="shared" si="1"/>
        <v>600</v>
      </c>
      <c r="N72" s="24" t="str">
        <f t="array" ref="N72">INDEX('MATCH INFO'!O:O, INT((ROW()-2)/10)+2 + 29+29)</f>
        <v>260619_T1_CR_S1</v>
      </c>
    </row>
    <row r="73" spans="1:14">
      <c r="A73" s="23" t="s">
        <v>41</v>
      </c>
      <c r="B73" s="23" t="s">
        <v>152</v>
      </c>
      <c r="C73" s="23" t="s">
        <v>101</v>
      </c>
      <c r="D73" s="23" t="s">
        <v>22</v>
      </c>
      <c r="E73" s="23" t="s">
        <v>188</v>
      </c>
      <c r="F73" s="23">
        <v>16</v>
      </c>
      <c r="G73" s="23">
        <v>6</v>
      </c>
      <c r="H73" s="23">
        <v>8</v>
      </c>
      <c r="I73" s="23">
        <v>6229</v>
      </c>
      <c r="J73" s="23">
        <v>2363</v>
      </c>
      <c r="K73" s="23">
        <v>16778</v>
      </c>
      <c r="L73" s="23" t="s">
        <v>261</v>
      </c>
      <c r="M73" s="23">
        <f t="shared" si="1"/>
        <v>600</v>
      </c>
      <c r="N73" s="24" t="str">
        <f t="array" ref="N73">INDEX('MATCH INFO'!O:O, INT((ROW()-2)/10)+2 + 29+29)</f>
        <v>260619_T1_CR_S1</v>
      </c>
    </row>
    <row r="74" spans="1:14">
      <c r="A74" s="23" t="s">
        <v>41</v>
      </c>
      <c r="B74" s="23" t="s">
        <v>155</v>
      </c>
      <c r="C74" s="23" t="s">
        <v>104</v>
      </c>
      <c r="D74" s="23" t="s">
        <v>22</v>
      </c>
      <c r="E74" s="23" t="s">
        <v>188</v>
      </c>
      <c r="F74" s="23">
        <v>13</v>
      </c>
      <c r="G74" s="23">
        <v>9</v>
      </c>
      <c r="H74" s="23">
        <v>1</v>
      </c>
      <c r="I74" s="23">
        <v>11334</v>
      </c>
      <c r="J74" s="23">
        <v>0</v>
      </c>
      <c r="K74" s="23">
        <v>391</v>
      </c>
      <c r="L74" s="23" t="s">
        <v>261</v>
      </c>
      <c r="M74" s="23">
        <f t="shared" si="1"/>
        <v>600</v>
      </c>
      <c r="N74" s="24" t="str">
        <f t="array" ref="N74">INDEX('MATCH INFO'!O:O, INT((ROW()-2)/10)+2 + 29+29)</f>
        <v>260619_T1_CR_S1</v>
      </c>
    </row>
    <row r="75" spans="1:14">
      <c r="A75" s="23" t="s">
        <v>41</v>
      </c>
      <c r="B75" s="23" t="s">
        <v>158</v>
      </c>
      <c r="C75" s="23" t="s">
        <v>109</v>
      </c>
      <c r="D75" s="23" t="s">
        <v>22</v>
      </c>
      <c r="E75" s="23" t="s">
        <v>188</v>
      </c>
      <c r="F75" s="23">
        <v>5</v>
      </c>
      <c r="G75" s="23">
        <v>8</v>
      </c>
      <c r="H75" s="23">
        <v>18</v>
      </c>
      <c r="I75" s="23">
        <v>4992</v>
      </c>
      <c r="J75" s="23">
        <v>12267</v>
      </c>
      <c r="K75" s="23">
        <v>0</v>
      </c>
      <c r="L75" s="23" t="s">
        <v>261</v>
      </c>
      <c r="M75" s="23">
        <f t="shared" si="1"/>
        <v>600</v>
      </c>
      <c r="N75" s="24" t="str">
        <f t="array" ref="N75">INDEX('MATCH INFO'!O:O, INT((ROW()-2)/10)+2 + 29+29)</f>
        <v>260619_T1_CR_S1</v>
      </c>
    </row>
    <row r="76" spans="1:14">
      <c r="A76" s="23" t="s">
        <v>41</v>
      </c>
      <c r="B76" s="23" t="s">
        <v>154</v>
      </c>
      <c r="C76" s="23" t="s">
        <v>104</v>
      </c>
      <c r="D76" s="23" t="s">
        <v>22</v>
      </c>
      <c r="E76" s="23" t="s">
        <v>188</v>
      </c>
      <c r="F76" s="23">
        <v>11</v>
      </c>
      <c r="G76" s="23">
        <v>8</v>
      </c>
      <c r="H76" s="23">
        <v>1</v>
      </c>
      <c r="I76" s="23">
        <v>8554</v>
      </c>
      <c r="J76" s="23">
        <v>262</v>
      </c>
      <c r="K76" s="23">
        <v>3173</v>
      </c>
      <c r="L76" s="23" t="s">
        <v>261</v>
      </c>
      <c r="M76" s="23">
        <f t="shared" si="1"/>
        <v>600</v>
      </c>
      <c r="N76" s="24" t="str">
        <f t="array" ref="N76">INDEX('MATCH INFO'!O:O, INT((ROW()-2)/10)+2 + 29+29)</f>
        <v>260619_T1_CR_S1</v>
      </c>
    </row>
    <row r="77" spans="1:14">
      <c r="A77" s="23" t="s">
        <v>32</v>
      </c>
      <c r="B77" s="23" t="s">
        <v>150</v>
      </c>
      <c r="C77" s="23" t="s">
        <v>109</v>
      </c>
      <c r="D77" s="23" t="s">
        <v>22</v>
      </c>
      <c r="E77" s="23" t="s">
        <v>188</v>
      </c>
      <c r="F77" s="23">
        <v>17</v>
      </c>
      <c r="G77" s="23">
        <v>6</v>
      </c>
      <c r="H77" s="23">
        <v>19</v>
      </c>
      <c r="I77" s="23">
        <v>2068</v>
      </c>
      <c r="J77" s="23">
        <v>5814</v>
      </c>
      <c r="K77" s="23">
        <v>0</v>
      </c>
      <c r="L77" s="23" t="s">
        <v>261</v>
      </c>
      <c r="M77" s="23">
        <f t="shared" si="1"/>
        <v>600</v>
      </c>
      <c r="N77" s="24" t="str">
        <f t="array" ref="N77">INDEX('MATCH INFO'!O:O, INT((ROW()-2)/10)+2 + 29+29)</f>
        <v>260619_T1_CR_S1</v>
      </c>
    </row>
    <row r="78" spans="1:14">
      <c r="A78" s="23" t="s">
        <v>32</v>
      </c>
      <c r="B78" s="23" t="s">
        <v>147</v>
      </c>
      <c r="C78" s="23" t="s">
        <v>104</v>
      </c>
      <c r="D78" s="23" t="s">
        <v>22</v>
      </c>
      <c r="E78" s="23" t="s">
        <v>188</v>
      </c>
      <c r="F78" s="23">
        <v>23</v>
      </c>
      <c r="G78" s="23">
        <v>5</v>
      </c>
      <c r="H78" s="23">
        <v>7</v>
      </c>
      <c r="I78" s="23">
        <v>11482</v>
      </c>
      <c r="J78" s="23">
        <v>0</v>
      </c>
      <c r="K78" s="23">
        <v>134</v>
      </c>
      <c r="L78" s="23" t="s">
        <v>261</v>
      </c>
      <c r="M78" s="23">
        <f t="shared" si="1"/>
        <v>600</v>
      </c>
      <c r="N78" s="24" t="str">
        <f t="array" ref="N78">INDEX('MATCH INFO'!O:O, INT((ROW()-2)/10)+2 + 29+29)</f>
        <v>260619_T1_CR_S1</v>
      </c>
    </row>
    <row r="79" spans="1:14">
      <c r="A79" s="23" t="s">
        <v>32</v>
      </c>
      <c r="B79" s="23" t="s">
        <v>145</v>
      </c>
      <c r="C79" s="23" t="s">
        <v>101</v>
      </c>
      <c r="D79" s="23" t="s">
        <v>22</v>
      </c>
      <c r="E79" s="23" t="s">
        <v>188</v>
      </c>
      <c r="F79" s="23">
        <v>23</v>
      </c>
      <c r="G79" s="23">
        <v>3</v>
      </c>
      <c r="H79" s="23">
        <v>9</v>
      </c>
      <c r="I79" s="23">
        <v>8714</v>
      </c>
      <c r="J79" s="23">
        <v>1576</v>
      </c>
      <c r="K79" s="23">
        <v>3071</v>
      </c>
      <c r="L79" s="23" t="s">
        <v>261</v>
      </c>
      <c r="M79" s="23">
        <f t="shared" si="1"/>
        <v>600</v>
      </c>
      <c r="N79" s="24" t="str">
        <f t="array" ref="N79">INDEX('MATCH INFO'!O:O, INT((ROW()-2)/10)+2 + 29+29)</f>
        <v>260619_T1_CR_S1</v>
      </c>
    </row>
    <row r="80" spans="1:14">
      <c r="A80" s="23" t="s">
        <v>32</v>
      </c>
      <c r="B80" s="23" t="s">
        <v>149</v>
      </c>
      <c r="C80" s="23" t="s">
        <v>104</v>
      </c>
      <c r="D80" s="23" t="s">
        <v>22</v>
      </c>
      <c r="E80" s="23" t="s">
        <v>188</v>
      </c>
      <c r="F80" s="23">
        <v>26</v>
      </c>
      <c r="G80" s="23">
        <v>5</v>
      </c>
      <c r="H80" s="23">
        <v>2</v>
      </c>
      <c r="I80" s="23">
        <v>12537</v>
      </c>
      <c r="J80" s="23">
        <v>805</v>
      </c>
      <c r="K80" s="23">
        <v>507</v>
      </c>
      <c r="L80" s="23" t="s">
        <v>261</v>
      </c>
      <c r="M80" s="23">
        <f t="shared" si="1"/>
        <v>600</v>
      </c>
      <c r="N80" s="24" t="str">
        <f t="array" ref="N80">INDEX('MATCH INFO'!O:O, INT((ROW()-2)/10)+2 + 29+29)</f>
        <v>260619_T1_CR_S1</v>
      </c>
    </row>
    <row r="81" spans="1:14">
      <c r="A81" s="23" t="s">
        <v>32</v>
      </c>
      <c r="B81" s="23" t="s">
        <v>151</v>
      </c>
      <c r="C81" s="23" t="s">
        <v>109</v>
      </c>
      <c r="D81" s="23" t="s">
        <v>22</v>
      </c>
      <c r="E81" s="23" t="s">
        <v>188</v>
      </c>
      <c r="F81" s="23">
        <v>10</v>
      </c>
      <c r="G81" s="23">
        <v>4</v>
      </c>
      <c r="H81" s="23">
        <v>18</v>
      </c>
      <c r="I81" s="23">
        <v>4655</v>
      </c>
      <c r="J81" s="23">
        <v>11979</v>
      </c>
      <c r="K81" s="23">
        <v>0</v>
      </c>
      <c r="L81" s="23" t="s">
        <v>261</v>
      </c>
      <c r="M81" s="23">
        <f t="shared" si="1"/>
        <v>600</v>
      </c>
      <c r="N81" s="24" t="str">
        <f t="array" ref="N81">INDEX('MATCH INFO'!O:O, INT((ROW()-2)/10)+2 + 29+29)</f>
        <v>260619_T1_CR_S1</v>
      </c>
    </row>
    <row r="82" spans="1:14">
      <c r="A82" s="23" t="s">
        <v>32</v>
      </c>
      <c r="B82" s="23" t="s">
        <v>150</v>
      </c>
      <c r="C82" s="23" t="s">
        <v>109</v>
      </c>
      <c r="D82" s="23" t="s">
        <v>37</v>
      </c>
      <c r="E82" s="23" t="s">
        <v>196</v>
      </c>
      <c r="F82" s="23">
        <v>20</v>
      </c>
      <c r="G82" s="23">
        <v>4</v>
      </c>
      <c r="H82" s="23">
        <v>21</v>
      </c>
      <c r="I82" s="23">
        <v>5167</v>
      </c>
      <c r="J82" s="23">
        <v>6906</v>
      </c>
      <c r="K82" s="23">
        <v>2407</v>
      </c>
      <c r="L82" s="23" t="s">
        <v>262</v>
      </c>
      <c r="M82" s="23">
        <f t="shared" si="1"/>
        <v>566</v>
      </c>
      <c r="N82" s="24" t="str">
        <f t="array" ref="N82">INDEX('MATCH INFO'!O:O, INT((ROW()-2)/10)+2 + 29+29)</f>
        <v>260619_T1_CR_S2</v>
      </c>
    </row>
    <row r="83" spans="1:14">
      <c r="A83" s="23" t="s">
        <v>32</v>
      </c>
      <c r="B83" s="23" t="s">
        <v>147</v>
      </c>
      <c r="C83" s="23" t="s">
        <v>104</v>
      </c>
      <c r="D83" s="23" t="s">
        <v>37</v>
      </c>
      <c r="E83" s="23" t="s">
        <v>196</v>
      </c>
      <c r="F83" s="23">
        <v>28</v>
      </c>
      <c r="G83" s="23">
        <v>3</v>
      </c>
      <c r="H83" s="23">
        <v>7</v>
      </c>
      <c r="I83" s="23">
        <v>6342</v>
      </c>
      <c r="J83" s="23">
        <v>244</v>
      </c>
      <c r="K83" s="23">
        <v>1623</v>
      </c>
      <c r="L83" s="23" t="s">
        <v>262</v>
      </c>
      <c r="M83" s="23">
        <f t="shared" si="1"/>
        <v>566</v>
      </c>
      <c r="N83" s="24" t="str">
        <f t="array" ref="N83">INDEX('MATCH INFO'!O:O, INT((ROW()-2)/10)+2 + 29+29)</f>
        <v>260619_T1_CR_S2</v>
      </c>
    </row>
    <row r="84" spans="1:14">
      <c r="A84" s="23" t="s">
        <v>32</v>
      </c>
      <c r="B84" s="23" t="s">
        <v>146</v>
      </c>
      <c r="C84" s="23" t="s">
        <v>101</v>
      </c>
      <c r="D84" s="23" t="s">
        <v>37</v>
      </c>
      <c r="E84" s="23" t="s">
        <v>196</v>
      </c>
      <c r="F84" s="23">
        <v>24</v>
      </c>
      <c r="G84" s="23">
        <v>2</v>
      </c>
      <c r="H84" s="23">
        <v>5</v>
      </c>
      <c r="I84" s="23">
        <v>12183</v>
      </c>
      <c r="J84" s="23">
        <v>0</v>
      </c>
      <c r="K84" s="23">
        <v>20165</v>
      </c>
      <c r="L84" s="23" t="s">
        <v>262</v>
      </c>
      <c r="M84" s="23">
        <f t="shared" si="1"/>
        <v>566</v>
      </c>
      <c r="N84" s="24" t="str">
        <f t="array" ref="N84">INDEX('MATCH INFO'!O:O, INT((ROW()-2)/10)+2 + 29+29)</f>
        <v>260619_T1_CR_S2</v>
      </c>
    </row>
    <row r="85" spans="1:14">
      <c r="A85" s="23" t="s">
        <v>32</v>
      </c>
      <c r="B85" s="23" t="s">
        <v>149</v>
      </c>
      <c r="C85" s="23" t="s">
        <v>104</v>
      </c>
      <c r="D85" s="23" t="s">
        <v>37</v>
      </c>
      <c r="E85" s="23" t="s">
        <v>196</v>
      </c>
      <c r="F85" s="23">
        <v>28</v>
      </c>
      <c r="G85" s="23">
        <v>3</v>
      </c>
      <c r="H85" s="23">
        <v>0</v>
      </c>
      <c r="I85" s="23">
        <v>8851</v>
      </c>
      <c r="J85" s="23">
        <v>39</v>
      </c>
      <c r="K85" s="23">
        <v>520</v>
      </c>
      <c r="L85" s="23" t="s">
        <v>262</v>
      </c>
      <c r="M85" s="23">
        <f t="shared" si="1"/>
        <v>566</v>
      </c>
      <c r="N85" s="24" t="str">
        <f t="array" ref="N85">INDEX('MATCH INFO'!O:O, INT((ROW()-2)/10)+2 + 29+29)</f>
        <v>260619_T1_CR_S2</v>
      </c>
    </row>
    <row r="86" spans="1:14">
      <c r="A86" s="23" t="s">
        <v>32</v>
      </c>
      <c r="B86" s="23" t="s">
        <v>151</v>
      </c>
      <c r="C86" s="23" t="s">
        <v>109</v>
      </c>
      <c r="D86" s="23" t="s">
        <v>37</v>
      </c>
      <c r="E86" s="23" t="s">
        <v>196</v>
      </c>
      <c r="F86" s="23">
        <v>12</v>
      </c>
      <c r="G86" s="23">
        <v>3</v>
      </c>
      <c r="H86" s="23">
        <v>28</v>
      </c>
      <c r="I86" s="23">
        <v>3030</v>
      </c>
      <c r="J86" s="23">
        <v>15281</v>
      </c>
      <c r="K86" s="23">
        <v>115</v>
      </c>
      <c r="L86" s="23" t="s">
        <v>262</v>
      </c>
      <c r="M86" s="23">
        <f t="shared" si="1"/>
        <v>566</v>
      </c>
      <c r="N86" s="24" t="str">
        <f t="array" ref="N86">INDEX('MATCH INFO'!O:O, INT((ROW()-2)/10)+2 + 29+29)</f>
        <v>260619_T1_CR_S2</v>
      </c>
    </row>
    <row r="87" spans="1:14">
      <c r="A87" s="23" t="s">
        <v>41</v>
      </c>
      <c r="B87" s="23" t="s">
        <v>157</v>
      </c>
      <c r="C87" s="23" t="s">
        <v>109</v>
      </c>
      <c r="D87" s="23" t="s">
        <v>37</v>
      </c>
      <c r="E87" s="23" t="s">
        <v>196</v>
      </c>
      <c r="F87" s="23">
        <v>6</v>
      </c>
      <c r="G87" s="23">
        <v>7</v>
      </c>
      <c r="H87" s="23">
        <v>9</v>
      </c>
      <c r="I87" s="23">
        <v>3627</v>
      </c>
      <c r="J87" s="23">
        <v>6777</v>
      </c>
      <c r="K87" s="23">
        <v>1276</v>
      </c>
      <c r="L87" s="23" t="s">
        <v>262</v>
      </c>
      <c r="M87" s="23">
        <f t="shared" si="1"/>
        <v>566</v>
      </c>
      <c r="N87" s="24" t="str">
        <f t="array" ref="N87">INDEX('MATCH INFO'!O:O, INT((ROW()-2)/10)+2 + 29+29)</f>
        <v>260619_T1_CR_S2</v>
      </c>
    </row>
    <row r="88" spans="1:14">
      <c r="A88" s="23" t="s">
        <v>41</v>
      </c>
      <c r="B88" s="23" t="s">
        <v>153</v>
      </c>
      <c r="C88" s="23" t="s">
        <v>101</v>
      </c>
      <c r="D88" s="23" t="s">
        <v>37</v>
      </c>
      <c r="E88" s="23" t="s">
        <v>196</v>
      </c>
      <c r="F88" s="23">
        <v>10</v>
      </c>
      <c r="G88" s="23">
        <v>8</v>
      </c>
      <c r="H88" s="23">
        <v>4</v>
      </c>
      <c r="I88" s="23">
        <v>9925</v>
      </c>
      <c r="J88" s="23">
        <v>0</v>
      </c>
      <c r="K88" s="23">
        <v>9605</v>
      </c>
      <c r="L88" s="23" t="s">
        <v>262</v>
      </c>
      <c r="M88" s="23">
        <f t="shared" si="1"/>
        <v>566</v>
      </c>
      <c r="N88" s="24" t="str">
        <f t="array" ref="N88">INDEX('MATCH INFO'!O:O, INT((ROW()-2)/10)+2 + 29+29)</f>
        <v>260619_T1_CR_S2</v>
      </c>
    </row>
    <row r="89" spans="1:14">
      <c r="A89" s="23" t="s">
        <v>41</v>
      </c>
      <c r="B89" s="23" t="s">
        <v>155</v>
      </c>
      <c r="C89" s="23" t="s">
        <v>104</v>
      </c>
      <c r="D89" s="23" t="s">
        <v>37</v>
      </c>
      <c r="E89" s="23" t="s">
        <v>196</v>
      </c>
      <c r="F89" s="23">
        <v>5</v>
      </c>
      <c r="G89" s="23">
        <v>8</v>
      </c>
      <c r="H89" s="23">
        <v>0</v>
      </c>
      <c r="I89" s="23">
        <v>8535</v>
      </c>
      <c r="J89" s="23">
        <v>85</v>
      </c>
      <c r="K89" s="23">
        <v>318</v>
      </c>
      <c r="L89" s="23" t="s">
        <v>262</v>
      </c>
      <c r="M89" s="23">
        <f t="shared" si="1"/>
        <v>566</v>
      </c>
      <c r="N89" s="24" t="str">
        <f t="array" ref="N89">INDEX('MATCH INFO'!O:O, INT((ROW()-2)/10)+2 + 29+29)</f>
        <v>260619_T1_CR_S2</v>
      </c>
    </row>
    <row r="90" spans="1:14">
      <c r="A90" s="23" t="s">
        <v>41</v>
      </c>
      <c r="B90" s="23" t="s">
        <v>158</v>
      </c>
      <c r="C90" s="23" t="s">
        <v>109</v>
      </c>
      <c r="D90" s="23" t="s">
        <v>37</v>
      </c>
      <c r="E90" s="23" t="s">
        <v>196</v>
      </c>
      <c r="F90" s="23">
        <v>5</v>
      </c>
      <c r="G90" s="23">
        <v>7</v>
      </c>
      <c r="H90" s="23">
        <v>8</v>
      </c>
      <c r="I90" s="23">
        <v>3527</v>
      </c>
      <c r="J90" s="23">
        <v>11933</v>
      </c>
      <c r="K90" s="23">
        <v>0</v>
      </c>
      <c r="L90" s="23" t="s">
        <v>262</v>
      </c>
      <c r="M90" s="23">
        <f t="shared" si="1"/>
        <v>566</v>
      </c>
      <c r="N90" s="24" t="str">
        <f t="array" ref="N90">INDEX('MATCH INFO'!O:O, INT((ROW()-2)/10)+2 + 29+29)</f>
        <v>260619_T1_CR_S2</v>
      </c>
    </row>
    <row r="91" spans="1:14">
      <c r="A91" s="23" t="s">
        <v>41</v>
      </c>
      <c r="B91" s="23" t="s">
        <v>154</v>
      </c>
      <c r="C91" s="23" t="s">
        <v>104</v>
      </c>
      <c r="D91" s="23" t="s">
        <v>37</v>
      </c>
      <c r="E91" s="23" t="s">
        <v>196</v>
      </c>
      <c r="F91" s="23">
        <v>9</v>
      </c>
      <c r="G91" s="23">
        <v>7</v>
      </c>
      <c r="H91" s="23">
        <v>2</v>
      </c>
      <c r="I91" s="23">
        <v>7144</v>
      </c>
      <c r="J91" s="23">
        <v>80</v>
      </c>
      <c r="K91" s="23">
        <v>451</v>
      </c>
      <c r="L91" s="23" t="s">
        <v>262</v>
      </c>
      <c r="M91" s="23">
        <f t="shared" si="1"/>
        <v>566</v>
      </c>
      <c r="N91" s="24" t="str">
        <f t="array" ref="N91">INDEX('MATCH INFO'!O:O, INT((ROW()-2)/10)+2 + 29+29)</f>
        <v>260619_T1_CR_S2</v>
      </c>
    </row>
    <row r="92" spans="1:14">
      <c r="A92" s="23" t="s">
        <v>41</v>
      </c>
      <c r="B92" s="23" t="s">
        <v>157</v>
      </c>
      <c r="C92" s="23" t="s">
        <v>109</v>
      </c>
      <c r="D92" s="23" t="s">
        <v>44</v>
      </c>
      <c r="E92" s="23" t="s">
        <v>190</v>
      </c>
      <c r="F92" s="23">
        <v>19</v>
      </c>
      <c r="G92" s="23">
        <v>9</v>
      </c>
      <c r="H92" s="23">
        <v>20</v>
      </c>
      <c r="I92" s="23">
        <v>4667</v>
      </c>
      <c r="J92" s="23">
        <v>9180</v>
      </c>
      <c r="K92" s="23">
        <v>3009</v>
      </c>
      <c r="L92" s="23" t="s">
        <v>263</v>
      </c>
      <c r="M92" s="23">
        <f t="shared" si="1"/>
        <v>641</v>
      </c>
      <c r="N92" s="24" t="str">
        <f t="array" ref="N92">INDEX('MATCH INFO'!O:O, INT((ROW()-2)/10)+2 + 29+29)</f>
        <v>260619_T1_CR_S3</v>
      </c>
    </row>
    <row r="93" spans="1:14">
      <c r="A93" s="23" t="s">
        <v>41</v>
      </c>
      <c r="B93" s="23" t="s">
        <v>152</v>
      </c>
      <c r="C93" s="23" t="s">
        <v>101</v>
      </c>
      <c r="D93" s="23" t="s">
        <v>44</v>
      </c>
      <c r="E93" s="23" t="s">
        <v>190</v>
      </c>
      <c r="F93" s="23">
        <v>27</v>
      </c>
      <c r="G93" s="23">
        <v>7</v>
      </c>
      <c r="H93" s="23">
        <v>19</v>
      </c>
      <c r="I93" s="23">
        <v>9642</v>
      </c>
      <c r="J93" s="23">
        <v>1883</v>
      </c>
      <c r="K93" s="23">
        <v>6318</v>
      </c>
      <c r="L93" s="23" t="s">
        <v>263</v>
      </c>
      <c r="M93" s="23">
        <f t="shared" si="1"/>
        <v>641</v>
      </c>
      <c r="N93" s="24" t="str">
        <f t="array" ref="N93">INDEX('MATCH INFO'!O:O, INT((ROW()-2)/10)+2 + 29+29)</f>
        <v>260619_T1_CR_S3</v>
      </c>
    </row>
    <row r="94" spans="1:14">
      <c r="A94" s="23" t="s">
        <v>41</v>
      </c>
      <c r="B94" s="23" t="s">
        <v>155</v>
      </c>
      <c r="C94" s="23" t="s">
        <v>104</v>
      </c>
      <c r="D94" s="23" t="s">
        <v>44</v>
      </c>
      <c r="E94" s="23" t="s">
        <v>190</v>
      </c>
      <c r="F94" s="23">
        <v>30</v>
      </c>
      <c r="G94" s="23">
        <v>7</v>
      </c>
      <c r="H94" s="23">
        <v>2</v>
      </c>
      <c r="I94" s="23">
        <v>13648</v>
      </c>
      <c r="J94" s="23">
        <v>0</v>
      </c>
      <c r="K94" s="23">
        <v>725</v>
      </c>
      <c r="L94" s="23" t="s">
        <v>263</v>
      </c>
      <c r="M94" s="23">
        <f t="shared" si="1"/>
        <v>641</v>
      </c>
      <c r="N94" s="24" t="str">
        <f t="array" ref="N94">INDEX('MATCH INFO'!O:O, INT((ROW()-2)/10)+2 + 29+29)</f>
        <v>260619_T1_CR_S3</v>
      </c>
    </row>
    <row r="95" spans="1:14">
      <c r="A95" s="23" t="s">
        <v>41</v>
      </c>
      <c r="B95" s="23" t="s">
        <v>158</v>
      </c>
      <c r="C95" s="23" t="s">
        <v>109</v>
      </c>
      <c r="D95" s="23" t="s">
        <v>44</v>
      </c>
      <c r="E95" s="23" t="s">
        <v>190</v>
      </c>
      <c r="F95" s="23">
        <v>12</v>
      </c>
      <c r="G95" s="23">
        <v>7</v>
      </c>
      <c r="H95" s="23">
        <v>27</v>
      </c>
      <c r="I95" s="23">
        <v>4539</v>
      </c>
      <c r="J95" s="23">
        <v>14762</v>
      </c>
      <c r="K95" s="23">
        <v>0</v>
      </c>
      <c r="L95" s="23" t="s">
        <v>263</v>
      </c>
      <c r="M95" s="23">
        <f t="shared" si="1"/>
        <v>641</v>
      </c>
      <c r="N95" s="24" t="str">
        <f t="array" ref="N95">INDEX('MATCH INFO'!O:O, INT((ROW()-2)/10)+2 + 29+29)</f>
        <v>260619_T1_CR_S3</v>
      </c>
    </row>
    <row r="96" spans="1:14">
      <c r="A96" s="23" t="s">
        <v>41</v>
      </c>
      <c r="B96" s="23" t="s">
        <v>154</v>
      </c>
      <c r="C96" s="23" t="s">
        <v>104</v>
      </c>
      <c r="D96" s="23" t="s">
        <v>44</v>
      </c>
      <c r="E96" s="23" t="s">
        <v>190</v>
      </c>
      <c r="F96" s="23">
        <v>20</v>
      </c>
      <c r="G96" s="23">
        <v>8</v>
      </c>
      <c r="H96" s="23">
        <v>4</v>
      </c>
      <c r="I96" s="23">
        <v>7812</v>
      </c>
      <c r="J96" s="23">
        <v>361</v>
      </c>
      <c r="K96" s="23">
        <v>1091</v>
      </c>
      <c r="L96" s="23" t="s">
        <v>263</v>
      </c>
      <c r="M96" s="23">
        <f t="shared" si="1"/>
        <v>641</v>
      </c>
      <c r="N96" s="24" t="str">
        <f t="array" ref="N96">INDEX('MATCH INFO'!O:O, INT((ROW()-2)/10)+2 + 29+29)</f>
        <v>260619_T1_CR_S3</v>
      </c>
    </row>
    <row r="97" spans="1:14">
      <c r="A97" s="23" t="s">
        <v>32</v>
      </c>
      <c r="B97" s="23" t="s">
        <v>150</v>
      </c>
      <c r="C97" s="23" t="s">
        <v>109</v>
      </c>
      <c r="D97" s="23" t="s">
        <v>44</v>
      </c>
      <c r="E97" s="23" t="s">
        <v>190</v>
      </c>
      <c r="F97" s="23">
        <v>18</v>
      </c>
      <c r="G97" s="23">
        <v>9</v>
      </c>
      <c r="H97" s="23">
        <v>23</v>
      </c>
      <c r="I97" s="23">
        <v>4381</v>
      </c>
      <c r="J97" s="23">
        <v>7432</v>
      </c>
      <c r="K97" s="23">
        <v>2427</v>
      </c>
      <c r="L97" s="23" t="s">
        <v>263</v>
      </c>
      <c r="M97" s="23">
        <f t="shared" si="1"/>
        <v>641</v>
      </c>
      <c r="N97" s="24" t="str">
        <f t="array" ref="N97">INDEX('MATCH INFO'!O:O, INT((ROW()-2)/10)+2 + 29+29)</f>
        <v>260619_T1_CR_S3</v>
      </c>
    </row>
    <row r="98" spans="1:14">
      <c r="A98" s="23" t="s">
        <v>32</v>
      </c>
      <c r="B98" s="23" t="s">
        <v>147</v>
      </c>
      <c r="C98" s="23" t="s">
        <v>104</v>
      </c>
      <c r="D98" s="23" t="s">
        <v>44</v>
      </c>
      <c r="E98" s="23" t="s">
        <v>190</v>
      </c>
      <c r="F98" s="23">
        <v>26</v>
      </c>
      <c r="G98" s="23">
        <v>7</v>
      </c>
      <c r="H98" s="23">
        <v>0</v>
      </c>
      <c r="I98" s="23">
        <v>10619</v>
      </c>
      <c r="J98" s="23">
        <v>1760</v>
      </c>
      <c r="K98" s="23">
        <v>0</v>
      </c>
      <c r="L98" s="23" t="s">
        <v>263</v>
      </c>
      <c r="M98" s="23">
        <f t="shared" si="1"/>
        <v>641</v>
      </c>
      <c r="N98" s="24" t="str">
        <f t="array" ref="N98">INDEX('MATCH INFO'!O:O, INT((ROW()-2)/10)+2 + 29+29)</f>
        <v>260619_T1_CR_S3</v>
      </c>
    </row>
    <row r="99" spans="1:14">
      <c r="A99" s="23" t="s">
        <v>32</v>
      </c>
      <c r="B99" s="23" t="s">
        <v>146</v>
      </c>
      <c r="C99" s="23" t="s">
        <v>101</v>
      </c>
      <c r="D99" s="23" t="s">
        <v>44</v>
      </c>
      <c r="E99" s="23" t="s">
        <v>190</v>
      </c>
      <c r="F99" s="23">
        <v>24</v>
      </c>
      <c r="G99" s="23">
        <v>6</v>
      </c>
      <c r="H99" s="23">
        <v>17</v>
      </c>
      <c r="I99" s="23">
        <v>12692</v>
      </c>
      <c r="J99" s="23">
        <v>0</v>
      </c>
      <c r="K99" s="23">
        <v>9384</v>
      </c>
      <c r="L99" s="23" t="s">
        <v>263</v>
      </c>
      <c r="M99" s="23">
        <f t="shared" si="1"/>
        <v>641</v>
      </c>
      <c r="N99" s="24" t="str">
        <f t="array" ref="N99">INDEX('MATCH INFO'!O:O, INT((ROW()-2)/10)+2 + 29+29)</f>
        <v>260619_T1_CR_S3</v>
      </c>
    </row>
    <row r="100" spans="1:14">
      <c r="A100" s="23" t="s">
        <v>32</v>
      </c>
      <c r="B100" s="23" t="s">
        <v>149</v>
      </c>
      <c r="C100" s="23" t="s">
        <v>104</v>
      </c>
      <c r="D100" s="23" t="s">
        <v>44</v>
      </c>
      <c r="E100" s="23" t="s">
        <v>190</v>
      </c>
      <c r="F100" s="23">
        <v>29</v>
      </c>
      <c r="G100" s="23">
        <v>7</v>
      </c>
      <c r="H100" s="23">
        <v>3</v>
      </c>
      <c r="I100" s="23">
        <v>13093</v>
      </c>
      <c r="J100" s="23">
        <v>7</v>
      </c>
      <c r="K100" s="23">
        <v>487</v>
      </c>
      <c r="L100" s="23" t="s">
        <v>263</v>
      </c>
      <c r="M100" s="23">
        <f t="shared" si="1"/>
        <v>641</v>
      </c>
      <c r="N100" s="24" t="str">
        <f t="array" ref="N100">INDEX('MATCH INFO'!O:O, INT((ROW()-2)/10)+2 + 29+29)</f>
        <v>260619_T1_CR_S3</v>
      </c>
    </row>
    <row r="101" spans="1:14">
      <c r="A101" s="23" t="s">
        <v>32</v>
      </c>
      <c r="B101" s="23" t="s">
        <v>151</v>
      </c>
      <c r="C101" s="23" t="s">
        <v>109</v>
      </c>
      <c r="D101" s="23" t="s">
        <v>44</v>
      </c>
      <c r="E101" s="23" t="s">
        <v>190</v>
      </c>
      <c r="F101" s="23">
        <v>19</v>
      </c>
      <c r="G101" s="23">
        <v>8</v>
      </c>
      <c r="H101" s="23">
        <v>25</v>
      </c>
      <c r="I101" s="23">
        <v>5683</v>
      </c>
      <c r="J101" s="23">
        <v>14340</v>
      </c>
      <c r="K101" s="23">
        <v>0</v>
      </c>
      <c r="L101" s="23" t="s">
        <v>263</v>
      </c>
      <c r="M101" s="23">
        <f t="shared" si="1"/>
        <v>641</v>
      </c>
      <c r="N101" s="24" t="str">
        <f t="array" ref="N101">INDEX('MATCH INFO'!O:O, INT((ROW()-2)/10)+2 + 29+29)</f>
        <v>260619_T1_CR_S3</v>
      </c>
    </row>
    <row r="102" spans="1:14">
      <c r="A102" s="23" t="s">
        <v>41</v>
      </c>
      <c r="B102" s="23" t="s">
        <v>157</v>
      </c>
      <c r="C102" s="23" t="s">
        <v>109</v>
      </c>
      <c r="D102" s="23" t="s">
        <v>69</v>
      </c>
      <c r="E102" s="23" t="s">
        <v>201</v>
      </c>
      <c r="F102" s="23">
        <v>13</v>
      </c>
      <c r="G102" s="23">
        <v>11</v>
      </c>
      <c r="H102" s="23">
        <v>18</v>
      </c>
      <c r="I102" s="23">
        <v>6447</v>
      </c>
      <c r="J102" s="23">
        <v>13452</v>
      </c>
      <c r="K102" s="23">
        <v>4905</v>
      </c>
      <c r="L102" s="23" t="s">
        <v>264</v>
      </c>
      <c r="M102" s="23">
        <f t="shared" si="1"/>
        <v>815</v>
      </c>
      <c r="N102" s="24" t="str">
        <f t="array" ref="N102">INDEX('MATCH INFO'!O:O, INT((ROW()-2)/10)+2 + 29+29)</f>
        <v>260619_T1_CR_S4</v>
      </c>
    </row>
    <row r="103" spans="1:14">
      <c r="A103" s="23" t="s">
        <v>41</v>
      </c>
      <c r="B103" s="23" t="s">
        <v>153</v>
      </c>
      <c r="C103" s="23" t="s">
        <v>101</v>
      </c>
      <c r="D103" s="23" t="s">
        <v>69</v>
      </c>
      <c r="E103" s="23" t="s">
        <v>201</v>
      </c>
      <c r="F103" s="23">
        <v>17</v>
      </c>
      <c r="G103" s="23">
        <v>13</v>
      </c>
      <c r="H103" s="23">
        <v>2</v>
      </c>
      <c r="I103" s="23">
        <v>15858</v>
      </c>
      <c r="J103" s="23">
        <v>600</v>
      </c>
      <c r="K103" s="23">
        <v>26798</v>
      </c>
      <c r="L103" s="23" t="s">
        <v>264</v>
      </c>
      <c r="M103" s="23">
        <f t="shared" si="1"/>
        <v>815</v>
      </c>
      <c r="N103" s="24" t="str">
        <f t="array" ref="N103">INDEX('MATCH INFO'!O:O, INT((ROW()-2)/10)+2 + 29+29)</f>
        <v>260619_T1_CR_S4</v>
      </c>
    </row>
    <row r="104" spans="1:14">
      <c r="A104" s="23" t="s">
        <v>41</v>
      </c>
      <c r="B104" s="23" t="s">
        <v>155</v>
      </c>
      <c r="C104" s="23" t="s">
        <v>104</v>
      </c>
      <c r="D104" s="23" t="s">
        <v>69</v>
      </c>
      <c r="E104" s="23" t="s">
        <v>201</v>
      </c>
      <c r="F104" s="23">
        <v>18</v>
      </c>
      <c r="G104" s="23">
        <v>10</v>
      </c>
      <c r="H104" s="23">
        <v>2</v>
      </c>
      <c r="I104" s="23">
        <v>15145</v>
      </c>
      <c r="J104" s="23">
        <v>0</v>
      </c>
      <c r="K104" s="23">
        <v>120</v>
      </c>
      <c r="L104" s="23" t="s">
        <v>264</v>
      </c>
      <c r="M104" s="23">
        <f t="shared" si="1"/>
        <v>815</v>
      </c>
      <c r="N104" s="24" t="str">
        <f t="array" ref="N104">INDEX('MATCH INFO'!O:O, INT((ROW()-2)/10)+2 + 29+29)</f>
        <v>260619_T1_CR_S4</v>
      </c>
    </row>
    <row r="105" spans="1:14">
      <c r="A105" s="23" t="s">
        <v>41</v>
      </c>
      <c r="B105" s="23" t="s">
        <v>158</v>
      </c>
      <c r="C105" s="23" t="s">
        <v>109</v>
      </c>
      <c r="D105" s="23" t="s">
        <v>69</v>
      </c>
      <c r="E105" s="23" t="s">
        <v>201</v>
      </c>
      <c r="F105" s="23">
        <v>7</v>
      </c>
      <c r="G105" s="23">
        <v>12</v>
      </c>
      <c r="H105" s="23">
        <v>10</v>
      </c>
      <c r="I105" s="23">
        <v>4818</v>
      </c>
      <c r="J105" s="23">
        <v>20288</v>
      </c>
      <c r="K105" s="23">
        <v>0</v>
      </c>
      <c r="L105" s="23" t="s">
        <v>264</v>
      </c>
      <c r="M105" s="23">
        <f t="shared" si="1"/>
        <v>815</v>
      </c>
      <c r="N105" s="24" t="str">
        <f t="array" ref="N105">INDEX('MATCH INFO'!O:O, INT((ROW()-2)/10)+2 + 29+29)</f>
        <v>260619_T1_CR_S4</v>
      </c>
    </row>
    <row r="106" spans="1:14">
      <c r="A106" s="23" t="s">
        <v>41</v>
      </c>
      <c r="B106" s="23" t="s">
        <v>154</v>
      </c>
      <c r="C106" s="23" t="s">
        <v>104</v>
      </c>
      <c r="D106" s="23" t="s">
        <v>69</v>
      </c>
      <c r="E106" s="23" t="s">
        <v>201</v>
      </c>
      <c r="F106" s="23">
        <v>13</v>
      </c>
      <c r="G106" s="23">
        <v>11</v>
      </c>
      <c r="H106" s="23">
        <v>2</v>
      </c>
      <c r="I106" s="23">
        <v>11175</v>
      </c>
      <c r="J106" s="23">
        <v>732</v>
      </c>
      <c r="K106" s="23">
        <v>6895</v>
      </c>
      <c r="L106" s="23" t="s">
        <v>264</v>
      </c>
      <c r="M106" s="23">
        <f t="shared" si="1"/>
        <v>815</v>
      </c>
      <c r="N106" s="24" t="str">
        <f t="array" ref="N106">INDEX('MATCH INFO'!O:O, INT((ROW()-2)/10)+2 + 29+29)</f>
        <v>260619_T1_CR_S4</v>
      </c>
    </row>
    <row r="107" spans="1:14">
      <c r="A107" s="23" t="s">
        <v>32</v>
      </c>
      <c r="B107" s="23" t="s">
        <v>150</v>
      </c>
      <c r="C107" s="23" t="s">
        <v>109</v>
      </c>
      <c r="D107" s="23" t="s">
        <v>69</v>
      </c>
      <c r="E107" s="23" t="s">
        <v>201</v>
      </c>
      <c r="F107" s="23">
        <v>30</v>
      </c>
      <c r="G107" s="23">
        <v>5</v>
      </c>
      <c r="H107" s="23">
        <v>36</v>
      </c>
      <c r="I107" s="23">
        <v>7642</v>
      </c>
      <c r="J107" s="23">
        <v>18792</v>
      </c>
      <c r="K107" s="23">
        <v>3990</v>
      </c>
      <c r="L107" s="23" t="s">
        <v>264</v>
      </c>
      <c r="M107" s="23">
        <f t="shared" si="1"/>
        <v>815</v>
      </c>
      <c r="N107" s="24" t="str">
        <f t="array" ref="N107">INDEX('MATCH INFO'!O:O, INT((ROW()-2)/10)+2 + 29+29)</f>
        <v>260619_T1_CR_S4</v>
      </c>
    </row>
    <row r="108" spans="1:14">
      <c r="A108" s="23" t="s">
        <v>32</v>
      </c>
      <c r="B108" s="23" t="s">
        <v>147</v>
      </c>
      <c r="C108" s="23" t="s">
        <v>104</v>
      </c>
      <c r="D108" s="23" t="s">
        <v>69</v>
      </c>
      <c r="E108" s="23" t="s">
        <v>201</v>
      </c>
      <c r="F108" s="23">
        <v>31</v>
      </c>
      <c r="G108" s="23">
        <v>4</v>
      </c>
      <c r="H108" s="23">
        <v>16</v>
      </c>
      <c r="I108" s="23">
        <v>13227</v>
      </c>
      <c r="J108" s="23">
        <v>1873</v>
      </c>
      <c r="K108" s="23">
        <v>6326</v>
      </c>
      <c r="L108" s="23" t="s">
        <v>264</v>
      </c>
      <c r="M108" s="23">
        <f t="shared" si="1"/>
        <v>815</v>
      </c>
      <c r="N108" s="24" t="str">
        <f t="array" ref="N108">INDEX('MATCH INFO'!O:O, INT((ROW()-2)/10)+2 + 29+29)</f>
        <v>260619_T1_CR_S4</v>
      </c>
    </row>
    <row r="109" spans="1:14">
      <c r="A109" s="23" t="s">
        <v>32</v>
      </c>
      <c r="B109" s="23" t="s">
        <v>146</v>
      </c>
      <c r="C109" s="23" t="s">
        <v>101</v>
      </c>
      <c r="D109" s="23" t="s">
        <v>69</v>
      </c>
      <c r="E109" s="23" t="s">
        <v>201</v>
      </c>
      <c r="F109" s="23">
        <v>37</v>
      </c>
      <c r="G109" s="23">
        <v>5</v>
      </c>
      <c r="H109" s="23">
        <v>11</v>
      </c>
      <c r="I109" s="23">
        <v>19375</v>
      </c>
      <c r="J109" s="23">
        <v>0</v>
      </c>
      <c r="K109" s="23">
        <v>26655</v>
      </c>
      <c r="L109" s="23" t="s">
        <v>264</v>
      </c>
      <c r="M109" s="23">
        <f t="shared" si="1"/>
        <v>815</v>
      </c>
      <c r="N109" s="24" t="str">
        <f t="array" ref="N109">INDEX('MATCH INFO'!O:O, INT((ROW()-2)/10)+2 + 29+29)</f>
        <v>260619_T1_CR_S4</v>
      </c>
    </row>
    <row r="110" spans="1:14">
      <c r="A110" s="23" t="s">
        <v>32</v>
      </c>
      <c r="B110" s="23" t="s">
        <v>149</v>
      </c>
      <c r="C110" s="23" t="s">
        <v>104</v>
      </c>
      <c r="D110" s="23" t="s">
        <v>69</v>
      </c>
      <c r="E110" s="23" t="s">
        <v>201</v>
      </c>
      <c r="F110" s="23">
        <v>42</v>
      </c>
      <c r="G110" s="23">
        <v>4</v>
      </c>
      <c r="H110" s="23">
        <v>1</v>
      </c>
      <c r="I110" s="23">
        <v>17846</v>
      </c>
      <c r="J110" s="23">
        <v>70</v>
      </c>
      <c r="K110" s="23">
        <v>372</v>
      </c>
      <c r="L110" s="23" t="s">
        <v>264</v>
      </c>
      <c r="M110" s="23">
        <f t="shared" si="1"/>
        <v>815</v>
      </c>
      <c r="N110" s="24" t="str">
        <f t="array" ref="N110">INDEX('MATCH INFO'!O:O, INT((ROW()-2)/10)+2 + 29+29)</f>
        <v>260619_T1_CR_S4</v>
      </c>
    </row>
    <row r="111" spans="1:14">
      <c r="A111" s="23" t="s">
        <v>32</v>
      </c>
      <c r="B111" s="23" t="s">
        <v>151</v>
      </c>
      <c r="C111" s="23" t="s">
        <v>109</v>
      </c>
      <c r="D111" s="23" t="s">
        <v>69</v>
      </c>
      <c r="E111" s="23" t="s">
        <v>201</v>
      </c>
      <c r="F111" s="23">
        <v>23</v>
      </c>
      <c r="G111" s="23">
        <v>4</v>
      </c>
      <c r="H111" s="23">
        <v>40</v>
      </c>
      <c r="I111" s="23">
        <v>4107</v>
      </c>
      <c r="J111" s="23">
        <v>19840</v>
      </c>
      <c r="K111" s="23">
        <v>0</v>
      </c>
      <c r="L111" s="23" t="s">
        <v>264</v>
      </c>
      <c r="M111" s="23">
        <f t="shared" si="1"/>
        <v>815</v>
      </c>
      <c r="N111" s="24" t="str">
        <f t="array" ref="N111">INDEX('MATCH INFO'!O:O, INT((ROW()-2)/10)+2 + 29+29)</f>
        <v>260619_T1_CR_S4</v>
      </c>
    </row>
    <row r="112" spans="1:14">
      <c r="A112" s="23" t="s">
        <v>50</v>
      </c>
      <c r="B112" s="23" t="s">
        <v>136</v>
      </c>
      <c r="C112" s="23" t="s">
        <v>109</v>
      </c>
      <c r="D112" s="23" t="s">
        <v>33</v>
      </c>
      <c r="E112" s="23" t="s">
        <v>188</v>
      </c>
      <c r="F112" s="23">
        <v>11</v>
      </c>
      <c r="G112" s="23">
        <v>13</v>
      </c>
      <c r="H112" s="23">
        <v>14</v>
      </c>
      <c r="I112" s="23">
        <v>2757</v>
      </c>
      <c r="J112" s="23">
        <v>15411</v>
      </c>
      <c r="K112" s="23">
        <v>0</v>
      </c>
      <c r="L112" s="23" t="s">
        <v>265</v>
      </c>
      <c r="M112" s="23">
        <f t="shared" si="1"/>
        <v>898</v>
      </c>
      <c r="N112" s="24" t="str">
        <f t="array" ref="N112">INDEX('MATCH INFO'!O:O, INT((ROW()-2)/10)+2 + 29+29)</f>
        <v>260620_PF_SB_S1</v>
      </c>
    </row>
    <row r="113" spans="1:14">
      <c r="A113" s="23" t="s">
        <v>50</v>
      </c>
      <c r="B113" s="23" t="s">
        <v>133</v>
      </c>
      <c r="C113" s="23" t="s">
        <v>104</v>
      </c>
      <c r="D113" s="23" t="s">
        <v>33</v>
      </c>
      <c r="E113" s="23" t="s">
        <v>188</v>
      </c>
      <c r="F113" s="23">
        <v>20</v>
      </c>
      <c r="G113" s="23">
        <v>15</v>
      </c>
      <c r="H113" s="23">
        <v>2</v>
      </c>
      <c r="I113" s="23">
        <v>10258</v>
      </c>
      <c r="J113" s="23">
        <v>513</v>
      </c>
      <c r="K113" s="23">
        <v>747</v>
      </c>
      <c r="L113" s="23" t="s">
        <v>265</v>
      </c>
      <c r="M113" s="23">
        <f t="shared" si="1"/>
        <v>898</v>
      </c>
      <c r="N113" s="24" t="str">
        <f t="array" ref="N113">INDEX('MATCH INFO'!O:O, INT((ROW()-2)/10)+2 + 29+29)</f>
        <v>260620_PF_SB_S1</v>
      </c>
    </row>
    <row r="114" spans="1:14">
      <c r="A114" s="23" t="s">
        <v>50</v>
      </c>
      <c r="B114" s="23" t="s">
        <v>131</v>
      </c>
      <c r="C114" s="23" t="s">
        <v>101</v>
      </c>
      <c r="D114" s="23" t="s">
        <v>33</v>
      </c>
      <c r="E114" s="23" t="s">
        <v>188</v>
      </c>
      <c r="F114" s="23">
        <v>18</v>
      </c>
      <c r="G114" s="23">
        <v>14</v>
      </c>
      <c r="H114" s="23">
        <v>7</v>
      </c>
      <c r="I114" s="23">
        <v>11936</v>
      </c>
      <c r="J114" s="23">
        <v>3080</v>
      </c>
      <c r="K114" s="23">
        <v>5682</v>
      </c>
      <c r="L114" s="23" t="s">
        <v>265</v>
      </c>
      <c r="M114" s="23">
        <f t="shared" si="1"/>
        <v>898</v>
      </c>
      <c r="N114" s="24" t="str">
        <f t="array" ref="N114">INDEX('MATCH INFO'!O:O, INT((ROW()-2)/10)+2 + 29+29)</f>
        <v>260620_PF_SB_S1</v>
      </c>
    </row>
    <row r="115" spans="1:14">
      <c r="A115" s="23" t="s">
        <v>50</v>
      </c>
      <c r="B115" s="23" t="s">
        <v>134</v>
      </c>
      <c r="C115" s="23" t="s">
        <v>104</v>
      </c>
      <c r="D115" s="23" t="s">
        <v>33</v>
      </c>
      <c r="E115" s="23" t="s">
        <v>188</v>
      </c>
      <c r="F115" s="23">
        <v>20</v>
      </c>
      <c r="G115" s="23">
        <v>12</v>
      </c>
      <c r="H115" s="23">
        <v>0</v>
      </c>
      <c r="I115" s="23">
        <v>15428</v>
      </c>
      <c r="J115" s="23">
        <v>0</v>
      </c>
      <c r="K115" s="23">
        <v>0</v>
      </c>
      <c r="L115" s="23" t="s">
        <v>265</v>
      </c>
      <c r="M115" s="23">
        <f t="shared" si="1"/>
        <v>898</v>
      </c>
      <c r="N115" s="24" t="str">
        <f t="array" ref="N115">INDEX('MATCH INFO'!O:O, INT((ROW()-2)/10)+2 + 29+29)</f>
        <v>260620_PF_SB_S1</v>
      </c>
    </row>
    <row r="116" spans="1:14">
      <c r="A116" s="23" t="s">
        <v>50</v>
      </c>
      <c r="B116" s="23" t="s">
        <v>135</v>
      </c>
      <c r="C116" s="23" t="s">
        <v>109</v>
      </c>
      <c r="D116" s="23" t="s">
        <v>33</v>
      </c>
      <c r="E116" s="23" t="s">
        <v>188</v>
      </c>
      <c r="F116" s="23">
        <v>13</v>
      </c>
      <c r="G116" s="23">
        <v>10</v>
      </c>
      <c r="H116" s="23">
        <v>13</v>
      </c>
      <c r="I116" s="23">
        <v>6005</v>
      </c>
      <c r="J116" s="23">
        <v>7626</v>
      </c>
      <c r="K116" s="23">
        <v>1747</v>
      </c>
      <c r="L116" s="23" t="s">
        <v>265</v>
      </c>
      <c r="M116" s="23">
        <f t="shared" si="1"/>
        <v>898</v>
      </c>
      <c r="N116" s="24" t="str">
        <f t="array" ref="N116">INDEX('MATCH INFO'!O:O, INT((ROW()-2)/10)+2 + 29+29)</f>
        <v>260620_PF_SB_S1</v>
      </c>
    </row>
    <row r="117" spans="1:14">
      <c r="A117" s="23" t="s">
        <v>53</v>
      </c>
      <c r="B117" s="23" t="s">
        <v>170</v>
      </c>
      <c r="C117" s="23" t="s">
        <v>104</v>
      </c>
      <c r="D117" s="23" t="s">
        <v>33</v>
      </c>
      <c r="E117" s="23" t="s">
        <v>188</v>
      </c>
      <c r="F117" s="23">
        <v>41</v>
      </c>
      <c r="G117" s="23">
        <v>8</v>
      </c>
      <c r="H117" s="23">
        <v>18</v>
      </c>
      <c r="I117" s="23">
        <v>13949</v>
      </c>
      <c r="J117" s="23">
        <v>1034</v>
      </c>
      <c r="K117" s="23">
        <v>5065</v>
      </c>
      <c r="L117" s="23" t="s">
        <v>265</v>
      </c>
      <c r="M117" s="23">
        <f t="shared" si="1"/>
        <v>898</v>
      </c>
      <c r="N117" s="24" t="str">
        <f t="array" ref="N117">INDEX('MATCH INFO'!O:O, INT((ROW()-2)/10)+2 + 29+29)</f>
        <v>260620_PF_SB_S1</v>
      </c>
    </row>
    <row r="118" spans="1:14">
      <c r="A118" s="23" t="s">
        <v>53</v>
      </c>
      <c r="B118" s="23" t="s">
        <v>168</v>
      </c>
      <c r="C118" s="23" t="s">
        <v>101</v>
      </c>
      <c r="D118" s="23" t="s">
        <v>33</v>
      </c>
      <c r="E118" s="23" t="s">
        <v>188</v>
      </c>
      <c r="F118" s="23">
        <v>42</v>
      </c>
      <c r="G118" s="23">
        <v>4</v>
      </c>
      <c r="H118" s="23">
        <v>7</v>
      </c>
      <c r="I118" s="23">
        <v>17974</v>
      </c>
      <c r="J118" s="23">
        <v>0</v>
      </c>
      <c r="K118" s="23">
        <v>24171</v>
      </c>
      <c r="L118" s="23" t="s">
        <v>265</v>
      </c>
      <c r="M118" s="23">
        <f t="shared" si="1"/>
        <v>898</v>
      </c>
      <c r="N118" s="24" t="str">
        <f t="array" ref="N118">INDEX('MATCH INFO'!O:O, INT((ROW()-2)/10)+2 + 29+29)</f>
        <v>260620_PF_SB_S1</v>
      </c>
    </row>
    <row r="119" spans="1:14">
      <c r="A119" s="23" t="s">
        <v>53</v>
      </c>
      <c r="B119" s="23" t="s">
        <v>172</v>
      </c>
      <c r="C119" s="23" t="s">
        <v>109</v>
      </c>
      <c r="D119" s="23" t="s">
        <v>33</v>
      </c>
      <c r="E119" s="23" t="s">
        <v>188</v>
      </c>
      <c r="F119" s="23">
        <v>27</v>
      </c>
      <c r="G119" s="23">
        <v>6</v>
      </c>
      <c r="H119" s="23">
        <v>39</v>
      </c>
      <c r="I119" s="23">
        <v>6915</v>
      </c>
      <c r="J119" s="23">
        <v>14682</v>
      </c>
      <c r="K119" s="23">
        <v>2923</v>
      </c>
      <c r="L119" s="23" t="s">
        <v>265</v>
      </c>
      <c r="M119" s="23">
        <f t="shared" si="1"/>
        <v>898</v>
      </c>
      <c r="N119" s="24" t="str">
        <f t="array" ref="N119">INDEX('MATCH INFO'!O:O, INT((ROW()-2)/10)+2 + 29+29)</f>
        <v>260620_PF_SB_S1</v>
      </c>
    </row>
    <row r="120" spans="1:14">
      <c r="A120" s="23" t="s">
        <v>53</v>
      </c>
      <c r="B120" s="23" t="s">
        <v>171</v>
      </c>
      <c r="C120" s="23" t="s">
        <v>104</v>
      </c>
      <c r="D120" s="23" t="s">
        <v>33</v>
      </c>
      <c r="E120" s="23" t="s">
        <v>188</v>
      </c>
      <c r="F120" s="23">
        <v>34</v>
      </c>
      <c r="G120" s="23">
        <v>9</v>
      </c>
      <c r="H120" s="23">
        <v>0</v>
      </c>
      <c r="I120" s="23">
        <v>11418</v>
      </c>
      <c r="J120" s="23">
        <v>0</v>
      </c>
      <c r="K120" s="23">
        <v>64</v>
      </c>
      <c r="L120" s="23" t="s">
        <v>265</v>
      </c>
      <c r="M120" s="23">
        <f t="shared" si="1"/>
        <v>898</v>
      </c>
      <c r="N120" s="24" t="str">
        <f t="array" ref="N120">INDEX('MATCH INFO'!O:O, INT((ROW()-2)/10)+2 + 29+29)</f>
        <v>260620_PF_SB_S1</v>
      </c>
    </row>
    <row r="121" spans="1:14">
      <c r="A121" s="23" t="s">
        <v>53</v>
      </c>
      <c r="B121" s="23" t="s">
        <v>174</v>
      </c>
      <c r="C121" s="23" t="s">
        <v>109</v>
      </c>
      <c r="D121" s="23" t="s">
        <v>33</v>
      </c>
      <c r="E121" s="23" t="s">
        <v>188</v>
      </c>
      <c r="F121" s="23">
        <v>20</v>
      </c>
      <c r="G121" s="23">
        <v>8</v>
      </c>
      <c r="H121" s="23">
        <v>39</v>
      </c>
      <c r="I121" s="23">
        <v>5156</v>
      </c>
      <c r="J121" s="23">
        <v>15086</v>
      </c>
      <c r="K121" s="23">
        <v>0</v>
      </c>
      <c r="L121" s="23" t="s">
        <v>265</v>
      </c>
      <c r="M121" s="23">
        <f t="shared" si="1"/>
        <v>898</v>
      </c>
      <c r="N121" s="24" t="str">
        <f t="array" ref="N121">INDEX('MATCH INFO'!O:O, INT((ROW()-2)/10)+2 + 29+29)</f>
        <v>260620_PF_SB_S1</v>
      </c>
    </row>
    <row r="122" spans="1:14">
      <c r="A122" s="23" t="s">
        <v>53</v>
      </c>
      <c r="B122" s="23" t="s">
        <v>170</v>
      </c>
      <c r="C122" s="23" t="s">
        <v>104</v>
      </c>
      <c r="D122" s="23" t="s">
        <v>44</v>
      </c>
      <c r="E122" s="23" t="s">
        <v>190</v>
      </c>
      <c r="F122" s="23">
        <v>15</v>
      </c>
      <c r="G122" s="23">
        <v>12</v>
      </c>
      <c r="H122" s="23">
        <v>2</v>
      </c>
      <c r="I122" s="23">
        <v>9049</v>
      </c>
      <c r="J122" s="23">
        <v>42</v>
      </c>
      <c r="K122" s="23">
        <v>319</v>
      </c>
      <c r="L122" s="23" t="s">
        <v>266</v>
      </c>
      <c r="M122" s="23">
        <f t="shared" si="1"/>
        <v>731</v>
      </c>
      <c r="N122" s="24" t="str">
        <f t="array" ref="N122">INDEX('MATCH INFO'!O:O, INT((ROW()-2)/10)+2 + 29+29)</f>
        <v>260620_PF_SB_S2</v>
      </c>
    </row>
    <row r="123" spans="1:14">
      <c r="A123" s="23" t="s">
        <v>53</v>
      </c>
      <c r="B123" s="23" t="s">
        <v>169</v>
      </c>
      <c r="C123" s="23" t="s">
        <v>101</v>
      </c>
      <c r="D123" s="23" t="s">
        <v>44</v>
      </c>
      <c r="E123" s="23" t="s">
        <v>190</v>
      </c>
      <c r="F123" s="23">
        <v>9</v>
      </c>
      <c r="G123" s="23">
        <v>8</v>
      </c>
      <c r="H123" s="23">
        <v>4</v>
      </c>
      <c r="I123" s="23">
        <v>11908</v>
      </c>
      <c r="J123" s="23">
        <v>340</v>
      </c>
      <c r="K123" s="23">
        <v>16318</v>
      </c>
      <c r="L123" s="23" t="s">
        <v>266</v>
      </c>
      <c r="M123" s="23">
        <f t="shared" si="1"/>
        <v>731</v>
      </c>
      <c r="N123" s="24" t="str">
        <f t="array" ref="N123">INDEX('MATCH INFO'!O:O, INT((ROW()-2)/10)+2 + 29+29)</f>
        <v>260620_PF_SB_S2</v>
      </c>
    </row>
    <row r="124" spans="1:14">
      <c r="A124" s="23" t="s">
        <v>53</v>
      </c>
      <c r="B124" s="23" t="s">
        <v>172</v>
      </c>
      <c r="C124" s="23" t="s">
        <v>109</v>
      </c>
      <c r="D124" s="23" t="s">
        <v>44</v>
      </c>
      <c r="E124" s="23" t="s">
        <v>190</v>
      </c>
      <c r="F124" s="23">
        <v>14</v>
      </c>
      <c r="G124" s="23">
        <v>8</v>
      </c>
      <c r="H124" s="23">
        <v>14</v>
      </c>
      <c r="I124" s="23">
        <v>7126</v>
      </c>
      <c r="J124" s="23">
        <v>9830</v>
      </c>
      <c r="K124" s="23">
        <v>3306</v>
      </c>
      <c r="L124" s="23" t="s">
        <v>266</v>
      </c>
      <c r="M124" s="23">
        <f t="shared" si="1"/>
        <v>731</v>
      </c>
      <c r="N124" s="24" t="str">
        <f t="array" ref="N124">INDEX('MATCH INFO'!O:O, INT((ROW()-2)/10)+2 + 29+29)</f>
        <v>260620_PF_SB_S2</v>
      </c>
    </row>
    <row r="125" spans="1:14">
      <c r="A125" s="23" t="s">
        <v>53</v>
      </c>
      <c r="B125" s="23" t="s">
        <v>171</v>
      </c>
      <c r="C125" s="23" t="s">
        <v>104</v>
      </c>
      <c r="D125" s="23" t="s">
        <v>44</v>
      </c>
      <c r="E125" s="23" t="s">
        <v>190</v>
      </c>
      <c r="F125" s="23">
        <v>11</v>
      </c>
      <c r="G125" s="23">
        <v>10</v>
      </c>
      <c r="H125" s="23">
        <v>0</v>
      </c>
      <c r="I125" s="23">
        <v>7705</v>
      </c>
      <c r="J125" s="23">
        <v>75</v>
      </c>
      <c r="K125" s="23">
        <v>217</v>
      </c>
      <c r="L125" s="23" t="s">
        <v>266</v>
      </c>
      <c r="M125" s="23">
        <f t="shared" si="1"/>
        <v>731</v>
      </c>
      <c r="N125" s="24" t="str">
        <f t="array" ref="N125">INDEX('MATCH INFO'!O:O, INT((ROW()-2)/10)+2 + 29+29)</f>
        <v>260620_PF_SB_S2</v>
      </c>
    </row>
    <row r="126" spans="1:14">
      <c r="A126" s="23" t="s">
        <v>53</v>
      </c>
      <c r="B126" s="23" t="s">
        <v>174</v>
      </c>
      <c r="C126" s="23" t="s">
        <v>109</v>
      </c>
      <c r="D126" s="23" t="s">
        <v>44</v>
      </c>
      <c r="E126" s="23" t="s">
        <v>190</v>
      </c>
      <c r="F126" s="23">
        <v>12</v>
      </c>
      <c r="G126" s="23">
        <v>10</v>
      </c>
      <c r="H126" s="23">
        <v>15</v>
      </c>
      <c r="I126" s="23">
        <v>4446</v>
      </c>
      <c r="J126" s="23">
        <v>9188</v>
      </c>
      <c r="K126" s="23">
        <v>0</v>
      </c>
      <c r="L126" s="23" t="s">
        <v>266</v>
      </c>
      <c r="M126" s="23">
        <f t="shared" si="1"/>
        <v>731</v>
      </c>
      <c r="N126" s="24" t="str">
        <f t="array" ref="N126">INDEX('MATCH INFO'!O:O, INT((ROW()-2)/10)+2 + 29+29)</f>
        <v>260620_PF_SB_S2</v>
      </c>
    </row>
    <row r="127" spans="1:14">
      <c r="A127" s="23" t="s">
        <v>50</v>
      </c>
      <c r="B127" s="23" t="s">
        <v>136</v>
      </c>
      <c r="C127" s="23" t="s">
        <v>109</v>
      </c>
      <c r="D127" s="23" t="s">
        <v>44</v>
      </c>
      <c r="E127" s="23" t="s">
        <v>190</v>
      </c>
      <c r="F127" s="23">
        <v>21</v>
      </c>
      <c r="G127" s="23">
        <v>6</v>
      </c>
      <c r="H127" s="23">
        <v>27</v>
      </c>
      <c r="I127" s="23">
        <v>3355</v>
      </c>
      <c r="J127" s="23">
        <v>8712</v>
      </c>
      <c r="K127" s="23">
        <v>0</v>
      </c>
      <c r="L127" s="23" t="s">
        <v>266</v>
      </c>
      <c r="M127" s="23">
        <f t="shared" si="1"/>
        <v>731</v>
      </c>
      <c r="N127" s="24" t="str">
        <f t="array" ref="N127">INDEX('MATCH INFO'!O:O, INT((ROW()-2)/10)+2 + 29+29)</f>
        <v>260620_PF_SB_S2</v>
      </c>
    </row>
    <row r="128" spans="1:14">
      <c r="A128" s="23" t="s">
        <v>50</v>
      </c>
      <c r="B128" s="23" t="s">
        <v>133</v>
      </c>
      <c r="C128" s="23" t="s">
        <v>104</v>
      </c>
      <c r="D128" s="23" t="s">
        <v>44</v>
      </c>
      <c r="E128" s="23" t="s">
        <v>190</v>
      </c>
      <c r="F128" s="23">
        <v>25</v>
      </c>
      <c r="G128" s="23">
        <v>5</v>
      </c>
      <c r="H128" s="23">
        <v>4</v>
      </c>
      <c r="I128" s="23">
        <v>9426</v>
      </c>
      <c r="J128" s="23">
        <v>152</v>
      </c>
      <c r="K128" s="23">
        <v>1363</v>
      </c>
      <c r="L128" s="23" t="s">
        <v>266</v>
      </c>
      <c r="M128" s="23">
        <f t="shared" si="1"/>
        <v>731</v>
      </c>
      <c r="N128" s="24" t="str">
        <f t="array" ref="N128">INDEX('MATCH INFO'!O:O, INT((ROW()-2)/10)+2 + 29+29)</f>
        <v>260620_PF_SB_S2</v>
      </c>
    </row>
    <row r="129" spans="1:14">
      <c r="A129" s="23" t="s">
        <v>50</v>
      </c>
      <c r="B129" s="23" t="s">
        <v>131</v>
      </c>
      <c r="C129" s="23" t="s">
        <v>101</v>
      </c>
      <c r="D129" s="23" t="s">
        <v>44</v>
      </c>
      <c r="E129" s="23" t="s">
        <v>190</v>
      </c>
      <c r="F129" s="23">
        <v>30</v>
      </c>
      <c r="G129" s="23">
        <v>6</v>
      </c>
      <c r="H129" s="23">
        <v>23</v>
      </c>
      <c r="I129" s="23">
        <v>11630</v>
      </c>
      <c r="J129" s="23">
        <v>2693</v>
      </c>
      <c r="K129" s="23">
        <v>7820</v>
      </c>
      <c r="L129" s="23" t="s">
        <v>266</v>
      </c>
      <c r="M129" s="23">
        <f t="shared" si="1"/>
        <v>731</v>
      </c>
      <c r="N129" s="24" t="str">
        <f t="array" ref="N129">INDEX('MATCH INFO'!O:O, INT((ROW()-2)/10)+2 + 29+29)</f>
        <v>260620_PF_SB_S2</v>
      </c>
    </row>
    <row r="130" spans="1:14">
      <c r="A130" s="23" t="s">
        <v>50</v>
      </c>
      <c r="B130" s="23" t="s">
        <v>134</v>
      </c>
      <c r="C130" s="23" t="s">
        <v>104</v>
      </c>
      <c r="D130" s="23" t="s">
        <v>44</v>
      </c>
      <c r="E130" s="23" t="s">
        <v>190</v>
      </c>
      <c r="F130" s="23">
        <v>28</v>
      </c>
      <c r="G130" s="23">
        <v>2</v>
      </c>
      <c r="H130" s="23">
        <v>0</v>
      </c>
      <c r="I130" s="23">
        <v>12242</v>
      </c>
      <c r="J130" s="23">
        <v>0</v>
      </c>
      <c r="K130" s="23">
        <v>0</v>
      </c>
      <c r="L130" s="23" t="s">
        <v>266</v>
      </c>
      <c r="M130" s="23">
        <f t="shared" ref="M130:M193" si="2">L130*86400</f>
        <v>731</v>
      </c>
      <c r="N130" s="24" t="str">
        <f t="array" ref="N130">INDEX('MATCH INFO'!O:O, INT((ROW()-2)/10)+2 + 29+29)</f>
        <v>260620_PF_SB_S2</v>
      </c>
    </row>
    <row r="131" spans="1:14">
      <c r="A131" s="23" t="s">
        <v>50</v>
      </c>
      <c r="B131" s="23" t="s">
        <v>135</v>
      </c>
      <c r="C131" s="23" t="s">
        <v>109</v>
      </c>
      <c r="D131" s="23" t="s">
        <v>44</v>
      </c>
      <c r="E131" s="23" t="s">
        <v>190</v>
      </c>
      <c r="F131" s="23">
        <v>13</v>
      </c>
      <c r="G131" s="23">
        <v>4</v>
      </c>
      <c r="H131" s="23">
        <v>37</v>
      </c>
      <c r="I131" s="23">
        <v>3303</v>
      </c>
      <c r="J131" s="23">
        <v>13057</v>
      </c>
      <c r="K131" s="23">
        <v>0</v>
      </c>
      <c r="L131" s="23" t="s">
        <v>266</v>
      </c>
      <c r="M131" s="23">
        <f t="shared" si="2"/>
        <v>731</v>
      </c>
      <c r="N131" s="24" t="str">
        <f t="array" ref="N131">INDEX('MATCH INFO'!O:O, INT((ROW()-2)/10)+2 + 29+29)</f>
        <v>260620_PF_SB_S2</v>
      </c>
    </row>
    <row r="132" spans="1:14">
      <c r="A132" s="23" t="s">
        <v>53</v>
      </c>
      <c r="B132" s="23" t="s">
        <v>170</v>
      </c>
      <c r="C132" s="23" t="s">
        <v>104</v>
      </c>
      <c r="D132" s="23" t="s">
        <v>61</v>
      </c>
      <c r="E132" s="23" t="s">
        <v>196</v>
      </c>
      <c r="F132" s="23">
        <v>12</v>
      </c>
      <c r="G132" s="23">
        <v>2</v>
      </c>
      <c r="H132" s="23">
        <v>2</v>
      </c>
      <c r="I132" s="23">
        <v>5646</v>
      </c>
      <c r="J132" s="23">
        <v>0</v>
      </c>
      <c r="K132" s="23">
        <v>0</v>
      </c>
      <c r="L132" s="23" t="s">
        <v>267</v>
      </c>
      <c r="M132" s="23">
        <f t="shared" si="2"/>
        <v>335</v>
      </c>
      <c r="N132" s="24" t="str">
        <f t="array" ref="N132">INDEX('MATCH INFO'!O:O, INT((ROW()-2)/10)+2 + 29+29)</f>
        <v>260620_PF_SB_S3</v>
      </c>
    </row>
    <row r="133" spans="1:14">
      <c r="A133" s="23" t="s">
        <v>53</v>
      </c>
      <c r="B133" s="23" t="s">
        <v>168</v>
      </c>
      <c r="C133" s="23" t="s">
        <v>101</v>
      </c>
      <c r="D133" s="23" t="s">
        <v>61</v>
      </c>
      <c r="E133" s="23" t="s">
        <v>196</v>
      </c>
      <c r="F133" s="23">
        <v>11</v>
      </c>
      <c r="G133" s="23">
        <v>0</v>
      </c>
      <c r="H133" s="23">
        <v>2</v>
      </c>
      <c r="I133" s="23">
        <v>5377</v>
      </c>
      <c r="J133" s="23">
        <v>275</v>
      </c>
      <c r="K133" s="23">
        <v>10731</v>
      </c>
      <c r="L133" s="23" t="s">
        <v>267</v>
      </c>
      <c r="M133" s="23">
        <f t="shared" si="2"/>
        <v>335</v>
      </c>
      <c r="N133" s="24" t="str">
        <f t="array" ref="N133">INDEX('MATCH INFO'!O:O, INT((ROW()-2)/10)+2 + 29+29)</f>
        <v>260620_PF_SB_S3</v>
      </c>
    </row>
    <row r="134" spans="1:14">
      <c r="A134" s="23" t="s">
        <v>53</v>
      </c>
      <c r="B134" s="23" t="s">
        <v>172</v>
      </c>
      <c r="C134" s="23" t="s">
        <v>109</v>
      </c>
      <c r="D134" s="23" t="s">
        <v>61</v>
      </c>
      <c r="E134" s="23" t="s">
        <v>196</v>
      </c>
      <c r="F134" s="23">
        <v>10</v>
      </c>
      <c r="G134" s="23">
        <v>1</v>
      </c>
      <c r="H134" s="23">
        <v>10</v>
      </c>
      <c r="I134" s="23">
        <v>4323</v>
      </c>
      <c r="J134" s="23">
        <v>6020</v>
      </c>
      <c r="K134" s="23">
        <v>1203</v>
      </c>
      <c r="L134" s="23" t="s">
        <v>267</v>
      </c>
      <c r="M134" s="23">
        <f t="shared" si="2"/>
        <v>335</v>
      </c>
      <c r="N134" s="24" t="str">
        <f t="array" ref="N134">INDEX('MATCH INFO'!O:O, INT((ROW()-2)/10)+2 + 29+29)</f>
        <v>260620_PF_SB_S3</v>
      </c>
    </row>
    <row r="135" spans="1:14">
      <c r="A135" s="23" t="s">
        <v>53</v>
      </c>
      <c r="B135" s="23" t="s">
        <v>171</v>
      </c>
      <c r="C135" s="23" t="s">
        <v>104</v>
      </c>
      <c r="D135" s="23" t="s">
        <v>61</v>
      </c>
      <c r="E135" s="23" t="s">
        <v>196</v>
      </c>
      <c r="F135" s="23">
        <v>15</v>
      </c>
      <c r="G135" s="23">
        <v>0</v>
      </c>
      <c r="H135" s="23">
        <v>1</v>
      </c>
      <c r="I135" s="23">
        <v>5009</v>
      </c>
      <c r="J135" s="23">
        <v>25</v>
      </c>
      <c r="K135" s="23">
        <v>94</v>
      </c>
      <c r="L135" s="23" t="s">
        <v>267</v>
      </c>
      <c r="M135" s="23">
        <f t="shared" si="2"/>
        <v>335</v>
      </c>
      <c r="N135" s="24" t="str">
        <f t="array" ref="N135">INDEX('MATCH INFO'!O:O, INT((ROW()-2)/10)+2 + 29+29)</f>
        <v>260620_PF_SB_S3</v>
      </c>
    </row>
    <row r="136" spans="1:14">
      <c r="A136" s="23" t="s">
        <v>53</v>
      </c>
      <c r="B136" s="23" t="s">
        <v>174</v>
      </c>
      <c r="C136" s="23" t="s">
        <v>109</v>
      </c>
      <c r="D136" s="23" t="s">
        <v>61</v>
      </c>
      <c r="E136" s="23" t="s">
        <v>196</v>
      </c>
      <c r="F136" s="23">
        <v>5</v>
      </c>
      <c r="G136" s="23">
        <v>0</v>
      </c>
      <c r="H136" s="23">
        <v>16</v>
      </c>
      <c r="I136" s="23">
        <v>2892</v>
      </c>
      <c r="J136" s="23">
        <v>6444</v>
      </c>
      <c r="K136" s="23">
        <v>0</v>
      </c>
      <c r="L136" s="23" t="s">
        <v>267</v>
      </c>
      <c r="M136" s="23">
        <f t="shared" si="2"/>
        <v>335</v>
      </c>
      <c r="N136" s="24" t="str">
        <f t="array" ref="N136">INDEX('MATCH INFO'!O:O, INT((ROW()-2)/10)+2 + 29+29)</f>
        <v>260620_PF_SB_S3</v>
      </c>
    </row>
    <row r="137" spans="1:14">
      <c r="A137" s="23" t="s">
        <v>50</v>
      </c>
      <c r="B137" s="23" t="s">
        <v>136</v>
      </c>
      <c r="C137" s="23" t="s">
        <v>109</v>
      </c>
      <c r="D137" s="23" t="s">
        <v>61</v>
      </c>
      <c r="E137" s="23" t="s">
        <v>196</v>
      </c>
      <c r="F137" s="23">
        <v>1</v>
      </c>
      <c r="G137" s="23">
        <v>3</v>
      </c>
      <c r="H137" s="23">
        <v>3</v>
      </c>
      <c r="I137" s="23">
        <v>1046</v>
      </c>
      <c r="J137" s="23">
        <v>9124</v>
      </c>
      <c r="K137" s="23">
        <v>0</v>
      </c>
      <c r="L137" s="23" t="s">
        <v>267</v>
      </c>
      <c r="M137" s="23">
        <f t="shared" si="2"/>
        <v>335</v>
      </c>
      <c r="N137" s="24" t="str">
        <f t="array" ref="N137">INDEX('MATCH INFO'!O:O, INT((ROW()-2)/10)+2 + 29+29)</f>
        <v>260620_PF_SB_S3</v>
      </c>
    </row>
    <row r="138" spans="1:14">
      <c r="A138" s="23" t="s">
        <v>50</v>
      </c>
      <c r="B138" s="23" t="s">
        <v>133</v>
      </c>
      <c r="C138" s="23" t="s">
        <v>104</v>
      </c>
      <c r="D138" s="23" t="s">
        <v>61</v>
      </c>
      <c r="E138" s="23" t="s">
        <v>196</v>
      </c>
      <c r="F138" s="23">
        <v>3</v>
      </c>
      <c r="G138" s="23">
        <v>4</v>
      </c>
      <c r="H138" s="23">
        <v>0</v>
      </c>
      <c r="I138" s="23">
        <v>3218</v>
      </c>
      <c r="J138" s="23">
        <v>147</v>
      </c>
      <c r="K138" s="23">
        <v>1451</v>
      </c>
      <c r="L138" s="23" t="s">
        <v>267</v>
      </c>
      <c r="M138" s="23">
        <f t="shared" si="2"/>
        <v>335</v>
      </c>
      <c r="N138" s="24" t="str">
        <f t="array" ref="N138">INDEX('MATCH INFO'!O:O, INT((ROW()-2)/10)+2 + 29+29)</f>
        <v>260620_PF_SB_S3</v>
      </c>
    </row>
    <row r="139" spans="1:14">
      <c r="A139" s="23" t="s">
        <v>50</v>
      </c>
      <c r="B139" s="23" t="s">
        <v>131</v>
      </c>
      <c r="C139" s="23" t="s">
        <v>101</v>
      </c>
      <c r="D139" s="23" t="s">
        <v>61</v>
      </c>
      <c r="E139" s="23" t="s">
        <v>196</v>
      </c>
      <c r="F139" s="23">
        <v>2</v>
      </c>
      <c r="G139" s="23">
        <v>4</v>
      </c>
      <c r="H139" s="23">
        <v>0</v>
      </c>
      <c r="I139" s="23">
        <v>5093</v>
      </c>
      <c r="J139" s="23">
        <v>66</v>
      </c>
      <c r="K139" s="23">
        <v>9070</v>
      </c>
      <c r="L139" s="23" t="s">
        <v>267</v>
      </c>
      <c r="M139" s="23">
        <f t="shared" si="2"/>
        <v>335</v>
      </c>
      <c r="N139" s="24" t="str">
        <f t="array" ref="N139">INDEX('MATCH INFO'!O:O, INT((ROW()-2)/10)+2 + 29+29)</f>
        <v>260620_PF_SB_S3</v>
      </c>
    </row>
    <row r="140" spans="1:14">
      <c r="A140" s="23" t="s">
        <v>50</v>
      </c>
      <c r="B140" s="23" t="s">
        <v>134</v>
      </c>
      <c r="C140" s="23" t="s">
        <v>104</v>
      </c>
      <c r="D140" s="23" t="s">
        <v>61</v>
      </c>
      <c r="E140" s="23" t="s">
        <v>196</v>
      </c>
      <c r="F140" s="23">
        <v>1</v>
      </c>
      <c r="G140" s="23">
        <v>5</v>
      </c>
      <c r="H140" s="23">
        <v>1</v>
      </c>
      <c r="I140" s="23">
        <v>4138</v>
      </c>
      <c r="J140" s="23">
        <v>41</v>
      </c>
      <c r="K140" s="23">
        <v>79</v>
      </c>
      <c r="L140" s="23" t="s">
        <v>267</v>
      </c>
      <c r="M140" s="23">
        <f t="shared" si="2"/>
        <v>335</v>
      </c>
      <c r="N140" s="24" t="str">
        <f t="array" ref="N140">INDEX('MATCH INFO'!O:O, INT((ROW()-2)/10)+2 + 29+29)</f>
        <v>260620_PF_SB_S3</v>
      </c>
    </row>
    <row r="141" spans="1:14">
      <c r="A141" s="23" t="s">
        <v>50</v>
      </c>
      <c r="B141" s="23" t="s">
        <v>135</v>
      </c>
      <c r="C141" s="23" t="s">
        <v>109</v>
      </c>
      <c r="D141" s="23" t="s">
        <v>61</v>
      </c>
      <c r="E141" s="23" t="s">
        <v>196</v>
      </c>
      <c r="F141" s="23">
        <v>1</v>
      </c>
      <c r="G141" s="23">
        <v>5</v>
      </c>
      <c r="H141" s="23">
        <v>2</v>
      </c>
      <c r="I141" s="23">
        <v>1539</v>
      </c>
      <c r="J141" s="23">
        <v>4001</v>
      </c>
      <c r="K141" s="23">
        <v>591</v>
      </c>
      <c r="L141" s="23" t="s">
        <v>267</v>
      </c>
      <c r="M141" s="23">
        <f t="shared" si="2"/>
        <v>335</v>
      </c>
      <c r="N141" s="24" t="str">
        <f t="array" ref="N141">INDEX('MATCH INFO'!O:O, INT((ROW()-2)/10)+2 + 29+29)</f>
        <v>260620_PF_SB_S3</v>
      </c>
    </row>
    <row r="142" spans="1:14">
      <c r="A142" s="23" t="s">
        <v>53</v>
      </c>
      <c r="B142" s="23" t="s">
        <v>170</v>
      </c>
      <c r="C142" s="23" t="s">
        <v>104</v>
      </c>
      <c r="D142" s="23" t="s">
        <v>28</v>
      </c>
      <c r="E142" s="23" t="s">
        <v>192</v>
      </c>
      <c r="F142" s="23">
        <v>13</v>
      </c>
      <c r="G142" s="23">
        <v>7</v>
      </c>
      <c r="H142" s="23">
        <v>1</v>
      </c>
      <c r="I142" s="23">
        <v>7457</v>
      </c>
      <c r="J142" s="23">
        <v>0</v>
      </c>
      <c r="K142" s="23">
        <v>0</v>
      </c>
      <c r="L142" s="23" t="s">
        <v>268</v>
      </c>
      <c r="M142" s="23">
        <f t="shared" si="2"/>
        <v>715.00000000000011</v>
      </c>
      <c r="N142" s="24" t="str">
        <f t="array" ref="N142">INDEX('MATCH INFO'!O:O, INT((ROW()-2)/10)+2 + 29+29)</f>
        <v>260620_PF_SB_S4</v>
      </c>
    </row>
    <row r="143" spans="1:14">
      <c r="A143" s="23" t="s">
        <v>53</v>
      </c>
      <c r="B143" s="23" t="s">
        <v>168</v>
      </c>
      <c r="C143" s="23" t="s">
        <v>101</v>
      </c>
      <c r="D143" s="23" t="s">
        <v>28</v>
      </c>
      <c r="E143" s="23" t="s">
        <v>192</v>
      </c>
      <c r="F143" s="23">
        <v>17</v>
      </c>
      <c r="G143" s="23">
        <v>5</v>
      </c>
      <c r="H143" s="23">
        <v>4</v>
      </c>
      <c r="I143" s="23">
        <v>11618</v>
      </c>
      <c r="J143" s="23">
        <v>1087</v>
      </c>
      <c r="K143" s="23">
        <v>17093</v>
      </c>
      <c r="L143" s="23" t="s">
        <v>268</v>
      </c>
      <c r="M143" s="23">
        <f t="shared" si="2"/>
        <v>715.00000000000011</v>
      </c>
      <c r="N143" s="24" t="str">
        <f t="array" ref="N143">INDEX('MATCH INFO'!O:O, INT((ROW()-2)/10)+2 + 29+29)</f>
        <v>260620_PF_SB_S4</v>
      </c>
    </row>
    <row r="144" spans="1:14">
      <c r="A144" s="23" t="s">
        <v>53</v>
      </c>
      <c r="B144" s="23" t="s">
        <v>172</v>
      </c>
      <c r="C144" s="23" t="s">
        <v>109</v>
      </c>
      <c r="D144" s="23" t="s">
        <v>28</v>
      </c>
      <c r="E144" s="23" t="s">
        <v>192</v>
      </c>
      <c r="F144" s="23">
        <v>9</v>
      </c>
      <c r="G144" s="23">
        <v>6</v>
      </c>
      <c r="H144" s="23">
        <v>18</v>
      </c>
      <c r="I144" s="23">
        <v>5786</v>
      </c>
      <c r="J144" s="23">
        <v>8334</v>
      </c>
      <c r="K144" s="23">
        <v>2823</v>
      </c>
      <c r="L144" s="23" t="s">
        <v>268</v>
      </c>
      <c r="M144" s="23">
        <f t="shared" si="2"/>
        <v>715.00000000000011</v>
      </c>
      <c r="N144" s="24" t="str">
        <f t="array" ref="N144">INDEX('MATCH INFO'!O:O, INT((ROW()-2)/10)+2 + 29+29)</f>
        <v>260620_PF_SB_S4</v>
      </c>
    </row>
    <row r="145" spans="1:14">
      <c r="A145" s="23" t="s">
        <v>53</v>
      </c>
      <c r="B145" s="23" t="s">
        <v>171</v>
      </c>
      <c r="C145" s="23" t="s">
        <v>104</v>
      </c>
      <c r="D145" s="23" t="s">
        <v>28</v>
      </c>
      <c r="E145" s="23" t="s">
        <v>192</v>
      </c>
      <c r="F145" s="23">
        <v>18</v>
      </c>
      <c r="G145" s="23">
        <v>8</v>
      </c>
      <c r="H145" s="23">
        <v>0</v>
      </c>
      <c r="I145" s="23">
        <v>8692</v>
      </c>
      <c r="J145" s="23">
        <v>0</v>
      </c>
      <c r="K145" s="23">
        <v>156</v>
      </c>
      <c r="L145" s="23" t="s">
        <v>268</v>
      </c>
      <c r="M145" s="23">
        <f t="shared" si="2"/>
        <v>715.00000000000011</v>
      </c>
      <c r="N145" s="24" t="str">
        <f t="array" ref="N145">INDEX('MATCH INFO'!O:O, INT((ROW()-2)/10)+2 + 29+29)</f>
        <v>260620_PF_SB_S4</v>
      </c>
    </row>
    <row r="146" spans="1:14">
      <c r="A146" s="23" t="s">
        <v>53</v>
      </c>
      <c r="B146" s="23" t="s">
        <v>174</v>
      </c>
      <c r="C146" s="23" t="s">
        <v>109</v>
      </c>
      <c r="D146" s="23" t="s">
        <v>28</v>
      </c>
      <c r="E146" s="23" t="s">
        <v>192</v>
      </c>
      <c r="F146" s="23">
        <v>12</v>
      </c>
      <c r="G146" s="23">
        <v>6</v>
      </c>
      <c r="H146" s="23">
        <v>14</v>
      </c>
      <c r="I146" s="23">
        <v>5014</v>
      </c>
      <c r="J146" s="23">
        <v>10237</v>
      </c>
      <c r="K146" s="23">
        <v>0</v>
      </c>
      <c r="L146" s="23" t="s">
        <v>268</v>
      </c>
      <c r="M146" s="23">
        <f t="shared" si="2"/>
        <v>715.00000000000011</v>
      </c>
      <c r="N146" s="24" t="str">
        <f t="array" ref="N146">INDEX('MATCH INFO'!O:O, INT((ROW()-2)/10)+2 + 29+29)</f>
        <v>260620_PF_SB_S4</v>
      </c>
    </row>
    <row r="147" spans="1:14">
      <c r="A147" s="23" t="s">
        <v>50</v>
      </c>
      <c r="B147" s="23" t="s">
        <v>136</v>
      </c>
      <c r="C147" s="23" t="s">
        <v>109</v>
      </c>
      <c r="D147" s="23" t="s">
        <v>28</v>
      </c>
      <c r="E147" s="23" t="s">
        <v>192</v>
      </c>
      <c r="F147" s="23">
        <v>8</v>
      </c>
      <c r="G147" s="23">
        <v>6</v>
      </c>
      <c r="H147" s="23">
        <v>19</v>
      </c>
      <c r="I147" s="23">
        <v>2707</v>
      </c>
      <c r="J147" s="23">
        <v>11769</v>
      </c>
      <c r="K147" s="23">
        <v>0</v>
      </c>
      <c r="L147" s="23" t="s">
        <v>268</v>
      </c>
      <c r="M147" s="23">
        <f t="shared" si="2"/>
        <v>715.00000000000011</v>
      </c>
      <c r="N147" s="24" t="str">
        <f t="array" ref="N147">INDEX('MATCH INFO'!O:O, INT((ROW()-2)/10)+2 + 29+29)</f>
        <v>260620_PF_SB_S4</v>
      </c>
    </row>
    <row r="148" spans="1:14">
      <c r="A148" s="23" t="s">
        <v>50</v>
      </c>
      <c r="B148" s="23" t="s">
        <v>133</v>
      </c>
      <c r="C148" s="23" t="s">
        <v>104</v>
      </c>
      <c r="D148" s="23" t="s">
        <v>28</v>
      </c>
      <c r="E148" s="23" t="s">
        <v>192</v>
      </c>
      <c r="F148" s="23">
        <v>17</v>
      </c>
      <c r="G148" s="23">
        <v>9</v>
      </c>
      <c r="H148" s="23">
        <v>3</v>
      </c>
      <c r="I148" s="23">
        <v>8321</v>
      </c>
      <c r="J148" s="23">
        <v>226</v>
      </c>
      <c r="K148" s="23">
        <v>605</v>
      </c>
      <c r="L148" s="23" t="s">
        <v>268</v>
      </c>
      <c r="M148" s="23">
        <f t="shared" si="2"/>
        <v>715.00000000000011</v>
      </c>
      <c r="N148" s="24" t="str">
        <f t="array" ref="N148">INDEX('MATCH INFO'!O:O, INT((ROW()-2)/10)+2 + 29+29)</f>
        <v>260620_PF_SB_S4</v>
      </c>
    </row>
    <row r="149" spans="1:14">
      <c r="A149" s="23" t="s">
        <v>50</v>
      </c>
      <c r="B149" s="23" t="s">
        <v>131</v>
      </c>
      <c r="C149" s="23" t="s">
        <v>101</v>
      </c>
      <c r="D149" s="23" t="s">
        <v>28</v>
      </c>
      <c r="E149" s="23" t="s">
        <v>192</v>
      </c>
      <c r="F149" s="23">
        <v>15</v>
      </c>
      <c r="G149" s="23">
        <v>6</v>
      </c>
      <c r="H149" s="23">
        <v>4</v>
      </c>
      <c r="I149" s="23">
        <v>8716</v>
      </c>
      <c r="J149" s="23">
        <v>2103</v>
      </c>
      <c r="K149" s="23">
        <v>4121</v>
      </c>
      <c r="L149" s="23" t="s">
        <v>268</v>
      </c>
      <c r="M149" s="23">
        <f t="shared" si="2"/>
        <v>715.00000000000011</v>
      </c>
      <c r="N149" s="24" t="str">
        <f t="array" ref="N149">INDEX('MATCH INFO'!O:O, INT((ROW()-2)/10)+2 + 29+29)</f>
        <v>260620_PF_SB_S4</v>
      </c>
    </row>
    <row r="150" spans="1:14">
      <c r="A150" s="23" t="s">
        <v>50</v>
      </c>
      <c r="B150" s="23" t="s">
        <v>134</v>
      </c>
      <c r="C150" s="23" t="s">
        <v>104</v>
      </c>
      <c r="D150" s="23" t="s">
        <v>28</v>
      </c>
      <c r="E150" s="23" t="s">
        <v>192</v>
      </c>
      <c r="F150" s="23">
        <v>23</v>
      </c>
      <c r="G150" s="23">
        <v>4</v>
      </c>
      <c r="H150" s="23">
        <v>0</v>
      </c>
      <c r="I150" s="23">
        <v>13232</v>
      </c>
      <c r="J150" s="23">
        <v>0</v>
      </c>
      <c r="K150" s="23">
        <v>0</v>
      </c>
      <c r="L150" s="23" t="s">
        <v>268</v>
      </c>
      <c r="M150" s="23">
        <f t="shared" si="2"/>
        <v>715.00000000000011</v>
      </c>
      <c r="N150" s="24" t="str">
        <f t="array" ref="N150">INDEX('MATCH INFO'!O:O, INT((ROW()-2)/10)+2 + 29+29)</f>
        <v>260620_PF_SB_S4</v>
      </c>
    </row>
    <row r="151" spans="1:14">
      <c r="A151" s="23" t="s">
        <v>50</v>
      </c>
      <c r="B151" s="23" t="s">
        <v>135</v>
      </c>
      <c r="C151" s="23" t="s">
        <v>109</v>
      </c>
      <c r="D151" s="23" t="s">
        <v>28</v>
      </c>
      <c r="E151" s="23" t="s">
        <v>192</v>
      </c>
      <c r="F151" s="23">
        <v>11</v>
      </c>
      <c r="G151" s="23">
        <v>5</v>
      </c>
      <c r="H151" s="23">
        <v>15</v>
      </c>
      <c r="I151" s="23">
        <v>5337</v>
      </c>
      <c r="J151" s="23">
        <v>9403</v>
      </c>
      <c r="K151" s="23">
        <v>1607</v>
      </c>
      <c r="L151" s="23" t="s">
        <v>268</v>
      </c>
      <c r="M151" s="23">
        <f t="shared" si="2"/>
        <v>715.00000000000011</v>
      </c>
      <c r="N151" s="24" t="str">
        <f t="array" ref="N151">INDEX('MATCH INFO'!O:O, INT((ROW()-2)/10)+2 + 29+29)</f>
        <v>260620_PF_SB_S4</v>
      </c>
    </row>
    <row r="152" spans="1:14">
      <c r="A152" s="23" t="s">
        <v>53</v>
      </c>
      <c r="B152" s="23" t="s">
        <v>170</v>
      </c>
      <c r="C152" s="23" t="s">
        <v>104</v>
      </c>
      <c r="D152" s="23" t="s">
        <v>69</v>
      </c>
      <c r="E152" s="23" t="s">
        <v>201</v>
      </c>
      <c r="F152" s="23">
        <v>14</v>
      </c>
      <c r="G152" s="23">
        <v>0</v>
      </c>
      <c r="H152" s="23">
        <v>2</v>
      </c>
      <c r="I152" s="23">
        <v>4824</v>
      </c>
      <c r="J152" s="23">
        <v>558</v>
      </c>
      <c r="K152" s="23">
        <v>1642</v>
      </c>
      <c r="L152" s="23" t="s">
        <v>269</v>
      </c>
      <c r="M152" s="23">
        <f t="shared" si="2"/>
        <v>329</v>
      </c>
      <c r="N152" s="24" t="str">
        <f t="array" ref="N152">INDEX('MATCH INFO'!O:O, INT((ROW()-2)/10)+2 + 29+29)</f>
        <v>260620_PF_SB_S5</v>
      </c>
    </row>
    <row r="153" spans="1:14">
      <c r="A153" s="23" t="s">
        <v>53</v>
      </c>
      <c r="B153" s="23" t="s">
        <v>169</v>
      </c>
      <c r="C153" s="23" t="s">
        <v>101</v>
      </c>
      <c r="D153" s="23" t="s">
        <v>69</v>
      </c>
      <c r="E153" s="23" t="s">
        <v>201</v>
      </c>
      <c r="F153" s="23">
        <v>13</v>
      </c>
      <c r="G153" s="23">
        <v>0</v>
      </c>
      <c r="H153" s="23">
        <v>2</v>
      </c>
      <c r="I153" s="23">
        <v>8616</v>
      </c>
      <c r="J153" s="23">
        <v>0</v>
      </c>
      <c r="K153" s="23">
        <v>10865</v>
      </c>
      <c r="L153" s="23" t="s">
        <v>269</v>
      </c>
      <c r="M153" s="23">
        <f t="shared" si="2"/>
        <v>329</v>
      </c>
      <c r="N153" s="24" t="str">
        <f t="array" ref="N153">INDEX('MATCH INFO'!O:O, INT((ROW()-2)/10)+2 + 29+29)</f>
        <v>260620_PF_SB_S5</v>
      </c>
    </row>
    <row r="154" spans="1:14">
      <c r="A154" s="23" t="s">
        <v>53</v>
      </c>
      <c r="B154" s="23" t="s">
        <v>172</v>
      </c>
      <c r="C154" s="23" t="s">
        <v>109</v>
      </c>
      <c r="D154" s="23" t="s">
        <v>69</v>
      </c>
      <c r="E154" s="23" t="s">
        <v>201</v>
      </c>
      <c r="F154" s="23">
        <v>11</v>
      </c>
      <c r="G154" s="23">
        <v>1</v>
      </c>
      <c r="H154" s="23">
        <v>11</v>
      </c>
      <c r="I154" s="23">
        <v>3709</v>
      </c>
      <c r="J154" s="23">
        <v>4405</v>
      </c>
      <c r="K154" s="23">
        <v>0</v>
      </c>
      <c r="L154" s="23" t="s">
        <v>269</v>
      </c>
      <c r="M154" s="23">
        <f t="shared" si="2"/>
        <v>329</v>
      </c>
      <c r="N154" s="24" t="str">
        <f t="array" ref="N154">INDEX('MATCH INFO'!O:O, INT((ROW()-2)/10)+2 + 29+29)</f>
        <v>260620_PF_SB_S5</v>
      </c>
    </row>
    <row r="155" spans="1:14">
      <c r="A155" s="23" t="s">
        <v>53</v>
      </c>
      <c r="B155" s="23" t="s">
        <v>171</v>
      </c>
      <c r="C155" s="23" t="s">
        <v>104</v>
      </c>
      <c r="D155" s="23" t="s">
        <v>69</v>
      </c>
      <c r="E155" s="23" t="s">
        <v>201</v>
      </c>
      <c r="F155" s="23">
        <v>17</v>
      </c>
      <c r="G155" s="23">
        <v>0</v>
      </c>
      <c r="H155" s="23">
        <v>0</v>
      </c>
      <c r="I155" s="23">
        <v>5710</v>
      </c>
      <c r="J155" s="23">
        <v>0</v>
      </c>
      <c r="K155" s="23">
        <v>0</v>
      </c>
      <c r="L155" s="23" t="s">
        <v>269</v>
      </c>
      <c r="M155" s="23">
        <f t="shared" si="2"/>
        <v>329</v>
      </c>
      <c r="N155" s="24" t="str">
        <f t="array" ref="N155">INDEX('MATCH INFO'!O:O, INT((ROW()-2)/10)+2 + 29+29)</f>
        <v>260620_PF_SB_S5</v>
      </c>
    </row>
    <row r="156" spans="1:14">
      <c r="A156" s="23" t="s">
        <v>53</v>
      </c>
      <c r="B156" s="23" t="s">
        <v>174</v>
      </c>
      <c r="C156" s="23" t="s">
        <v>109</v>
      </c>
      <c r="D156" s="23" t="s">
        <v>69</v>
      </c>
      <c r="E156" s="23" t="s">
        <v>201</v>
      </c>
      <c r="F156" s="23">
        <v>5</v>
      </c>
      <c r="G156" s="23">
        <v>0</v>
      </c>
      <c r="H156" s="23">
        <v>16</v>
      </c>
      <c r="I156" s="23">
        <v>1523</v>
      </c>
      <c r="J156" s="23">
        <v>6941</v>
      </c>
      <c r="K156" s="23">
        <v>0</v>
      </c>
      <c r="L156" s="23" t="s">
        <v>269</v>
      </c>
      <c r="M156" s="23">
        <f t="shared" si="2"/>
        <v>329</v>
      </c>
      <c r="N156" s="24" t="str">
        <f t="array" ref="N156">INDEX('MATCH INFO'!O:O, INT((ROW()-2)/10)+2 + 29+29)</f>
        <v>260620_PF_SB_S5</v>
      </c>
    </row>
    <row r="157" spans="1:14">
      <c r="A157" s="23" t="s">
        <v>50</v>
      </c>
      <c r="B157" s="23" t="s">
        <v>136</v>
      </c>
      <c r="C157" s="23" t="s">
        <v>109</v>
      </c>
      <c r="D157" s="23" t="s">
        <v>69</v>
      </c>
      <c r="E157" s="23" t="s">
        <v>201</v>
      </c>
      <c r="F157" s="23">
        <v>0</v>
      </c>
      <c r="G157" s="23">
        <v>3</v>
      </c>
      <c r="H157" s="23">
        <v>1</v>
      </c>
      <c r="I157" s="23">
        <v>780</v>
      </c>
      <c r="J157" s="23">
        <v>8543</v>
      </c>
      <c r="K157" s="23">
        <v>0</v>
      </c>
      <c r="L157" s="23" t="s">
        <v>269</v>
      </c>
      <c r="M157" s="23">
        <f t="shared" si="2"/>
        <v>329</v>
      </c>
      <c r="N157" s="24" t="str">
        <f t="array" ref="N157">INDEX('MATCH INFO'!O:O, INT((ROW()-2)/10)+2 + 29+29)</f>
        <v>260620_PF_SB_S5</v>
      </c>
    </row>
    <row r="158" spans="1:14">
      <c r="A158" s="23" t="s">
        <v>50</v>
      </c>
      <c r="B158" s="23" t="s">
        <v>133</v>
      </c>
      <c r="C158" s="23" t="s">
        <v>104</v>
      </c>
      <c r="D158" s="23" t="s">
        <v>69</v>
      </c>
      <c r="E158" s="23" t="s">
        <v>201</v>
      </c>
      <c r="F158" s="23">
        <v>0</v>
      </c>
      <c r="G158" s="23">
        <v>7</v>
      </c>
      <c r="H158" s="23">
        <v>0</v>
      </c>
      <c r="I158" s="23">
        <v>2761</v>
      </c>
      <c r="J158" s="23">
        <v>287</v>
      </c>
      <c r="K158" s="23">
        <v>927</v>
      </c>
      <c r="L158" s="23" t="s">
        <v>269</v>
      </c>
      <c r="M158" s="23">
        <f t="shared" si="2"/>
        <v>329</v>
      </c>
      <c r="N158" s="24" t="str">
        <f t="array" ref="N158">INDEX('MATCH INFO'!O:O, INT((ROW()-2)/10)+2 + 29+29)</f>
        <v>260620_PF_SB_S5</v>
      </c>
    </row>
    <row r="159" spans="1:14">
      <c r="A159" s="23" t="s">
        <v>50</v>
      </c>
      <c r="B159" s="23" t="s">
        <v>131</v>
      </c>
      <c r="C159" s="23" t="s">
        <v>101</v>
      </c>
      <c r="D159" s="23" t="s">
        <v>69</v>
      </c>
      <c r="E159" s="23" t="s">
        <v>201</v>
      </c>
      <c r="F159" s="23">
        <v>1</v>
      </c>
      <c r="G159" s="23">
        <v>4</v>
      </c>
      <c r="H159" s="23">
        <v>0</v>
      </c>
      <c r="I159" s="23">
        <v>4505</v>
      </c>
      <c r="J159" s="23">
        <v>0</v>
      </c>
      <c r="K159" s="23">
        <v>12875</v>
      </c>
      <c r="L159" s="23" t="s">
        <v>269</v>
      </c>
      <c r="M159" s="23">
        <f t="shared" si="2"/>
        <v>329</v>
      </c>
      <c r="N159" s="24" t="str">
        <f t="array" ref="N159">INDEX('MATCH INFO'!O:O, INT((ROW()-2)/10)+2 + 29+29)</f>
        <v>260620_PF_SB_S5</v>
      </c>
    </row>
    <row r="160" spans="1:14">
      <c r="A160" s="23" t="s">
        <v>50</v>
      </c>
      <c r="B160" s="23" t="s">
        <v>134</v>
      </c>
      <c r="C160" s="23" t="s">
        <v>104</v>
      </c>
      <c r="D160" s="23" t="s">
        <v>69</v>
      </c>
      <c r="E160" s="23" t="s">
        <v>201</v>
      </c>
      <c r="F160" s="23">
        <v>0</v>
      </c>
      <c r="G160" s="23">
        <v>4</v>
      </c>
      <c r="H160" s="23">
        <v>0</v>
      </c>
      <c r="I160" s="23">
        <v>3726</v>
      </c>
      <c r="J160" s="23">
        <v>0</v>
      </c>
      <c r="K160" s="23">
        <v>25</v>
      </c>
      <c r="L160" s="23" t="s">
        <v>269</v>
      </c>
      <c r="M160" s="23">
        <f t="shared" si="2"/>
        <v>329</v>
      </c>
      <c r="N160" s="24" t="str">
        <f t="array" ref="N160">INDEX('MATCH INFO'!O:O, INT((ROW()-2)/10)+2 + 29+29)</f>
        <v>260620_PF_SB_S5</v>
      </c>
    </row>
    <row r="161" spans="1:14">
      <c r="A161" s="23" t="s">
        <v>50</v>
      </c>
      <c r="B161" s="23" t="s">
        <v>135</v>
      </c>
      <c r="C161" s="23" t="s">
        <v>109</v>
      </c>
      <c r="D161" s="23" t="s">
        <v>69</v>
      </c>
      <c r="E161" s="23" t="s">
        <v>201</v>
      </c>
      <c r="F161" s="23">
        <v>1</v>
      </c>
      <c r="G161" s="23">
        <v>2</v>
      </c>
      <c r="H161" s="23">
        <v>0</v>
      </c>
      <c r="I161" s="23">
        <v>2732</v>
      </c>
      <c r="J161" s="23">
        <v>5869</v>
      </c>
      <c r="K161" s="23">
        <v>714</v>
      </c>
      <c r="L161" s="23" t="s">
        <v>269</v>
      </c>
      <c r="M161" s="23">
        <f t="shared" si="2"/>
        <v>329</v>
      </c>
      <c r="N161" s="24" t="str">
        <f t="array" ref="N161">INDEX('MATCH INFO'!O:O, INT((ROW()-2)/10)+2 + 29+29)</f>
        <v>260620_PF_SB_S5</v>
      </c>
    </row>
    <row r="162" spans="1:14">
      <c r="A162" s="23" t="s">
        <v>42</v>
      </c>
      <c r="B162" s="23" t="s">
        <v>141</v>
      </c>
      <c r="C162" s="23" t="s">
        <v>104</v>
      </c>
      <c r="D162" s="23" t="s">
        <v>22</v>
      </c>
      <c r="E162" s="23" t="s">
        <v>188</v>
      </c>
      <c r="F162" s="23">
        <v>17</v>
      </c>
      <c r="G162" s="23">
        <v>9</v>
      </c>
      <c r="H162" s="23">
        <v>0</v>
      </c>
      <c r="I162" s="23">
        <v>13673</v>
      </c>
      <c r="J162" s="23">
        <v>1593</v>
      </c>
      <c r="K162" s="23">
        <v>0</v>
      </c>
      <c r="L162" s="23" t="s">
        <v>270</v>
      </c>
      <c r="M162" s="23">
        <f t="shared" si="2"/>
        <v>703</v>
      </c>
      <c r="N162" s="24" t="str">
        <f t="array" ref="N162">INDEX('MATCH INFO'!O:O, INT((ROW()-2)/10)+2 + 29+29)</f>
        <v>260620_ZETA_ROZE_S1</v>
      </c>
    </row>
    <row r="163" spans="1:14">
      <c r="A163" s="23" t="s">
        <v>42</v>
      </c>
      <c r="B163" s="23" t="s">
        <v>138</v>
      </c>
      <c r="C163" s="23" t="s">
        <v>101</v>
      </c>
      <c r="D163" s="23" t="s">
        <v>22</v>
      </c>
      <c r="E163" s="23" t="s">
        <v>188</v>
      </c>
      <c r="F163" s="23">
        <v>21</v>
      </c>
      <c r="G163" s="23">
        <v>7</v>
      </c>
      <c r="H163" s="23">
        <v>10</v>
      </c>
      <c r="I163" s="23">
        <v>13589</v>
      </c>
      <c r="J163" s="23">
        <v>2363</v>
      </c>
      <c r="K163" s="23">
        <v>9606</v>
      </c>
      <c r="L163" s="23" t="s">
        <v>270</v>
      </c>
      <c r="M163" s="23">
        <f t="shared" si="2"/>
        <v>703</v>
      </c>
      <c r="N163" s="24" t="str">
        <f t="array" ref="N163">INDEX('MATCH INFO'!O:O, INT((ROW()-2)/10)+2 + 29+29)</f>
        <v>260620_ZETA_ROZE_S1</v>
      </c>
    </row>
    <row r="164" spans="1:14">
      <c r="A164" s="23" t="s">
        <v>42</v>
      </c>
      <c r="B164" s="23" t="s">
        <v>140</v>
      </c>
      <c r="C164" s="23" t="s">
        <v>104</v>
      </c>
      <c r="D164" s="23" t="s">
        <v>22</v>
      </c>
      <c r="E164" s="23" t="s">
        <v>188</v>
      </c>
      <c r="F164" s="23">
        <v>18</v>
      </c>
      <c r="G164" s="23">
        <v>4</v>
      </c>
      <c r="H164" s="23">
        <v>1</v>
      </c>
      <c r="I164" s="23">
        <v>14755</v>
      </c>
      <c r="J164" s="23">
        <v>262</v>
      </c>
      <c r="K164" s="23">
        <v>513</v>
      </c>
      <c r="L164" s="23" t="s">
        <v>270</v>
      </c>
      <c r="M164" s="23">
        <f t="shared" si="2"/>
        <v>703</v>
      </c>
      <c r="N164" s="24" t="str">
        <f t="array" ref="N164">INDEX('MATCH INFO'!O:O, INT((ROW()-2)/10)+2 + 29+29)</f>
        <v>260620_ZETA_ROZE_S1</v>
      </c>
    </row>
    <row r="165" spans="1:14">
      <c r="A165" s="23" t="s">
        <v>42</v>
      </c>
      <c r="B165" s="23" t="s">
        <v>143</v>
      </c>
      <c r="C165" s="23" t="s">
        <v>109</v>
      </c>
      <c r="D165" s="23" t="s">
        <v>22</v>
      </c>
      <c r="E165" s="23" t="s">
        <v>188</v>
      </c>
      <c r="F165" s="23">
        <v>16</v>
      </c>
      <c r="G165" s="23">
        <v>6</v>
      </c>
      <c r="H165" s="23">
        <v>20</v>
      </c>
      <c r="I165" s="23">
        <v>7600</v>
      </c>
      <c r="J165" s="23">
        <v>14933</v>
      </c>
      <c r="K165" s="23">
        <v>0</v>
      </c>
      <c r="L165" s="23" t="s">
        <v>270</v>
      </c>
      <c r="M165" s="23">
        <f t="shared" si="2"/>
        <v>703</v>
      </c>
      <c r="N165" s="24" t="str">
        <f t="array" ref="N165">INDEX('MATCH INFO'!O:O, INT((ROW()-2)/10)+2 + 29+29)</f>
        <v>260620_ZETA_ROZE_S1</v>
      </c>
    </row>
    <row r="166" spans="1:14">
      <c r="A166" s="23" t="s">
        <v>42</v>
      </c>
      <c r="B166" s="23" t="s">
        <v>142</v>
      </c>
      <c r="C166" s="23" t="s">
        <v>109</v>
      </c>
      <c r="D166" s="23" t="s">
        <v>22</v>
      </c>
      <c r="E166" s="23" t="s">
        <v>188</v>
      </c>
      <c r="F166" s="23">
        <v>13</v>
      </c>
      <c r="G166" s="23">
        <v>6</v>
      </c>
      <c r="H166" s="23">
        <v>10</v>
      </c>
      <c r="I166" s="23">
        <v>8210</v>
      </c>
      <c r="J166" s="23">
        <v>10660</v>
      </c>
      <c r="K166" s="23">
        <v>2221</v>
      </c>
      <c r="L166" s="23" t="s">
        <v>270</v>
      </c>
      <c r="M166" s="23">
        <f t="shared" si="2"/>
        <v>703</v>
      </c>
      <c r="N166" s="24" t="str">
        <f t="array" ref="N166">INDEX('MATCH INFO'!O:O, INT((ROW()-2)/10)+2 + 29+29)</f>
        <v>260620_ZETA_ROZE_S1</v>
      </c>
    </row>
    <row r="167" spans="1:14">
      <c r="A167" s="23" t="s">
        <v>21</v>
      </c>
      <c r="B167" s="23" t="s">
        <v>117</v>
      </c>
      <c r="C167" s="23" t="s">
        <v>104</v>
      </c>
      <c r="D167" s="23" t="s">
        <v>22</v>
      </c>
      <c r="E167" s="23" t="s">
        <v>188</v>
      </c>
      <c r="F167" s="23">
        <v>23</v>
      </c>
      <c r="G167" s="23">
        <v>9</v>
      </c>
      <c r="H167" s="23">
        <v>0</v>
      </c>
      <c r="I167" s="23">
        <v>11043</v>
      </c>
      <c r="J167" s="23">
        <v>1600</v>
      </c>
      <c r="K167" s="23">
        <v>60</v>
      </c>
      <c r="L167" s="23" t="s">
        <v>270</v>
      </c>
      <c r="M167" s="23">
        <f t="shared" si="2"/>
        <v>703</v>
      </c>
      <c r="N167" s="24" t="str">
        <f t="array" ref="N167">INDEX('MATCH INFO'!O:O, INT((ROW()-2)/10)+2 + 29+29)</f>
        <v>260620_ZETA_ROZE_S1</v>
      </c>
    </row>
    <row r="168" spans="1:14">
      <c r="A168" s="23" t="s">
        <v>21</v>
      </c>
      <c r="B168" s="23" t="s">
        <v>116</v>
      </c>
      <c r="C168" s="23" t="s">
        <v>101</v>
      </c>
      <c r="D168" s="23" t="s">
        <v>22</v>
      </c>
      <c r="E168" s="23" t="s">
        <v>188</v>
      </c>
      <c r="F168" s="23">
        <v>28</v>
      </c>
      <c r="G168" s="23">
        <v>4</v>
      </c>
      <c r="H168" s="23">
        <v>21</v>
      </c>
      <c r="I168" s="23">
        <v>16975</v>
      </c>
      <c r="J168" s="23">
        <v>4239</v>
      </c>
      <c r="K168" s="23">
        <v>6156</v>
      </c>
      <c r="L168" s="23" t="s">
        <v>270</v>
      </c>
      <c r="M168" s="23">
        <f t="shared" si="2"/>
        <v>703</v>
      </c>
      <c r="N168" s="24" t="str">
        <f t="array" ref="N168">INDEX('MATCH INFO'!O:O, INT((ROW()-2)/10)+2 + 29+29)</f>
        <v>260620_ZETA_ROZE_S1</v>
      </c>
    </row>
    <row r="169" spans="1:14">
      <c r="A169" s="23" t="s">
        <v>21</v>
      </c>
      <c r="B169" s="23" t="s">
        <v>122</v>
      </c>
      <c r="C169" s="23" t="s">
        <v>109</v>
      </c>
      <c r="D169" s="23" t="s">
        <v>22</v>
      </c>
      <c r="E169" s="23" t="s">
        <v>188</v>
      </c>
      <c r="F169" s="23">
        <v>15</v>
      </c>
      <c r="G169" s="23">
        <v>3</v>
      </c>
      <c r="H169" s="23">
        <v>28</v>
      </c>
      <c r="I169" s="23">
        <v>6525</v>
      </c>
      <c r="J169" s="23">
        <v>18611</v>
      </c>
      <c r="K169" s="23">
        <v>0</v>
      </c>
      <c r="L169" s="23" t="s">
        <v>270</v>
      </c>
      <c r="M169" s="23">
        <f t="shared" si="2"/>
        <v>703</v>
      </c>
      <c r="N169" s="24" t="str">
        <f t="array" ref="N169">INDEX('MATCH INFO'!O:O, INT((ROW()-2)/10)+2 + 29+29)</f>
        <v>260620_ZETA_ROZE_S1</v>
      </c>
    </row>
    <row r="170" spans="1:14">
      <c r="A170" s="23" t="s">
        <v>21</v>
      </c>
      <c r="B170" s="23" t="s">
        <v>120</v>
      </c>
      <c r="C170" s="23" t="s">
        <v>109</v>
      </c>
      <c r="D170" s="23" t="s">
        <v>22</v>
      </c>
      <c r="E170" s="23" t="s">
        <v>188</v>
      </c>
      <c r="F170" s="23">
        <v>19</v>
      </c>
      <c r="G170" s="23">
        <v>6</v>
      </c>
      <c r="H170" s="23">
        <v>19</v>
      </c>
      <c r="I170" s="23">
        <v>6083</v>
      </c>
      <c r="J170" s="23">
        <v>12523</v>
      </c>
      <c r="K170" s="23">
        <v>2758</v>
      </c>
      <c r="L170" s="23" t="s">
        <v>270</v>
      </c>
      <c r="M170" s="23">
        <f t="shared" si="2"/>
        <v>703</v>
      </c>
      <c r="N170" s="24" t="str">
        <f t="array" ref="N170">INDEX('MATCH INFO'!O:O, INT((ROW()-2)/10)+2 + 29+29)</f>
        <v>260620_ZETA_ROZE_S1</v>
      </c>
    </row>
    <row r="171" spans="1:14">
      <c r="A171" s="23" t="s">
        <v>21</v>
      </c>
      <c r="B171" s="23" t="s">
        <v>119</v>
      </c>
      <c r="C171" s="23" t="s">
        <v>104</v>
      </c>
      <c r="D171" s="23" t="s">
        <v>22</v>
      </c>
      <c r="E171" s="23" t="s">
        <v>188</v>
      </c>
      <c r="F171" s="23">
        <v>22</v>
      </c>
      <c r="G171" s="23">
        <v>8</v>
      </c>
      <c r="H171" s="23">
        <v>1</v>
      </c>
      <c r="I171" s="23">
        <v>15179</v>
      </c>
      <c r="J171" s="23">
        <v>75</v>
      </c>
      <c r="K171" s="23">
        <v>401</v>
      </c>
      <c r="L171" s="23" t="s">
        <v>270</v>
      </c>
      <c r="M171" s="23">
        <f t="shared" si="2"/>
        <v>703</v>
      </c>
      <c r="N171" s="24" t="str">
        <f t="array" ref="N171">INDEX('MATCH INFO'!O:O, INT((ROW()-2)/10)+2 + 29+29)</f>
        <v>260620_ZETA_ROZE_S1</v>
      </c>
    </row>
    <row r="172" spans="1:14">
      <c r="A172" s="23" t="s">
        <v>21</v>
      </c>
      <c r="B172" s="23" t="s">
        <v>117</v>
      </c>
      <c r="C172" s="23" t="s">
        <v>104</v>
      </c>
      <c r="D172" s="23" t="s">
        <v>44</v>
      </c>
      <c r="E172" s="23" t="s">
        <v>190</v>
      </c>
      <c r="F172" s="23">
        <v>14</v>
      </c>
      <c r="G172" s="23">
        <v>9</v>
      </c>
      <c r="H172" s="23">
        <v>0</v>
      </c>
      <c r="I172" s="23">
        <v>9374</v>
      </c>
      <c r="J172" s="23">
        <v>1591</v>
      </c>
      <c r="K172" s="23">
        <v>0</v>
      </c>
      <c r="L172" s="23" t="s">
        <v>271</v>
      </c>
      <c r="M172" s="23">
        <f t="shared" si="2"/>
        <v>593</v>
      </c>
      <c r="N172" s="24" t="str">
        <f t="array" ref="N172">INDEX('MATCH INFO'!O:O, INT((ROW()-2)/10)+2 + 29+29)</f>
        <v>260620_ZETA_ROZE_S2</v>
      </c>
    </row>
    <row r="173" spans="1:14">
      <c r="A173" s="23" t="s">
        <v>21</v>
      </c>
      <c r="B173" s="23" t="s">
        <v>116</v>
      </c>
      <c r="C173" s="23" t="s">
        <v>101</v>
      </c>
      <c r="D173" s="23" t="s">
        <v>44</v>
      </c>
      <c r="E173" s="23" t="s">
        <v>190</v>
      </c>
      <c r="F173" s="23">
        <v>10</v>
      </c>
      <c r="G173" s="23">
        <v>6</v>
      </c>
      <c r="H173" s="23">
        <v>6</v>
      </c>
      <c r="I173" s="23">
        <v>12003</v>
      </c>
      <c r="J173" s="23">
        <v>3767</v>
      </c>
      <c r="K173" s="23">
        <v>7155</v>
      </c>
      <c r="L173" s="23" t="s">
        <v>271</v>
      </c>
      <c r="M173" s="23">
        <f t="shared" si="2"/>
        <v>593</v>
      </c>
      <c r="N173" s="24" t="str">
        <f t="array" ref="N173">INDEX('MATCH INFO'!O:O, INT((ROW()-2)/10)+2 + 29+29)</f>
        <v>260620_ZETA_ROZE_S2</v>
      </c>
    </row>
    <row r="174" spans="1:14">
      <c r="A174" s="23" t="s">
        <v>21</v>
      </c>
      <c r="B174" s="23" t="s">
        <v>122</v>
      </c>
      <c r="C174" s="23" t="s">
        <v>109</v>
      </c>
      <c r="D174" s="23" t="s">
        <v>44</v>
      </c>
      <c r="E174" s="23" t="s">
        <v>190</v>
      </c>
      <c r="F174" s="23">
        <v>8</v>
      </c>
      <c r="G174" s="23">
        <v>9</v>
      </c>
      <c r="H174" s="23">
        <v>13</v>
      </c>
      <c r="I174" s="23">
        <v>5851</v>
      </c>
      <c r="J174" s="23">
        <v>16011</v>
      </c>
      <c r="K174" s="23">
        <v>0</v>
      </c>
      <c r="L174" s="23" t="s">
        <v>271</v>
      </c>
      <c r="M174" s="23">
        <f t="shared" si="2"/>
        <v>593</v>
      </c>
      <c r="N174" s="24" t="str">
        <f t="array" ref="N174">INDEX('MATCH INFO'!O:O, INT((ROW()-2)/10)+2 + 29+29)</f>
        <v>260620_ZETA_ROZE_S2</v>
      </c>
    </row>
    <row r="175" spans="1:14">
      <c r="A175" s="23" t="s">
        <v>21</v>
      </c>
      <c r="B175" s="23" t="s">
        <v>120</v>
      </c>
      <c r="C175" s="23" t="s">
        <v>109</v>
      </c>
      <c r="D175" s="23" t="s">
        <v>44</v>
      </c>
      <c r="E175" s="23" t="s">
        <v>190</v>
      </c>
      <c r="F175" s="23">
        <v>12</v>
      </c>
      <c r="G175" s="23">
        <v>9</v>
      </c>
      <c r="H175" s="23">
        <v>12</v>
      </c>
      <c r="I175" s="23">
        <v>4502</v>
      </c>
      <c r="J175" s="23">
        <v>8676</v>
      </c>
      <c r="K175" s="23">
        <v>2326</v>
      </c>
      <c r="L175" s="23" t="s">
        <v>271</v>
      </c>
      <c r="M175" s="23">
        <f t="shared" si="2"/>
        <v>593</v>
      </c>
      <c r="N175" s="24" t="str">
        <f t="array" ref="N175">INDEX('MATCH INFO'!O:O, INT((ROW()-2)/10)+2 + 29+29)</f>
        <v>260620_ZETA_ROZE_S2</v>
      </c>
    </row>
    <row r="176" spans="1:14">
      <c r="A176" s="23" t="s">
        <v>21</v>
      </c>
      <c r="B176" s="23" t="s">
        <v>119</v>
      </c>
      <c r="C176" s="23" t="s">
        <v>104</v>
      </c>
      <c r="D176" s="23" t="s">
        <v>44</v>
      </c>
      <c r="E176" s="23" t="s">
        <v>190</v>
      </c>
      <c r="F176" s="23">
        <v>13</v>
      </c>
      <c r="G176" s="23">
        <v>9</v>
      </c>
      <c r="H176" s="23">
        <v>2</v>
      </c>
      <c r="I176" s="23">
        <v>12544</v>
      </c>
      <c r="J176" s="23">
        <v>0</v>
      </c>
      <c r="K176" s="23">
        <v>618</v>
      </c>
      <c r="L176" s="23" t="s">
        <v>271</v>
      </c>
      <c r="M176" s="23">
        <f t="shared" si="2"/>
        <v>593</v>
      </c>
      <c r="N176" s="24" t="str">
        <f t="array" ref="N176">INDEX('MATCH INFO'!O:O, INT((ROW()-2)/10)+2 + 29+29)</f>
        <v>260620_ZETA_ROZE_S2</v>
      </c>
    </row>
    <row r="177" spans="1:14">
      <c r="A177" s="23" t="s">
        <v>42</v>
      </c>
      <c r="B177" s="23" t="s">
        <v>139</v>
      </c>
      <c r="C177" s="23" t="s">
        <v>101</v>
      </c>
      <c r="D177" s="23" t="s">
        <v>44</v>
      </c>
      <c r="E177" s="23" t="s">
        <v>190</v>
      </c>
      <c r="F177" s="23">
        <v>34</v>
      </c>
      <c r="G177" s="23">
        <v>5</v>
      </c>
      <c r="H177" s="23">
        <v>12</v>
      </c>
      <c r="I177" s="23">
        <v>12335</v>
      </c>
      <c r="J177" s="23">
        <v>2845</v>
      </c>
      <c r="K177" s="23">
        <v>6947</v>
      </c>
      <c r="L177" s="23" t="s">
        <v>271</v>
      </c>
      <c r="M177" s="23">
        <f t="shared" si="2"/>
        <v>593</v>
      </c>
      <c r="N177" s="24" t="str">
        <f t="array" ref="N177">INDEX('MATCH INFO'!O:O, INT((ROW()-2)/10)+2 + 29+29)</f>
        <v>260620_ZETA_ROZE_S2</v>
      </c>
    </row>
    <row r="178" spans="1:14">
      <c r="A178" s="23" t="s">
        <v>42</v>
      </c>
      <c r="B178" s="23" t="s">
        <v>141</v>
      </c>
      <c r="C178" s="23" t="s">
        <v>104</v>
      </c>
      <c r="D178" s="23" t="s">
        <v>44</v>
      </c>
      <c r="E178" s="23" t="s">
        <v>190</v>
      </c>
      <c r="F178" s="23">
        <v>33</v>
      </c>
      <c r="G178" s="23">
        <v>3</v>
      </c>
      <c r="H178" s="23">
        <v>0</v>
      </c>
      <c r="I178" s="23">
        <v>13422</v>
      </c>
      <c r="J178" s="23">
        <v>1448</v>
      </c>
      <c r="K178" s="23">
        <v>0</v>
      </c>
      <c r="L178" s="23" t="s">
        <v>271</v>
      </c>
      <c r="M178" s="23">
        <f t="shared" si="2"/>
        <v>593</v>
      </c>
      <c r="N178" s="24" t="str">
        <f t="array" ref="N178">INDEX('MATCH INFO'!O:O, INT((ROW()-2)/10)+2 + 29+29)</f>
        <v>260620_ZETA_ROZE_S2</v>
      </c>
    </row>
    <row r="179" spans="1:14">
      <c r="A179" s="23" t="s">
        <v>42</v>
      </c>
      <c r="B179" s="23" t="s">
        <v>140</v>
      </c>
      <c r="C179" s="23" t="s">
        <v>104</v>
      </c>
      <c r="D179" s="23" t="s">
        <v>44</v>
      </c>
      <c r="E179" s="23" t="s">
        <v>190</v>
      </c>
      <c r="F179" s="23">
        <v>28</v>
      </c>
      <c r="G179" s="23">
        <v>3</v>
      </c>
      <c r="H179" s="23">
        <v>0</v>
      </c>
      <c r="I179" s="23">
        <v>14211</v>
      </c>
      <c r="J179" s="23">
        <v>75</v>
      </c>
      <c r="K179" s="23">
        <v>506</v>
      </c>
      <c r="L179" s="23" t="s">
        <v>271</v>
      </c>
      <c r="M179" s="23">
        <f t="shared" si="2"/>
        <v>593</v>
      </c>
      <c r="N179" s="24" t="str">
        <f t="array" ref="N179">INDEX('MATCH INFO'!O:O, INT((ROW()-2)/10)+2 + 29+29)</f>
        <v>260620_ZETA_ROZE_S2</v>
      </c>
    </row>
    <row r="180" spans="1:14">
      <c r="A180" s="23" t="s">
        <v>42</v>
      </c>
      <c r="B180" s="23" t="s">
        <v>143</v>
      </c>
      <c r="C180" s="23" t="s">
        <v>109</v>
      </c>
      <c r="D180" s="23" t="s">
        <v>44</v>
      </c>
      <c r="E180" s="23" t="s">
        <v>190</v>
      </c>
      <c r="F180" s="23">
        <v>15</v>
      </c>
      <c r="G180" s="23">
        <v>4</v>
      </c>
      <c r="H180" s="23">
        <v>36</v>
      </c>
      <c r="I180" s="23">
        <v>5563</v>
      </c>
      <c r="J180" s="23">
        <v>17102</v>
      </c>
      <c r="K180" s="23">
        <v>0</v>
      </c>
      <c r="L180" s="23" t="s">
        <v>271</v>
      </c>
      <c r="M180" s="23">
        <f t="shared" si="2"/>
        <v>593</v>
      </c>
      <c r="N180" s="24" t="str">
        <f t="array" ref="N180">INDEX('MATCH INFO'!O:O, INT((ROW()-2)/10)+2 + 29+29)</f>
        <v>260620_ZETA_ROZE_S2</v>
      </c>
    </row>
    <row r="181" spans="1:14">
      <c r="A181" s="23" t="s">
        <v>42</v>
      </c>
      <c r="B181" s="23" t="s">
        <v>142</v>
      </c>
      <c r="C181" s="23" t="s">
        <v>109</v>
      </c>
      <c r="D181" s="23" t="s">
        <v>44</v>
      </c>
      <c r="E181" s="23" t="s">
        <v>190</v>
      </c>
      <c r="F181" s="23">
        <v>24</v>
      </c>
      <c r="G181" s="23">
        <v>3</v>
      </c>
      <c r="H181" s="23">
        <v>26</v>
      </c>
      <c r="I181" s="23">
        <v>6922</v>
      </c>
      <c r="J181" s="23">
        <v>8202</v>
      </c>
      <c r="K181" s="23">
        <v>2047</v>
      </c>
      <c r="L181" s="23" t="s">
        <v>271</v>
      </c>
      <c r="M181" s="23">
        <f t="shared" si="2"/>
        <v>593</v>
      </c>
      <c r="N181" s="24" t="str">
        <f t="array" ref="N181">INDEX('MATCH INFO'!O:O, INT((ROW()-2)/10)+2 + 29+29)</f>
        <v>260620_ZETA_ROZE_S2</v>
      </c>
    </row>
    <row r="182" spans="1:14">
      <c r="A182" s="23" t="s">
        <v>21</v>
      </c>
      <c r="B182" s="23" t="s">
        <v>117</v>
      </c>
      <c r="C182" s="23" t="s">
        <v>104</v>
      </c>
      <c r="D182" s="23" t="s">
        <v>28</v>
      </c>
      <c r="E182" s="23" t="s">
        <v>192</v>
      </c>
      <c r="F182" s="23">
        <v>15</v>
      </c>
      <c r="G182" s="23">
        <v>2</v>
      </c>
      <c r="H182" s="23">
        <v>0</v>
      </c>
      <c r="I182" s="23">
        <v>6885</v>
      </c>
      <c r="J182" s="23">
        <v>1176</v>
      </c>
      <c r="K182" s="23">
        <v>0</v>
      </c>
      <c r="L182" s="23" t="s">
        <v>272</v>
      </c>
      <c r="M182" s="23">
        <f t="shared" si="2"/>
        <v>317</v>
      </c>
      <c r="N182" s="24" t="str">
        <f t="array" ref="N182">INDEX('MATCH INFO'!O:O, INT((ROW()-2)/10)+2 + 29+29)</f>
        <v>260620_ZETA_ROZE_S3</v>
      </c>
    </row>
    <row r="183" spans="1:14">
      <c r="A183" s="23" t="s">
        <v>21</v>
      </c>
      <c r="B183" s="23" t="s">
        <v>116</v>
      </c>
      <c r="C183" s="23" t="s">
        <v>101</v>
      </c>
      <c r="D183" s="23" t="s">
        <v>28</v>
      </c>
      <c r="E183" s="23" t="s">
        <v>192</v>
      </c>
      <c r="F183" s="23">
        <v>17</v>
      </c>
      <c r="G183" s="23">
        <v>0</v>
      </c>
      <c r="H183" s="23">
        <v>9</v>
      </c>
      <c r="I183" s="23">
        <v>7084</v>
      </c>
      <c r="J183" s="23">
        <v>1589</v>
      </c>
      <c r="K183" s="23">
        <v>3739</v>
      </c>
      <c r="L183" s="23" t="s">
        <v>272</v>
      </c>
      <c r="M183" s="23">
        <f t="shared" si="2"/>
        <v>317</v>
      </c>
      <c r="N183" s="24" t="str">
        <f t="array" ref="N183">INDEX('MATCH INFO'!O:O, INT((ROW()-2)/10)+2 + 29+29)</f>
        <v>260620_ZETA_ROZE_S3</v>
      </c>
    </row>
    <row r="184" spans="1:14">
      <c r="A184" s="23" t="s">
        <v>21</v>
      </c>
      <c r="B184" s="23" t="s">
        <v>122</v>
      </c>
      <c r="C184" s="23" t="s">
        <v>109</v>
      </c>
      <c r="D184" s="23" t="s">
        <v>28</v>
      </c>
      <c r="E184" s="23" t="s">
        <v>192</v>
      </c>
      <c r="F184" s="23">
        <v>10</v>
      </c>
      <c r="G184" s="23">
        <v>2</v>
      </c>
      <c r="H184" s="23">
        <v>19</v>
      </c>
      <c r="I184" s="23">
        <v>2160</v>
      </c>
      <c r="J184" s="23">
        <v>9988</v>
      </c>
      <c r="K184" s="23">
        <v>0</v>
      </c>
      <c r="L184" s="23" t="s">
        <v>272</v>
      </c>
      <c r="M184" s="23">
        <f t="shared" si="2"/>
        <v>317</v>
      </c>
      <c r="N184" s="24" t="str">
        <f t="array" ref="N184">INDEX('MATCH INFO'!O:O, INT((ROW()-2)/10)+2 + 29+29)</f>
        <v>260620_ZETA_ROZE_S3</v>
      </c>
    </row>
    <row r="185" spans="1:14">
      <c r="A185" s="23" t="s">
        <v>21</v>
      </c>
      <c r="B185" s="23" t="s">
        <v>120</v>
      </c>
      <c r="C185" s="23" t="s">
        <v>109</v>
      </c>
      <c r="D185" s="23" t="s">
        <v>28</v>
      </c>
      <c r="E185" s="23" t="s">
        <v>192</v>
      </c>
      <c r="F185" s="23">
        <v>15</v>
      </c>
      <c r="G185" s="23">
        <v>3</v>
      </c>
      <c r="H185" s="23">
        <v>13</v>
      </c>
      <c r="I185" s="23">
        <v>3008</v>
      </c>
      <c r="J185" s="23">
        <v>5345</v>
      </c>
      <c r="K185" s="23">
        <v>1139</v>
      </c>
      <c r="L185" s="23" t="s">
        <v>272</v>
      </c>
      <c r="M185" s="23">
        <f t="shared" si="2"/>
        <v>317</v>
      </c>
      <c r="N185" s="24" t="str">
        <f t="array" ref="N185">INDEX('MATCH INFO'!O:O, INT((ROW()-2)/10)+2 + 29+29)</f>
        <v>260620_ZETA_ROZE_S3</v>
      </c>
    </row>
    <row r="186" spans="1:14">
      <c r="A186" s="23" t="s">
        <v>21</v>
      </c>
      <c r="B186" s="23" t="s">
        <v>119</v>
      </c>
      <c r="C186" s="23" t="s">
        <v>104</v>
      </c>
      <c r="D186" s="23" t="s">
        <v>28</v>
      </c>
      <c r="E186" s="23" t="s">
        <v>192</v>
      </c>
      <c r="F186" s="23">
        <v>15</v>
      </c>
      <c r="G186" s="23">
        <v>1</v>
      </c>
      <c r="H186" s="23">
        <v>2</v>
      </c>
      <c r="I186" s="23">
        <v>7451</v>
      </c>
      <c r="J186" s="23">
        <v>49</v>
      </c>
      <c r="K186" s="23">
        <v>357</v>
      </c>
      <c r="L186" s="23" t="s">
        <v>272</v>
      </c>
      <c r="M186" s="23">
        <f t="shared" si="2"/>
        <v>317</v>
      </c>
      <c r="N186" s="24" t="str">
        <f t="array" ref="N186">INDEX('MATCH INFO'!O:O, INT((ROW()-2)/10)+2 + 29+29)</f>
        <v>260620_ZETA_ROZE_S3</v>
      </c>
    </row>
    <row r="187" spans="1:14">
      <c r="A187" s="23" t="s">
        <v>42</v>
      </c>
      <c r="B187" s="23" t="s">
        <v>139</v>
      </c>
      <c r="C187" s="23" t="s">
        <v>101</v>
      </c>
      <c r="D187" s="23" t="s">
        <v>28</v>
      </c>
      <c r="E187" s="23" t="s">
        <v>192</v>
      </c>
      <c r="F187" s="23">
        <v>6</v>
      </c>
      <c r="G187" s="23">
        <v>6</v>
      </c>
      <c r="H187" s="23">
        <v>4</v>
      </c>
      <c r="I187" s="23">
        <v>5870</v>
      </c>
      <c r="J187" s="23">
        <v>1308</v>
      </c>
      <c r="K187" s="23">
        <v>4421</v>
      </c>
      <c r="L187" s="23" t="s">
        <v>272</v>
      </c>
      <c r="M187" s="23">
        <f t="shared" si="2"/>
        <v>317</v>
      </c>
      <c r="N187" s="24" t="str">
        <f t="array" ref="N187">INDEX('MATCH INFO'!O:O, INT((ROW()-2)/10)+2 + 29+29)</f>
        <v>260620_ZETA_ROZE_S3</v>
      </c>
    </row>
    <row r="188" spans="1:14">
      <c r="A188" s="23" t="s">
        <v>42</v>
      </c>
      <c r="B188" s="23" t="s">
        <v>141</v>
      </c>
      <c r="C188" s="23" t="s">
        <v>104</v>
      </c>
      <c r="D188" s="23" t="s">
        <v>28</v>
      </c>
      <c r="E188" s="23" t="s">
        <v>192</v>
      </c>
      <c r="F188" s="23">
        <v>8</v>
      </c>
      <c r="G188" s="23">
        <v>4</v>
      </c>
      <c r="H188" s="23">
        <v>0</v>
      </c>
      <c r="I188" s="23">
        <v>7008</v>
      </c>
      <c r="J188" s="23">
        <v>1027</v>
      </c>
      <c r="K188" s="23">
        <v>0</v>
      </c>
      <c r="L188" s="23" t="s">
        <v>272</v>
      </c>
      <c r="M188" s="23">
        <f t="shared" si="2"/>
        <v>317</v>
      </c>
      <c r="N188" s="24" t="str">
        <f t="array" ref="N188">INDEX('MATCH INFO'!O:O, INT((ROW()-2)/10)+2 + 29+29)</f>
        <v>260620_ZETA_ROZE_S3</v>
      </c>
    </row>
    <row r="189" spans="1:14">
      <c r="A189" s="23" t="s">
        <v>42</v>
      </c>
      <c r="B189" s="23" t="s">
        <v>140</v>
      </c>
      <c r="C189" s="23" t="s">
        <v>104</v>
      </c>
      <c r="D189" s="23" t="s">
        <v>28</v>
      </c>
      <c r="E189" s="23" t="s">
        <v>192</v>
      </c>
      <c r="F189" s="23">
        <v>5</v>
      </c>
      <c r="G189" s="23">
        <v>4</v>
      </c>
      <c r="H189" s="23">
        <v>1</v>
      </c>
      <c r="I189" s="23">
        <v>6181</v>
      </c>
      <c r="J189" s="23">
        <v>0</v>
      </c>
      <c r="K189" s="23">
        <v>351</v>
      </c>
      <c r="L189" s="23" t="s">
        <v>272</v>
      </c>
      <c r="M189" s="23">
        <f t="shared" si="2"/>
        <v>317</v>
      </c>
      <c r="N189" s="24" t="str">
        <f t="array" ref="N189">INDEX('MATCH INFO'!O:O, INT((ROW()-2)/10)+2 + 29+29)</f>
        <v>260620_ZETA_ROZE_S3</v>
      </c>
    </row>
    <row r="190" spans="1:14">
      <c r="A190" s="23" t="s">
        <v>42</v>
      </c>
      <c r="B190" s="23" t="s">
        <v>143</v>
      </c>
      <c r="C190" s="23" t="s">
        <v>109</v>
      </c>
      <c r="D190" s="23" t="s">
        <v>28</v>
      </c>
      <c r="E190" s="23" t="s">
        <v>192</v>
      </c>
      <c r="F190" s="23">
        <v>1</v>
      </c>
      <c r="G190" s="23">
        <v>4</v>
      </c>
      <c r="H190" s="23">
        <v>3</v>
      </c>
      <c r="I190" s="23">
        <v>2394</v>
      </c>
      <c r="J190" s="23">
        <v>7855</v>
      </c>
      <c r="K190" s="23">
        <v>0</v>
      </c>
      <c r="L190" s="23" t="s">
        <v>272</v>
      </c>
      <c r="M190" s="23">
        <f t="shared" si="2"/>
        <v>317</v>
      </c>
      <c r="N190" s="24" t="str">
        <f t="array" ref="N190">INDEX('MATCH INFO'!O:O, INT((ROW()-2)/10)+2 + 29+29)</f>
        <v>260620_ZETA_ROZE_S3</v>
      </c>
    </row>
    <row r="191" spans="1:14">
      <c r="A191" s="23" t="s">
        <v>42</v>
      </c>
      <c r="B191" s="23" t="s">
        <v>142</v>
      </c>
      <c r="C191" s="23" t="s">
        <v>109</v>
      </c>
      <c r="D191" s="23" t="s">
        <v>28</v>
      </c>
      <c r="E191" s="23" t="s">
        <v>192</v>
      </c>
      <c r="F191" s="23">
        <v>3</v>
      </c>
      <c r="G191" s="23">
        <v>4</v>
      </c>
      <c r="H191" s="23">
        <v>3</v>
      </c>
      <c r="I191" s="23">
        <v>2960</v>
      </c>
      <c r="J191" s="23">
        <v>4067</v>
      </c>
      <c r="K191" s="23">
        <v>1113</v>
      </c>
      <c r="L191" s="23" t="s">
        <v>272</v>
      </c>
      <c r="M191" s="23">
        <f t="shared" si="2"/>
        <v>317</v>
      </c>
      <c r="N191" s="24" t="str">
        <f t="array" ref="N191">INDEX('MATCH INFO'!O:O, INT((ROW()-2)/10)+2 + 29+29)</f>
        <v>260620_ZETA_ROZE_S3</v>
      </c>
    </row>
    <row r="192" spans="1:14">
      <c r="A192" s="23" t="s">
        <v>21</v>
      </c>
      <c r="B192" s="23" t="s">
        <v>117</v>
      </c>
      <c r="C192" s="23" t="s">
        <v>104</v>
      </c>
      <c r="D192" s="23" t="s">
        <v>63</v>
      </c>
      <c r="E192" s="23" t="s">
        <v>201</v>
      </c>
      <c r="F192" s="23">
        <v>13</v>
      </c>
      <c r="G192" s="23">
        <v>9</v>
      </c>
      <c r="H192" s="23">
        <v>0</v>
      </c>
      <c r="I192" s="23">
        <v>11341</v>
      </c>
      <c r="J192" s="23">
        <v>462</v>
      </c>
      <c r="K192" s="23">
        <v>65</v>
      </c>
      <c r="L192" s="23" t="s">
        <v>273</v>
      </c>
      <c r="M192" s="23">
        <f t="shared" si="2"/>
        <v>889.99999999999989</v>
      </c>
      <c r="N192" s="24" t="str">
        <f t="array" ref="N192">INDEX('MATCH INFO'!O:O, INT((ROW()-2)/10)+2 + 29+29)</f>
        <v>260620_ZETA_ROZE_S4</v>
      </c>
    </row>
    <row r="193" spans="1:14">
      <c r="A193" s="23" t="s">
        <v>21</v>
      </c>
      <c r="B193" s="23" t="s">
        <v>116</v>
      </c>
      <c r="C193" s="23" t="s">
        <v>101</v>
      </c>
      <c r="D193" s="23" t="s">
        <v>63</v>
      </c>
      <c r="E193" s="23" t="s">
        <v>201</v>
      </c>
      <c r="F193" s="23">
        <v>17</v>
      </c>
      <c r="G193" s="23">
        <v>12</v>
      </c>
      <c r="H193" s="23">
        <v>9</v>
      </c>
      <c r="I193" s="23">
        <v>10477</v>
      </c>
      <c r="J193" s="23">
        <v>2275</v>
      </c>
      <c r="K193" s="23">
        <v>15522</v>
      </c>
      <c r="L193" s="23" t="s">
        <v>273</v>
      </c>
      <c r="M193" s="23">
        <f t="shared" si="2"/>
        <v>889.99999999999989</v>
      </c>
      <c r="N193" s="24" t="str">
        <f t="array" ref="N193">INDEX('MATCH INFO'!O:O, INT((ROW()-2)/10)+2 + 29+29)</f>
        <v>260620_ZETA_ROZE_S4</v>
      </c>
    </row>
    <row r="194" spans="1:14">
      <c r="A194" s="23" t="s">
        <v>21</v>
      </c>
      <c r="B194" s="23" t="s">
        <v>122</v>
      </c>
      <c r="C194" s="23" t="s">
        <v>109</v>
      </c>
      <c r="D194" s="23" t="s">
        <v>63</v>
      </c>
      <c r="E194" s="23" t="s">
        <v>201</v>
      </c>
      <c r="F194" s="23">
        <v>10</v>
      </c>
      <c r="G194" s="23">
        <v>13</v>
      </c>
      <c r="H194" s="23">
        <v>12</v>
      </c>
      <c r="I194" s="23">
        <v>5577</v>
      </c>
      <c r="J194" s="23">
        <v>9922</v>
      </c>
      <c r="K194" s="23">
        <v>66</v>
      </c>
      <c r="L194" s="23" t="s">
        <v>273</v>
      </c>
      <c r="M194" s="23">
        <f t="shared" ref="M194:M257" si="3">L194*86400</f>
        <v>889.99999999999989</v>
      </c>
      <c r="N194" s="24" t="str">
        <f t="array" ref="N194">INDEX('MATCH INFO'!O:O, INT((ROW()-2)/10)+2 + 29+29)</f>
        <v>260620_ZETA_ROZE_S4</v>
      </c>
    </row>
    <row r="195" spans="1:14">
      <c r="A195" s="23" t="s">
        <v>21</v>
      </c>
      <c r="B195" s="23" t="s">
        <v>120</v>
      </c>
      <c r="C195" s="23" t="s">
        <v>109</v>
      </c>
      <c r="D195" s="23" t="s">
        <v>63</v>
      </c>
      <c r="E195" s="23" t="s">
        <v>201</v>
      </c>
      <c r="F195" s="23">
        <v>6</v>
      </c>
      <c r="G195" s="23">
        <v>12</v>
      </c>
      <c r="H195" s="23">
        <v>12</v>
      </c>
      <c r="I195" s="23">
        <v>3202</v>
      </c>
      <c r="J195" s="23">
        <v>8418</v>
      </c>
      <c r="K195" s="23">
        <v>348</v>
      </c>
      <c r="L195" s="23" t="s">
        <v>273</v>
      </c>
      <c r="M195" s="23">
        <f t="shared" si="3"/>
        <v>889.99999999999989</v>
      </c>
      <c r="N195" s="24" t="str">
        <f t="array" ref="N195">INDEX('MATCH INFO'!O:O, INT((ROW()-2)/10)+2 + 29+29)</f>
        <v>260620_ZETA_ROZE_S4</v>
      </c>
    </row>
    <row r="196" spans="1:14">
      <c r="A196" s="23" t="s">
        <v>21</v>
      </c>
      <c r="B196" s="23" t="s">
        <v>119</v>
      </c>
      <c r="C196" s="23" t="s">
        <v>104</v>
      </c>
      <c r="D196" s="23" t="s">
        <v>63</v>
      </c>
      <c r="E196" s="23" t="s">
        <v>201</v>
      </c>
      <c r="F196" s="23">
        <v>16</v>
      </c>
      <c r="G196" s="23">
        <v>11</v>
      </c>
      <c r="H196" s="23">
        <v>1</v>
      </c>
      <c r="I196" s="23">
        <v>18273</v>
      </c>
      <c r="J196" s="23">
        <v>193</v>
      </c>
      <c r="K196" s="23">
        <v>622</v>
      </c>
      <c r="L196" s="23" t="s">
        <v>273</v>
      </c>
      <c r="M196" s="23">
        <f t="shared" si="3"/>
        <v>889.99999999999989</v>
      </c>
      <c r="N196" s="24" t="str">
        <f t="array" ref="N196">INDEX('MATCH INFO'!O:O, INT((ROW()-2)/10)+2 + 29+29)</f>
        <v>260620_ZETA_ROZE_S4</v>
      </c>
    </row>
    <row r="197" spans="1:14">
      <c r="A197" s="23" t="s">
        <v>42</v>
      </c>
      <c r="B197" s="23" t="s">
        <v>141</v>
      </c>
      <c r="C197" s="23" t="s">
        <v>104</v>
      </c>
      <c r="D197" s="23" t="s">
        <v>63</v>
      </c>
      <c r="E197" s="23" t="s">
        <v>201</v>
      </c>
      <c r="F197" s="23">
        <v>31</v>
      </c>
      <c r="G197" s="23">
        <v>6</v>
      </c>
      <c r="H197" s="23">
        <v>8</v>
      </c>
      <c r="I197" s="23">
        <v>14522</v>
      </c>
      <c r="J197" s="23">
        <v>1419</v>
      </c>
      <c r="K197" s="23">
        <v>2078</v>
      </c>
      <c r="L197" s="23" t="s">
        <v>273</v>
      </c>
      <c r="M197" s="23">
        <f t="shared" si="3"/>
        <v>889.99999999999989</v>
      </c>
      <c r="N197" s="24" t="str">
        <f t="array" ref="N197">INDEX('MATCH INFO'!O:O, INT((ROW()-2)/10)+2 + 29+29)</f>
        <v>260620_ZETA_ROZE_S4</v>
      </c>
    </row>
    <row r="198" spans="1:14">
      <c r="A198" s="23" t="s">
        <v>42</v>
      </c>
      <c r="B198" s="23" t="s">
        <v>138</v>
      </c>
      <c r="C198" s="23" t="s">
        <v>101</v>
      </c>
      <c r="D198" s="23" t="s">
        <v>63</v>
      </c>
      <c r="E198" s="23" t="s">
        <v>201</v>
      </c>
      <c r="F198" s="23">
        <v>28</v>
      </c>
      <c r="G198" s="23">
        <v>3</v>
      </c>
      <c r="H198" s="23">
        <v>6</v>
      </c>
      <c r="I198" s="23">
        <v>10085</v>
      </c>
      <c r="J198" s="23">
        <v>2383</v>
      </c>
      <c r="K198" s="23">
        <v>8353</v>
      </c>
      <c r="L198" s="23" t="s">
        <v>273</v>
      </c>
      <c r="M198" s="23">
        <f t="shared" si="3"/>
        <v>889.99999999999989</v>
      </c>
      <c r="N198" s="24" t="str">
        <f t="array" ref="N198">INDEX('MATCH INFO'!O:O, INT((ROW()-2)/10)+2 + 29+29)</f>
        <v>260620_ZETA_ROZE_S4</v>
      </c>
    </row>
    <row r="199" spans="1:14">
      <c r="A199" s="23" t="s">
        <v>42</v>
      </c>
      <c r="B199" s="23" t="s">
        <v>140</v>
      </c>
      <c r="C199" s="23" t="s">
        <v>104</v>
      </c>
      <c r="D199" s="23" t="s">
        <v>63</v>
      </c>
      <c r="E199" s="23" t="s">
        <v>201</v>
      </c>
      <c r="F199" s="23">
        <v>36</v>
      </c>
      <c r="G199" s="23">
        <v>5</v>
      </c>
      <c r="H199" s="23">
        <v>0</v>
      </c>
      <c r="I199" s="23">
        <v>14698</v>
      </c>
      <c r="J199" s="23">
        <v>168</v>
      </c>
      <c r="K199" s="23">
        <v>307</v>
      </c>
      <c r="L199" s="23" t="s">
        <v>273</v>
      </c>
      <c r="M199" s="23">
        <f t="shared" si="3"/>
        <v>889.99999999999989</v>
      </c>
      <c r="N199" s="24" t="str">
        <f t="array" ref="N199">INDEX('MATCH INFO'!O:O, INT((ROW()-2)/10)+2 + 29+29)</f>
        <v>260620_ZETA_ROZE_S4</v>
      </c>
    </row>
    <row r="200" spans="1:14">
      <c r="A200" s="23" t="s">
        <v>42</v>
      </c>
      <c r="B200" s="23" t="s">
        <v>143</v>
      </c>
      <c r="C200" s="23" t="s">
        <v>109</v>
      </c>
      <c r="D200" s="23" t="s">
        <v>63</v>
      </c>
      <c r="E200" s="23" t="s">
        <v>201</v>
      </c>
      <c r="F200" s="23">
        <v>22</v>
      </c>
      <c r="G200" s="23">
        <v>9</v>
      </c>
      <c r="H200" s="23">
        <v>21</v>
      </c>
      <c r="I200" s="23">
        <v>7330</v>
      </c>
      <c r="J200" s="23">
        <v>8897</v>
      </c>
      <c r="K200" s="23">
        <v>416</v>
      </c>
      <c r="L200" s="23" t="s">
        <v>273</v>
      </c>
      <c r="M200" s="23">
        <f t="shared" si="3"/>
        <v>889.99999999999989</v>
      </c>
      <c r="N200" s="24" t="str">
        <f t="array" ref="N200">INDEX('MATCH INFO'!O:O, INT((ROW()-2)/10)+2 + 29+29)</f>
        <v>260620_ZETA_ROZE_S4</v>
      </c>
    </row>
    <row r="201" spans="1:14">
      <c r="A201" s="23" t="s">
        <v>42</v>
      </c>
      <c r="B201" s="23" t="s">
        <v>142</v>
      </c>
      <c r="C201" s="23" t="s">
        <v>109</v>
      </c>
      <c r="D201" s="23" t="s">
        <v>63</v>
      </c>
      <c r="E201" s="23" t="s">
        <v>201</v>
      </c>
      <c r="F201" s="23">
        <v>27</v>
      </c>
      <c r="G201" s="23">
        <v>6</v>
      </c>
      <c r="H201" s="23">
        <v>18</v>
      </c>
      <c r="I201" s="23">
        <v>5530</v>
      </c>
      <c r="J201" s="23">
        <v>10789</v>
      </c>
      <c r="K201" s="23">
        <v>0</v>
      </c>
      <c r="L201" s="23" t="s">
        <v>273</v>
      </c>
      <c r="M201" s="23">
        <f t="shared" si="3"/>
        <v>889.99999999999989</v>
      </c>
      <c r="N201" s="24" t="str">
        <f t="array" ref="N201">INDEX('MATCH INFO'!O:O, INT((ROW()-2)/10)+2 + 29+29)</f>
        <v>260620_ZETA_ROZE_S4</v>
      </c>
    </row>
    <row r="202" spans="1:14">
      <c r="A202" s="23" t="s">
        <v>21</v>
      </c>
      <c r="B202" s="23" t="s">
        <v>117</v>
      </c>
      <c r="C202" s="23" t="s">
        <v>104</v>
      </c>
      <c r="D202" s="23" t="s">
        <v>37</v>
      </c>
      <c r="E202" s="23" t="s">
        <v>196</v>
      </c>
      <c r="F202" s="23">
        <v>31</v>
      </c>
      <c r="G202" s="23">
        <v>12</v>
      </c>
      <c r="H202" s="23">
        <v>6</v>
      </c>
      <c r="I202" s="23">
        <v>17222</v>
      </c>
      <c r="J202" s="23">
        <v>1880</v>
      </c>
      <c r="K202" s="23">
        <v>4466</v>
      </c>
      <c r="L202" s="23" t="s">
        <v>274</v>
      </c>
      <c r="M202" s="23">
        <f t="shared" si="3"/>
        <v>1044</v>
      </c>
      <c r="N202" s="24" t="str">
        <f t="array" ref="N202">INDEX('MATCH INFO'!O:O, INT((ROW()-2)/10)+2 + 29+29)</f>
        <v>260620_ZETA_ROZE_S5</v>
      </c>
    </row>
    <row r="203" spans="1:14">
      <c r="A203" s="23" t="s">
        <v>21</v>
      </c>
      <c r="B203" s="23" t="s">
        <v>116</v>
      </c>
      <c r="C203" s="23" t="s">
        <v>101</v>
      </c>
      <c r="D203" s="23" t="s">
        <v>37</v>
      </c>
      <c r="E203" s="23" t="s">
        <v>196</v>
      </c>
      <c r="F203" s="23">
        <v>26</v>
      </c>
      <c r="G203" s="23">
        <v>12</v>
      </c>
      <c r="H203" s="23">
        <v>5</v>
      </c>
      <c r="I203" s="23">
        <v>14483</v>
      </c>
      <c r="J203" s="23">
        <v>1976</v>
      </c>
      <c r="K203" s="23">
        <v>28842</v>
      </c>
      <c r="L203" s="23" t="s">
        <v>274</v>
      </c>
      <c r="M203" s="23">
        <f t="shared" si="3"/>
        <v>1044</v>
      </c>
      <c r="N203" s="24" t="str">
        <f t="array" ref="N203">INDEX('MATCH INFO'!O:O, INT((ROW()-2)/10)+2 + 29+29)</f>
        <v>260620_ZETA_ROZE_S5</v>
      </c>
    </row>
    <row r="204" spans="1:14">
      <c r="A204" s="23" t="s">
        <v>21</v>
      </c>
      <c r="B204" s="23" t="s">
        <v>122</v>
      </c>
      <c r="C204" s="23" t="s">
        <v>109</v>
      </c>
      <c r="D204" s="23" t="s">
        <v>37</v>
      </c>
      <c r="E204" s="23" t="s">
        <v>196</v>
      </c>
      <c r="F204" s="23">
        <v>18</v>
      </c>
      <c r="G204" s="23">
        <v>11</v>
      </c>
      <c r="H204" s="23">
        <v>28</v>
      </c>
      <c r="I204" s="23">
        <v>5328</v>
      </c>
      <c r="J204" s="23">
        <v>21579</v>
      </c>
      <c r="K204" s="23">
        <v>612</v>
      </c>
      <c r="L204" s="23" t="s">
        <v>274</v>
      </c>
      <c r="M204" s="23">
        <f t="shared" si="3"/>
        <v>1044</v>
      </c>
      <c r="N204" s="24" t="str">
        <f t="array" ref="N204">INDEX('MATCH INFO'!O:O, INT((ROW()-2)/10)+2 + 29+29)</f>
        <v>260620_ZETA_ROZE_S5</v>
      </c>
    </row>
    <row r="205" spans="1:14">
      <c r="A205" s="23" t="s">
        <v>21</v>
      </c>
      <c r="B205" s="23" t="s">
        <v>120</v>
      </c>
      <c r="C205" s="23" t="s">
        <v>109</v>
      </c>
      <c r="D205" s="23" t="s">
        <v>37</v>
      </c>
      <c r="E205" s="23" t="s">
        <v>196</v>
      </c>
      <c r="F205" s="23">
        <v>24</v>
      </c>
      <c r="G205" s="23">
        <v>11</v>
      </c>
      <c r="H205" s="23">
        <v>24</v>
      </c>
      <c r="I205" s="23">
        <v>5700</v>
      </c>
      <c r="J205" s="23">
        <v>10594</v>
      </c>
      <c r="K205" s="23">
        <v>2312</v>
      </c>
      <c r="L205" s="23" t="s">
        <v>274</v>
      </c>
      <c r="M205" s="23">
        <f t="shared" si="3"/>
        <v>1044</v>
      </c>
      <c r="N205" s="24" t="str">
        <f t="array" ref="N205">INDEX('MATCH INFO'!O:O, INT((ROW()-2)/10)+2 + 29+29)</f>
        <v>260620_ZETA_ROZE_S5</v>
      </c>
    </row>
    <row r="206" spans="1:14">
      <c r="A206" s="23" t="s">
        <v>21</v>
      </c>
      <c r="B206" s="23" t="s">
        <v>119</v>
      </c>
      <c r="C206" s="23" t="s">
        <v>104</v>
      </c>
      <c r="D206" s="23" t="s">
        <v>37</v>
      </c>
      <c r="E206" s="23" t="s">
        <v>196</v>
      </c>
      <c r="F206" s="23">
        <v>35</v>
      </c>
      <c r="G206" s="23">
        <v>13</v>
      </c>
      <c r="H206" s="23">
        <v>3</v>
      </c>
      <c r="I206" s="23">
        <v>17422</v>
      </c>
      <c r="J206" s="23">
        <v>222</v>
      </c>
      <c r="K206" s="23">
        <v>1022</v>
      </c>
      <c r="L206" s="23" t="s">
        <v>274</v>
      </c>
      <c r="M206" s="23">
        <f t="shared" si="3"/>
        <v>1044</v>
      </c>
      <c r="N206" s="24" t="str">
        <f t="array" ref="N206">INDEX('MATCH INFO'!O:O, INT((ROW()-2)/10)+2 + 29+29)</f>
        <v>260620_ZETA_ROZE_S5</v>
      </c>
    </row>
    <row r="207" spans="1:14">
      <c r="A207" s="23" t="s">
        <v>42</v>
      </c>
      <c r="B207" s="23" t="s">
        <v>139</v>
      </c>
      <c r="C207" s="23" t="s">
        <v>101</v>
      </c>
      <c r="D207" s="23" t="s">
        <v>37</v>
      </c>
      <c r="E207" s="23" t="s">
        <v>196</v>
      </c>
      <c r="F207" s="23">
        <v>37</v>
      </c>
      <c r="G207" s="23">
        <v>7</v>
      </c>
      <c r="H207" s="23">
        <v>11</v>
      </c>
      <c r="I207" s="23">
        <v>18055</v>
      </c>
      <c r="J207" s="23">
        <v>0</v>
      </c>
      <c r="K207" s="23">
        <v>28999</v>
      </c>
      <c r="L207" s="23" t="s">
        <v>274</v>
      </c>
      <c r="M207" s="23">
        <f t="shared" si="3"/>
        <v>1044</v>
      </c>
      <c r="N207" s="24" t="str">
        <f t="array" ref="N207">INDEX('MATCH INFO'!O:O, INT((ROW()-2)/10)+2 + 29+29)</f>
        <v>260620_ZETA_ROZE_S5</v>
      </c>
    </row>
    <row r="208" spans="1:14">
      <c r="A208" s="23" t="s">
        <v>42</v>
      </c>
      <c r="B208" s="23" t="s">
        <v>141</v>
      </c>
      <c r="C208" s="23" t="s">
        <v>104</v>
      </c>
      <c r="D208" s="23" t="s">
        <v>37</v>
      </c>
      <c r="E208" s="23" t="s">
        <v>196</v>
      </c>
      <c r="F208" s="23">
        <v>39</v>
      </c>
      <c r="G208" s="23">
        <v>10</v>
      </c>
      <c r="H208" s="23">
        <v>14</v>
      </c>
      <c r="I208" s="23">
        <v>14082</v>
      </c>
      <c r="J208" s="23">
        <v>1640</v>
      </c>
      <c r="K208" s="23">
        <v>5780</v>
      </c>
      <c r="L208" s="23" t="s">
        <v>274</v>
      </c>
      <c r="M208" s="23">
        <f t="shared" si="3"/>
        <v>1044</v>
      </c>
      <c r="N208" s="24" t="str">
        <f t="array" ref="N208">INDEX('MATCH INFO'!O:O, INT((ROW()-2)/10)+2 + 29+29)</f>
        <v>260620_ZETA_ROZE_S5</v>
      </c>
    </row>
    <row r="209" spans="1:14">
      <c r="A209" s="23" t="s">
        <v>42</v>
      </c>
      <c r="B209" s="23" t="s">
        <v>140</v>
      </c>
      <c r="C209" s="23" t="s">
        <v>104</v>
      </c>
      <c r="D209" s="23" t="s">
        <v>37</v>
      </c>
      <c r="E209" s="23" t="s">
        <v>196</v>
      </c>
      <c r="F209" s="23">
        <v>38</v>
      </c>
      <c r="G209" s="23">
        <v>11</v>
      </c>
      <c r="H209" s="23">
        <v>7</v>
      </c>
      <c r="I209" s="23">
        <v>17742</v>
      </c>
      <c r="J209" s="23">
        <v>304</v>
      </c>
      <c r="K209" s="23">
        <v>745</v>
      </c>
      <c r="L209" s="23" t="s">
        <v>274</v>
      </c>
      <c r="M209" s="23">
        <f t="shared" si="3"/>
        <v>1044</v>
      </c>
      <c r="N209" s="24" t="str">
        <f t="array" ref="N209">INDEX('MATCH INFO'!O:O, INT((ROW()-2)/10)+2 + 29+29)</f>
        <v>260620_ZETA_ROZE_S5</v>
      </c>
    </row>
    <row r="210" spans="1:14">
      <c r="A210" s="23" t="s">
        <v>42</v>
      </c>
      <c r="B210" s="23" t="s">
        <v>143</v>
      </c>
      <c r="C210" s="23" t="s">
        <v>109</v>
      </c>
      <c r="D210" s="23" t="s">
        <v>37</v>
      </c>
      <c r="E210" s="23" t="s">
        <v>196</v>
      </c>
      <c r="F210" s="23">
        <v>24</v>
      </c>
      <c r="G210" s="23">
        <v>9</v>
      </c>
      <c r="H210" s="23">
        <v>35</v>
      </c>
      <c r="I210" s="23">
        <v>7156</v>
      </c>
      <c r="J210" s="23">
        <v>19565</v>
      </c>
      <c r="K210" s="23">
        <v>540</v>
      </c>
      <c r="L210" s="23" t="s">
        <v>274</v>
      </c>
      <c r="M210" s="23">
        <f t="shared" si="3"/>
        <v>1044</v>
      </c>
      <c r="N210" s="24" t="str">
        <f t="array" ref="N210">INDEX('MATCH INFO'!O:O, INT((ROW()-2)/10)+2 + 29+29)</f>
        <v>260620_ZETA_ROZE_S5</v>
      </c>
    </row>
    <row r="211" spans="1:14">
      <c r="A211" s="23" t="s">
        <v>42</v>
      </c>
      <c r="B211" s="23" t="s">
        <v>142</v>
      </c>
      <c r="C211" s="23" t="s">
        <v>109</v>
      </c>
      <c r="D211" s="23" t="s">
        <v>37</v>
      </c>
      <c r="E211" s="23" t="s">
        <v>196</v>
      </c>
      <c r="F211" s="23">
        <v>29</v>
      </c>
      <c r="G211" s="23">
        <v>12</v>
      </c>
      <c r="H211" s="23">
        <v>28</v>
      </c>
      <c r="I211" s="23">
        <v>9593</v>
      </c>
      <c r="J211" s="23">
        <v>16119</v>
      </c>
      <c r="K211" s="23">
        <v>770</v>
      </c>
      <c r="L211" s="23" t="s">
        <v>274</v>
      </c>
      <c r="M211" s="23">
        <f t="shared" si="3"/>
        <v>1044</v>
      </c>
      <c r="N211" s="24" t="str">
        <f t="array" ref="N211">INDEX('MATCH INFO'!O:O, INT((ROW()-2)/10)+2 + 29+29)</f>
        <v>260620_ZETA_ROZE_S5</v>
      </c>
    </row>
    <row r="212" spans="1:14">
      <c r="A212" s="23" t="s">
        <v>51</v>
      </c>
      <c r="B212" s="23" t="s">
        <v>126</v>
      </c>
      <c r="C212" s="23" t="s">
        <v>104</v>
      </c>
      <c r="D212" s="23" t="s">
        <v>54</v>
      </c>
      <c r="E212" s="23" t="s">
        <v>188</v>
      </c>
      <c r="F212" s="23">
        <v>18</v>
      </c>
      <c r="G212" s="23">
        <v>8</v>
      </c>
      <c r="H212" s="23">
        <v>7</v>
      </c>
      <c r="I212" s="23">
        <v>7921</v>
      </c>
      <c r="J212" s="23">
        <v>1138</v>
      </c>
      <c r="K212" s="23">
        <v>4002</v>
      </c>
      <c r="L212" s="23" t="s">
        <v>275</v>
      </c>
      <c r="M212" s="23">
        <f t="shared" si="3"/>
        <v>667</v>
      </c>
      <c r="N212" s="24" t="str">
        <f t="array" ref="N212">INDEX('MATCH INFO'!O:O, INT((ROW()-2)/10)+2 + 29+29)</f>
        <v>260620_CB_T1_S1</v>
      </c>
    </row>
    <row r="213" spans="1:14">
      <c r="A213" s="23" t="s">
        <v>51</v>
      </c>
      <c r="B213" s="23" t="s">
        <v>125</v>
      </c>
      <c r="C213" s="23" t="s">
        <v>101</v>
      </c>
      <c r="D213" s="23" t="s">
        <v>54</v>
      </c>
      <c r="E213" s="23" t="s">
        <v>188</v>
      </c>
      <c r="F213" s="23">
        <v>17</v>
      </c>
      <c r="G213" s="23">
        <v>8</v>
      </c>
      <c r="H213" s="23">
        <v>3</v>
      </c>
      <c r="I213" s="23">
        <v>10458</v>
      </c>
      <c r="J213" s="23">
        <v>268</v>
      </c>
      <c r="K213" s="23">
        <v>17906</v>
      </c>
      <c r="L213" s="23" t="s">
        <v>275</v>
      </c>
      <c r="M213" s="23">
        <f t="shared" si="3"/>
        <v>667</v>
      </c>
      <c r="N213" s="24" t="str">
        <f t="array" ref="N213">INDEX('MATCH INFO'!O:O, INT((ROW()-2)/10)+2 + 29+29)</f>
        <v>260620_CB_T1_S1</v>
      </c>
    </row>
    <row r="214" spans="1:14">
      <c r="A214" s="23" t="s">
        <v>51</v>
      </c>
      <c r="B214" s="23" t="s">
        <v>127</v>
      </c>
      <c r="C214" s="23" t="s">
        <v>104</v>
      </c>
      <c r="D214" s="23" t="s">
        <v>54</v>
      </c>
      <c r="E214" s="23" t="s">
        <v>188</v>
      </c>
      <c r="F214" s="23">
        <v>16</v>
      </c>
      <c r="G214" s="23">
        <v>7</v>
      </c>
      <c r="H214" s="23">
        <v>2</v>
      </c>
      <c r="I214" s="23">
        <v>13460</v>
      </c>
      <c r="J214" s="23">
        <v>0</v>
      </c>
      <c r="K214" s="23">
        <v>840</v>
      </c>
      <c r="L214" s="23" t="s">
        <v>275</v>
      </c>
      <c r="M214" s="23">
        <f t="shared" si="3"/>
        <v>667</v>
      </c>
      <c r="N214" s="24" t="str">
        <f t="array" ref="N214">INDEX('MATCH INFO'!O:O, INT((ROW()-2)/10)+2 + 29+29)</f>
        <v>260620_CB_T1_S1</v>
      </c>
    </row>
    <row r="215" spans="1:14">
      <c r="A215" s="23" t="s">
        <v>51</v>
      </c>
      <c r="B215" s="23" t="s">
        <v>128</v>
      </c>
      <c r="C215" s="23" t="s">
        <v>109</v>
      </c>
      <c r="D215" s="23" t="s">
        <v>54</v>
      </c>
      <c r="E215" s="23" t="s">
        <v>188</v>
      </c>
      <c r="F215" s="23">
        <v>10</v>
      </c>
      <c r="G215" s="23">
        <v>5</v>
      </c>
      <c r="H215" s="23">
        <v>12</v>
      </c>
      <c r="I215" s="23">
        <v>2640</v>
      </c>
      <c r="J215" s="23">
        <v>8500</v>
      </c>
      <c r="K215" s="23">
        <v>600</v>
      </c>
      <c r="L215" s="23" t="s">
        <v>275</v>
      </c>
      <c r="M215" s="23">
        <f t="shared" si="3"/>
        <v>667</v>
      </c>
      <c r="N215" s="24" t="str">
        <f t="array" ref="N215">INDEX('MATCH INFO'!O:O, INT((ROW()-2)/10)+2 + 29+29)</f>
        <v>260620_CB_T1_S1</v>
      </c>
    </row>
    <row r="216" spans="1:14">
      <c r="A216" s="23" t="s">
        <v>51</v>
      </c>
      <c r="B216" s="23" t="s">
        <v>129</v>
      </c>
      <c r="C216" s="23" t="s">
        <v>109</v>
      </c>
      <c r="D216" s="23" t="s">
        <v>54</v>
      </c>
      <c r="E216" s="23" t="s">
        <v>188</v>
      </c>
      <c r="F216" s="23">
        <v>8</v>
      </c>
      <c r="G216" s="23">
        <v>2</v>
      </c>
      <c r="H216" s="23">
        <v>18</v>
      </c>
      <c r="I216" s="23">
        <v>5078</v>
      </c>
      <c r="J216" s="23">
        <v>14842</v>
      </c>
      <c r="K216" s="23">
        <v>0</v>
      </c>
      <c r="L216" s="23" t="s">
        <v>275</v>
      </c>
      <c r="M216" s="23">
        <f t="shared" si="3"/>
        <v>667</v>
      </c>
      <c r="N216" s="24" t="str">
        <f t="array" ref="N216">INDEX('MATCH INFO'!O:O, INT((ROW()-2)/10)+2 + 29+29)</f>
        <v>260620_CB_T1_S1</v>
      </c>
    </row>
    <row r="217" spans="1:14">
      <c r="A217" s="23" t="s">
        <v>41</v>
      </c>
      <c r="B217" s="23" t="s">
        <v>157</v>
      </c>
      <c r="C217" s="23" t="s">
        <v>109</v>
      </c>
      <c r="D217" s="23" t="s">
        <v>54</v>
      </c>
      <c r="E217" s="23" t="s">
        <v>188</v>
      </c>
      <c r="F217" s="23">
        <v>16</v>
      </c>
      <c r="G217" s="23">
        <v>5</v>
      </c>
      <c r="H217" s="23">
        <v>22</v>
      </c>
      <c r="I217" s="23">
        <v>4699</v>
      </c>
      <c r="J217" s="23">
        <v>13194</v>
      </c>
      <c r="K217" s="23">
        <v>2730</v>
      </c>
      <c r="L217" s="23" t="s">
        <v>275</v>
      </c>
      <c r="M217" s="23">
        <f t="shared" si="3"/>
        <v>667</v>
      </c>
      <c r="N217" s="24" t="str">
        <f t="array" ref="N217">INDEX('MATCH INFO'!O:O, INT((ROW()-2)/10)+2 + 29+29)</f>
        <v>260620_CB_T1_S1</v>
      </c>
    </row>
    <row r="218" spans="1:14">
      <c r="A218" s="23" t="s">
        <v>41</v>
      </c>
      <c r="B218" s="23" t="s">
        <v>153</v>
      </c>
      <c r="C218" s="23" t="s">
        <v>101</v>
      </c>
      <c r="D218" s="23" t="s">
        <v>54</v>
      </c>
      <c r="E218" s="23" t="s">
        <v>188</v>
      </c>
      <c r="F218" s="23">
        <v>17</v>
      </c>
      <c r="G218" s="23">
        <v>5</v>
      </c>
      <c r="H218" s="23">
        <v>5</v>
      </c>
      <c r="I218" s="23">
        <v>9283</v>
      </c>
      <c r="J218" s="23">
        <v>0</v>
      </c>
      <c r="K218" s="23">
        <v>17926</v>
      </c>
      <c r="L218" s="23" t="s">
        <v>275</v>
      </c>
      <c r="M218" s="23">
        <f t="shared" si="3"/>
        <v>667</v>
      </c>
      <c r="N218" s="24" t="str">
        <f t="array" ref="N218">INDEX('MATCH INFO'!O:O, INT((ROW()-2)/10)+2 + 29+29)</f>
        <v>260620_CB_T1_S1</v>
      </c>
    </row>
    <row r="219" spans="1:14">
      <c r="A219" s="23" t="s">
        <v>41</v>
      </c>
      <c r="B219" s="23" t="s">
        <v>155</v>
      </c>
      <c r="C219" s="23" t="s">
        <v>104</v>
      </c>
      <c r="D219" s="23" t="s">
        <v>54</v>
      </c>
      <c r="E219" s="23" t="s">
        <v>188</v>
      </c>
      <c r="F219" s="23">
        <v>16</v>
      </c>
      <c r="G219" s="23">
        <v>7</v>
      </c>
      <c r="H219" s="23">
        <v>3</v>
      </c>
      <c r="I219" s="23">
        <v>12390</v>
      </c>
      <c r="J219" s="23">
        <v>0</v>
      </c>
      <c r="K219" s="23">
        <v>433</v>
      </c>
      <c r="L219" s="23" t="s">
        <v>275</v>
      </c>
      <c r="M219" s="23">
        <f t="shared" si="3"/>
        <v>667</v>
      </c>
      <c r="N219" s="24" t="str">
        <f t="array" ref="N219">INDEX('MATCH INFO'!O:O, INT((ROW()-2)/10)+2 + 29+29)</f>
        <v>260620_CB_T1_S1</v>
      </c>
    </row>
    <row r="220" spans="1:14">
      <c r="A220" s="23" t="s">
        <v>41</v>
      </c>
      <c r="B220" s="23" t="s">
        <v>158</v>
      </c>
      <c r="C220" s="23" t="s">
        <v>109</v>
      </c>
      <c r="D220" s="23" t="s">
        <v>54</v>
      </c>
      <c r="E220" s="23" t="s">
        <v>188</v>
      </c>
      <c r="F220" s="23">
        <v>13</v>
      </c>
      <c r="G220" s="23">
        <v>3</v>
      </c>
      <c r="H220" s="23">
        <v>25</v>
      </c>
      <c r="I220" s="23">
        <v>4268</v>
      </c>
      <c r="J220" s="23">
        <v>14806</v>
      </c>
      <c r="K220" s="23">
        <v>0</v>
      </c>
      <c r="L220" s="23" t="s">
        <v>275</v>
      </c>
      <c r="M220" s="23">
        <f t="shared" si="3"/>
        <v>667</v>
      </c>
      <c r="N220" s="24" t="str">
        <f t="array" ref="N220">INDEX('MATCH INFO'!O:O, INT((ROW()-2)/10)+2 + 29+29)</f>
        <v>260620_CB_T1_S1</v>
      </c>
    </row>
    <row r="221" spans="1:14">
      <c r="A221" s="23" t="s">
        <v>41</v>
      </c>
      <c r="B221" s="23" t="s">
        <v>154</v>
      </c>
      <c r="C221" s="23" t="s">
        <v>104</v>
      </c>
      <c r="D221" s="23" t="s">
        <v>54</v>
      </c>
      <c r="E221" s="23" t="s">
        <v>188</v>
      </c>
      <c r="F221" s="23">
        <v>24</v>
      </c>
      <c r="G221" s="23">
        <v>5</v>
      </c>
      <c r="H221" s="23">
        <v>1</v>
      </c>
      <c r="I221" s="23">
        <v>9397</v>
      </c>
      <c r="J221" s="23">
        <v>711</v>
      </c>
      <c r="K221" s="23">
        <v>3548</v>
      </c>
      <c r="L221" s="23" t="s">
        <v>275</v>
      </c>
      <c r="M221" s="23">
        <f t="shared" si="3"/>
        <v>667</v>
      </c>
      <c r="N221" s="24" t="str">
        <f t="array" ref="N221">INDEX('MATCH INFO'!O:O, INT((ROW()-2)/10)+2 + 29+29)</f>
        <v>260620_CB_T1_S1</v>
      </c>
    </row>
    <row r="222" spans="1:14">
      <c r="A222" s="23" t="s">
        <v>41</v>
      </c>
      <c r="B222" s="23" t="s">
        <v>157</v>
      </c>
      <c r="C222" s="23" t="s">
        <v>109</v>
      </c>
      <c r="D222" s="23" t="s">
        <v>43</v>
      </c>
      <c r="E222" s="23" t="s">
        <v>201</v>
      </c>
      <c r="F222" s="23">
        <v>6</v>
      </c>
      <c r="G222" s="23">
        <v>2</v>
      </c>
      <c r="H222" s="23">
        <v>4</v>
      </c>
      <c r="I222" s="23">
        <v>3376</v>
      </c>
      <c r="J222" s="23">
        <v>2024</v>
      </c>
      <c r="K222" s="23">
        <v>149</v>
      </c>
      <c r="L222" s="23" t="s">
        <v>276</v>
      </c>
      <c r="M222" s="23">
        <f t="shared" si="3"/>
        <v>370.99999999999994</v>
      </c>
      <c r="N222" s="24" t="str">
        <f t="array" ref="N222">INDEX('MATCH INFO'!O:O, INT((ROW()-2)/10)+2 + 29+29)</f>
        <v>260620_CB_T1_S2</v>
      </c>
    </row>
    <row r="223" spans="1:14">
      <c r="A223" s="23" t="s">
        <v>41</v>
      </c>
      <c r="B223" s="23" t="s">
        <v>153</v>
      </c>
      <c r="C223" s="23" t="s">
        <v>101</v>
      </c>
      <c r="D223" s="23" t="s">
        <v>43</v>
      </c>
      <c r="E223" s="23" t="s">
        <v>201</v>
      </c>
      <c r="F223" s="23">
        <v>10</v>
      </c>
      <c r="G223" s="23">
        <v>0</v>
      </c>
      <c r="H223" s="23">
        <v>1</v>
      </c>
      <c r="I223" s="23">
        <v>4862</v>
      </c>
      <c r="J223" s="23">
        <v>0</v>
      </c>
      <c r="K223" s="23">
        <v>10828</v>
      </c>
      <c r="L223" s="23" t="s">
        <v>276</v>
      </c>
      <c r="M223" s="23">
        <f t="shared" si="3"/>
        <v>370.99999999999994</v>
      </c>
      <c r="N223" s="24" t="str">
        <f t="array" ref="N223">INDEX('MATCH INFO'!O:O, INT((ROW()-2)/10)+2 + 29+29)</f>
        <v>260620_CB_T1_S2</v>
      </c>
    </row>
    <row r="224" spans="1:14">
      <c r="A224" s="23" t="s">
        <v>41</v>
      </c>
      <c r="B224" s="23" t="s">
        <v>155</v>
      </c>
      <c r="C224" s="23" t="s">
        <v>104</v>
      </c>
      <c r="D224" s="23" t="s">
        <v>43</v>
      </c>
      <c r="E224" s="23" t="s">
        <v>201</v>
      </c>
      <c r="F224" s="23">
        <v>5</v>
      </c>
      <c r="G224" s="23">
        <v>1</v>
      </c>
      <c r="H224" s="23">
        <v>2</v>
      </c>
      <c r="I224" s="23">
        <v>2916</v>
      </c>
      <c r="J224" s="23">
        <v>0</v>
      </c>
      <c r="K224" s="23">
        <v>0</v>
      </c>
      <c r="L224" s="23" t="s">
        <v>276</v>
      </c>
      <c r="M224" s="23">
        <f t="shared" si="3"/>
        <v>370.99999999999994</v>
      </c>
      <c r="N224" s="24" t="str">
        <f t="array" ref="N224">INDEX('MATCH INFO'!O:O, INT((ROW()-2)/10)+2 + 29+29)</f>
        <v>260620_CB_T1_S2</v>
      </c>
    </row>
    <row r="225" spans="1:14">
      <c r="A225" s="23" t="s">
        <v>41</v>
      </c>
      <c r="B225" s="23" t="s">
        <v>158</v>
      </c>
      <c r="C225" s="23" t="s">
        <v>109</v>
      </c>
      <c r="D225" s="23" t="s">
        <v>43</v>
      </c>
      <c r="E225" s="23" t="s">
        <v>201</v>
      </c>
      <c r="F225" s="23">
        <v>9</v>
      </c>
      <c r="G225" s="23">
        <v>0</v>
      </c>
      <c r="H225" s="23">
        <v>6</v>
      </c>
      <c r="I225" s="23">
        <v>3579</v>
      </c>
      <c r="J225" s="23">
        <v>6233</v>
      </c>
      <c r="K225" s="23">
        <v>0</v>
      </c>
      <c r="L225" s="23" t="s">
        <v>276</v>
      </c>
      <c r="M225" s="23">
        <f t="shared" si="3"/>
        <v>370.99999999999994</v>
      </c>
      <c r="N225" s="24" t="str">
        <f t="array" ref="N225">INDEX('MATCH INFO'!O:O, INT((ROW()-2)/10)+2 + 29+29)</f>
        <v>260620_CB_T1_S2</v>
      </c>
    </row>
    <row r="226" spans="1:14">
      <c r="A226" s="23" t="s">
        <v>41</v>
      </c>
      <c r="B226" s="23" t="s">
        <v>154</v>
      </c>
      <c r="C226" s="23" t="s">
        <v>104</v>
      </c>
      <c r="D226" s="23" t="s">
        <v>43</v>
      </c>
      <c r="E226" s="23" t="s">
        <v>201</v>
      </c>
      <c r="F226" s="23">
        <v>10</v>
      </c>
      <c r="G226" s="23">
        <v>2</v>
      </c>
      <c r="H226" s="23">
        <v>0</v>
      </c>
      <c r="I226" s="23">
        <v>5069</v>
      </c>
      <c r="J226" s="23">
        <v>0</v>
      </c>
      <c r="K226" s="23">
        <v>0</v>
      </c>
      <c r="L226" s="23" t="s">
        <v>276</v>
      </c>
      <c r="M226" s="23">
        <f t="shared" si="3"/>
        <v>370.99999999999994</v>
      </c>
      <c r="N226" s="24" t="str">
        <f t="array" ref="N226">INDEX('MATCH INFO'!O:O, INT((ROW()-2)/10)+2 + 29+29)</f>
        <v>260620_CB_T1_S2</v>
      </c>
    </row>
    <row r="227" spans="1:14">
      <c r="A227" s="23" t="s">
        <v>51</v>
      </c>
      <c r="B227" s="23" t="s">
        <v>126</v>
      </c>
      <c r="C227" s="23" t="s">
        <v>104</v>
      </c>
      <c r="D227" s="23" t="s">
        <v>43</v>
      </c>
      <c r="E227" s="23" t="s">
        <v>201</v>
      </c>
      <c r="F227" s="23">
        <v>2</v>
      </c>
      <c r="G227" s="23">
        <v>5</v>
      </c>
      <c r="H227" s="23">
        <v>0</v>
      </c>
      <c r="I227" s="23">
        <v>2547</v>
      </c>
      <c r="J227" s="23">
        <v>89</v>
      </c>
      <c r="K227" s="23">
        <v>115</v>
      </c>
      <c r="L227" s="23" t="s">
        <v>276</v>
      </c>
      <c r="M227" s="23">
        <f t="shared" si="3"/>
        <v>370.99999999999994</v>
      </c>
      <c r="N227" s="24" t="str">
        <f t="array" ref="N227">INDEX('MATCH INFO'!O:O, INT((ROW()-2)/10)+2 + 29+29)</f>
        <v>260620_CB_T1_S2</v>
      </c>
    </row>
    <row r="228" spans="1:14">
      <c r="A228" s="23" t="s">
        <v>51</v>
      </c>
      <c r="B228" s="23" t="s">
        <v>125</v>
      </c>
      <c r="C228" s="23" t="s">
        <v>101</v>
      </c>
      <c r="D228" s="23" t="s">
        <v>43</v>
      </c>
      <c r="E228" s="23" t="s">
        <v>201</v>
      </c>
      <c r="F228" s="23">
        <v>2</v>
      </c>
      <c r="G228" s="23">
        <v>4</v>
      </c>
      <c r="H228" s="23">
        <v>0</v>
      </c>
      <c r="I228" s="23">
        <v>3225</v>
      </c>
      <c r="J228" s="23">
        <v>936</v>
      </c>
      <c r="K228" s="23">
        <v>9475</v>
      </c>
      <c r="L228" s="23" t="s">
        <v>276</v>
      </c>
      <c r="M228" s="23">
        <f t="shared" si="3"/>
        <v>370.99999999999994</v>
      </c>
      <c r="N228" s="24" t="str">
        <f t="array" ref="N228">INDEX('MATCH INFO'!O:O, INT((ROW()-2)/10)+2 + 29+29)</f>
        <v>260620_CB_T1_S2</v>
      </c>
    </row>
    <row r="229" spans="1:14">
      <c r="A229" s="23" t="s">
        <v>51</v>
      </c>
      <c r="B229" s="23" t="s">
        <v>127</v>
      </c>
      <c r="C229" s="23" t="s">
        <v>104</v>
      </c>
      <c r="D229" s="23" t="s">
        <v>43</v>
      </c>
      <c r="E229" s="23" t="s">
        <v>201</v>
      </c>
      <c r="F229" s="23">
        <v>3</v>
      </c>
      <c r="G229" s="23">
        <v>5</v>
      </c>
      <c r="H229" s="23">
        <v>0</v>
      </c>
      <c r="I229" s="23">
        <v>2210</v>
      </c>
      <c r="J229" s="23">
        <v>0</v>
      </c>
      <c r="K229" s="23">
        <v>0</v>
      </c>
      <c r="L229" s="23" t="s">
        <v>276</v>
      </c>
      <c r="M229" s="23">
        <f t="shared" si="3"/>
        <v>370.99999999999994</v>
      </c>
      <c r="N229" s="24" t="str">
        <f t="array" ref="N229">INDEX('MATCH INFO'!O:O, INT((ROW()-2)/10)+2 + 29+29)</f>
        <v>260620_CB_T1_S2</v>
      </c>
    </row>
    <row r="230" spans="1:14">
      <c r="A230" s="23" t="s">
        <v>51</v>
      </c>
      <c r="B230" s="23" t="s">
        <v>128</v>
      </c>
      <c r="C230" s="23" t="s">
        <v>109</v>
      </c>
      <c r="D230" s="23" t="s">
        <v>43</v>
      </c>
      <c r="E230" s="23" t="s">
        <v>201</v>
      </c>
      <c r="F230" s="23">
        <v>1</v>
      </c>
      <c r="G230" s="23">
        <v>3</v>
      </c>
      <c r="H230" s="23">
        <v>2</v>
      </c>
      <c r="I230" s="23">
        <v>3730</v>
      </c>
      <c r="J230" s="23">
        <v>3566</v>
      </c>
      <c r="K230" s="23">
        <v>400</v>
      </c>
      <c r="L230" s="23" t="s">
        <v>276</v>
      </c>
      <c r="M230" s="23">
        <f t="shared" si="3"/>
        <v>370.99999999999994</v>
      </c>
      <c r="N230" s="24" t="str">
        <f t="array" ref="N230">INDEX('MATCH INFO'!O:O, INT((ROW()-2)/10)+2 + 29+29)</f>
        <v>260620_CB_T1_S2</v>
      </c>
    </row>
    <row r="231" spans="1:14">
      <c r="A231" s="23" t="s">
        <v>51</v>
      </c>
      <c r="B231" s="23" t="s">
        <v>129</v>
      </c>
      <c r="C231" s="23" t="s">
        <v>109</v>
      </c>
      <c r="D231" s="23" t="s">
        <v>43</v>
      </c>
      <c r="E231" s="23" t="s">
        <v>201</v>
      </c>
      <c r="F231" s="23">
        <v>1</v>
      </c>
      <c r="G231" s="23">
        <v>4</v>
      </c>
      <c r="H231" s="23">
        <v>1</v>
      </c>
      <c r="I231" s="23">
        <v>1440</v>
      </c>
      <c r="J231" s="23">
        <v>4977</v>
      </c>
      <c r="K231" s="23">
        <v>0</v>
      </c>
      <c r="L231" s="23" t="s">
        <v>276</v>
      </c>
      <c r="M231" s="23">
        <f t="shared" si="3"/>
        <v>370.99999999999994</v>
      </c>
      <c r="N231" s="24" t="str">
        <f t="array" ref="N231">INDEX('MATCH INFO'!O:O, INT((ROW()-2)/10)+2 + 29+29)</f>
        <v>260620_CB_T1_S2</v>
      </c>
    </row>
    <row r="232" spans="1:14">
      <c r="A232" s="23" t="s">
        <v>51</v>
      </c>
      <c r="B232" s="23" t="s">
        <v>126</v>
      </c>
      <c r="C232" s="23" t="s">
        <v>104</v>
      </c>
      <c r="D232" s="23" t="s">
        <v>25</v>
      </c>
      <c r="E232" s="23" t="s">
        <v>190</v>
      </c>
      <c r="F232" s="23">
        <v>14</v>
      </c>
      <c r="G232" s="23">
        <v>7</v>
      </c>
      <c r="H232" s="23">
        <v>0</v>
      </c>
      <c r="I232" s="23">
        <v>7776</v>
      </c>
      <c r="J232" s="23">
        <v>1061</v>
      </c>
      <c r="K232" s="23">
        <v>0</v>
      </c>
      <c r="L232" s="23" t="s">
        <v>277</v>
      </c>
      <c r="M232" s="23">
        <f t="shared" si="3"/>
        <v>601</v>
      </c>
      <c r="N232" s="24" t="str">
        <f t="array" ref="N232">INDEX('MATCH INFO'!O:O, INT((ROW()-2)/10)+2 + 29+29)</f>
        <v>260620_CB_T1_S3</v>
      </c>
    </row>
    <row r="233" spans="1:14">
      <c r="A233" s="23" t="s">
        <v>51</v>
      </c>
      <c r="B233" s="23" t="s">
        <v>124</v>
      </c>
      <c r="C233" s="23" t="s">
        <v>101</v>
      </c>
      <c r="D233" s="23" t="s">
        <v>25</v>
      </c>
      <c r="E233" s="23" t="s">
        <v>190</v>
      </c>
      <c r="F233" s="23">
        <v>13</v>
      </c>
      <c r="G233" s="23">
        <v>7</v>
      </c>
      <c r="H233" s="23">
        <v>8</v>
      </c>
      <c r="I233" s="23">
        <v>8008</v>
      </c>
      <c r="J233" s="23">
        <v>1778</v>
      </c>
      <c r="K233" s="23">
        <v>3891</v>
      </c>
      <c r="L233" s="23" t="s">
        <v>277</v>
      </c>
      <c r="M233" s="23">
        <f t="shared" si="3"/>
        <v>601</v>
      </c>
      <c r="N233" s="24" t="str">
        <f t="array" ref="N233">INDEX('MATCH INFO'!O:O, INT((ROW()-2)/10)+2 + 29+29)</f>
        <v>260620_CB_T1_S3</v>
      </c>
    </row>
    <row r="234" spans="1:14">
      <c r="A234" s="23" t="s">
        <v>51</v>
      </c>
      <c r="B234" s="23" t="s">
        <v>127</v>
      </c>
      <c r="C234" s="23" t="s">
        <v>104</v>
      </c>
      <c r="D234" s="23" t="s">
        <v>25</v>
      </c>
      <c r="E234" s="23" t="s">
        <v>190</v>
      </c>
      <c r="F234" s="23">
        <v>8</v>
      </c>
      <c r="G234" s="23">
        <v>10</v>
      </c>
      <c r="H234" s="23">
        <v>1</v>
      </c>
      <c r="I234" s="23">
        <v>9563</v>
      </c>
      <c r="J234" s="23">
        <v>2</v>
      </c>
      <c r="K234" s="23">
        <v>1228</v>
      </c>
      <c r="L234" s="23" t="s">
        <v>277</v>
      </c>
      <c r="M234" s="23">
        <f t="shared" si="3"/>
        <v>601</v>
      </c>
      <c r="N234" s="24" t="str">
        <f t="array" ref="N234">INDEX('MATCH INFO'!O:O, INT((ROW()-2)/10)+2 + 29+29)</f>
        <v>260620_CB_T1_S3</v>
      </c>
    </row>
    <row r="235" spans="1:14">
      <c r="A235" s="23" t="s">
        <v>51</v>
      </c>
      <c r="B235" s="23" t="s">
        <v>128</v>
      </c>
      <c r="C235" s="23" t="s">
        <v>109</v>
      </c>
      <c r="D235" s="23" t="s">
        <v>25</v>
      </c>
      <c r="E235" s="23" t="s">
        <v>190</v>
      </c>
      <c r="F235" s="23">
        <v>7</v>
      </c>
      <c r="G235" s="23">
        <v>8</v>
      </c>
      <c r="H235" s="23">
        <v>11</v>
      </c>
      <c r="I235" s="23">
        <v>2327</v>
      </c>
      <c r="J235" s="23">
        <v>7863</v>
      </c>
      <c r="K235" s="23">
        <v>0</v>
      </c>
      <c r="L235" s="23" t="s">
        <v>277</v>
      </c>
      <c r="M235" s="23">
        <f t="shared" si="3"/>
        <v>601</v>
      </c>
      <c r="N235" s="24" t="str">
        <f t="array" ref="N235">INDEX('MATCH INFO'!O:O, INT((ROW()-2)/10)+2 + 29+29)</f>
        <v>260620_CB_T1_S3</v>
      </c>
    </row>
    <row r="236" spans="1:14">
      <c r="A236" s="23" t="s">
        <v>51</v>
      </c>
      <c r="B236" s="23" t="s">
        <v>129</v>
      </c>
      <c r="C236" s="23" t="s">
        <v>109</v>
      </c>
      <c r="D236" s="23" t="s">
        <v>25</v>
      </c>
      <c r="E236" s="23" t="s">
        <v>190</v>
      </c>
      <c r="F236" s="23">
        <v>4</v>
      </c>
      <c r="G236" s="23">
        <v>9</v>
      </c>
      <c r="H236" s="23">
        <v>4</v>
      </c>
      <c r="I236" s="23">
        <v>4829</v>
      </c>
      <c r="J236" s="23">
        <v>4318</v>
      </c>
      <c r="K236" s="23">
        <v>1729</v>
      </c>
      <c r="L236" s="23" t="s">
        <v>277</v>
      </c>
      <c r="M236" s="23">
        <f t="shared" si="3"/>
        <v>601</v>
      </c>
      <c r="N236" s="24" t="str">
        <f t="array" ref="N236">INDEX('MATCH INFO'!O:O, INT((ROW()-2)/10)+2 + 29+29)</f>
        <v>260620_CB_T1_S3</v>
      </c>
    </row>
    <row r="237" spans="1:14">
      <c r="A237" s="23" t="s">
        <v>41</v>
      </c>
      <c r="B237" s="23" t="s">
        <v>157</v>
      </c>
      <c r="C237" s="23" t="s">
        <v>109</v>
      </c>
      <c r="D237" s="23" t="s">
        <v>25</v>
      </c>
      <c r="E237" s="23" t="s">
        <v>190</v>
      </c>
      <c r="F237" s="23">
        <v>17</v>
      </c>
      <c r="G237" s="23">
        <v>3</v>
      </c>
      <c r="H237" s="23">
        <v>20</v>
      </c>
      <c r="I237" s="23">
        <v>2311</v>
      </c>
      <c r="J237" s="23">
        <v>7734</v>
      </c>
      <c r="K237" s="23">
        <v>0</v>
      </c>
      <c r="L237" s="23" t="s">
        <v>277</v>
      </c>
      <c r="M237" s="23">
        <f t="shared" si="3"/>
        <v>601</v>
      </c>
      <c r="N237" s="24" t="str">
        <f t="array" ref="N237">INDEX('MATCH INFO'!O:O, INT((ROW()-2)/10)+2 + 29+29)</f>
        <v>260620_CB_T1_S3</v>
      </c>
    </row>
    <row r="238" spans="1:14">
      <c r="A238" s="23" t="s">
        <v>41</v>
      </c>
      <c r="B238" s="23" t="s">
        <v>152</v>
      </c>
      <c r="C238" s="23" t="s">
        <v>101</v>
      </c>
      <c r="D238" s="23" t="s">
        <v>25</v>
      </c>
      <c r="E238" s="23" t="s">
        <v>190</v>
      </c>
      <c r="F238" s="23">
        <v>28</v>
      </c>
      <c r="G238" s="23">
        <v>4</v>
      </c>
      <c r="H238" s="23">
        <v>11</v>
      </c>
      <c r="I238" s="23">
        <v>9386</v>
      </c>
      <c r="J238" s="23">
        <v>2237</v>
      </c>
      <c r="K238" s="23">
        <v>4552</v>
      </c>
      <c r="L238" s="23" t="s">
        <v>277</v>
      </c>
      <c r="M238" s="23">
        <f t="shared" si="3"/>
        <v>601</v>
      </c>
      <c r="N238" s="24" t="str">
        <f t="array" ref="N238">INDEX('MATCH INFO'!O:O, INT((ROW()-2)/10)+2 + 29+29)</f>
        <v>260620_CB_T1_S3</v>
      </c>
    </row>
    <row r="239" spans="1:14">
      <c r="A239" s="23" t="s">
        <v>41</v>
      </c>
      <c r="B239" s="23" t="s">
        <v>155</v>
      </c>
      <c r="C239" s="23" t="s">
        <v>104</v>
      </c>
      <c r="D239" s="23" t="s">
        <v>25</v>
      </c>
      <c r="E239" s="23" t="s">
        <v>190</v>
      </c>
      <c r="F239" s="23">
        <v>22</v>
      </c>
      <c r="G239" s="23">
        <v>6</v>
      </c>
      <c r="H239" s="23">
        <v>1</v>
      </c>
      <c r="I239" s="23">
        <v>12361</v>
      </c>
      <c r="J239" s="23">
        <v>313</v>
      </c>
      <c r="K239" s="23">
        <v>1797</v>
      </c>
      <c r="L239" s="23" t="s">
        <v>277</v>
      </c>
      <c r="M239" s="23">
        <f t="shared" si="3"/>
        <v>601</v>
      </c>
      <c r="N239" s="24" t="str">
        <f t="array" ref="N239">INDEX('MATCH INFO'!O:O, INT((ROW()-2)/10)+2 + 29+29)</f>
        <v>260620_CB_T1_S3</v>
      </c>
    </row>
    <row r="240" spans="1:14">
      <c r="A240" s="23" t="s">
        <v>41</v>
      </c>
      <c r="B240" s="23" t="s">
        <v>158</v>
      </c>
      <c r="C240" s="23" t="s">
        <v>109</v>
      </c>
      <c r="D240" s="23" t="s">
        <v>25</v>
      </c>
      <c r="E240" s="23" t="s">
        <v>190</v>
      </c>
      <c r="F240" s="23">
        <v>10</v>
      </c>
      <c r="G240" s="23">
        <v>6</v>
      </c>
      <c r="H240" s="23">
        <v>11</v>
      </c>
      <c r="I240" s="23">
        <v>4855</v>
      </c>
      <c r="J240" s="23">
        <v>3293</v>
      </c>
      <c r="K240" s="23">
        <v>997</v>
      </c>
      <c r="L240" s="23" t="s">
        <v>277</v>
      </c>
      <c r="M240" s="23">
        <f t="shared" si="3"/>
        <v>601</v>
      </c>
      <c r="N240" s="24" t="str">
        <f t="array" ref="N240">INDEX('MATCH INFO'!O:O, INT((ROW()-2)/10)+2 + 29+29)</f>
        <v>260620_CB_T1_S3</v>
      </c>
    </row>
    <row r="241" spans="1:14">
      <c r="A241" s="23" t="s">
        <v>41</v>
      </c>
      <c r="B241" s="23" t="s">
        <v>154</v>
      </c>
      <c r="C241" s="23" t="s">
        <v>104</v>
      </c>
      <c r="D241" s="23" t="s">
        <v>25</v>
      </c>
      <c r="E241" s="23" t="s">
        <v>190</v>
      </c>
      <c r="F241" s="23">
        <v>32</v>
      </c>
      <c r="G241" s="23">
        <v>2</v>
      </c>
      <c r="H241" s="23">
        <v>0</v>
      </c>
      <c r="I241" s="23">
        <v>8333</v>
      </c>
      <c r="J241" s="23">
        <v>83</v>
      </c>
      <c r="K241" s="23">
        <v>0</v>
      </c>
      <c r="L241" s="23" t="s">
        <v>277</v>
      </c>
      <c r="M241" s="23">
        <f t="shared" si="3"/>
        <v>601</v>
      </c>
      <c r="N241" s="24" t="str">
        <f t="array" ref="N241">INDEX('MATCH INFO'!O:O, INT((ROW()-2)/10)+2 + 29+29)</f>
        <v>260620_CB_T1_S3</v>
      </c>
    </row>
    <row r="242" spans="1:14">
      <c r="A242" s="23" t="s">
        <v>31</v>
      </c>
      <c r="B242" s="23" t="s">
        <v>165</v>
      </c>
      <c r="C242" s="23" t="s">
        <v>109</v>
      </c>
      <c r="D242" s="23" t="s">
        <v>54</v>
      </c>
      <c r="E242" s="23" t="s">
        <v>188</v>
      </c>
      <c r="F242" s="23">
        <v>14</v>
      </c>
      <c r="G242" s="23">
        <v>1</v>
      </c>
      <c r="H242" s="23">
        <v>15</v>
      </c>
      <c r="I242" s="23">
        <v>3506</v>
      </c>
      <c r="J242" s="23">
        <v>7114</v>
      </c>
      <c r="K242" s="23">
        <v>0</v>
      </c>
      <c r="L242" s="23" t="s">
        <v>278</v>
      </c>
      <c r="M242" s="23">
        <f t="shared" si="3"/>
        <v>544</v>
      </c>
      <c r="N242" s="24" t="str">
        <f t="array" ref="N242">INDEX('MATCH INFO'!O:O, INT((ROW()-2)/10)+2 + 29+29)</f>
        <v>260621_FLC_SB_S1</v>
      </c>
    </row>
    <row r="243" spans="1:14">
      <c r="A243" s="23" t="s">
        <v>31</v>
      </c>
      <c r="B243" s="23" t="s">
        <v>166</v>
      </c>
      <c r="C243" s="23" t="s">
        <v>109</v>
      </c>
      <c r="D243" s="23" t="s">
        <v>54</v>
      </c>
      <c r="E243" s="23" t="s">
        <v>188</v>
      </c>
      <c r="F243" s="23">
        <v>10</v>
      </c>
      <c r="G243" s="23">
        <v>3</v>
      </c>
      <c r="H243" s="23">
        <v>27</v>
      </c>
      <c r="I243" s="23">
        <v>4429</v>
      </c>
      <c r="J243" s="23">
        <v>9298</v>
      </c>
      <c r="K243" s="23">
        <v>0</v>
      </c>
      <c r="L243" s="23" t="s">
        <v>278</v>
      </c>
      <c r="M243" s="23">
        <f t="shared" si="3"/>
        <v>544</v>
      </c>
      <c r="N243" s="24" t="str">
        <f t="array" ref="N243">INDEX('MATCH INFO'!O:O, INT((ROW()-2)/10)+2 + 29+29)</f>
        <v>260621_FLC_SB_S1</v>
      </c>
    </row>
    <row r="244" spans="1:14">
      <c r="A244" s="23" t="s">
        <v>31</v>
      </c>
      <c r="B244" s="23" t="s">
        <v>161</v>
      </c>
      <c r="C244" s="23" t="s">
        <v>101</v>
      </c>
      <c r="D244" s="23" t="s">
        <v>54</v>
      </c>
      <c r="E244" s="23" t="s">
        <v>188</v>
      </c>
      <c r="F244" s="23">
        <v>26</v>
      </c>
      <c r="G244" s="23">
        <v>2</v>
      </c>
      <c r="H244" s="23">
        <v>15</v>
      </c>
      <c r="I244" s="23">
        <v>8885</v>
      </c>
      <c r="J244" s="23">
        <v>2436</v>
      </c>
      <c r="K244" s="23">
        <v>12483</v>
      </c>
      <c r="L244" s="23" t="s">
        <v>278</v>
      </c>
      <c r="M244" s="23">
        <f t="shared" si="3"/>
        <v>544</v>
      </c>
      <c r="N244" s="24" t="str">
        <f t="array" ref="N244">INDEX('MATCH INFO'!O:O, INT((ROW()-2)/10)+2 + 29+29)</f>
        <v>260621_FLC_SB_S1</v>
      </c>
    </row>
    <row r="245" spans="1:14">
      <c r="A245" s="23" t="s">
        <v>31</v>
      </c>
      <c r="B245" s="23" t="s">
        <v>164</v>
      </c>
      <c r="C245" s="23" t="s">
        <v>104</v>
      </c>
      <c r="D245" s="23" t="s">
        <v>54</v>
      </c>
      <c r="E245" s="23" t="s">
        <v>188</v>
      </c>
      <c r="F245" s="23">
        <v>20</v>
      </c>
      <c r="G245" s="23">
        <v>6</v>
      </c>
      <c r="H245" s="23">
        <v>2</v>
      </c>
      <c r="I245" s="23">
        <v>9719</v>
      </c>
      <c r="J245" s="23">
        <v>215</v>
      </c>
      <c r="K245" s="23">
        <v>788</v>
      </c>
      <c r="L245" s="23" t="s">
        <v>278</v>
      </c>
      <c r="M245" s="23">
        <f t="shared" si="3"/>
        <v>544</v>
      </c>
      <c r="N245" s="24" t="str">
        <f t="array" ref="N245">INDEX('MATCH INFO'!O:O, INT((ROW()-2)/10)+2 + 29+29)</f>
        <v>260621_FLC_SB_S1</v>
      </c>
    </row>
    <row r="246" spans="1:14">
      <c r="A246" s="23" t="s">
        <v>31</v>
      </c>
      <c r="B246" s="23" t="s">
        <v>162</v>
      </c>
      <c r="C246" s="23" t="s">
        <v>104</v>
      </c>
      <c r="D246" s="23" t="s">
        <v>54</v>
      </c>
      <c r="E246" s="23" t="s">
        <v>188</v>
      </c>
      <c r="F246" s="23">
        <v>21</v>
      </c>
      <c r="G246" s="23">
        <v>3</v>
      </c>
      <c r="H246" s="23">
        <v>7</v>
      </c>
      <c r="I246" s="23">
        <v>7692</v>
      </c>
      <c r="J246" s="23">
        <v>56</v>
      </c>
      <c r="K246" s="23">
        <v>0</v>
      </c>
      <c r="L246" s="23" t="s">
        <v>278</v>
      </c>
      <c r="M246" s="23">
        <f t="shared" si="3"/>
        <v>544</v>
      </c>
      <c r="N246" s="24" t="str">
        <f t="array" ref="N246">INDEX('MATCH INFO'!O:O, INT((ROW()-2)/10)+2 + 29+29)</f>
        <v>260621_FLC_SB_S1</v>
      </c>
    </row>
    <row r="247" spans="1:14">
      <c r="A247" s="23" t="s">
        <v>53</v>
      </c>
      <c r="B247" s="23" t="s">
        <v>170</v>
      </c>
      <c r="C247" s="23" t="s">
        <v>104</v>
      </c>
      <c r="D247" s="23" t="s">
        <v>54</v>
      </c>
      <c r="E247" s="23" t="s">
        <v>188</v>
      </c>
      <c r="F247" s="23">
        <v>7</v>
      </c>
      <c r="G247" s="23">
        <v>6</v>
      </c>
      <c r="H247" s="23">
        <v>0</v>
      </c>
      <c r="I247" s="23">
        <v>5679</v>
      </c>
      <c r="J247" s="23">
        <v>0</v>
      </c>
      <c r="K247" s="23">
        <v>0</v>
      </c>
      <c r="L247" s="23" t="s">
        <v>278</v>
      </c>
      <c r="M247" s="23">
        <f t="shared" si="3"/>
        <v>544</v>
      </c>
      <c r="N247" s="24" t="str">
        <f t="array" ref="N247">INDEX('MATCH INFO'!O:O, INT((ROW()-2)/10)+2 + 29+29)</f>
        <v>260621_FLC_SB_S1</v>
      </c>
    </row>
    <row r="248" spans="1:14">
      <c r="A248" s="23" t="s">
        <v>53</v>
      </c>
      <c r="B248" s="23" t="s">
        <v>168</v>
      </c>
      <c r="C248" s="23" t="s">
        <v>101</v>
      </c>
      <c r="D248" s="23" t="s">
        <v>54</v>
      </c>
      <c r="E248" s="23" t="s">
        <v>188</v>
      </c>
      <c r="F248" s="23">
        <v>9</v>
      </c>
      <c r="G248" s="23">
        <v>6</v>
      </c>
      <c r="H248" s="23">
        <v>5</v>
      </c>
      <c r="I248" s="23">
        <v>7913</v>
      </c>
      <c r="J248" s="23">
        <v>1370</v>
      </c>
      <c r="K248" s="23">
        <v>15581</v>
      </c>
      <c r="L248" s="23" t="s">
        <v>278</v>
      </c>
      <c r="M248" s="23">
        <f t="shared" si="3"/>
        <v>544</v>
      </c>
      <c r="N248" s="24" t="str">
        <f t="array" ref="N248">INDEX('MATCH INFO'!O:O, INT((ROW()-2)/10)+2 + 29+29)</f>
        <v>260621_FLC_SB_S1</v>
      </c>
    </row>
    <row r="249" spans="1:14">
      <c r="A249" s="23" t="s">
        <v>53</v>
      </c>
      <c r="B249" s="23" t="s">
        <v>172</v>
      </c>
      <c r="C249" s="23" t="s">
        <v>109</v>
      </c>
      <c r="D249" s="23" t="s">
        <v>54</v>
      </c>
      <c r="E249" s="23" t="s">
        <v>188</v>
      </c>
      <c r="F249" s="23">
        <v>8</v>
      </c>
      <c r="G249" s="23">
        <v>9</v>
      </c>
      <c r="H249" s="23">
        <v>8</v>
      </c>
      <c r="I249" s="23">
        <v>4290</v>
      </c>
      <c r="J249" s="23">
        <v>7305</v>
      </c>
      <c r="K249" s="23">
        <v>2670</v>
      </c>
      <c r="L249" s="23" t="s">
        <v>278</v>
      </c>
      <c r="M249" s="23">
        <f t="shared" si="3"/>
        <v>544</v>
      </c>
      <c r="N249" s="24" t="str">
        <f t="array" ref="N249">INDEX('MATCH INFO'!O:O, INT((ROW()-2)/10)+2 + 29+29)</f>
        <v>260621_FLC_SB_S1</v>
      </c>
    </row>
    <row r="250" spans="1:14">
      <c r="A250" s="23" t="s">
        <v>53</v>
      </c>
      <c r="B250" s="23" t="s">
        <v>171</v>
      </c>
      <c r="C250" s="23" t="s">
        <v>104</v>
      </c>
      <c r="D250" s="23" t="s">
        <v>54</v>
      </c>
      <c r="E250" s="23" t="s">
        <v>188</v>
      </c>
      <c r="F250" s="23">
        <v>9</v>
      </c>
      <c r="G250" s="23">
        <v>9</v>
      </c>
      <c r="H250" s="23">
        <v>1</v>
      </c>
      <c r="I250" s="23">
        <v>7384</v>
      </c>
      <c r="J250" s="23">
        <v>579</v>
      </c>
      <c r="K250" s="23">
        <v>815</v>
      </c>
      <c r="L250" s="23" t="s">
        <v>278</v>
      </c>
      <c r="M250" s="23">
        <f t="shared" si="3"/>
        <v>544</v>
      </c>
      <c r="N250" s="24" t="str">
        <f t="array" ref="N250">INDEX('MATCH INFO'!O:O, INT((ROW()-2)/10)+2 + 29+29)</f>
        <v>260621_FLC_SB_S1</v>
      </c>
    </row>
    <row r="251" spans="1:14">
      <c r="A251" s="23" t="s">
        <v>53</v>
      </c>
      <c r="B251" s="23" t="s">
        <v>174</v>
      </c>
      <c r="C251" s="23" t="s">
        <v>109</v>
      </c>
      <c r="D251" s="23" t="s">
        <v>54</v>
      </c>
      <c r="E251" s="23" t="s">
        <v>188</v>
      </c>
      <c r="F251" s="23">
        <v>1</v>
      </c>
      <c r="G251" s="23">
        <v>9</v>
      </c>
      <c r="H251" s="23">
        <v>6</v>
      </c>
      <c r="I251" s="23">
        <v>2348</v>
      </c>
      <c r="J251" s="23">
        <v>7585</v>
      </c>
      <c r="K251" s="23">
        <v>0</v>
      </c>
      <c r="L251" s="23" t="s">
        <v>278</v>
      </c>
      <c r="M251" s="23">
        <f t="shared" si="3"/>
        <v>544</v>
      </c>
      <c r="N251" s="24" t="str">
        <f t="array" ref="N251">INDEX('MATCH INFO'!O:O, INT((ROW()-2)/10)+2 + 29+29)</f>
        <v>260621_FLC_SB_S1</v>
      </c>
    </row>
    <row r="252" spans="1:14">
      <c r="A252" s="23" t="s">
        <v>53</v>
      </c>
      <c r="B252" s="23" t="s">
        <v>170</v>
      </c>
      <c r="C252" s="23" t="s">
        <v>104</v>
      </c>
      <c r="D252" s="23" t="s">
        <v>44</v>
      </c>
      <c r="E252" s="23" t="s">
        <v>190</v>
      </c>
      <c r="F252" s="23">
        <v>3</v>
      </c>
      <c r="G252" s="23">
        <v>5</v>
      </c>
      <c r="H252" s="23">
        <v>0</v>
      </c>
      <c r="I252" s="23">
        <v>4185</v>
      </c>
      <c r="J252" s="23">
        <v>47</v>
      </c>
      <c r="K252" s="23">
        <v>309</v>
      </c>
      <c r="L252" s="23" t="s">
        <v>279</v>
      </c>
      <c r="M252" s="23">
        <f t="shared" si="3"/>
        <v>368</v>
      </c>
      <c r="N252" s="24" t="str">
        <f t="array" ref="N252">INDEX('MATCH INFO'!O:O, INT((ROW()-2)/10)+2 + 29+29)</f>
        <v>260621_FLC_SB_S2</v>
      </c>
    </row>
    <row r="253" spans="1:14">
      <c r="A253" s="23" t="s">
        <v>53</v>
      </c>
      <c r="B253" s="23" t="s">
        <v>173</v>
      </c>
      <c r="C253" s="23" t="s">
        <v>109</v>
      </c>
      <c r="D253" s="23" t="s">
        <v>44</v>
      </c>
      <c r="E253" s="23" t="s">
        <v>190</v>
      </c>
      <c r="F253" s="23">
        <v>1</v>
      </c>
      <c r="G253" s="23">
        <v>3</v>
      </c>
      <c r="H253" s="23">
        <v>1</v>
      </c>
      <c r="I253" s="23">
        <v>2131</v>
      </c>
      <c r="J253" s="23">
        <v>2547</v>
      </c>
      <c r="K253" s="23">
        <v>660</v>
      </c>
      <c r="L253" s="23" t="s">
        <v>279</v>
      </c>
      <c r="M253" s="23">
        <f t="shared" si="3"/>
        <v>368</v>
      </c>
      <c r="N253" s="24" t="str">
        <f t="array" ref="N253">INDEX('MATCH INFO'!O:O, INT((ROW()-2)/10)+2 + 29+29)</f>
        <v>260621_FLC_SB_S2</v>
      </c>
    </row>
    <row r="254" spans="1:14">
      <c r="A254" s="23" t="s">
        <v>53</v>
      </c>
      <c r="B254" s="23" t="s">
        <v>169</v>
      </c>
      <c r="C254" s="23" t="s">
        <v>101</v>
      </c>
      <c r="D254" s="23" t="s">
        <v>44</v>
      </c>
      <c r="E254" s="23" t="s">
        <v>190</v>
      </c>
      <c r="F254" s="23">
        <v>0</v>
      </c>
      <c r="G254" s="23">
        <v>6</v>
      </c>
      <c r="H254" s="23">
        <v>0</v>
      </c>
      <c r="I254" s="23">
        <v>2855</v>
      </c>
      <c r="J254" s="23">
        <v>677</v>
      </c>
      <c r="K254" s="23">
        <v>3584</v>
      </c>
      <c r="L254" s="23" t="s">
        <v>279</v>
      </c>
      <c r="M254" s="23">
        <f t="shared" si="3"/>
        <v>368</v>
      </c>
      <c r="N254" s="24" t="str">
        <f t="array" ref="N254">INDEX('MATCH INFO'!O:O, INT((ROW()-2)/10)+2 + 29+29)</f>
        <v>260621_FLC_SB_S2</v>
      </c>
    </row>
    <row r="255" spans="1:14">
      <c r="A255" s="23" t="s">
        <v>53</v>
      </c>
      <c r="B255" s="23" t="s">
        <v>171</v>
      </c>
      <c r="C255" s="23" t="s">
        <v>104</v>
      </c>
      <c r="D255" s="23" t="s">
        <v>44</v>
      </c>
      <c r="E255" s="23" t="s">
        <v>190</v>
      </c>
      <c r="F255" s="23">
        <v>2</v>
      </c>
      <c r="G255" s="23">
        <v>6</v>
      </c>
      <c r="H255" s="23">
        <v>0</v>
      </c>
      <c r="I255" s="23">
        <v>3729</v>
      </c>
      <c r="J255" s="23">
        <v>0</v>
      </c>
      <c r="K255" s="23">
        <v>0</v>
      </c>
      <c r="L255" s="23" t="s">
        <v>279</v>
      </c>
      <c r="M255" s="23">
        <f t="shared" si="3"/>
        <v>368</v>
      </c>
      <c r="N255" s="24" t="str">
        <f t="array" ref="N255">INDEX('MATCH INFO'!O:O, INT((ROW()-2)/10)+2 + 29+29)</f>
        <v>260621_FLC_SB_S2</v>
      </c>
    </row>
    <row r="256" spans="1:14">
      <c r="A256" s="23" t="s">
        <v>53</v>
      </c>
      <c r="B256" s="23" t="s">
        <v>174</v>
      </c>
      <c r="C256" s="23" t="s">
        <v>109</v>
      </c>
      <c r="D256" s="23" t="s">
        <v>44</v>
      </c>
      <c r="E256" s="23" t="s">
        <v>190</v>
      </c>
      <c r="F256" s="23">
        <v>1</v>
      </c>
      <c r="G256" s="23">
        <v>7</v>
      </c>
      <c r="H256" s="23">
        <v>2</v>
      </c>
      <c r="I256" s="23">
        <v>3032</v>
      </c>
      <c r="J256" s="23">
        <v>5643</v>
      </c>
      <c r="K256" s="23">
        <v>0</v>
      </c>
      <c r="L256" s="23" t="s">
        <v>279</v>
      </c>
      <c r="M256" s="23">
        <f t="shared" si="3"/>
        <v>368</v>
      </c>
      <c r="N256" s="24" t="str">
        <f t="array" ref="N256">INDEX('MATCH INFO'!O:O, INT((ROW()-2)/10)+2 + 29+29)</f>
        <v>260621_FLC_SB_S2</v>
      </c>
    </row>
    <row r="257" spans="1:14">
      <c r="A257" s="23" t="s">
        <v>31</v>
      </c>
      <c r="B257" s="23" t="s">
        <v>163</v>
      </c>
      <c r="C257" s="23" t="s">
        <v>104</v>
      </c>
      <c r="D257" s="23" t="s">
        <v>44</v>
      </c>
      <c r="E257" s="23" t="s">
        <v>190</v>
      </c>
      <c r="F257" s="23">
        <v>14</v>
      </c>
      <c r="G257" s="23">
        <v>0</v>
      </c>
      <c r="H257" s="23">
        <v>6</v>
      </c>
      <c r="I257" s="23">
        <v>4246</v>
      </c>
      <c r="J257" s="23">
        <v>312</v>
      </c>
      <c r="K257" s="23">
        <v>3352</v>
      </c>
      <c r="L257" s="23" t="s">
        <v>279</v>
      </c>
      <c r="M257" s="23">
        <f t="shared" si="3"/>
        <v>368</v>
      </c>
      <c r="N257" s="24" t="str">
        <f t="array" ref="N257">INDEX('MATCH INFO'!O:O, INT((ROW()-2)/10)+2 + 29+29)</f>
        <v>260621_FLC_SB_S2</v>
      </c>
    </row>
    <row r="258" spans="1:14">
      <c r="A258" s="23" t="s">
        <v>31</v>
      </c>
      <c r="B258" s="23" t="s">
        <v>165</v>
      </c>
      <c r="C258" s="23" t="s">
        <v>109</v>
      </c>
      <c r="D258" s="23" t="s">
        <v>44</v>
      </c>
      <c r="E258" s="23" t="s">
        <v>190</v>
      </c>
      <c r="F258" s="23">
        <v>11</v>
      </c>
      <c r="G258" s="23">
        <v>1</v>
      </c>
      <c r="H258" s="23">
        <v>12</v>
      </c>
      <c r="I258" s="23">
        <v>1826</v>
      </c>
      <c r="J258" s="23">
        <v>6892</v>
      </c>
      <c r="K258" s="23">
        <v>0</v>
      </c>
      <c r="L258" s="23" t="s">
        <v>279</v>
      </c>
      <c r="M258" s="23">
        <f t="shared" ref="M258:M321" si="4">L258*86400</f>
        <v>368</v>
      </c>
      <c r="N258" s="24" t="str">
        <f t="array" ref="N258">INDEX('MATCH INFO'!O:O, INT((ROW()-2)/10)+2 + 29+29)</f>
        <v>260621_FLC_SB_S2</v>
      </c>
    </row>
    <row r="259" spans="1:14">
      <c r="A259" s="23" t="s">
        <v>31</v>
      </c>
      <c r="B259" s="23" t="s">
        <v>166</v>
      </c>
      <c r="C259" s="23" t="s">
        <v>109</v>
      </c>
      <c r="D259" s="23" t="s">
        <v>44</v>
      </c>
      <c r="E259" s="23" t="s">
        <v>190</v>
      </c>
      <c r="F259" s="23">
        <v>15</v>
      </c>
      <c r="G259" s="23">
        <v>1</v>
      </c>
      <c r="H259" s="23">
        <v>15</v>
      </c>
      <c r="I259" s="23">
        <v>2744</v>
      </c>
      <c r="J259" s="23">
        <v>6585</v>
      </c>
      <c r="K259" s="23">
        <v>0</v>
      </c>
      <c r="L259" s="23" t="s">
        <v>279</v>
      </c>
      <c r="M259" s="23">
        <f t="shared" si="4"/>
        <v>368</v>
      </c>
      <c r="N259" s="24" t="str">
        <f t="array" ref="N259">INDEX('MATCH INFO'!O:O, INT((ROW()-2)/10)+2 + 29+29)</f>
        <v>260621_FLC_SB_S2</v>
      </c>
    </row>
    <row r="260" spans="1:14">
      <c r="A260" s="23" t="s">
        <v>31</v>
      </c>
      <c r="B260" s="23" t="s">
        <v>164</v>
      </c>
      <c r="C260" s="23" t="s">
        <v>104</v>
      </c>
      <c r="D260" s="23" t="s">
        <v>44</v>
      </c>
      <c r="E260" s="23" t="s">
        <v>190</v>
      </c>
      <c r="F260" s="23">
        <v>19</v>
      </c>
      <c r="G260" s="23">
        <v>1</v>
      </c>
      <c r="H260" s="23">
        <v>0</v>
      </c>
      <c r="I260" s="23">
        <v>7601</v>
      </c>
      <c r="J260" s="23">
        <v>0</v>
      </c>
      <c r="K260" s="23">
        <v>0</v>
      </c>
      <c r="L260" s="23" t="s">
        <v>279</v>
      </c>
      <c r="M260" s="23">
        <f t="shared" si="4"/>
        <v>368</v>
      </c>
      <c r="N260" s="24" t="str">
        <f t="array" ref="N260">INDEX('MATCH INFO'!O:O, INT((ROW()-2)/10)+2 + 29+29)</f>
        <v>260621_FLC_SB_S2</v>
      </c>
    </row>
    <row r="261" spans="1:14">
      <c r="A261" s="23" t="s">
        <v>31</v>
      </c>
      <c r="B261" s="23" t="s">
        <v>160</v>
      </c>
      <c r="C261" s="23" t="s">
        <v>101</v>
      </c>
      <c r="D261" s="23" t="s">
        <v>44</v>
      </c>
      <c r="E261" s="23" t="s">
        <v>190</v>
      </c>
      <c r="F261" s="23">
        <v>9</v>
      </c>
      <c r="G261" s="23">
        <v>0</v>
      </c>
      <c r="H261" s="23">
        <v>2</v>
      </c>
      <c r="I261" s="23">
        <v>5132</v>
      </c>
      <c r="J261" s="23">
        <v>0</v>
      </c>
      <c r="K261" s="23">
        <v>11863</v>
      </c>
      <c r="L261" s="23" t="s">
        <v>279</v>
      </c>
      <c r="M261" s="23">
        <f t="shared" si="4"/>
        <v>368</v>
      </c>
      <c r="N261" s="24" t="str">
        <f t="array" ref="N261">INDEX('MATCH INFO'!O:O, INT((ROW()-2)/10)+2 + 29+29)</f>
        <v>260621_FLC_SB_S2</v>
      </c>
    </row>
    <row r="262" spans="1:14">
      <c r="A262" s="23" t="s">
        <v>53</v>
      </c>
      <c r="B262" s="23" t="s">
        <v>170</v>
      </c>
      <c r="C262" s="23" t="s">
        <v>104</v>
      </c>
      <c r="D262" s="23" t="s">
        <v>61</v>
      </c>
      <c r="E262" s="23" t="s">
        <v>196</v>
      </c>
      <c r="F262" s="23">
        <v>11</v>
      </c>
      <c r="G262" s="23">
        <v>9</v>
      </c>
      <c r="H262" s="23">
        <v>3</v>
      </c>
      <c r="I262" s="23">
        <v>8575</v>
      </c>
      <c r="J262" s="23">
        <v>1968</v>
      </c>
      <c r="K262" s="23">
        <v>3556</v>
      </c>
      <c r="L262" s="23" t="s">
        <v>280</v>
      </c>
      <c r="M262" s="23">
        <f t="shared" si="4"/>
        <v>691</v>
      </c>
      <c r="N262" s="24" t="str">
        <f t="array" ref="N262">INDEX('MATCH INFO'!O:O, INT((ROW()-2)/10)+2 + 29+29)</f>
        <v>260621_FLC_SB_S3</v>
      </c>
    </row>
    <row r="263" spans="1:14">
      <c r="A263" s="23" t="s">
        <v>53</v>
      </c>
      <c r="B263" s="23" t="s">
        <v>168</v>
      </c>
      <c r="C263" s="23" t="s">
        <v>101</v>
      </c>
      <c r="D263" s="23" t="s">
        <v>61</v>
      </c>
      <c r="E263" s="23" t="s">
        <v>196</v>
      </c>
      <c r="F263" s="23">
        <v>15</v>
      </c>
      <c r="G263" s="23">
        <v>7</v>
      </c>
      <c r="H263" s="23">
        <v>3</v>
      </c>
      <c r="I263" s="23">
        <v>10535</v>
      </c>
      <c r="J263" s="23">
        <v>364</v>
      </c>
      <c r="K263" s="23">
        <v>19183</v>
      </c>
      <c r="L263" s="23" t="s">
        <v>280</v>
      </c>
      <c r="M263" s="23">
        <f t="shared" si="4"/>
        <v>691</v>
      </c>
      <c r="N263" s="24" t="str">
        <f t="array" ref="N263">INDEX('MATCH INFO'!O:O, INT((ROW()-2)/10)+2 + 29+29)</f>
        <v>260621_FLC_SB_S3</v>
      </c>
    </row>
    <row r="264" spans="1:14">
      <c r="A264" s="23" t="s">
        <v>53</v>
      </c>
      <c r="B264" s="23" t="s">
        <v>172</v>
      </c>
      <c r="C264" s="23" t="s">
        <v>109</v>
      </c>
      <c r="D264" s="23" t="s">
        <v>61</v>
      </c>
      <c r="E264" s="23" t="s">
        <v>196</v>
      </c>
      <c r="F264" s="23">
        <v>4</v>
      </c>
      <c r="G264" s="23">
        <v>8</v>
      </c>
      <c r="H264" s="23">
        <v>14</v>
      </c>
      <c r="I264" s="23">
        <v>3715</v>
      </c>
      <c r="J264" s="23">
        <v>13482</v>
      </c>
      <c r="K264" s="23">
        <v>0</v>
      </c>
      <c r="L264" s="23" t="s">
        <v>280</v>
      </c>
      <c r="M264" s="23">
        <f t="shared" si="4"/>
        <v>691</v>
      </c>
      <c r="N264" s="24" t="str">
        <f t="array" ref="N264">INDEX('MATCH INFO'!O:O, INT((ROW()-2)/10)+2 + 29+29)</f>
        <v>260621_FLC_SB_S3</v>
      </c>
    </row>
    <row r="265" spans="1:14">
      <c r="A265" s="23" t="s">
        <v>53</v>
      </c>
      <c r="B265" s="23" t="s">
        <v>171</v>
      </c>
      <c r="C265" s="23" t="s">
        <v>104</v>
      </c>
      <c r="D265" s="23" t="s">
        <v>61</v>
      </c>
      <c r="E265" s="23" t="s">
        <v>196</v>
      </c>
      <c r="F265" s="23">
        <v>11</v>
      </c>
      <c r="G265" s="23">
        <v>8</v>
      </c>
      <c r="H265" s="23">
        <v>0</v>
      </c>
      <c r="I265" s="23">
        <v>10196</v>
      </c>
      <c r="J265" s="23">
        <v>0</v>
      </c>
      <c r="K265" s="23">
        <v>0</v>
      </c>
      <c r="L265" s="23" t="s">
        <v>280</v>
      </c>
      <c r="M265" s="23">
        <f t="shared" si="4"/>
        <v>691</v>
      </c>
      <c r="N265" s="24" t="str">
        <f t="array" ref="N265">INDEX('MATCH INFO'!O:O, INT((ROW()-2)/10)+2 + 29+29)</f>
        <v>260621_FLC_SB_S3</v>
      </c>
    </row>
    <row r="266" spans="1:14">
      <c r="A266" s="23" t="s">
        <v>53</v>
      </c>
      <c r="B266" s="23" t="s">
        <v>174</v>
      </c>
      <c r="C266" s="23" t="s">
        <v>109</v>
      </c>
      <c r="D266" s="23" t="s">
        <v>61</v>
      </c>
      <c r="E266" s="23" t="s">
        <v>196</v>
      </c>
      <c r="F266" s="23">
        <v>10</v>
      </c>
      <c r="G266" s="23">
        <v>9</v>
      </c>
      <c r="H266" s="23">
        <v>8</v>
      </c>
      <c r="I266" s="23">
        <v>9072</v>
      </c>
      <c r="J266" s="23">
        <v>7076</v>
      </c>
      <c r="K266" s="23">
        <v>1275</v>
      </c>
      <c r="L266" s="23" t="s">
        <v>280</v>
      </c>
      <c r="M266" s="23">
        <f t="shared" si="4"/>
        <v>691</v>
      </c>
      <c r="N266" s="24" t="str">
        <f t="array" ref="N266">INDEX('MATCH INFO'!O:O, INT((ROW()-2)/10)+2 + 29+29)</f>
        <v>260621_FLC_SB_S3</v>
      </c>
    </row>
    <row r="267" spans="1:14">
      <c r="A267" s="23" t="s">
        <v>31</v>
      </c>
      <c r="B267" s="23" t="s">
        <v>163</v>
      </c>
      <c r="C267" s="23" t="s">
        <v>104</v>
      </c>
      <c r="D267" s="23" t="s">
        <v>61</v>
      </c>
      <c r="E267" s="23" t="s">
        <v>196</v>
      </c>
      <c r="F267" s="23">
        <v>26</v>
      </c>
      <c r="G267" s="23">
        <v>5</v>
      </c>
      <c r="H267" s="23">
        <v>2</v>
      </c>
      <c r="I267" s="23">
        <v>8972</v>
      </c>
      <c r="J267" s="23">
        <v>557</v>
      </c>
      <c r="K267" s="23">
        <v>2216</v>
      </c>
      <c r="L267" s="23" t="s">
        <v>280</v>
      </c>
      <c r="M267" s="23">
        <f t="shared" si="4"/>
        <v>691</v>
      </c>
      <c r="N267" s="24" t="str">
        <f t="array" ref="N267">INDEX('MATCH INFO'!O:O, INT((ROW()-2)/10)+2 + 29+29)</f>
        <v>260621_FLC_SB_S3</v>
      </c>
    </row>
    <row r="268" spans="1:14">
      <c r="A268" s="23" t="s">
        <v>31</v>
      </c>
      <c r="B268" s="23" t="s">
        <v>165</v>
      </c>
      <c r="C268" s="23" t="s">
        <v>109</v>
      </c>
      <c r="D268" s="23" t="s">
        <v>61</v>
      </c>
      <c r="E268" s="23" t="s">
        <v>196</v>
      </c>
      <c r="F268" s="23">
        <v>13</v>
      </c>
      <c r="G268" s="23">
        <v>4</v>
      </c>
      <c r="H268" s="23">
        <v>17</v>
      </c>
      <c r="I268" s="23">
        <v>3547</v>
      </c>
      <c r="J268" s="23">
        <v>12634</v>
      </c>
      <c r="K268" s="23">
        <v>0</v>
      </c>
      <c r="L268" s="23" t="s">
        <v>280</v>
      </c>
      <c r="M268" s="23">
        <f t="shared" si="4"/>
        <v>691</v>
      </c>
      <c r="N268" s="24" t="str">
        <f t="array" ref="N268">INDEX('MATCH INFO'!O:O, INT((ROW()-2)/10)+2 + 29+29)</f>
        <v>260621_FLC_SB_S3</v>
      </c>
    </row>
    <row r="269" spans="1:14">
      <c r="A269" s="23" t="s">
        <v>31</v>
      </c>
      <c r="B269" s="23" t="s">
        <v>166</v>
      </c>
      <c r="C269" s="23" t="s">
        <v>109</v>
      </c>
      <c r="D269" s="23" t="s">
        <v>61</v>
      </c>
      <c r="E269" s="23" t="s">
        <v>196</v>
      </c>
      <c r="F269" s="23">
        <v>13</v>
      </c>
      <c r="G269" s="23">
        <v>5</v>
      </c>
      <c r="H269" s="23">
        <v>28</v>
      </c>
      <c r="I269" s="23">
        <v>5375</v>
      </c>
      <c r="J269" s="23">
        <v>13188</v>
      </c>
      <c r="K269" s="23">
        <v>0</v>
      </c>
      <c r="L269" s="23" t="s">
        <v>280</v>
      </c>
      <c r="M269" s="23">
        <f t="shared" si="4"/>
        <v>691</v>
      </c>
      <c r="N269" s="24" t="str">
        <f t="array" ref="N269">INDEX('MATCH INFO'!O:O, INT((ROW()-2)/10)+2 + 29+29)</f>
        <v>260621_FLC_SB_S3</v>
      </c>
    </row>
    <row r="270" spans="1:14">
      <c r="A270" s="23" t="s">
        <v>31</v>
      </c>
      <c r="B270" s="23" t="s">
        <v>164</v>
      </c>
      <c r="C270" s="23" t="s">
        <v>104</v>
      </c>
      <c r="D270" s="23" t="s">
        <v>61</v>
      </c>
      <c r="E270" s="23" t="s">
        <v>196</v>
      </c>
      <c r="F270" s="23">
        <v>23</v>
      </c>
      <c r="G270" s="23">
        <v>5</v>
      </c>
      <c r="H270" s="23">
        <v>1</v>
      </c>
      <c r="I270" s="23">
        <v>11536</v>
      </c>
      <c r="J270" s="23">
        <v>22</v>
      </c>
      <c r="K270" s="23">
        <v>460</v>
      </c>
      <c r="L270" s="23" t="s">
        <v>280</v>
      </c>
      <c r="M270" s="23">
        <f t="shared" si="4"/>
        <v>691</v>
      </c>
      <c r="N270" s="24" t="str">
        <f t="array" ref="N270">INDEX('MATCH INFO'!O:O, INT((ROW()-2)/10)+2 + 29+29)</f>
        <v>260621_FLC_SB_S3</v>
      </c>
    </row>
    <row r="271" spans="1:14">
      <c r="A271" s="23" t="s">
        <v>31</v>
      </c>
      <c r="B271" s="23" t="s">
        <v>160</v>
      </c>
      <c r="C271" s="23" t="s">
        <v>101</v>
      </c>
      <c r="D271" s="23" t="s">
        <v>61</v>
      </c>
      <c r="E271" s="23" t="s">
        <v>196</v>
      </c>
      <c r="F271" s="23">
        <v>25</v>
      </c>
      <c r="G271" s="23">
        <v>3</v>
      </c>
      <c r="H271" s="23">
        <v>2</v>
      </c>
      <c r="I271" s="23">
        <v>15056</v>
      </c>
      <c r="J271" s="23">
        <v>970</v>
      </c>
      <c r="K271" s="23">
        <v>11291</v>
      </c>
      <c r="L271" s="23" t="s">
        <v>280</v>
      </c>
      <c r="M271" s="23">
        <f t="shared" si="4"/>
        <v>691</v>
      </c>
      <c r="N271" s="24" t="str">
        <f t="array" ref="N271">INDEX('MATCH INFO'!O:O, INT((ROW()-2)/10)+2 + 29+29)</f>
        <v>260621_FLC_SB_S3</v>
      </c>
    </row>
    <row r="272" spans="1:14">
      <c r="A272" s="23" t="s">
        <v>20</v>
      </c>
      <c r="B272" s="23" t="s">
        <v>108</v>
      </c>
      <c r="C272" s="23" t="s">
        <v>109</v>
      </c>
      <c r="D272" s="23" t="s">
        <v>54</v>
      </c>
      <c r="E272" s="23" t="s">
        <v>188</v>
      </c>
      <c r="F272" s="23">
        <v>12</v>
      </c>
      <c r="G272" s="23">
        <v>3</v>
      </c>
      <c r="H272" s="23">
        <v>22</v>
      </c>
      <c r="I272" s="23">
        <v>3543</v>
      </c>
      <c r="J272" s="23">
        <v>5847</v>
      </c>
      <c r="K272" s="23">
        <v>1894</v>
      </c>
      <c r="L272" s="23" t="s">
        <v>229</v>
      </c>
      <c r="M272" s="23">
        <f t="shared" si="4"/>
        <v>475.99999999999994</v>
      </c>
      <c r="N272" s="24" t="str">
        <f t="array" ref="N272">INDEX('MATCH INFO'!O:O, INT((ROW()-2)/10)+2 + 29+29)</f>
        <v>260621_O2_CR_S1</v>
      </c>
    </row>
    <row r="273" spans="1:14">
      <c r="A273" s="23" t="s">
        <v>20</v>
      </c>
      <c r="B273" s="23" t="s">
        <v>111</v>
      </c>
      <c r="C273" s="23" t="s">
        <v>109</v>
      </c>
      <c r="D273" s="23" t="s">
        <v>54</v>
      </c>
      <c r="E273" s="23" t="s">
        <v>188</v>
      </c>
      <c r="F273" s="23">
        <v>11</v>
      </c>
      <c r="G273" s="23">
        <v>5</v>
      </c>
      <c r="H273" s="23">
        <v>27</v>
      </c>
      <c r="I273" s="23">
        <v>4761</v>
      </c>
      <c r="J273" s="23">
        <v>12365</v>
      </c>
      <c r="K273" s="23">
        <v>0</v>
      </c>
      <c r="L273" s="23" t="s">
        <v>229</v>
      </c>
      <c r="M273" s="23">
        <f t="shared" si="4"/>
        <v>475.99999999999994</v>
      </c>
      <c r="N273" s="24" t="str">
        <f t="array" ref="N273">INDEX('MATCH INFO'!O:O, INT((ROW()-2)/10)+2 + 29+29)</f>
        <v>260621_O2_CR_S1</v>
      </c>
    </row>
    <row r="274" spans="1:14">
      <c r="A274" s="23" t="s">
        <v>20</v>
      </c>
      <c r="B274" s="23" t="s">
        <v>106</v>
      </c>
      <c r="C274" s="23" t="s">
        <v>104</v>
      </c>
      <c r="D274" s="23" t="s">
        <v>54</v>
      </c>
      <c r="E274" s="23" t="s">
        <v>188</v>
      </c>
      <c r="F274" s="23">
        <v>26</v>
      </c>
      <c r="G274" s="23">
        <v>2</v>
      </c>
      <c r="H274" s="23">
        <v>3</v>
      </c>
      <c r="I274" s="23">
        <v>10041</v>
      </c>
      <c r="J274" s="23">
        <v>150</v>
      </c>
      <c r="K274" s="23">
        <v>257</v>
      </c>
      <c r="L274" s="23" t="s">
        <v>229</v>
      </c>
      <c r="M274" s="23">
        <f t="shared" si="4"/>
        <v>475.99999999999994</v>
      </c>
      <c r="N274" s="24" t="str">
        <f t="array" ref="N274">INDEX('MATCH INFO'!O:O, INT((ROW()-2)/10)+2 + 29+29)</f>
        <v>260621_O2_CR_S1</v>
      </c>
    </row>
    <row r="275" spans="1:14">
      <c r="A275" s="23" t="s">
        <v>20</v>
      </c>
      <c r="B275" s="23" t="s">
        <v>102</v>
      </c>
      <c r="C275" s="23" t="s">
        <v>101</v>
      </c>
      <c r="D275" s="23" t="s">
        <v>54</v>
      </c>
      <c r="E275" s="23" t="s">
        <v>188</v>
      </c>
      <c r="F275" s="23">
        <v>20</v>
      </c>
      <c r="G275" s="23">
        <v>5</v>
      </c>
      <c r="H275" s="23">
        <v>16</v>
      </c>
      <c r="I275" s="23">
        <v>9441</v>
      </c>
      <c r="J275" s="23">
        <v>2174</v>
      </c>
      <c r="K275" s="23">
        <v>4169</v>
      </c>
      <c r="L275" s="23" t="s">
        <v>229</v>
      </c>
      <c r="M275" s="23">
        <f t="shared" si="4"/>
        <v>475.99999999999994</v>
      </c>
      <c r="N275" s="24" t="str">
        <f t="array" ref="N275">INDEX('MATCH INFO'!O:O, INT((ROW()-2)/10)+2 + 29+29)</f>
        <v>260621_O2_CR_S1</v>
      </c>
    </row>
    <row r="276" spans="1:14">
      <c r="A276" s="23" t="s">
        <v>20</v>
      </c>
      <c r="B276" s="23" t="s">
        <v>103</v>
      </c>
      <c r="C276" s="23" t="s">
        <v>104</v>
      </c>
      <c r="D276" s="23" t="s">
        <v>54</v>
      </c>
      <c r="E276" s="23" t="s">
        <v>188</v>
      </c>
      <c r="F276" s="23">
        <v>24</v>
      </c>
      <c r="G276" s="23">
        <v>5</v>
      </c>
      <c r="H276" s="23">
        <v>0</v>
      </c>
      <c r="I276" s="23">
        <v>9620</v>
      </c>
      <c r="J276" s="23">
        <v>1589</v>
      </c>
      <c r="K276" s="23">
        <v>0</v>
      </c>
      <c r="L276" s="23" t="s">
        <v>229</v>
      </c>
      <c r="M276" s="23">
        <f t="shared" si="4"/>
        <v>475.99999999999994</v>
      </c>
      <c r="N276" s="24" t="str">
        <f t="array" ref="N276">INDEX('MATCH INFO'!O:O, INT((ROW()-2)/10)+2 + 29+29)</f>
        <v>260621_O2_CR_S1</v>
      </c>
    </row>
    <row r="277" spans="1:14">
      <c r="A277" s="23" t="s">
        <v>32</v>
      </c>
      <c r="B277" s="23" t="s">
        <v>150</v>
      </c>
      <c r="C277" s="23" t="s">
        <v>109</v>
      </c>
      <c r="D277" s="23" t="s">
        <v>54</v>
      </c>
      <c r="E277" s="23" t="s">
        <v>188</v>
      </c>
      <c r="F277" s="23">
        <v>9</v>
      </c>
      <c r="G277" s="23">
        <v>7</v>
      </c>
      <c r="H277" s="23">
        <v>9</v>
      </c>
      <c r="I277" s="23">
        <v>5079</v>
      </c>
      <c r="J277" s="23">
        <v>5475</v>
      </c>
      <c r="K277" s="23">
        <v>971</v>
      </c>
      <c r="L277" s="23" t="s">
        <v>229</v>
      </c>
      <c r="M277" s="23">
        <f t="shared" si="4"/>
        <v>475.99999999999994</v>
      </c>
      <c r="N277" s="24" t="str">
        <f t="array" ref="N277">INDEX('MATCH INFO'!O:O, INT((ROW()-2)/10)+2 + 29+29)</f>
        <v>260621_O2_CR_S1</v>
      </c>
    </row>
    <row r="278" spans="1:14">
      <c r="A278" s="23" t="s">
        <v>32</v>
      </c>
      <c r="B278" s="23" t="s">
        <v>147</v>
      </c>
      <c r="C278" s="23" t="s">
        <v>104</v>
      </c>
      <c r="D278" s="23" t="s">
        <v>54</v>
      </c>
      <c r="E278" s="23" t="s">
        <v>188</v>
      </c>
      <c r="F278" s="23">
        <v>11</v>
      </c>
      <c r="G278" s="23">
        <v>8</v>
      </c>
      <c r="H278" s="23">
        <v>0</v>
      </c>
      <c r="I278" s="23">
        <v>9369</v>
      </c>
      <c r="J278" s="23">
        <v>979</v>
      </c>
      <c r="K278" s="23">
        <v>0</v>
      </c>
      <c r="L278" s="23" t="s">
        <v>229</v>
      </c>
      <c r="M278" s="23">
        <f t="shared" si="4"/>
        <v>475.99999999999994</v>
      </c>
      <c r="N278" s="24" t="str">
        <f t="array" ref="N278">INDEX('MATCH INFO'!O:O, INT((ROW()-2)/10)+2 + 29+29)</f>
        <v>260621_O2_CR_S1</v>
      </c>
    </row>
    <row r="279" spans="1:14">
      <c r="A279" s="23" t="s">
        <v>32</v>
      </c>
      <c r="B279" s="23" t="s">
        <v>148</v>
      </c>
      <c r="C279" s="23" t="s">
        <v>104</v>
      </c>
      <c r="D279" s="23" t="s">
        <v>54</v>
      </c>
      <c r="E279" s="23" t="s">
        <v>188</v>
      </c>
      <c r="F279" s="23">
        <v>12</v>
      </c>
      <c r="G279" s="23">
        <v>9</v>
      </c>
      <c r="H279" s="23">
        <v>1</v>
      </c>
      <c r="I279" s="23">
        <v>7951</v>
      </c>
      <c r="J279" s="23">
        <v>40</v>
      </c>
      <c r="K279" s="23">
        <v>231</v>
      </c>
      <c r="L279" s="23" t="s">
        <v>229</v>
      </c>
      <c r="M279" s="23">
        <f t="shared" si="4"/>
        <v>475.99999999999994</v>
      </c>
      <c r="N279" s="24" t="str">
        <f t="array" ref="N279">INDEX('MATCH INFO'!O:O, INT((ROW()-2)/10)+2 + 29+29)</f>
        <v>260621_O2_CR_S1</v>
      </c>
    </row>
    <row r="280" spans="1:14">
      <c r="A280" s="23" t="s">
        <v>32</v>
      </c>
      <c r="B280" s="23" t="s">
        <v>146</v>
      </c>
      <c r="C280" s="23" t="s">
        <v>101</v>
      </c>
      <c r="D280" s="23" t="s">
        <v>54</v>
      </c>
      <c r="E280" s="23" t="s">
        <v>188</v>
      </c>
      <c r="F280" s="23">
        <v>15</v>
      </c>
      <c r="G280" s="23">
        <v>6</v>
      </c>
      <c r="H280" s="23">
        <v>7</v>
      </c>
      <c r="I280" s="23">
        <v>11085</v>
      </c>
      <c r="J280" s="23">
        <v>1684</v>
      </c>
      <c r="K280" s="23">
        <v>8227</v>
      </c>
      <c r="L280" s="23" t="s">
        <v>229</v>
      </c>
      <c r="M280" s="23">
        <f t="shared" si="4"/>
        <v>475.99999999999994</v>
      </c>
      <c r="N280" s="24" t="str">
        <f t="array" ref="N280">INDEX('MATCH INFO'!O:O, INT((ROW()-2)/10)+2 + 29+29)</f>
        <v>260621_O2_CR_S1</v>
      </c>
    </row>
    <row r="281" spans="1:14">
      <c r="A281" s="23" t="s">
        <v>32</v>
      </c>
      <c r="B281" s="23" t="s">
        <v>151</v>
      </c>
      <c r="C281" s="23" t="s">
        <v>109</v>
      </c>
      <c r="D281" s="23" t="s">
        <v>54</v>
      </c>
      <c r="E281" s="23" t="s">
        <v>188</v>
      </c>
      <c r="F281" s="23">
        <v>9</v>
      </c>
      <c r="G281" s="23">
        <v>7</v>
      </c>
      <c r="H281" s="23">
        <v>14</v>
      </c>
      <c r="I281" s="23">
        <v>3572</v>
      </c>
      <c r="J281" s="23">
        <v>11212</v>
      </c>
      <c r="K281" s="23">
        <v>0</v>
      </c>
      <c r="L281" s="23" t="s">
        <v>229</v>
      </c>
      <c r="M281" s="23">
        <f t="shared" si="4"/>
        <v>475.99999999999994</v>
      </c>
      <c r="N281" s="24" t="str">
        <f t="array" ref="N281">INDEX('MATCH INFO'!O:O, INT((ROW()-2)/10)+2 + 29+29)</f>
        <v>260621_O2_CR_S1</v>
      </c>
    </row>
    <row r="282" spans="1:14">
      <c r="A282" s="23" t="s">
        <v>20</v>
      </c>
      <c r="B282" s="23" t="s">
        <v>108</v>
      </c>
      <c r="C282" s="23" t="s">
        <v>109</v>
      </c>
      <c r="D282" s="23" t="s">
        <v>69</v>
      </c>
      <c r="E282" s="23" t="s">
        <v>201</v>
      </c>
      <c r="F282" s="23">
        <v>5</v>
      </c>
      <c r="G282" s="23">
        <v>7</v>
      </c>
      <c r="H282" s="23">
        <v>4</v>
      </c>
      <c r="I282" s="23">
        <v>4426</v>
      </c>
      <c r="J282" s="23">
        <v>6977</v>
      </c>
      <c r="K282" s="23">
        <v>532</v>
      </c>
      <c r="L282" s="23" t="s">
        <v>260</v>
      </c>
      <c r="M282" s="23">
        <f t="shared" si="4"/>
        <v>540</v>
      </c>
      <c r="N282" s="24" t="str">
        <f t="array" ref="N282">INDEX('MATCH INFO'!O:O, INT((ROW()-2)/10)+2 + 29+29)</f>
        <v>260621_O2_CR_S2</v>
      </c>
    </row>
    <row r="283" spans="1:14">
      <c r="A283" s="23" t="s">
        <v>20</v>
      </c>
      <c r="B283" s="23" t="s">
        <v>111</v>
      </c>
      <c r="C283" s="23" t="s">
        <v>109</v>
      </c>
      <c r="D283" s="23" t="s">
        <v>69</v>
      </c>
      <c r="E283" s="23" t="s">
        <v>201</v>
      </c>
      <c r="F283" s="23">
        <v>4</v>
      </c>
      <c r="G283" s="23">
        <v>7</v>
      </c>
      <c r="H283" s="23">
        <v>6</v>
      </c>
      <c r="I283" s="23">
        <v>3913</v>
      </c>
      <c r="J283" s="23">
        <v>14499</v>
      </c>
      <c r="K283" s="23">
        <v>37</v>
      </c>
      <c r="L283" s="23" t="s">
        <v>260</v>
      </c>
      <c r="M283" s="23">
        <f t="shared" si="4"/>
        <v>540</v>
      </c>
      <c r="N283" s="24" t="str">
        <f t="array" ref="N283">INDEX('MATCH INFO'!O:O, INT((ROW()-2)/10)+2 + 29+29)</f>
        <v>260621_O2_CR_S2</v>
      </c>
    </row>
    <row r="284" spans="1:14">
      <c r="A284" s="23" t="s">
        <v>20</v>
      </c>
      <c r="B284" s="23" t="s">
        <v>106</v>
      </c>
      <c r="C284" s="23" t="s">
        <v>104</v>
      </c>
      <c r="D284" s="23" t="s">
        <v>69</v>
      </c>
      <c r="E284" s="23" t="s">
        <v>201</v>
      </c>
      <c r="F284" s="23">
        <v>7</v>
      </c>
      <c r="G284" s="23">
        <v>10</v>
      </c>
      <c r="H284" s="23">
        <v>1</v>
      </c>
      <c r="I284" s="23">
        <v>6761</v>
      </c>
      <c r="J284" s="23">
        <v>0</v>
      </c>
      <c r="K284" s="23">
        <v>92</v>
      </c>
      <c r="L284" s="23" t="s">
        <v>260</v>
      </c>
      <c r="M284" s="23">
        <f t="shared" si="4"/>
        <v>540</v>
      </c>
      <c r="N284" s="24" t="str">
        <f t="array" ref="N284">INDEX('MATCH INFO'!O:O, INT((ROW()-2)/10)+2 + 29+29)</f>
        <v>260621_O2_CR_S2</v>
      </c>
    </row>
    <row r="285" spans="1:14">
      <c r="A285" s="23" t="s">
        <v>20</v>
      </c>
      <c r="B285" s="23" t="s">
        <v>102</v>
      </c>
      <c r="C285" s="23" t="s">
        <v>101</v>
      </c>
      <c r="D285" s="23" t="s">
        <v>69</v>
      </c>
      <c r="E285" s="23" t="s">
        <v>201</v>
      </c>
      <c r="F285" s="23">
        <v>7</v>
      </c>
      <c r="G285" s="23">
        <v>8</v>
      </c>
      <c r="H285" s="23">
        <v>1</v>
      </c>
      <c r="I285" s="23">
        <v>9087</v>
      </c>
      <c r="J285" s="23">
        <v>94</v>
      </c>
      <c r="K285" s="23">
        <v>18237</v>
      </c>
      <c r="L285" s="23" t="s">
        <v>260</v>
      </c>
      <c r="M285" s="23">
        <f t="shared" si="4"/>
        <v>540</v>
      </c>
      <c r="N285" s="24" t="str">
        <f t="array" ref="N285">INDEX('MATCH INFO'!O:O, INT((ROW()-2)/10)+2 + 29+29)</f>
        <v>260621_O2_CR_S2</v>
      </c>
    </row>
    <row r="286" spans="1:14">
      <c r="A286" s="23" t="s">
        <v>20</v>
      </c>
      <c r="B286" s="23" t="s">
        <v>103</v>
      </c>
      <c r="C286" s="23" t="s">
        <v>104</v>
      </c>
      <c r="D286" s="23" t="s">
        <v>69</v>
      </c>
      <c r="E286" s="23" t="s">
        <v>201</v>
      </c>
      <c r="F286" s="23">
        <v>6</v>
      </c>
      <c r="G286" s="23">
        <v>8</v>
      </c>
      <c r="H286" s="23">
        <v>2</v>
      </c>
      <c r="I286" s="23">
        <v>7335</v>
      </c>
      <c r="J286" s="23">
        <v>1214</v>
      </c>
      <c r="K286" s="23">
        <v>2311</v>
      </c>
      <c r="L286" s="23" t="s">
        <v>260</v>
      </c>
      <c r="M286" s="23">
        <f t="shared" si="4"/>
        <v>540</v>
      </c>
      <c r="N286" s="24" t="str">
        <f t="array" ref="N286">INDEX('MATCH INFO'!O:O, INT((ROW()-2)/10)+2 + 29+29)</f>
        <v>260621_O2_CR_S2</v>
      </c>
    </row>
    <row r="287" spans="1:14">
      <c r="A287" s="23" t="s">
        <v>32</v>
      </c>
      <c r="B287" s="23" t="s">
        <v>150</v>
      </c>
      <c r="C287" s="23" t="s">
        <v>109</v>
      </c>
      <c r="D287" s="23" t="s">
        <v>69</v>
      </c>
      <c r="E287" s="23" t="s">
        <v>201</v>
      </c>
      <c r="F287" s="23">
        <v>22</v>
      </c>
      <c r="G287" s="23">
        <v>4</v>
      </c>
      <c r="H287" s="23">
        <v>17</v>
      </c>
      <c r="I287" s="23">
        <v>4241</v>
      </c>
      <c r="J287" s="23">
        <v>8895</v>
      </c>
      <c r="K287" s="23">
        <v>0</v>
      </c>
      <c r="L287" s="23" t="s">
        <v>260</v>
      </c>
      <c r="M287" s="23">
        <f t="shared" si="4"/>
        <v>540</v>
      </c>
      <c r="N287" s="24" t="str">
        <f t="array" ref="N287">INDEX('MATCH INFO'!O:O, INT((ROW()-2)/10)+2 + 29+29)</f>
        <v>260621_O2_CR_S2</v>
      </c>
    </row>
    <row r="288" spans="1:14">
      <c r="A288" s="23" t="s">
        <v>32</v>
      </c>
      <c r="B288" s="23" t="s">
        <v>147</v>
      </c>
      <c r="C288" s="23" t="s">
        <v>104</v>
      </c>
      <c r="D288" s="23" t="s">
        <v>69</v>
      </c>
      <c r="E288" s="23" t="s">
        <v>201</v>
      </c>
      <c r="F288" s="23">
        <v>22</v>
      </c>
      <c r="G288" s="23">
        <v>2</v>
      </c>
      <c r="H288" s="23">
        <v>12</v>
      </c>
      <c r="I288" s="23">
        <v>7719</v>
      </c>
      <c r="J288" s="23">
        <v>1067</v>
      </c>
      <c r="K288" s="23">
        <v>1670</v>
      </c>
      <c r="L288" s="23" t="s">
        <v>260</v>
      </c>
      <c r="M288" s="23">
        <f t="shared" si="4"/>
        <v>540</v>
      </c>
      <c r="N288" s="24" t="str">
        <f t="array" ref="N288">INDEX('MATCH INFO'!O:O, INT((ROW()-2)/10)+2 + 29+29)</f>
        <v>260621_O2_CR_S2</v>
      </c>
    </row>
    <row r="289" spans="1:14">
      <c r="A289" s="23" t="s">
        <v>32</v>
      </c>
      <c r="B289" s="23" t="s">
        <v>148</v>
      </c>
      <c r="C289" s="23" t="s">
        <v>104</v>
      </c>
      <c r="D289" s="23" t="s">
        <v>69</v>
      </c>
      <c r="E289" s="23" t="s">
        <v>201</v>
      </c>
      <c r="F289" s="23">
        <v>29</v>
      </c>
      <c r="G289" s="23">
        <v>2</v>
      </c>
      <c r="H289" s="23">
        <v>1</v>
      </c>
      <c r="I289" s="23">
        <v>10769</v>
      </c>
      <c r="J289" s="23">
        <v>38</v>
      </c>
      <c r="K289" s="23">
        <v>218</v>
      </c>
      <c r="L289" s="23" t="s">
        <v>260</v>
      </c>
      <c r="M289" s="23">
        <f t="shared" si="4"/>
        <v>540</v>
      </c>
      <c r="N289" s="24" t="str">
        <f t="array" ref="N289">INDEX('MATCH INFO'!O:O, INT((ROW()-2)/10)+2 + 29+29)</f>
        <v>260621_O2_CR_S2</v>
      </c>
    </row>
    <row r="290" spans="1:14">
      <c r="A290" s="23" t="s">
        <v>32</v>
      </c>
      <c r="B290" s="23" t="s">
        <v>146</v>
      </c>
      <c r="C290" s="23" t="s">
        <v>101</v>
      </c>
      <c r="D290" s="23" t="s">
        <v>69</v>
      </c>
      <c r="E290" s="23" t="s">
        <v>201</v>
      </c>
      <c r="F290" s="23">
        <v>29</v>
      </c>
      <c r="G290" s="23">
        <v>1</v>
      </c>
      <c r="H290" s="23">
        <v>6</v>
      </c>
      <c r="I290" s="23">
        <v>14636</v>
      </c>
      <c r="J290" s="23">
        <v>0</v>
      </c>
      <c r="K290" s="23">
        <v>19772</v>
      </c>
      <c r="L290" s="23" t="s">
        <v>260</v>
      </c>
      <c r="M290" s="23">
        <f t="shared" si="4"/>
        <v>540</v>
      </c>
      <c r="N290" s="24" t="str">
        <f t="array" ref="N290">INDEX('MATCH INFO'!O:O, INT((ROW()-2)/10)+2 + 29+29)</f>
        <v>260621_O2_CR_S2</v>
      </c>
    </row>
    <row r="291" spans="1:14">
      <c r="A291" s="23" t="s">
        <v>32</v>
      </c>
      <c r="B291" s="23" t="s">
        <v>151</v>
      </c>
      <c r="C291" s="23" t="s">
        <v>109</v>
      </c>
      <c r="D291" s="23" t="s">
        <v>69</v>
      </c>
      <c r="E291" s="23" t="s">
        <v>201</v>
      </c>
      <c r="F291" s="23">
        <v>16</v>
      </c>
      <c r="G291" s="23">
        <v>1</v>
      </c>
      <c r="H291" s="23">
        <v>19</v>
      </c>
      <c r="I291" s="23">
        <v>3629</v>
      </c>
      <c r="J291" s="23">
        <v>14145</v>
      </c>
      <c r="K291" s="23">
        <v>282</v>
      </c>
      <c r="L291" s="23" t="s">
        <v>260</v>
      </c>
      <c r="M291" s="23">
        <f t="shared" si="4"/>
        <v>540</v>
      </c>
      <c r="N291" s="24" t="str">
        <f t="array" ref="N291">INDEX('MATCH INFO'!O:O, INT((ROW()-2)/10)+2 + 29+29)</f>
        <v>260621_O2_CR_S2</v>
      </c>
    </row>
    <row r="292" spans="1:14">
      <c r="A292" s="23" t="s">
        <v>32</v>
      </c>
      <c r="B292" s="23" t="s">
        <v>150</v>
      </c>
      <c r="C292" s="23" t="s">
        <v>109</v>
      </c>
      <c r="D292" s="23" t="s">
        <v>44</v>
      </c>
      <c r="E292" s="23" t="s">
        <v>190</v>
      </c>
      <c r="F292" s="23">
        <v>21</v>
      </c>
      <c r="G292" s="23">
        <v>2</v>
      </c>
      <c r="H292" s="23">
        <v>22</v>
      </c>
      <c r="I292" s="23">
        <v>4530</v>
      </c>
      <c r="J292" s="23">
        <v>3704</v>
      </c>
      <c r="K292" s="23">
        <v>1029</v>
      </c>
      <c r="L292" s="23" t="s">
        <v>281</v>
      </c>
      <c r="M292" s="23">
        <f t="shared" si="4"/>
        <v>387</v>
      </c>
      <c r="N292" s="24" t="str">
        <f t="array" ref="N292">INDEX('MATCH INFO'!O:O, INT((ROW()-2)/10)+2 + 29+29)</f>
        <v>260621_O2_CR_S3</v>
      </c>
    </row>
    <row r="293" spans="1:14">
      <c r="A293" s="23" t="s">
        <v>32</v>
      </c>
      <c r="B293" s="23" t="s">
        <v>147</v>
      </c>
      <c r="C293" s="23" t="s">
        <v>104</v>
      </c>
      <c r="D293" s="23" t="s">
        <v>44</v>
      </c>
      <c r="E293" s="23" t="s">
        <v>190</v>
      </c>
      <c r="F293" s="23">
        <v>17</v>
      </c>
      <c r="G293" s="23">
        <v>5</v>
      </c>
      <c r="H293" s="23">
        <v>0</v>
      </c>
      <c r="I293" s="23">
        <v>6643</v>
      </c>
      <c r="J293" s="23">
        <v>750</v>
      </c>
      <c r="K293" s="23">
        <v>0</v>
      </c>
      <c r="L293" s="23" t="s">
        <v>281</v>
      </c>
      <c r="M293" s="23">
        <f t="shared" si="4"/>
        <v>387</v>
      </c>
      <c r="N293" s="24" t="str">
        <f t="array" ref="N293">INDEX('MATCH INFO'!O:O, INT((ROW()-2)/10)+2 + 29+29)</f>
        <v>260621_O2_CR_S3</v>
      </c>
    </row>
    <row r="294" spans="1:14">
      <c r="A294" s="23" t="s">
        <v>32</v>
      </c>
      <c r="B294" s="23" t="s">
        <v>148</v>
      </c>
      <c r="C294" s="23" t="s">
        <v>104</v>
      </c>
      <c r="D294" s="23" t="s">
        <v>44</v>
      </c>
      <c r="E294" s="23" t="s">
        <v>190</v>
      </c>
      <c r="F294" s="23">
        <v>25</v>
      </c>
      <c r="G294" s="23">
        <v>2</v>
      </c>
      <c r="H294" s="23">
        <v>0</v>
      </c>
      <c r="I294" s="23">
        <v>8213</v>
      </c>
      <c r="J294" s="23">
        <v>0</v>
      </c>
      <c r="K294" s="23">
        <v>0</v>
      </c>
      <c r="L294" s="23" t="s">
        <v>281</v>
      </c>
      <c r="M294" s="23">
        <f t="shared" si="4"/>
        <v>387</v>
      </c>
      <c r="N294" s="24" t="str">
        <f t="array" ref="N294">INDEX('MATCH INFO'!O:O, INT((ROW()-2)/10)+2 + 29+29)</f>
        <v>260621_O2_CR_S3</v>
      </c>
    </row>
    <row r="295" spans="1:14">
      <c r="A295" s="23" t="s">
        <v>32</v>
      </c>
      <c r="B295" s="23" t="s">
        <v>146</v>
      </c>
      <c r="C295" s="23" t="s">
        <v>101</v>
      </c>
      <c r="D295" s="23" t="s">
        <v>44</v>
      </c>
      <c r="E295" s="23" t="s">
        <v>190</v>
      </c>
      <c r="F295" s="23">
        <v>23</v>
      </c>
      <c r="G295" s="23">
        <v>4</v>
      </c>
      <c r="H295" s="23">
        <v>14</v>
      </c>
      <c r="I295" s="23">
        <v>8451</v>
      </c>
      <c r="J295" s="23">
        <v>1489</v>
      </c>
      <c r="K295" s="23">
        <v>2317</v>
      </c>
      <c r="L295" s="23" t="s">
        <v>281</v>
      </c>
      <c r="M295" s="23">
        <f t="shared" si="4"/>
        <v>387</v>
      </c>
      <c r="N295" s="24" t="str">
        <f t="array" ref="N295">INDEX('MATCH INFO'!O:O, INT((ROW()-2)/10)+2 + 29+29)</f>
        <v>260621_O2_CR_S3</v>
      </c>
    </row>
    <row r="296" spans="1:14">
      <c r="A296" s="23" t="s">
        <v>32</v>
      </c>
      <c r="B296" s="23" t="s">
        <v>151</v>
      </c>
      <c r="C296" s="23" t="s">
        <v>109</v>
      </c>
      <c r="D296" s="23" t="s">
        <v>44</v>
      </c>
      <c r="E296" s="23" t="s">
        <v>190</v>
      </c>
      <c r="F296" s="23">
        <v>16</v>
      </c>
      <c r="G296" s="23">
        <v>2</v>
      </c>
      <c r="H296" s="23">
        <v>26</v>
      </c>
      <c r="I296" s="23">
        <v>4007</v>
      </c>
      <c r="J296" s="23">
        <v>8611</v>
      </c>
      <c r="K296" s="23">
        <v>0</v>
      </c>
      <c r="L296" s="23" t="s">
        <v>281</v>
      </c>
      <c r="M296" s="23">
        <f t="shared" si="4"/>
        <v>387</v>
      </c>
      <c r="N296" s="24" t="str">
        <f t="array" ref="N296">INDEX('MATCH INFO'!O:O, INT((ROW()-2)/10)+2 + 29+29)</f>
        <v>260621_O2_CR_S3</v>
      </c>
    </row>
    <row r="297" spans="1:14">
      <c r="A297" s="23" t="s">
        <v>20</v>
      </c>
      <c r="B297" s="23" t="s">
        <v>108</v>
      </c>
      <c r="C297" s="23" t="s">
        <v>109</v>
      </c>
      <c r="D297" s="23" t="s">
        <v>44</v>
      </c>
      <c r="E297" s="23" t="s">
        <v>190</v>
      </c>
      <c r="F297" s="23">
        <v>8</v>
      </c>
      <c r="G297" s="23">
        <v>6</v>
      </c>
      <c r="H297" s="23">
        <v>8</v>
      </c>
      <c r="I297" s="23">
        <v>2995</v>
      </c>
      <c r="J297" s="23">
        <v>3746</v>
      </c>
      <c r="K297" s="23">
        <v>1899</v>
      </c>
      <c r="L297" s="23" t="s">
        <v>281</v>
      </c>
      <c r="M297" s="23">
        <f t="shared" si="4"/>
        <v>387</v>
      </c>
      <c r="N297" s="24" t="str">
        <f t="array" ref="N297">INDEX('MATCH INFO'!O:O, INT((ROW()-2)/10)+2 + 29+29)</f>
        <v>260621_O2_CR_S3</v>
      </c>
    </row>
    <row r="298" spans="1:14">
      <c r="A298" s="23" t="s">
        <v>20</v>
      </c>
      <c r="B298" s="23" t="s">
        <v>111</v>
      </c>
      <c r="C298" s="23" t="s">
        <v>109</v>
      </c>
      <c r="D298" s="23" t="s">
        <v>44</v>
      </c>
      <c r="E298" s="23" t="s">
        <v>190</v>
      </c>
      <c r="F298" s="23">
        <v>10</v>
      </c>
      <c r="G298" s="23">
        <v>5</v>
      </c>
      <c r="H298" s="23">
        <v>11</v>
      </c>
      <c r="I298" s="23">
        <v>3466</v>
      </c>
      <c r="J298" s="23">
        <v>8651</v>
      </c>
      <c r="K298" s="23">
        <v>0</v>
      </c>
      <c r="L298" s="23" t="s">
        <v>281</v>
      </c>
      <c r="M298" s="23">
        <f t="shared" si="4"/>
        <v>387</v>
      </c>
      <c r="N298" s="24" t="str">
        <f t="array" ref="N298">INDEX('MATCH INFO'!O:O, INT((ROW()-2)/10)+2 + 29+29)</f>
        <v>260621_O2_CR_S3</v>
      </c>
    </row>
    <row r="299" spans="1:14">
      <c r="A299" s="23" t="s">
        <v>20</v>
      </c>
      <c r="B299" s="23" t="s">
        <v>106</v>
      </c>
      <c r="C299" s="23" t="s">
        <v>104</v>
      </c>
      <c r="D299" s="23" t="s">
        <v>44</v>
      </c>
      <c r="E299" s="23" t="s">
        <v>190</v>
      </c>
      <c r="F299" s="23">
        <v>11</v>
      </c>
      <c r="G299" s="23">
        <v>7</v>
      </c>
      <c r="H299" s="23">
        <v>2</v>
      </c>
      <c r="I299" s="23">
        <v>4560</v>
      </c>
      <c r="J299" s="23">
        <v>30</v>
      </c>
      <c r="K299" s="23">
        <v>250</v>
      </c>
      <c r="L299" s="23" t="s">
        <v>281</v>
      </c>
      <c r="M299" s="23">
        <f t="shared" si="4"/>
        <v>387</v>
      </c>
      <c r="N299" s="24" t="str">
        <f t="array" ref="N299">INDEX('MATCH INFO'!O:O, INT((ROW()-2)/10)+2 + 29+29)</f>
        <v>260621_O2_CR_S3</v>
      </c>
    </row>
    <row r="300" spans="1:14">
      <c r="A300" s="23" t="s">
        <v>20</v>
      </c>
      <c r="B300" s="23" t="s">
        <v>102</v>
      </c>
      <c r="C300" s="23" t="s">
        <v>101</v>
      </c>
      <c r="D300" s="23" t="s">
        <v>44</v>
      </c>
      <c r="E300" s="23" t="s">
        <v>190</v>
      </c>
      <c r="F300" s="23">
        <v>7</v>
      </c>
      <c r="G300" s="23">
        <v>6</v>
      </c>
      <c r="H300" s="23">
        <v>4</v>
      </c>
      <c r="I300" s="23">
        <v>7374</v>
      </c>
      <c r="J300" s="23">
        <v>2156</v>
      </c>
      <c r="K300" s="23">
        <v>4842</v>
      </c>
      <c r="L300" s="23" t="s">
        <v>281</v>
      </c>
      <c r="M300" s="23">
        <f t="shared" si="4"/>
        <v>387</v>
      </c>
      <c r="N300" s="24" t="str">
        <f t="array" ref="N300">INDEX('MATCH INFO'!O:O, INT((ROW()-2)/10)+2 + 29+29)</f>
        <v>260621_O2_CR_S3</v>
      </c>
    </row>
    <row r="301" spans="1:14">
      <c r="A301" s="23" t="s">
        <v>20</v>
      </c>
      <c r="B301" s="23" t="s">
        <v>103</v>
      </c>
      <c r="C301" s="23" t="s">
        <v>104</v>
      </c>
      <c r="D301" s="23" t="s">
        <v>44</v>
      </c>
      <c r="E301" s="23" t="s">
        <v>190</v>
      </c>
      <c r="F301" s="23">
        <v>12</v>
      </c>
      <c r="G301" s="23">
        <v>7</v>
      </c>
      <c r="H301" s="23">
        <v>0</v>
      </c>
      <c r="I301" s="23">
        <v>6743</v>
      </c>
      <c r="J301" s="23">
        <v>999</v>
      </c>
      <c r="K301" s="23">
        <v>0</v>
      </c>
      <c r="L301" s="23" t="s">
        <v>281</v>
      </c>
      <c r="M301" s="23">
        <f t="shared" si="4"/>
        <v>387</v>
      </c>
      <c r="N301" s="24" t="str">
        <f t="array" ref="N301">INDEX('MATCH INFO'!O:O, INT((ROW()-2)/10)+2 + 29+29)</f>
        <v>260621_O2_CR_S3</v>
      </c>
    </row>
    <row r="302" spans="1:14">
      <c r="A302" s="23" t="s">
        <v>20</v>
      </c>
      <c r="B302" s="23" t="s">
        <v>108</v>
      </c>
      <c r="C302" s="23" t="s">
        <v>109</v>
      </c>
      <c r="D302" s="23" t="s">
        <v>39</v>
      </c>
      <c r="E302" s="23" t="s">
        <v>192</v>
      </c>
      <c r="F302" s="23">
        <v>6</v>
      </c>
      <c r="G302" s="23">
        <v>6</v>
      </c>
      <c r="H302" s="23">
        <v>8</v>
      </c>
      <c r="I302" s="23">
        <v>2846</v>
      </c>
      <c r="J302" s="23">
        <v>6116</v>
      </c>
      <c r="K302" s="23">
        <v>5043</v>
      </c>
      <c r="L302" s="23" t="s">
        <v>282</v>
      </c>
      <c r="M302" s="23">
        <f t="shared" si="4"/>
        <v>411</v>
      </c>
      <c r="N302" s="24" t="str">
        <f t="array" ref="N302">INDEX('MATCH INFO'!O:O, INT((ROW()-2)/10)+2 + 29+29)</f>
        <v>260621_O2_CR_S4</v>
      </c>
    </row>
    <row r="303" spans="1:14">
      <c r="A303" s="23" t="s">
        <v>20</v>
      </c>
      <c r="B303" s="23" t="s">
        <v>100</v>
      </c>
      <c r="C303" s="23" t="s">
        <v>101</v>
      </c>
      <c r="D303" s="23" t="s">
        <v>39</v>
      </c>
      <c r="E303" s="23" t="s">
        <v>192</v>
      </c>
      <c r="F303" s="23">
        <v>8</v>
      </c>
      <c r="G303" s="23">
        <v>7</v>
      </c>
      <c r="H303" s="23">
        <v>4</v>
      </c>
      <c r="I303" s="23">
        <v>6366</v>
      </c>
      <c r="J303" s="23">
        <v>1204</v>
      </c>
      <c r="K303" s="23">
        <v>4136</v>
      </c>
      <c r="L303" s="23" t="s">
        <v>282</v>
      </c>
      <c r="M303" s="23">
        <f t="shared" si="4"/>
        <v>411</v>
      </c>
      <c r="N303" s="24" t="str">
        <f t="array" ref="N303">INDEX('MATCH INFO'!O:O, INT((ROW()-2)/10)+2 + 29+29)</f>
        <v>260621_O2_CR_S4</v>
      </c>
    </row>
    <row r="304" spans="1:14">
      <c r="A304" s="23" t="s">
        <v>20</v>
      </c>
      <c r="B304" s="23" t="s">
        <v>111</v>
      </c>
      <c r="C304" s="23" t="s">
        <v>109</v>
      </c>
      <c r="D304" s="23" t="s">
        <v>39</v>
      </c>
      <c r="E304" s="23" t="s">
        <v>192</v>
      </c>
      <c r="F304" s="23">
        <v>4</v>
      </c>
      <c r="G304" s="23">
        <v>8</v>
      </c>
      <c r="H304" s="23">
        <v>4</v>
      </c>
      <c r="I304" s="23">
        <v>2136</v>
      </c>
      <c r="J304" s="23">
        <v>7046</v>
      </c>
      <c r="K304" s="23">
        <v>0</v>
      </c>
      <c r="L304" s="23" t="s">
        <v>282</v>
      </c>
      <c r="M304" s="23">
        <f t="shared" si="4"/>
        <v>411</v>
      </c>
      <c r="N304" s="24" t="str">
        <f t="array" ref="N304">INDEX('MATCH INFO'!O:O, INT((ROW()-2)/10)+2 + 29+29)</f>
        <v>260621_O2_CR_S4</v>
      </c>
    </row>
    <row r="305" spans="1:14">
      <c r="A305" s="23" t="s">
        <v>20</v>
      </c>
      <c r="B305" s="23" t="s">
        <v>106</v>
      </c>
      <c r="C305" s="23" t="s">
        <v>104</v>
      </c>
      <c r="D305" s="23" t="s">
        <v>39</v>
      </c>
      <c r="E305" s="23" t="s">
        <v>192</v>
      </c>
      <c r="F305" s="23">
        <v>5</v>
      </c>
      <c r="G305" s="23">
        <v>5</v>
      </c>
      <c r="H305" s="23">
        <v>0</v>
      </c>
      <c r="I305" s="23">
        <v>5784</v>
      </c>
      <c r="J305" s="23">
        <v>0</v>
      </c>
      <c r="K305" s="23">
        <v>0</v>
      </c>
      <c r="L305" s="23" t="s">
        <v>282</v>
      </c>
      <c r="M305" s="23">
        <f t="shared" si="4"/>
        <v>411</v>
      </c>
      <c r="N305" s="24" t="str">
        <f t="array" ref="N305">INDEX('MATCH INFO'!O:O, INT((ROW()-2)/10)+2 + 29+29)</f>
        <v>260621_O2_CR_S4</v>
      </c>
    </row>
    <row r="306" spans="1:14">
      <c r="A306" s="23" t="s">
        <v>20</v>
      </c>
      <c r="B306" s="23" t="s">
        <v>103</v>
      </c>
      <c r="C306" s="23" t="s">
        <v>104</v>
      </c>
      <c r="D306" s="23" t="s">
        <v>39</v>
      </c>
      <c r="E306" s="23" t="s">
        <v>192</v>
      </c>
      <c r="F306" s="23">
        <v>8</v>
      </c>
      <c r="G306" s="23">
        <v>6</v>
      </c>
      <c r="H306" s="23">
        <v>2</v>
      </c>
      <c r="I306" s="23">
        <v>6618</v>
      </c>
      <c r="J306" s="23">
        <v>0</v>
      </c>
      <c r="K306" s="23">
        <v>443</v>
      </c>
      <c r="L306" s="23" t="s">
        <v>282</v>
      </c>
      <c r="M306" s="23">
        <f t="shared" si="4"/>
        <v>411</v>
      </c>
      <c r="N306" s="24" t="str">
        <f t="array" ref="N306">INDEX('MATCH INFO'!O:O, INT((ROW()-2)/10)+2 + 29+29)</f>
        <v>260621_O2_CR_S4</v>
      </c>
    </row>
    <row r="307" spans="1:14">
      <c r="A307" s="23" t="s">
        <v>32</v>
      </c>
      <c r="B307" s="23" t="s">
        <v>150</v>
      </c>
      <c r="C307" s="23" t="s">
        <v>109</v>
      </c>
      <c r="D307" s="23" t="s">
        <v>39</v>
      </c>
      <c r="E307" s="23" t="s">
        <v>192</v>
      </c>
      <c r="F307" s="23">
        <v>16</v>
      </c>
      <c r="G307" s="23">
        <v>3</v>
      </c>
      <c r="H307" s="23">
        <v>16</v>
      </c>
      <c r="I307" s="23">
        <v>2802</v>
      </c>
      <c r="J307" s="23">
        <v>6394</v>
      </c>
      <c r="K307" s="23">
        <v>0</v>
      </c>
      <c r="L307" s="23" t="s">
        <v>282</v>
      </c>
      <c r="M307" s="23">
        <f t="shared" si="4"/>
        <v>411</v>
      </c>
      <c r="N307" s="24" t="str">
        <f t="array" ref="N307">INDEX('MATCH INFO'!O:O, INT((ROW()-2)/10)+2 + 29+29)</f>
        <v>260621_O2_CR_S4</v>
      </c>
    </row>
    <row r="308" spans="1:14">
      <c r="A308" s="23" t="s">
        <v>32</v>
      </c>
      <c r="B308" s="23" t="s">
        <v>147</v>
      </c>
      <c r="C308" s="23" t="s">
        <v>104</v>
      </c>
      <c r="D308" s="23" t="s">
        <v>39</v>
      </c>
      <c r="E308" s="23" t="s">
        <v>192</v>
      </c>
      <c r="F308" s="23">
        <v>18</v>
      </c>
      <c r="G308" s="23">
        <v>3</v>
      </c>
      <c r="H308" s="23">
        <v>3</v>
      </c>
      <c r="I308" s="23">
        <v>9012</v>
      </c>
      <c r="J308" s="23">
        <v>345</v>
      </c>
      <c r="K308" s="23">
        <v>843</v>
      </c>
      <c r="L308" s="23" t="s">
        <v>282</v>
      </c>
      <c r="M308" s="23">
        <f t="shared" si="4"/>
        <v>411</v>
      </c>
      <c r="N308" s="24" t="str">
        <f t="array" ref="N308">INDEX('MATCH INFO'!O:O, INT((ROW()-2)/10)+2 + 29+29)</f>
        <v>260621_O2_CR_S4</v>
      </c>
    </row>
    <row r="309" spans="1:14">
      <c r="A309" s="23" t="s">
        <v>32</v>
      </c>
      <c r="B309" s="23" t="s">
        <v>148</v>
      </c>
      <c r="C309" s="23" t="s">
        <v>104</v>
      </c>
      <c r="D309" s="23" t="s">
        <v>39</v>
      </c>
      <c r="E309" s="23" t="s">
        <v>192</v>
      </c>
      <c r="F309" s="23">
        <v>18</v>
      </c>
      <c r="G309" s="23">
        <v>5</v>
      </c>
      <c r="H309" s="23">
        <v>1</v>
      </c>
      <c r="I309" s="23">
        <v>8632</v>
      </c>
      <c r="J309" s="23">
        <v>0</v>
      </c>
      <c r="K309" s="23">
        <v>174</v>
      </c>
      <c r="L309" s="23" t="s">
        <v>282</v>
      </c>
      <c r="M309" s="23">
        <f t="shared" si="4"/>
        <v>411</v>
      </c>
      <c r="N309" s="24" t="str">
        <f t="array" ref="N309">INDEX('MATCH INFO'!O:O, INT((ROW()-2)/10)+2 + 29+29)</f>
        <v>260621_O2_CR_S4</v>
      </c>
    </row>
    <row r="310" spans="1:14">
      <c r="A310" s="23" t="s">
        <v>32</v>
      </c>
      <c r="B310" s="23" t="s">
        <v>146</v>
      </c>
      <c r="C310" s="23" t="s">
        <v>101</v>
      </c>
      <c r="D310" s="23" t="s">
        <v>39</v>
      </c>
      <c r="E310" s="23" t="s">
        <v>192</v>
      </c>
      <c r="F310" s="23">
        <v>26</v>
      </c>
      <c r="G310" s="23">
        <v>1</v>
      </c>
      <c r="H310" s="23">
        <v>14</v>
      </c>
      <c r="I310" s="23">
        <v>6131</v>
      </c>
      <c r="J310" s="23">
        <v>1345</v>
      </c>
      <c r="K310" s="23">
        <v>10597</v>
      </c>
      <c r="L310" s="23" t="s">
        <v>282</v>
      </c>
      <c r="M310" s="23">
        <f t="shared" si="4"/>
        <v>411</v>
      </c>
      <c r="N310" s="24" t="str">
        <f t="array" ref="N310">INDEX('MATCH INFO'!O:O, INT((ROW()-2)/10)+2 + 29+29)</f>
        <v>260621_O2_CR_S4</v>
      </c>
    </row>
    <row r="311" spans="1:14">
      <c r="A311" s="23" t="s">
        <v>32</v>
      </c>
      <c r="B311" s="23" t="s">
        <v>151</v>
      </c>
      <c r="C311" s="23" t="s">
        <v>109</v>
      </c>
      <c r="D311" s="23" t="s">
        <v>39</v>
      </c>
      <c r="E311" s="23" t="s">
        <v>192</v>
      </c>
      <c r="F311" s="23">
        <v>8</v>
      </c>
      <c r="G311" s="23">
        <v>0</v>
      </c>
      <c r="H311" s="23">
        <v>23</v>
      </c>
      <c r="I311" s="23">
        <v>3254</v>
      </c>
      <c r="J311" s="23">
        <v>9864</v>
      </c>
      <c r="K311" s="23">
        <v>0</v>
      </c>
      <c r="L311" s="23" t="s">
        <v>282</v>
      </c>
      <c r="M311" s="23">
        <f t="shared" si="4"/>
        <v>411</v>
      </c>
      <c r="N311" s="24" t="str">
        <f t="array" ref="N311">INDEX('MATCH INFO'!O:O, INT((ROW()-2)/10)+2 + 29+29)</f>
        <v>260621_O2_CR_S4</v>
      </c>
    </row>
    <row r="312" spans="1:14">
      <c r="A312" s="23" t="s">
        <v>42</v>
      </c>
      <c r="B312" s="23" t="s">
        <v>141</v>
      </c>
      <c r="C312" s="23" t="s">
        <v>104</v>
      </c>
      <c r="D312" s="23" t="s">
        <v>22</v>
      </c>
      <c r="E312" s="23" t="s">
        <v>188</v>
      </c>
      <c r="F312" s="23">
        <v>11</v>
      </c>
      <c r="G312" s="23">
        <v>6</v>
      </c>
      <c r="H312" s="23">
        <v>2</v>
      </c>
      <c r="I312" s="23">
        <v>9271</v>
      </c>
      <c r="J312" s="23">
        <v>85</v>
      </c>
      <c r="K312" s="23">
        <v>183</v>
      </c>
      <c r="L312" s="23" t="s">
        <v>283</v>
      </c>
      <c r="M312" s="23">
        <f t="shared" si="4"/>
        <v>533</v>
      </c>
      <c r="N312" s="24" t="str">
        <f t="array" ref="N312">INDEX('MATCH INFO'!O:O, INT((ROW()-2)/10)+2 + 29+29)</f>
        <v>260621_ZETA_PF_S1</v>
      </c>
    </row>
    <row r="313" spans="1:14">
      <c r="A313" s="23" t="s">
        <v>42</v>
      </c>
      <c r="B313" s="23" t="s">
        <v>138</v>
      </c>
      <c r="C313" s="23" t="s">
        <v>101</v>
      </c>
      <c r="D313" s="23" t="s">
        <v>22</v>
      </c>
      <c r="E313" s="23" t="s">
        <v>188</v>
      </c>
      <c r="F313" s="23">
        <v>17</v>
      </c>
      <c r="G313" s="23">
        <v>2</v>
      </c>
      <c r="H313" s="23">
        <v>4</v>
      </c>
      <c r="I313" s="23">
        <v>7759</v>
      </c>
      <c r="J313" s="23">
        <v>1601</v>
      </c>
      <c r="K313" s="23">
        <v>4951</v>
      </c>
      <c r="L313" s="23" t="s">
        <v>283</v>
      </c>
      <c r="M313" s="23">
        <f t="shared" si="4"/>
        <v>533</v>
      </c>
      <c r="N313" s="24" t="str">
        <f t="array" ref="N313">INDEX('MATCH INFO'!O:O, INT((ROW()-2)/10)+2 + 29+29)</f>
        <v>260621_ZETA_PF_S1</v>
      </c>
    </row>
    <row r="314" spans="1:14">
      <c r="A314" s="23" t="s">
        <v>42</v>
      </c>
      <c r="B314" s="23" t="s">
        <v>140</v>
      </c>
      <c r="C314" s="23" t="s">
        <v>104</v>
      </c>
      <c r="D314" s="23" t="s">
        <v>22</v>
      </c>
      <c r="E314" s="23" t="s">
        <v>188</v>
      </c>
      <c r="F314" s="23">
        <v>15</v>
      </c>
      <c r="G314" s="23">
        <v>6</v>
      </c>
      <c r="H314" s="23">
        <v>2</v>
      </c>
      <c r="I314" s="23">
        <v>10390</v>
      </c>
      <c r="J314" s="23">
        <v>0</v>
      </c>
      <c r="K314" s="23">
        <v>321</v>
      </c>
      <c r="L314" s="23" t="s">
        <v>283</v>
      </c>
      <c r="M314" s="23">
        <f t="shared" si="4"/>
        <v>533</v>
      </c>
      <c r="N314" s="24" t="str">
        <f t="array" ref="N314">INDEX('MATCH INFO'!O:O, INT((ROW()-2)/10)+2 + 29+29)</f>
        <v>260621_ZETA_PF_S1</v>
      </c>
    </row>
    <row r="315" spans="1:14">
      <c r="A315" s="23" t="s">
        <v>42</v>
      </c>
      <c r="B315" s="23" t="s">
        <v>143</v>
      </c>
      <c r="C315" s="23" t="s">
        <v>109</v>
      </c>
      <c r="D315" s="23" t="s">
        <v>22</v>
      </c>
      <c r="E315" s="23" t="s">
        <v>188</v>
      </c>
      <c r="F315" s="23">
        <v>4</v>
      </c>
      <c r="G315" s="23">
        <v>5</v>
      </c>
      <c r="H315" s="23">
        <v>14</v>
      </c>
      <c r="I315" s="23">
        <v>3462</v>
      </c>
      <c r="J315" s="23">
        <v>6204</v>
      </c>
      <c r="K315" s="23">
        <v>0</v>
      </c>
      <c r="L315" s="23" t="s">
        <v>283</v>
      </c>
      <c r="M315" s="23">
        <f t="shared" si="4"/>
        <v>533</v>
      </c>
      <c r="N315" s="24" t="str">
        <f t="array" ref="N315">INDEX('MATCH INFO'!O:O, INT((ROW()-2)/10)+2 + 29+29)</f>
        <v>260621_ZETA_PF_S1</v>
      </c>
    </row>
    <row r="316" spans="1:14">
      <c r="A316" s="23" t="s">
        <v>42</v>
      </c>
      <c r="B316" s="23" t="s">
        <v>142</v>
      </c>
      <c r="C316" s="23" t="s">
        <v>109</v>
      </c>
      <c r="D316" s="23" t="s">
        <v>22</v>
      </c>
      <c r="E316" s="23" t="s">
        <v>188</v>
      </c>
      <c r="F316" s="23">
        <v>14</v>
      </c>
      <c r="G316" s="23">
        <v>4</v>
      </c>
      <c r="H316" s="23">
        <v>13</v>
      </c>
      <c r="I316" s="23">
        <v>4388</v>
      </c>
      <c r="J316" s="23">
        <v>7364</v>
      </c>
      <c r="K316" s="23">
        <v>0</v>
      </c>
      <c r="L316" s="23" t="s">
        <v>283</v>
      </c>
      <c r="M316" s="23">
        <f t="shared" si="4"/>
        <v>533</v>
      </c>
      <c r="N316" s="24" t="str">
        <f t="array" ref="N316">INDEX('MATCH INFO'!O:O, INT((ROW()-2)/10)+2 + 29+29)</f>
        <v>260621_ZETA_PF_S1</v>
      </c>
    </row>
    <row r="317" spans="1:14">
      <c r="A317" s="23" t="s">
        <v>50</v>
      </c>
      <c r="B317" s="23" t="s">
        <v>136</v>
      </c>
      <c r="C317" s="23" t="s">
        <v>109</v>
      </c>
      <c r="D317" s="23" t="s">
        <v>22</v>
      </c>
      <c r="E317" s="23" t="s">
        <v>188</v>
      </c>
      <c r="F317" s="23">
        <v>4</v>
      </c>
      <c r="G317" s="23">
        <v>4</v>
      </c>
      <c r="H317" s="23">
        <v>12</v>
      </c>
      <c r="I317" s="23">
        <v>3325</v>
      </c>
      <c r="J317" s="23">
        <v>8342</v>
      </c>
      <c r="K317" s="23">
        <v>0</v>
      </c>
      <c r="L317" s="23" t="s">
        <v>283</v>
      </c>
      <c r="M317" s="23">
        <f t="shared" si="4"/>
        <v>533</v>
      </c>
      <c r="N317" s="24" t="str">
        <f t="array" ref="N317">INDEX('MATCH INFO'!O:O, INT((ROW()-2)/10)+2 + 29+29)</f>
        <v>260621_ZETA_PF_S1</v>
      </c>
    </row>
    <row r="318" spans="1:14">
      <c r="A318" s="23" t="s">
        <v>50</v>
      </c>
      <c r="B318" s="23" t="s">
        <v>133</v>
      </c>
      <c r="C318" s="23" t="s">
        <v>104</v>
      </c>
      <c r="D318" s="23" t="s">
        <v>22</v>
      </c>
      <c r="E318" s="23" t="s">
        <v>188</v>
      </c>
      <c r="F318" s="23">
        <v>15</v>
      </c>
      <c r="G318" s="23">
        <v>5</v>
      </c>
      <c r="H318" s="23">
        <v>0</v>
      </c>
      <c r="I318" s="23">
        <v>7428</v>
      </c>
      <c r="J318" s="23">
        <v>1049</v>
      </c>
      <c r="K318" s="23">
        <v>299</v>
      </c>
      <c r="L318" s="23" t="s">
        <v>283</v>
      </c>
      <c r="M318" s="23">
        <f t="shared" si="4"/>
        <v>533</v>
      </c>
      <c r="N318" s="24" t="str">
        <f t="array" ref="N318">INDEX('MATCH INFO'!O:O, INT((ROW()-2)/10)+2 + 29+29)</f>
        <v>260621_ZETA_PF_S1</v>
      </c>
    </row>
    <row r="319" spans="1:14">
      <c r="A319" s="23" t="s">
        <v>50</v>
      </c>
      <c r="B319" s="23" t="s">
        <v>131</v>
      </c>
      <c r="C319" s="23" t="s">
        <v>101</v>
      </c>
      <c r="D319" s="23" t="s">
        <v>22</v>
      </c>
      <c r="E319" s="23" t="s">
        <v>188</v>
      </c>
      <c r="F319" s="23">
        <v>14</v>
      </c>
      <c r="G319" s="23">
        <v>4</v>
      </c>
      <c r="H319" s="23">
        <v>4</v>
      </c>
      <c r="I319" s="23">
        <v>7207</v>
      </c>
      <c r="J319" s="23">
        <v>1744</v>
      </c>
      <c r="K319" s="23">
        <v>4931</v>
      </c>
      <c r="L319" s="23" t="s">
        <v>283</v>
      </c>
      <c r="M319" s="23">
        <f t="shared" si="4"/>
        <v>533</v>
      </c>
      <c r="N319" s="24" t="str">
        <f t="array" ref="N319">INDEX('MATCH INFO'!O:O, INT((ROW()-2)/10)+2 + 29+29)</f>
        <v>260621_ZETA_PF_S1</v>
      </c>
    </row>
    <row r="320" spans="1:14">
      <c r="A320" s="23" t="s">
        <v>50</v>
      </c>
      <c r="B320" s="23" t="s">
        <v>134</v>
      </c>
      <c r="C320" s="23" t="s">
        <v>104</v>
      </c>
      <c r="D320" s="23" t="s">
        <v>22</v>
      </c>
      <c r="E320" s="23" t="s">
        <v>188</v>
      </c>
      <c r="F320" s="23">
        <v>10</v>
      </c>
      <c r="G320" s="23">
        <v>6</v>
      </c>
      <c r="H320" s="23">
        <v>1</v>
      </c>
      <c r="I320" s="23">
        <v>8784</v>
      </c>
      <c r="J320" s="23">
        <v>158</v>
      </c>
      <c r="K320" s="23">
        <v>494</v>
      </c>
      <c r="L320" s="23" t="s">
        <v>283</v>
      </c>
      <c r="M320" s="23">
        <f t="shared" si="4"/>
        <v>533</v>
      </c>
      <c r="N320" s="24" t="str">
        <f t="array" ref="N320">INDEX('MATCH INFO'!O:O, INT((ROW()-2)/10)+2 + 29+29)</f>
        <v>260621_ZETA_PF_S1</v>
      </c>
    </row>
    <row r="321" spans="1:14">
      <c r="A321" s="23" t="s">
        <v>50</v>
      </c>
      <c r="B321" s="23" t="s">
        <v>135</v>
      </c>
      <c r="C321" s="23" t="s">
        <v>109</v>
      </c>
      <c r="D321" s="23" t="s">
        <v>22</v>
      </c>
      <c r="E321" s="23" t="s">
        <v>188</v>
      </c>
      <c r="F321" s="23">
        <v>5</v>
      </c>
      <c r="G321" s="23">
        <v>7</v>
      </c>
      <c r="H321" s="23">
        <v>6</v>
      </c>
      <c r="I321" s="23">
        <v>3077</v>
      </c>
      <c r="J321" s="23">
        <v>3908</v>
      </c>
      <c r="K321" s="23">
        <v>1143</v>
      </c>
      <c r="L321" s="23" t="s">
        <v>283</v>
      </c>
      <c r="M321" s="23">
        <f t="shared" si="4"/>
        <v>533</v>
      </c>
      <c r="N321" s="24" t="str">
        <f t="array" ref="N321">INDEX('MATCH INFO'!O:O, INT((ROW()-2)/10)+2 + 29+29)</f>
        <v>260621_ZETA_PF_S1</v>
      </c>
    </row>
    <row r="322" spans="1:14">
      <c r="A322" s="23" t="s">
        <v>50</v>
      </c>
      <c r="B322" s="23" t="s">
        <v>136</v>
      </c>
      <c r="C322" s="23" t="s">
        <v>109</v>
      </c>
      <c r="D322" s="23" t="s">
        <v>44</v>
      </c>
      <c r="E322" s="23" t="s">
        <v>190</v>
      </c>
      <c r="F322" s="23">
        <v>4</v>
      </c>
      <c r="G322" s="23">
        <v>8</v>
      </c>
      <c r="H322" s="23">
        <v>17</v>
      </c>
      <c r="I322" s="23">
        <v>2841</v>
      </c>
      <c r="J322" s="23">
        <v>7421</v>
      </c>
      <c r="K322" s="23">
        <v>0</v>
      </c>
      <c r="L322" s="23" t="s">
        <v>284</v>
      </c>
      <c r="M322" s="23">
        <f t="shared" ref="M322:M385" si="5">L322*86400</f>
        <v>557</v>
      </c>
      <c r="N322" s="24" t="str">
        <f t="array" ref="N322">INDEX('MATCH INFO'!O:O, INT((ROW()-2)/10)+2 + 29+29)</f>
        <v>260621_ZETA_PF_S2</v>
      </c>
    </row>
    <row r="323" spans="1:14">
      <c r="A323" s="23" t="s">
        <v>50</v>
      </c>
      <c r="B323" s="23" t="s">
        <v>133</v>
      </c>
      <c r="C323" s="23" t="s">
        <v>104</v>
      </c>
      <c r="D323" s="23" t="s">
        <v>44</v>
      </c>
      <c r="E323" s="23" t="s">
        <v>190</v>
      </c>
      <c r="F323" s="23">
        <v>13</v>
      </c>
      <c r="G323" s="23">
        <v>9</v>
      </c>
      <c r="H323" s="23">
        <v>0</v>
      </c>
      <c r="I323" s="23">
        <v>5766</v>
      </c>
      <c r="J323" s="23">
        <v>905</v>
      </c>
      <c r="K323" s="23">
        <v>765</v>
      </c>
      <c r="L323" s="23" t="s">
        <v>284</v>
      </c>
      <c r="M323" s="23">
        <f t="shared" si="5"/>
        <v>557</v>
      </c>
      <c r="N323" s="24" t="str">
        <f t="array" ref="N323">INDEX('MATCH INFO'!O:O, INT((ROW()-2)/10)+2 + 29+29)</f>
        <v>260621_ZETA_PF_S2</v>
      </c>
    </row>
    <row r="324" spans="1:14">
      <c r="A324" s="23" t="s">
        <v>50</v>
      </c>
      <c r="B324" s="23" t="s">
        <v>131</v>
      </c>
      <c r="C324" s="23" t="s">
        <v>101</v>
      </c>
      <c r="D324" s="23" t="s">
        <v>44</v>
      </c>
      <c r="E324" s="23" t="s">
        <v>190</v>
      </c>
      <c r="F324" s="23">
        <v>17</v>
      </c>
      <c r="G324" s="23">
        <v>7</v>
      </c>
      <c r="H324" s="23">
        <v>2</v>
      </c>
      <c r="I324" s="23">
        <v>8525</v>
      </c>
      <c r="J324" s="23">
        <v>2353</v>
      </c>
      <c r="K324" s="23">
        <v>5396</v>
      </c>
      <c r="L324" s="23" t="s">
        <v>284</v>
      </c>
      <c r="M324" s="23">
        <f t="shared" si="5"/>
        <v>557</v>
      </c>
      <c r="N324" s="24" t="str">
        <f t="array" ref="N324">INDEX('MATCH INFO'!O:O, INT((ROW()-2)/10)+2 + 29+29)</f>
        <v>260621_ZETA_PF_S2</v>
      </c>
    </row>
    <row r="325" spans="1:14">
      <c r="A325" s="23" t="s">
        <v>50</v>
      </c>
      <c r="B325" s="23" t="s">
        <v>134</v>
      </c>
      <c r="C325" s="23" t="s">
        <v>104</v>
      </c>
      <c r="D325" s="23" t="s">
        <v>44</v>
      </c>
      <c r="E325" s="23" t="s">
        <v>190</v>
      </c>
      <c r="F325" s="23">
        <v>18</v>
      </c>
      <c r="G325" s="23">
        <v>9</v>
      </c>
      <c r="H325" s="23">
        <v>0</v>
      </c>
      <c r="I325" s="23">
        <v>10355</v>
      </c>
      <c r="J325" s="23">
        <v>0</v>
      </c>
      <c r="K325" s="23">
        <v>0</v>
      </c>
      <c r="L325" s="23" t="s">
        <v>284</v>
      </c>
      <c r="M325" s="23">
        <f t="shared" si="5"/>
        <v>557</v>
      </c>
      <c r="N325" s="24" t="str">
        <f t="array" ref="N325">INDEX('MATCH INFO'!O:O, INT((ROW()-2)/10)+2 + 29+29)</f>
        <v>260621_ZETA_PF_S2</v>
      </c>
    </row>
    <row r="326" spans="1:14">
      <c r="A326" s="23" t="s">
        <v>50</v>
      </c>
      <c r="B326" s="23" t="s">
        <v>135</v>
      </c>
      <c r="C326" s="23" t="s">
        <v>109</v>
      </c>
      <c r="D326" s="23" t="s">
        <v>44</v>
      </c>
      <c r="E326" s="23" t="s">
        <v>190</v>
      </c>
      <c r="F326" s="23">
        <v>7</v>
      </c>
      <c r="G326" s="23">
        <v>7</v>
      </c>
      <c r="H326" s="23">
        <v>8</v>
      </c>
      <c r="I326" s="23">
        <v>3843</v>
      </c>
      <c r="J326" s="23">
        <v>5808</v>
      </c>
      <c r="K326" s="23">
        <v>1169</v>
      </c>
      <c r="L326" s="23" t="s">
        <v>284</v>
      </c>
      <c r="M326" s="23">
        <f t="shared" si="5"/>
        <v>557</v>
      </c>
      <c r="N326" s="24" t="str">
        <f t="array" ref="N326">INDEX('MATCH INFO'!O:O, INT((ROW()-2)/10)+2 + 29+29)</f>
        <v>260621_ZETA_PF_S2</v>
      </c>
    </row>
    <row r="327" spans="1:14">
      <c r="A327" s="23" t="s">
        <v>42</v>
      </c>
      <c r="B327" s="23" t="s">
        <v>139</v>
      </c>
      <c r="C327" s="23" t="s">
        <v>101</v>
      </c>
      <c r="D327" s="23" t="s">
        <v>44</v>
      </c>
      <c r="E327" s="23" t="s">
        <v>190</v>
      </c>
      <c r="F327" s="23">
        <v>29</v>
      </c>
      <c r="G327" s="23">
        <v>3</v>
      </c>
      <c r="H327" s="23">
        <v>5</v>
      </c>
      <c r="I327" s="23">
        <v>9221</v>
      </c>
      <c r="J327" s="23">
        <v>2247</v>
      </c>
      <c r="K327" s="23">
        <v>6228</v>
      </c>
      <c r="L327" s="23" t="s">
        <v>284</v>
      </c>
      <c r="M327" s="23">
        <f t="shared" si="5"/>
        <v>557</v>
      </c>
      <c r="N327" s="24" t="str">
        <f t="array" ref="N327">INDEX('MATCH INFO'!O:O, INT((ROW()-2)/10)+2 + 29+29)</f>
        <v>260621_ZETA_PF_S2</v>
      </c>
    </row>
    <row r="328" spans="1:14">
      <c r="A328" s="23" t="s">
        <v>42</v>
      </c>
      <c r="B328" s="23" t="s">
        <v>141</v>
      </c>
      <c r="C328" s="23" t="s">
        <v>104</v>
      </c>
      <c r="D328" s="23" t="s">
        <v>44</v>
      </c>
      <c r="E328" s="23" t="s">
        <v>190</v>
      </c>
      <c r="F328" s="23">
        <v>18</v>
      </c>
      <c r="G328" s="23">
        <v>6</v>
      </c>
      <c r="H328" s="23">
        <v>0</v>
      </c>
      <c r="I328" s="23">
        <v>7429</v>
      </c>
      <c r="J328" s="23">
        <v>1129</v>
      </c>
      <c r="K328" s="23">
        <v>0</v>
      </c>
      <c r="L328" s="23" t="s">
        <v>284</v>
      </c>
      <c r="M328" s="23">
        <f t="shared" si="5"/>
        <v>557</v>
      </c>
      <c r="N328" s="24" t="str">
        <f t="array" ref="N328">INDEX('MATCH INFO'!O:O, INT((ROW()-2)/10)+2 + 29+29)</f>
        <v>260621_ZETA_PF_S2</v>
      </c>
    </row>
    <row r="329" spans="1:14">
      <c r="A329" s="23" t="s">
        <v>42</v>
      </c>
      <c r="B329" s="23" t="s">
        <v>140</v>
      </c>
      <c r="C329" s="23" t="s">
        <v>104</v>
      </c>
      <c r="D329" s="23" t="s">
        <v>44</v>
      </c>
      <c r="E329" s="23" t="s">
        <v>190</v>
      </c>
      <c r="F329" s="23">
        <v>29</v>
      </c>
      <c r="G329" s="23">
        <v>5</v>
      </c>
      <c r="H329" s="23">
        <v>3</v>
      </c>
      <c r="I329" s="23">
        <v>8975</v>
      </c>
      <c r="J329" s="23">
        <v>75</v>
      </c>
      <c r="K329" s="23">
        <v>539</v>
      </c>
      <c r="L329" s="23" t="s">
        <v>284</v>
      </c>
      <c r="M329" s="23">
        <f t="shared" si="5"/>
        <v>557</v>
      </c>
      <c r="N329" s="24" t="str">
        <f t="array" ref="N329">INDEX('MATCH INFO'!O:O, INT((ROW()-2)/10)+2 + 29+29)</f>
        <v>260621_ZETA_PF_S2</v>
      </c>
    </row>
    <row r="330" spans="1:14">
      <c r="A330" s="23" t="s">
        <v>42</v>
      </c>
      <c r="B330" s="23" t="s">
        <v>143</v>
      </c>
      <c r="C330" s="23" t="s">
        <v>109</v>
      </c>
      <c r="D330" s="23" t="s">
        <v>44</v>
      </c>
      <c r="E330" s="23" t="s">
        <v>190</v>
      </c>
      <c r="F330" s="23">
        <v>14</v>
      </c>
      <c r="G330" s="23">
        <v>5</v>
      </c>
      <c r="H330" s="23">
        <v>30</v>
      </c>
      <c r="I330" s="23">
        <v>4360</v>
      </c>
      <c r="J330" s="23">
        <v>11228</v>
      </c>
      <c r="K330" s="23">
        <v>0</v>
      </c>
      <c r="L330" s="23" t="s">
        <v>284</v>
      </c>
      <c r="M330" s="23">
        <f t="shared" si="5"/>
        <v>557</v>
      </c>
      <c r="N330" s="24" t="str">
        <f t="array" ref="N330">INDEX('MATCH INFO'!O:O, INT((ROW()-2)/10)+2 + 29+29)</f>
        <v>260621_ZETA_PF_S2</v>
      </c>
    </row>
    <row r="331" spans="1:14">
      <c r="A331" s="23" t="s">
        <v>42</v>
      </c>
      <c r="B331" s="23" t="s">
        <v>142</v>
      </c>
      <c r="C331" s="23" t="s">
        <v>109</v>
      </c>
      <c r="D331" s="23" t="s">
        <v>44</v>
      </c>
      <c r="E331" s="23" t="s">
        <v>190</v>
      </c>
      <c r="F331" s="23">
        <v>13</v>
      </c>
      <c r="G331" s="23">
        <v>9</v>
      </c>
      <c r="H331" s="23">
        <v>13</v>
      </c>
      <c r="I331" s="23">
        <v>3060</v>
      </c>
      <c r="J331" s="23">
        <v>4644</v>
      </c>
      <c r="K331" s="23">
        <v>853</v>
      </c>
      <c r="L331" s="23" t="s">
        <v>284</v>
      </c>
      <c r="M331" s="23">
        <f t="shared" si="5"/>
        <v>557</v>
      </c>
      <c r="N331" s="24" t="str">
        <f t="array" ref="N331">INDEX('MATCH INFO'!O:O, INT((ROW()-2)/10)+2 + 29+29)</f>
        <v>260621_ZETA_PF_S2</v>
      </c>
    </row>
    <row r="332" spans="1:14">
      <c r="A332" s="23" t="s">
        <v>50</v>
      </c>
      <c r="B332" s="23" t="s">
        <v>136</v>
      </c>
      <c r="C332" s="23" t="s">
        <v>109</v>
      </c>
      <c r="D332" s="23" t="s">
        <v>28</v>
      </c>
      <c r="E332" s="23" t="s">
        <v>192</v>
      </c>
      <c r="F332" s="23">
        <v>2</v>
      </c>
      <c r="G332" s="23">
        <v>7</v>
      </c>
      <c r="H332" s="23">
        <v>7</v>
      </c>
      <c r="I332" s="23">
        <v>1734</v>
      </c>
      <c r="J332" s="23">
        <v>5122</v>
      </c>
      <c r="K332" s="23">
        <v>0</v>
      </c>
      <c r="L332" s="23" t="s">
        <v>285</v>
      </c>
      <c r="M332" s="23">
        <f t="shared" si="5"/>
        <v>347.00000000000006</v>
      </c>
      <c r="N332" s="24" t="str">
        <f t="array" ref="N332">INDEX('MATCH INFO'!O:O, INT((ROW()-2)/10)+2 + 29+29)</f>
        <v>260621_ZETA_PF_S3</v>
      </c>
    </row>
    <row r="333" spans="1:14">
      <c r="A333" s="23" t="s">
        <v>50</v>
      </c>
      <c r="B333" s="23" t="s">
        <v>133</v>
      </c>
      <c r="C333" s="23" t="s">
        <v>104</v>
      </c>
      <c r="D333" s="23" t="s">
        <v>28</v>
      </c>
      <c r="E333" s="23" t="s">
        <v>192</v>
      </c>
      <c r="F333" s="23">
        <v>3</v>
      </c>
      <c r="G333" s="23">
        <v>6</v>
      </c>
      <c r="H333" s="23">
        <v>0</v>
      </c>
      <c r="I333" s="23">
        <v>2855</v>
      </c>
      <c r="J333" s="23">
        <v>75</v>
      </c>
      <c r="K333" s="23">
        <v>161</v>
      </c>
      <c r="L333" s="23" t="s">
        <v>285</v>
      </c>
      <c r="M333" s="23">
        <f t="shared" si="5"/>
        <v>347.00000000000006</v>
      </c>
      <c r="N333" s="24" t="str">
        <f t="array" ref="N333">INDEX('MATCH INFO'!O:O, INT((ROW()-2)/10)+2 + 29+29)</f>
        <v>260621_ZETA_PF_S3</v>
      </c>
    </row>
    <row r="334" spans="1:14">
      <c r="A334" s="23" t="s">
        <v>50</v>
      </c>
      <c r="B334" s="23" t="s">
        <v>132</v>
      </c>
      <c r="C334" s="23" t="s">
        <v>101</v>
      </c>
      <c r="D334" s="23" t="s">
        <v>28</v>
      </c>
      <c r="E334" s="23" t="s">
        <v>192</v>
      </c>
      <c r="F334" s="23">
        <v>6</v>
      </c>
      <c r="G334" s="23">
        <v>8</v>
      </c>
      <c r="H334" s="23">
        <v>3</v>
      </c>
      <c r="I334" s="23">
        <v>4787</v>
      </c>
      <c r="J334" s="23">
        <v>987</v>
      </c>
      <c r="K334" s="23">
        <v>2960</v>
      </c>
      <c r="L334" s="23" t="s">
        <v>285</v>
      </c>
      <c r="M334" s="23">
        <f t="shared" si="5"/>
        <v>347.00000000000006</v>
      </c>
      <c r="N334" s="24" t="str">
        <f t="array" ref="N334">INDEX('MATCH INFO'!O:O, INT((ROW()-2)/10)+2 + 29+29)</f>
        <v>260621_ZETA_PF_S3</v>
      </c>
    </row>
    <row r="335" spans="1:14">
      <c r="A335" s="23" t="s">
        <v>50</v>
      </c>
      <c r="B335" s="23" t="s">
        <v>134</v>
      </c>
      <c r="C335" s="23" t="s">
        <v>104</v>
      </c>
      <c r="D335" s="23" t="s">
        <v>28</v>
      </c>
      <c r="E335" s="23" t="s">
        <v>192</v>
      </c>
      <c r="F335" s="23">
        <v>8</v>
      </c>
      <c r="G335" s="23">
        <v>6</v>
      </c>
      <c r="H335" s="23">
        <v>0</v>
      </c>
      <c r="I335" s="23">
        <v>5684</v>
      </c>
      <c r="J335" s="23">
        <v>0</v>
      </c>
      <c r="K335" s="23">
        <v>0</v>
      </c>
      <c r="L335" s="23" t="s">
        <v>285</v>
      </c>
      <c r="M335" s="23">
        <f t="shared" si="5"/>
        <v>347.00000000000006</v>
      </c>
      <c r="N335" s="24" t="str">
        <f t="array" ref="N335">INDEX('MATCH INFO'!O:O, INT((ROW()-2)/10)+2 + 29+29)</f>
        <v>260621_ZETA_PF_S3</v>
      </c>
    </row>
    <row r="336" spans="1:14">
      <c r="A336" s="23" t="s">
        <v>50</v>
      </c>
      <c r="B336" s="23" t="s">
        <v>135</v>
      </c>
      <c r="C336" s="23" t="s">
        <v>109</v>
      </c>
      <c r="D336" s="23" t="s">
        <v>28</v>
      </c>
      <c r="E336" s="23" t="s">
        <v>192</v>
      </c>
      <c r="F336" s="23">
        <v>4</v>
      </c>
      <c r="G336" s="23">
        <v>6</v>
      </c>
      <c r="H336" s="23">
        <v>5</v>
      </c>
      <c r="I336" s="23">
        <v>1326</v>
      </c>
      <c r="J336" s="23">
        <v>3158</v>
      </c>
      <c r="K336" s="23">
        <v>701</v>
      </c>
      <c r="L336" s="23" t="s">
        <v>285</v>
      </c>
      <c r="M336" s="23">
        <f t="shared" si="5"/>
        <v>347.00000000000006</v>
      </c>
      <c r="N336" s="24" t="str">
        <f t="array" ref="N336">INDEX('MATCH INFO'!O:O, INT((ROW()-2)/10)+2 + 29+29)</f>
        <v>260621_ZETA_PF_S3</v>
      </c>
    </row>
    <row r="337" spans="1:14">
      <c r="A337" s="23" t="s">
        <v>42</v>
      </c>
      <c r="B337" s="23" t="s">
        <v>139</v>
      </c>
      <c r="C337" s="23" t="s">
        <v>101</v>
      </c>
      <c r="D337" s="23" t="s">
        <v>28</v>
      </c>
      <c r="E337" s="23" t="s">
        <v>192</v>
      </c>
      <c r="F337" s="23">
        <v>24</v>
      </c>
      <c r="G337" s="23">
        <v>2</v>
      </c>
      <c r="H337" s="23">
        <v>6</v>
      </c>
      <c r="I337" s="23">
        <v>5296</v>
      </c>
      <c r="J337" s="23">
        <v>1180</v>
      </c>
      <c r="K337" s="23">
        <v>3889</v>
      </c>
      <c r="L337" s="23" t="s">
        <v>285</v>
      </c>
      <c r="M337" s="23">
        <f t="shared" si="5"/>
        <v>347.00000000000006</v>
      </c>
      <c r="N337" s="24" t="str">
        <f t="array" ref="N337">INDEX('MATCH INFO'!O:O, INT((ROW()-2)/10)+2 + 29+29)</f>
        <v>260621_ZETA_PF_S3</v>
      </c>
    </row>
    <row r="338" spans="1:14">
      <c r="A338" s="23" t="s">
        <v>42</v>
      </c>
      <c r="B338" s="23" t="s">
        <v>141</v>
      </c>
      <c r="C338" s="23" t="s">
        <v>104</v>
      </c>
      <c r="D338" s="23" t="s">
        <v>28</v>
      </c>
      <c r="E338" s="23" t="s">
        <v>192</v>
      </c>
      <c r="F338" s="23">
        <v>24</v>
      </c>
      <c r="G338" s="23">
        <v>1</v>
      </c>
      <c r="H338" s="23">
        <v>0</v>
      </c>
      <c r="I338" s="23">
        <v>5543</v>
      </c>
      <c r="J338" s="23">
        <v>834</v>
      </c>
      <c r="K338" s="23">
        <v>0</v>
      </c>
      <c r="L338" s="23" t="s">
        <v>285</v>
      </c>
      <c r="M338" s="23">
        <f t="shared" si="5"/>
        <v>347.00000000000006</v>
      </c>
      <c r="N338" s="24" t="str">
        <f t="array" ref="N338">INDEX('MATCH INFO'!O:O, INT((ROW()-2)/10)+2 + 29+29)</f>
        <v>260621_ZETA_PF_S3</v>
      </c>
    </row>
    <row r="339" spans="1:14">
      <c r="A339" s="23" t="s">
        <v>42</v>
      </c>
      <c r="B339" s="23" t="s">
        <v>140</v>
      </c>
      <c r="C339" s="23" t="s">
        <v>104</v>
      </c>
      <c r="D339" s="23" t="s">
        <v>28</v>
      </c>
      <c r="E339" s="23" t="s">
        <v>192</v>
      </c>
      <c r="F339" s="23">
        <v>25</v>
      </c>
      <c r="G339" s="23">
        <v>0</v>
      </c>
      <c r="H339" s="23">
        <v>1</v>
      </c>
      <c r="I339" s="23">
        <v>7401</v>
      </c>
      <c r="J339" s="23">
        <v>0</v>
      </c>
      <c r="K339" s="23">
        <v>245</v>
      </c>
      <c r="L339" s="23" t="s">
        <v>285</v>
      </c>
      <c r="M339" s="23">
        <f t="shared" si="5"/>
        <v>347.00000000000006</v>
      </c>
      <c r="N339" s="24" t="str">
        <f t="array" ref="N339">INDEX('MATCH INFO'!O:O, INT((ROW()-2)/10)+2 + 29+29)</f>
        <v>260621_ZETA_PF_S3</v>
      </c>
    </row>
    <row r="340" spans="1:14">
      <c r="A340" s="23" t="s">
        <v>42</v>
      </c>
      <c r="B340" s="23" t="s">
        <v>143</v>
      </c>
      <c r="C340" s="23" t="s">
        <v>109</v>
      </c>
      <c r="D340" s="23" t="s">
        <v>28</v>
      </c>
      <c r="E340" s="23" t="s">
        <v>192</v>
      </c>
      <c r="F340" s="23">
        <v>11</v>
      </c>
      <c r="G340" s="23">
        <v>2</v>
      </c>
      <c r="H340" s="23">
        <v>28</v>
      </c>
      <c r="I340" s="23">
        <v>2246</v>
      </c>
      <c r="J340" s="23">
        <v>6583</v>
      </c>
      <c r="K340" s="23">
        <v>0</v>
      </c>
      <c r="L340" s="23" t="s">
        <v>285</v>
      </c>
      <c r="M340" s="23">
        <f t="shared" si="5"/>
        <v>347.00000000000006</v>
      </c>
      <c r="N340" s="24" t="str">
        <f t="array" ref="N340">INDEX('MATCH INFO'!O:O, INT((ROW()-2)/10)+2 + 29+29)</f>
        <v>260621_ZETA_PF_S3</v>
      </c>
    </row>
    <row r="341" spans="1:14">
      <c r="A341" s="23" t="s">
        <v>42</v>
      </c>
      <c r="B341" s="23" t="s">
        <v>142</v>
      </c>
      <c r="C341" s="23" t="s">
        <v>109</v>
      </c>
      <c r="D341" s="23" t="s">
        <v>28</v>
      </c>
      <c r="E341" s="23" t="s">
        <v>192</v>
      </c>
      <c r="F341" s="23">
        <v>16</v>
      </c>
      <c r="G341" s="23">
        <v>4</v>
      </c>
      <c r="H341" s="23">
        <v>17</v>
      </c>
      <c r="I341" s="23">
        <v>2727</v>
      </c>
      <c r="J341" s="23">
        <v>2754</v>
      </c>
      <c r="K341" s="23">
        <v>1086</v>
      </c>
      <c r="L341" s="23" t="s">
        <v>285</v>
      </c>
      <c r="M341" s="23">
        <f t="shared" si="5"/>
        <v>347.00000000000006</v>
      </c>
      <c r="N341" s="24" t="str">
        <f t="array" ref="N341">INDEX('MATCH INFO'!O:O, INT((ROW()-2)/10)+2 + 29+29)</f>
        <v>260621_ZETA_PF_S3</v>
      </c>
    </row>
  </sheetData>
  <phoneticPr fontId="8" type="noConversion"/>
  <conditionalFormatting sqref="A2:N341">
    <cfRule type="expression" dxfId="7" priority="1">
      <formula>MOD(ROW()-1, 10)=0</formula>
    </cfRule>
    <cfRule type="expression" dxfId="6" priority="2">
      <formula>MOD(INT((ROW()-2)/10), 2)=1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21"/>
  <sheetViews>
    <sheetView topLeftCell="A73" workbookViewId="0"/>
  </sheetViews>
  <sheetFormatPr baseColWidth="10" defaultRowHeight="18"/>
  <cols>
    <col min="2" max="2" width="13.28515625" style="3" customWidth="1"/>
    <col min="4" max="4" width="15.28515625" style="3" customWidth="1"/>
    <col min="13" max="13" width="16.7109375" style="3" customWidth="1"/>
    <col min="14" max="14" width="17.42578125" style="3" customWidth="1"/>
  </cols>
  <sheetData>
    <row r="1" spans="1:14">
      <c r="A1" s="4" t="s">
        <v>175</v>
      </c>
      <c r="B1" s="4" t="s">
        <v>176</v>
      </c>
      <c r="C1" s="4" t="s">
        <v>177</v>
      </c>
      <c r="D1" s="4" t="s">
        <v>178</v>
      </c>
      <c r="E1" s="4" t="s">
        <v>179</v>
      </c>
      <c r="F1" s="4" t="s">
        <v>180</v>
      </c>
      <c r="G1" s="4" t="s">
        <v>181</v>
      </c>
      <c r="H1" s="4" t="s">
        <v>182</v>
      </c>
      <c r="I1" s="4" t="s">
        <v>183</v>
      </c>
      <c r="J1" s="4" t="s">
        <v>184</v>
      </c>
      <c r="K1" s="4" t="s">
        <v>185</v>
      </c>
      <c r="L1" s="4" t="s">
        <v>186</v>
      </c>
      <c r="M1" s="4" t="s">
        <v>187</v>
      </c>
      <c r="N1" s="7" t="s">
        <v>14</v>
      </c>
    </row>
    <row r="2" spans="1:14">
      <c r="A2" s="23" t="s">
        <v>51</v>
      </c>
      <c r="B2" s="23" t="s">
        <v>126</v>
      </c>
      <c r="C2" s="23" t="s">
        <v>104</v>
      </c>
      <c r="D2" s="23" t="s">
        <v>33</v>
      </c>
      <c r="E2" s="23" t="s">
        <v>188</v>
      </c>
      <c r="F2" s="23">
        <v>26</v>
      </c>
      <c r="G2" s="23">
        <v>7</v>
      </c>
      <c r="H2" s="23">
        <v>0</v>
      </c>
      <c r="I2" s="23">
        <v>16694</v>
      </c>
      <c r="J2" s="23">
        <v>2408</v>
      </c>
      <c r="K2" s="23">
        <v>0</v>
      </c>
      <c r="L2" s="23" t="s">
        <v>286</v>
      </c>
      <c r="M2" s="23">
        <f t="shared" ref="M2:M65" si="0">L2*86400</f>
        <v>678</v>
      </c>
      <c r="N2" s="24" t="str">
        <f t="array" ref="N2">INDEX('MATCH INFO'!O:O, INT((ROW()-2)/10)+2 + 92)</f>
        <v>260626_CB_O2_S1</v>
      </c>
    </row>
    <row r="3" spans="1:14">
      <c r="A3" s="23" t="s">
        <v>51</v>
      </c>
      <c r="B3" s="23" t="s">
        <v>125</v>
      </c>
      <c r="C3" s="23" t="s">
        <v>101</v>
      </c>
      <c r="D3" s="23" t="s">
        <v>33</v>
      </c>
      <c r="E3" s="23" t="s">
        <v>188</v>
      </c>
      <c r="F3" s="23">
        <v>24</v>
      </c>
      <c r="G3" s="23">
        <v>9</v>
      </c>
      <c r="H3" s="23">
        <v>15</v>
      </c>
      <c r="I3" s="23">
        <v>17799</v>
      </c>
      <c r="J3" s="23">
        <v>4725</v>
      </c>
      <c r="K3" s="23">
        <v>9927</v>
      </c>
      <c r="L3" s="23" t="s">
        <v>286</v>
      </c>
      <c r="M3" s="23">
        <f t="shared" si="0"/>
        <v>678</v>
      </c>
      <c r="N3" s="24" t="str">
        <f t="array" ref="N3">INDEX('MATCH INFO'!O:O, INT((ROW()-2)/10)+2 + 92)</f>
        <v>260626_CB_O2_S1</v>
      </c>
    </row>
    <row r="4" spans="1:14">
      <c r="A4" s="23" t="s">
        <v>51</v>
      </c>
      <c r="B4" s="23" t="s">
        <v>127</v>
      </c>
      <c r="C4" s="23" t="s">
        <v>104</v>
      </c>
      <c r="D4" s="23" t="s">
        <v>33</v>
      </c>
      <c r="E4" s="23" t="s">
        <v>188</v>
      </c>
      <c r="F4" s="23">
        <v>23</v>
      </c>
      <c r="G4" s="23">
        <v>8</v>
      </c>
      <c r="H4" s="23">
        <v>2</v>
      </c>
      <c r="I4" s="23">
        <v>13842</v>
      </c>
      <c r="J4" s="23">
        <v>53</v>
      </c>
      <c r="K4" s="23">
        <v>583</v>
      </c>
      <c r="L4" s="23" t="s">
        <v>286</v>
      </c>
      <c r="M4" s="23">
        <f t="shared" si="0"/>
        <v>678</v>
      </c>
      <c r="N4" s="24" t="str">
        <f t="array" ref="N4">INDEX('MATCH INFO'!O:O, INT((ROW()-2)/10)+2 + 92)</f>
        <v>260626_CB_O2_S1</v>
      </c>
    </row>
    <row r="5" spans="1:14">
      <c r="A5" s="23" t="s">
        <v>51</v>
      </c>
      <c r="B5" s="23" t="s">
        <v>128</v>
      </c>
      <c r="C5" s="23" t="s">
        <v>109</v>
      </c>
      <c r="D5" s="23" t="s">
        <v>33</v>
      </c>
      <c r="E5" s="23" t="s">
        <v>188</v>
      </c>
      <c r="F5" s="23">
        <v>13</v>
      </c>
      <c r="G5" s="23">
        <v>10</v>
      </c>
      <c r="H5" s="23">
        <v>13</v>
      </c>
      <c r="I5" s="23">
        <v>5915</v>
      </c>
      <c r="J5" s="23">
        <v>9261</v>
      </c>
      <c r="K5" s="23">
        <v>1478</v>
      </c>
      <c r="L5" s="23" t="s">
        <v>286</v>
      </c>
      <c r="M5" s="23">
        <f t="shared" si="0"/>
        <v>678</v>
      </c>
      <c r="N5" s="24" t="str">
        <f t="array" ref="N5">INDEX('MATCH INFO'!O:O, INT((ROW()-2)/10)+2 + 92)</f>
        <v>260626_CB_O2_S1</v>
      </c>
    </row>
    <row r="6" spans="1:14">
      <c r="A6" s="23" t="s">
        <v>51</v>
      </c>
      <c r="B6" s="23" t="s">
        <v>129</v>
      </c>
      <c r="C6" s="23" t="s">
        <v>109</v>
      </c>
      <c r="D6" s="23" t="s">
        <v>33</v>
      </c>
      <c r="E6" s="23" t="s">
        <v>188</v>
      </c>
      <c r="F6" s="23">
        <v>15</v>
      </c>
      <c r="G6" s="23">
        <v>7</v>
      </c>
      <c r="H6" s="23">
        <v>25</v>
      </c>
      <c r="I6" s="23">
        <v>7162</v>
      </c>
      <c r="J6" s="23">
        <v>19573</v>
      </c>
      <c r="K6" s="23">
        <v>0</v>
      </c>
      <c r="L6" s="23" t="s">
        <v>286</v>
      </c>
      <c r="M6" s="23">
        <f t="shared" si="0"/>
        <v>678</v>
      </c>
      <c r="N6" s="24" t="str">
        <f t="array" ref="N6">INDEX('MATCH INFO'!O:O, INT((ROW()-2)/10)+2 + 92)</f>
        <v>260626_CB_O2_S1</v>
      </c>
    </row>
    <row r="7" spans="1:14">
      <c r="A7" s="23" t="s">
        <v>20</v>
      </c>
      <c r="B7" s="23" t="s">
        <v>108</v>
      </c>
      <c r="C7" s="23" t="s">
        <v>109</v>
      </c>
      <c r="D7" s="23" t="s">
        <v>33</v>
      </c>
      <c r="E7" s="23" t="s">
        <v>188</v>
      </c>
      <c r="F7" s="23">
        <v>24</v>
      </c>
      <c r="G7" s="23">
        <v>7</v>
      </c>
      <c r="H7" s="23">
        <v>22</v>
      </c>
      <c r="I7" s="23">
        <v>6497</v>
      </c>
      <c r="J7" s="23">
        <v>10324</v>
      </c>
      <c r="K7" s="23">
        <v>2337</v>
      </c>
      <c r="L7" s="23" t="s">
        <v>286</v>
      </c>
      <c r="M7" s="23">
        <f t="shared" si="0"/>
        <v>678</v>
      </c>
      <c r="N7" s="24" t="str">
        <f t="array" ref="N7">INDEX('MATCH INFO'!O:O, INT((ROW()-2)/10)+2 + 92)</f>
        <v>260626_CB_O2_S1</v>
      </c>
    </row>
    <row r="8" spans="1:14">
      <c r="A8" s="23" t="s">
        <v>20</v>
      </c>
      <c r="B8" s="23" t="s">
        <v>100</v>
      </c>
      <c r="C8" s="23" t="s">
        <v>101</v>
      </c>
      <c r="D8" s="23" t="s">
        <v>33</v>
      </c>
      <c r="E8" s="23" t="s">
        <v>188</v>
      </c>
      <c r="F8" s="23">
        <v>34</v>
      </c>
      <c r="G8" s="23">
        <v>9</v>
      </c>
      <c r="H8" s="23">
        <v>20</v>
      </c>
      <c r="I8" s="23">
        <v>17468</v>
      </c>
      <c r="J8" s="23">
        <v>4174</v>
      </c>
      <c r="K8" s="23">
        <v>6792</v>
      </c>
      <c r="L8" s="23" t="s">
        <v>286</v>
      </c>
      <c r="M8" s="23">
        <f t="shared" si="0"/>
        <v>678</v>
      </c>
      <c r="N8" s="24" t="str">
        <f t="array" ref="N8">INDEX('MATCH INFO'!O:O, INT((ROW()-2)/10)+2 + 92)</f>
        <v>260626_CB_O2_S1</v>
      </c>
    </row>
    <row r="9" spans="1:14">
      <c r="A9" s="23" t="s">
        <v>20</v>
      </c>
      <c r="B9" s="23" t="s">
        <v>113</v>
      </c>
      <c r="C9" s="23" t="s">
        <v>109</v>
      </c>
      <c r="D9" s="23" t="s">
        <v>33</v>
      </c>
      <c r="E9" s="23" t="s">
        <v>188</v>
      </c>
      <c r="F9" s="23">
        <v>22</v>
      </c>
      <c r="G9" s="23">
        <v>4</v>
      </c>
      <c r="H9" s="23">
        <v>33</v>
      </c>
      <c r="I9" s="23">
        <v>8266</v>
      </c>
      <c r="J9" s="23">
        <v>22785</v>
      </c>
      <c r="K9" s="23">
        <v>0</v>
      </c>
      <c r="L9" s="23" t="s">
        <v>286</v>
      </c>
      <c r="M9" s="23">
        <f t="shared" si="0"/>
        <v>678</v>
      </c>
      <c r="N9" s="24" t="str">
        <f t="array" ref="N9">INDEX('MATCH INFO'!O:O, INT((ROW()-2)/10)+2 + 92)</f>
        <v>260626_CB_O2_S1</v>
      </c>
    </row>
    <row r="10" spans="1:14">
      <c r="A10" s="23" t="s">
        <v>20</v>
      </c>
      <c r="B10" s="23" t="s">
        <v>106</v>
      </c>
      <c r="C10" s="23" t="s">
        <v>104</v>
      </c>
      <c r="D10" s="23" t="s">
        <v>33</v>
      </c>
      <c r="E10" s="23" t="s">
        <v>188</v>
      </c>
      <c r="F10" s="23">
        <v>29</v>
      </c>
      <c r="G10" s="23">
        <v>3</v>
      </c>
      <c r="H10" s="23">
        <v>7</v>
      </c>
      <c r="I10" s="23">
        <v>14652</v>
      </c>
      <c r="J10" s="23">
        <v>0</v>
      </c>
      <c r="K10" s="23">
        <v>383</v>
      </c>
      <c r="L10" s="23" t="s">
        <v>286</v>
      </c>
      <c r="M10" s="23">
        <f t="shared" si="0"/>
        <v>678</v>
      </c>
      <c r="N10" s="24" t="str">
        <f t="array" ref="N10">INDEX('MATCH INFO'!O:O, INT((ROW()-2)/10)+2 + 92)</f>
        <v>260626_CB_O2_S1</v>
      </c>
    </row>
    <row r="11" spans="1:14">
      <c r="A11" s="23" t="s">
        <v>20</v>
      </c>
      <c r="B11" s="23" t="s">
        <v>103</v>
      </c>
      <c r="C11" s="23" t="s">
        <v>104</v>
      </c>
      <c r="D11" s="23" t="s">
        <v>33</v>
      </c>
      <c r="E11" s="23" t="s">
        <v>188</v>
      </c>
      <c r="F11" s="23">
        <v>29</v>
      </c>
      <c r="G11" s="23">
        <v>8</v>
      </c>
      <c r="H11" s="23">
        <v>0</v>
      </c>
      <c r="I11" s="23">
        <v>12656</v>
      </c>
      <c r="J11" s="23">
        <v>1942</v>
      </c>
      <c r="K11" s="23">
        <v>0</v>
      </c>
      <c r="L11" s="23" t="s">
        <v>286</v>
      </c>
      <c r="M11" s="23">
        <f t="shared" si="0"/>
        <v>678</v>
      </c>
      <c r="N11" s="24" t="str">
        <f t="array" ref="N11">INDEX('MATCH INFO'!O:O, INT((ROW()-2)/10)+2 + 92)</f>
        <v>260626_CB_O2_S1</v>
      </c>
    </row>
    <row r="12" spans="1:14">
      <c r="A12" s="23" t="s">
        <v>51</v>
      </c>
      <c r="B12" s="23" t="s">
        <v>126</v>
      </c>
      <c r="C12" s="23" t="s">
        <v>104</v>
      </c>
      <c r="D12" s="23" t="s">
        <v>37</v>
      </c>
      <c r="E12" s="23" t="s">
        <v>196</v>
      </c>
      <c r="F12" s="23">
        <v>20</v>
      </c>
      <c r="G12" s="23">
        <v>9</v>
      </c>
      <c r="H12" s="23">
        <v>2</v>
      </c>
      <c r="I12" s="23">
        <v>8848</v>
      </c>
      <c r="J12" s="23">
        <v>553</v>
      </c>
      <c r="K12" s="23">
        <v>2098</v>
      </c>
      <c r="L12" s="23" t="s">
        <v>202</v>
      </c>
      <c r="M12" s="23">
        <f t="shared" si="0"/>
        <v>922</v>
      </c>
      <c r="N12" s="24" t="str">
        <f t="array" ref="N12">INDEX('MATCH INFO'!O:O, INT((ROW()-2)/10)+2 + 92)</f>
        <v>260626_CB_O2_S2</v>
      </c>
    </row>
    <row r="13" spans="1:14">
      <c r="A13" s="23" t="s">
        <v>51</v>
      </c>
      <c r="B13" s="23" t="s">
        <v>125</v>
      </c>
      <c r="C13" s="23" t="s">
        <v>101</v>
      </c>
      <c r="D13" s="23" t="s">
        <v>37</v>
      </c>
      <c r="E13" s="23" t="s">
        <v>196</v>
      </c>
      <c r="F13" s="23">
        <v>11</v>
      </c>
      <c r="G13" s="23">
        <v>8</v>
      </c>
      <c r="H13" s="23">
        <v>1</v>
      </c>
      <c r="I13" s="23">
        <v>15673</v>
      </c>
      <c r="J13" s="23">
        <v>0</v>
      </c>
      <c r="K13" s="23">
        <v>33071</v>
      </c>
      <c r="L13" s="23" t="s">
        <v>202</v>
      </c>
      <c r="M13" s="23">
        <f t="shared" si="0"/>
        <v>922</v>
      </c>
      <c r="N13" s="24" t="str">
        <f t="array" ref="N13">INDEX('MATCH INFO'!O:O, INT((ROW()-2)/10)+2 + 92)</f>
        <v>260626_CB_O2_S2</v>
      </c>
    </row>
    <row r="14" spans="1:14">
      <c r="A14" s="23" t="s">
        <v>51</v>
      </c>
      <c r="B14" s="23" t="s">
        <v>127</v>
      </c>
      <c r="C14" s="23" t="s">
        <v>104</v>
      </c>
      <c r="D14" s="23" t="s">
        <v>37</v>
      </c>
      <c r="E14" s="23" t="s">
        <v>196</v>
      </c>
      <c r="F14" s="23">
        <v>16</v>
      </c>
      <c r="G14" s="23">
        <v>13</v>
      </c>
      <c r="H14" s="23">
        <v>1</v>
      </c>
      <c r="I14" s="23">
        <v>9397</v>
      </c>
      <c r="J14" s="23">
        <v>0</v>
      </c>
      <c r="K14" s="23">
        <v>310</v>
      </c>
      <c r="L14" s="23" t="s">
        <v>202</v>
      </c>
      <c r="M14" s="23">
        <f t="shared" si="0"/>
        <v>922</v>
      </c>
      <c r="N14" s="24" t="str">
        <f t="array" ref="N14">INDEX('MATCH INFO'!O:O, INT((ROW()-2)/10)+2 + 92)</f>
        <v>260626_CB_O2_S2</v>
      </c>
    </row>
    <row r="15" spans="1:14">
      <c r="A15" s="23" t="s">
        <v>51</v>
      </c>
      <c r="B15" s="23" t="s">
        <v>128</v>
      </c>
      <c r="C15" s="23" t="s">
        <v>109</v>
      </c>
      <c r="D15" s="23" t="s">
        <v>37</v>
      </c>
      <c r="E15" s="23" t="s">
        <v>196</v>
      </c>
      <c r="F15" s="23">
        <v>21</v>
      </c>
      <c r="G15" s="23">
        <v>4</v>
      </c>
      <c r="H15" s="23">
        <v>14</v>
      </c>
      <c r="I15" s="23">
        <v>14730</v>
      </c>
      <c r="J15" s="23">
        <v>10275</v>
      </c>
      <c r="K15" s="23">
        <v>1122</v>
      </c>
      <c r="L15" s="23" t="s">
        <v>202</v>
      </c>
      <c r="M15" s="23">
        <f t="shared" si="0"/>
        <v>922</v>
      </c>
      <c r="N15" s="24" t="str">
        <f t="array" ref="N15">INDEX('MATCH INFO'!O:O, INT((ROW()-2)/10)+2 + 92)</f>
        <v>260626_CB_O2_S2</v>
      </c>
    </row>
    <row r="16" spans="1:14">
      <c r="A16" s="23" t="s">
        <v>51</v>
      </c>
      <c r="B16" s="23" t="s">
        <v>129</v>
      </c>
      <c r="C16" s="23" t="s">
        <v>109</v>
      </c>
      <c r="D16" s="23" t="s">
        <v>37</v>
      </c>
      <c r="E16" s="23" t="s">
        <v>196</v>
      </c>
      <c r="F16" s="23">
        <v>8</v>
      </c>
      <c r="G16" s="23">
        <v>10</v>
      </c>
      <c r="H16" s="23">
        <v>12</v>
      </c>
      <c r="I16" s="23">
        <v>3556</v>
      </c>
      <c r="J16" s="23">
        <v>20113</v>
      </c>
      <c r="K16" s="23">
        <v>0</v>
      </c>
      <c r="L16" s="23" t="s">
        <v>202</v>
      </c>
      <c r="M16" s="23">
        <f t="shared" si="0"/>
        <v>922</v>
      </c>
      <c r="N16" s="24" t="str">
        <f t="array" ref="N16">INDEX('MATCH INFO'!O:O, INT((ROW()-2)/10)+2 + 92)</f>
        <v>260626_CB_O2_S2</v>
      </c>
    </row>
    <row r="17" spans="1:14">
      <c r="A17" s="23" t="s">
        <v>20</v>
      </c>
      <c r="B17" s="23" t="s">
        <v>108</v>
      </c>
      <c r="C17" s="23" t="s">
        <v>109</v>
      </c>
      <c r="D17" s="23" t="s">
        <v>37</v>
      </c>
      <c r="E17" s="23" t="s">
        <v>196</v>
      </c>
      <c r="F17" s="23">
        <v>28</v>
      </c>
      <c r="G17" s="23">
        <v>4</v>
      </c>
      <c r="H17" s="23">
        <v>19</v>
      </c>
      <c r="I17" s="23">
        <v>10147</v>
      </c>
      <c r="J17" s="23">
        <v>10406</v>
      </c>
      <c r="K17" s="23">
        <v>1442</v>
      </c>
      <c r="L17" s="23" t="s">
        <v>202</v>
      </c>
      <c r="M17" s="23">
        <f t="shared" si="0"/>
        <v>922</v>
      </c>
      <c r="N17" s="24" t="str">
        <f t="array" ref="N17">INDEX('MATCH INFO'!O:O, INT((ROW()-2)/10)+2 + 92)</f>
        <v>260626_CB_O2_S2</v>
      </c>
    </row>
    <row r="18" spans="1:14">
      <c r="A18" s="23" t="s">
        <v>20</v>
      </c>
      <c r="B18" s="23" t="s">
        <v>113</v>
      </c>
      <c r="C18" s="23" t="s">
        <v>109</v>
      </c>
      <c r="D18" s="23" t="s">
        <v>37</v>
      </c>
      <c r="E18" s="23" t="s">
        <v>196</v>
      </c>
      <c r="F18" s="23">
        <v>12</v>
      </c>
      <c r="G18" s="23">
        <v>5</v>
      </c>
      <c r="H18" s="23">
        <v>33</v>
      </c>
      <c r="I18" s="23">
        <v>4771</v>
      </c>
      <c r="J18" s="23">
        <v>21653</v>
      </c>
      <c r="K18" s="23">
        <v>0</v>
      </c>
      <c r="L18" s="23" t="s">
        <v>202</v>
      </c>
      <c r="M18" s="23">
        <f t="shared" si="0"/>
        <v>922</v>
      </c>
      <c r="N18" s="24" t="str">
        <f t="array" ref="N18">INDEX('MATCH INFO'!O:O, INT((ROW()-2)/10)+2 + 92)</f>
        <v>260626_CB_O2_S2</v>
      </c>
    </row>
    <row r="19" spans="1:14">
      <c r="A19" s="23" t="s">
        <v>20</v>
      </c>
      <c r="B19" s="23" t="s">
        <v>106</v>
      </c>
      <c r="C19" s="23" t="s">
        <v>104</v>
      </c>
      <c r="D19" s="23" t="s">
        <v>37</v>
      </c>
      <c r="E19" s="23" t="s">
        <v>196</v>
      </c>
      <c r="F19" s="23">
        <v>21</v>
      </c>
      <c r="G19" s="23">
        <v>9</v>
      </c>
      <c r="H19" s="23">
        <v>0</v>
      </c>
      <c r="I19" s="23">
        <v>11446</v>
      </c>
      <c r="J19" s="23">
        <v>0</v>
      </c>
      <c r="K19" s="23">
        <v>129</v>
      </c>
      <c r="L19" s="23" t="s">
        <v>202</v>
      </c>
      <c r="M19" s="23">
        <f t="shared" si="0"/>
        <v>922</v>
      </c>
      <c r="N19" s="24" t="str">
        <f t="array" ref="N19">INDEX('MATCH INFO'!O:O, INT((ROW()-2)/10)+2 + 92)</f>
        <v>260626_CB_O2_S2</v>
      </c>
    </row>
    <row r="20" spans="1:14">
      <c r="A20" s="23" t="s">
        <v>20</v>
      </c>
      <c r="B20" s="23" t="s">
        <v>102</v>
      </c>
      <c r="C20" s="23" t="s">
        <v>101</v>
      </c>
      <c r="D20" s="23" t="s">
        <v>37</v>
      </c>
      <c r="E20" s="23" t="s">
        <v>196</v>
      </c>
      <c r="F20" s="23">
        <v>26</v>
      </c>
      <c r="G20" s="23">
        <v>5</v>
      </c>
      <c r="H20" s="23">
        <v>5</v>
      </c>
      <c r="I20" s="23">
        <v>15639</v>
      </c>
      <c r="J20" s="23">
        <v>0</v>
      </c>
      <c r="K20" s="23">
        <v>33729</v>
      </c>
      <c r="L20" s="23" t="s">
        <v>202</v>
      </c>
      <c r="M20" s="23">
        <f t="shared" si="0"/>
        <v>922</v>
      </c>
      <c r="N20" s="24" t="str">
        <f t="array" ref="N20">INDEX('MATCH INFO'!O:O, INT((ROW()-2)/10)+2 + 92)</f>
        <v>260626_CB_O2_S2</v>
      </c>
    </row>
    <row r="21" spans="1:14">
      <c r="A21" s="23" t="s">
        <v>20</v>
      </c>
      <c r="B21" s="23" t="s">
        <v>103</v>
      </c>
      <c r="C21" s="23" t="s">
        <v>104</v>
      </c>
      <c r="D21" s="23" t="s">
        <v>37</v>
      </c>
      <c r="E21" s="23" t="s">
        <v>196</v>
      </c>
      <c r="F21" s="23">
        <v>27</v>
      </c>
      <c r="G21" s="23">
        <v>8</v>
      </c>
      <c r="H21" s="23">
        <v>5</v>
      </c>
      <c r="I21" s="23">
        <v>13866</v>
      </c>
      <c r="J21" s="23">
        <v>349</v>
      </c>
      <c r="K21" s="23">
        <v>1374</v>
      </c>
      <c r="L21" s="23" t="s">
        <v>202</v>
      </c>
      <c r="M21" s="23">
        <f t="shared" si="0"/>
        <v>922</v>
      </c>
      <c r="N21" s="24" t="str">
        <f t="array" ref="N21">INDEX('MATCH INFO'!O:O, INT((ROW()-2)/10)+2 + 92)</f>
        <v>260626_CB_O2_S2</v>
      </c>
    </row>
    <row r="22" spans="1:14">
      <c r="A22" s="23" t="s">
        <v>51</v>
      </c>
      <c r="B22" s="23" t="s">
        <v>126</v>
      </c>
      <c r="C22" s="23" t="s">
        <v>104</v>
      </c>
      <c r="D22" s="23" t="s">
        <v>28</v>
      </c>
      <c r="E22" s="23" t="s">
        <v>192</v>
      </c>
      <c r="F22" s="23">
        <v>19</v>
      </c>
      <c r="G22" s="23">
        <v>3</v>
      </c>
      <c r="H22" s="23">
        <v>0</v>
      </c>
      <c r="I22" s="23">
        <v>8925</v>
      </c>
      <c r="J22" s="23">
        <v>1677</v>
      </c>
      <c r="K22" s="23">
        <v>0</v>
      </c>
      <c r="L22" s="23" t="s">
        <v>287</v>
      </c>
      <c r="M22" s="23">
        <f t="shared" si="0"/>
        <v>438</v>
      </c>
      <c r="N22" s="24" t="str">
        <f t="array" ref="N22">INDEX('MATCH INFO'!O:O, INT((ROW()-2)/10)+2 + 92)</f>
        <v>260626_CB_O2_S3</v>
      </c>
    </row>
    <row r="23" spans="1:14">
      <c r="A23" s="23" t="s">
        <v>51</v>
      </c>
      <c r="B23" s="23" t="s">
        <v>125</v>
      </c>
      <c r="C23" s="23" t="s">
        <v>101</v>
      </c>
      <c r="D23" s="23" t="s">
        <v>28</v>
      </c>
      <c r="E23" s="23" t="s">
        <v>192</v>
      </c>
      <c r="F23" s="23">
        <v>18</v>
      </c>
      <c r="G23" s="23">
        <v>1</v>
      </c>
      <c r="H23" s="23">
        <v>13</v>
      </c>
      <c r="I23" s="23">
        <v>11754</v>
      </c>
      <c r="J23" s="23">
        <v>2945</v>
      </c>
      <c r="K23" s="23">
        <v>5811</v>
      </c>
      <c r="L23" s="23" t="s">
        <v>287</v>
      </c>
      <c r="M23" s="23">
        <f t="shared" si="0"/>
        <v>438</v>
      </c>
      <c r="N23" s="24" t="str">
        <f t="array" ref="N23">INDEX('MATCH INFO'!O:O, INT((ROW()-2)/10)+2 + 92)</f>
        <v>260626_CB_O2_S3</v>
      </c>
    </row>
    <row r="24" spans="1:14">
      <c r="A24" s="23" t="s">
        <v>51</v>
      </c>
      <c r="B24" s="23" t="s">
        <v>127</v>
      </c>
      <c r="C24" s="23" t="s">
        <v>104</v>
      </c>
      <c r="D24" s="23" t="s">
        <v>28</v>
      </c>
      <c r="E24" s="23" t="s">
        <v>192</v>
      </c>
      <c r="F24" s="23">
        <v>20</v>
      </c>
      <c r="G24" s="23">
        <v>2</v>
      </c>
      <c r="H24" s="23">
        <v>2</v>
      </c>
      <c r="I24" s="23">
        <v>8964</v>
      </c>
      <c r="J24" s="23">
        <v>24</v>
      </c>
      <c r="K24" s="23">
        <v>208</v>
      </c>
      <c r="L24" s="23" t="s">
        <v>287</v>
      </c>
      <c r="M24" s="23">
        <f t="shared" si="0"/>
        <v>438</v>
      </c>
      <c r="N24" s="24" t="str">
        <f t="array" ref="N24">INDEX('MATCH INFO'!O:O, INT((ROW()-2)/10)+2 + 92)</f>
        <v>260626_CB_O2_S3</v>
      </c>
    </row>
    <row r="25" spans="1:14">
      <c r="A25" s="23" t="s">
        <v>51</v>
      </c>
      <c r="B25" s="23" t="s">
        <v>128</v>
      </c>
      <c r="C25" s="23" t="s">
        <v>109</v>
      </c>
      <c r="D25" s="23" t="s">
        <v>28</v>
      </c>
      <c r="E25" s="23" t="s">
        <v>192</v>
      </c>
      <c r="F25" s="23">
        <v>17</v>
      </c>
      <c r="G25" s="23">
        <v>3</v>
      </c>
      <c r="H25" s="23">
        <v>15</v>
      </c>
      <c r="I25" s="23">
        <v>4097</v>
      </c>
      <c r="J25" s="23">
        <v>6845</v>
      </c>
      <c r="K25" s="23">
        <v>2098</v>
      </c>
      <c r="L25" s="23" t="s">
        <v>287</v>
      </c>
      <c r="M25" s="23">
        <f t="shared" si="0"/>
        <v>438</v>
      </c>
      <c r="N25" s="24" t="str">
        <f t="array" ref="N25">INDEX('MATCH INFO'!O:O, INT((ROW()-2)/10)+2 + 92)</f>
        <v>260626_CB_O2_S3</v>
      </c>
    </row>
    <row r="26" spans="1:14">
      <c r="A26" s="23" t="s">
        <v>51</v>
      </c>
      <c r="B26" s="23" t="s">
        <v>129</v>
      </c>
      <c r="C26" s="23" t="s">
        <v>109</v>
      </c>
      <c r="D26" s="23" t="s">
        <v>28</v>
      </c>
      <c r="E26" s="23" t="s">
        <v>192</v>
      </c>
      <c r="F26" s="23">
        <v>14</v>
      </c>
      <c r="G26" s="23">
        <v>1</v>
      </c>
      <c r="H26" s="23">
        <v>18</v>
      </c>
      <c r="I26" s="23">
        <v>5073</v>
      </c>
      <c r="J26" s="23">
        <v>12646</v>
      </c>
      <c r="K26" s="23">
        <v>0</v>
      </c>
      <c r="L26" s="23" t="s">
        <v>287</v>
      </c>
      <c r="M26" s="23">
        <f t="shared" si="0"/>
        <v>438</v>
      </c>
      <c r="N26" s="24" t="str">
        <f t="array" ref="N26">INDEX('MATCH INFO'!O:O, INT((ROW()-2)/10)+2 + 92)</f>
        <v>260626_CB_O2_S3</v>
      </c>
    </row>
    <row r="27" spans="1:14">
      <c r="A27" s="23" t="s">
        <v>20</v>
      </c>
      <c r="B27" s="23" t="s">
        <v>108</v>
      </c>
      <c r="C27" s="23" t="s">
        <v>109</v>
      </c>
      <c r="D27" s="23" t="s">
        <v>28</v>
      </c>
      <c r="E27" s="23" t="s">
        <v>192</v>
      </c>
      <c r="F27" s="23">
        <v>9</v>
      </c>
      <c r="G27" s="23">
        <v>3</v>
      </c>
      <c r="H27" s="23">
        <v>7</v>
      </c>
      <c r="I27" s="23">
        <v>4490</v>
      </c>
      <c r="J27" s="23">
        <v>7265</v>
      </c>
      <c r="K27" s="23">
        <v>2253</v>
      </c>
      <c r="L27" s="23" t="s">
        <v>287</v>
      </c>
      <c r="M27" s="23">
        <f t="shared" si="0"/>
        <v>438</v>
      </c>
      <c r="N27" s="24" t="str">
        <f t="array" ref="N27">INDEX('MATCH INFO'!O:O, INT((ROW()-2)/10)+2 + 92)</f>
        <v>260626_CB_O2_S3</v>
      </c>
    </row>
    <row r="28" spans="1:14">
      <c r="A28" s="23" t="s">
        <v>20</v>
      </c>
      <c r="B28" s="23" t="s">
        <v>100</v>
      </c>
      <c r="C28" s="23" t="s">
        <v>101</v>
      </c>
      <c r="D28" s="23" t="s">
        <v>28</v>
      </c>
      <c r="E28" s="23" t="s">
        <v>192</v>
      </c>
      <c r="F28" s="23">
        <v>9</v>
      </c>
      <c r="G28" s="23">
        <v>5</v>
      </c>
      <c r="H28" s="23">
        <v>7</v>
      </c>
      <c r="I28" s="23">
        <v>10695</v>
      </c>
      <c r="J28" s="23">
        <v>2630</v>
      </c>
      <c r="K28" s="23">
        <v>5307</v>
      </c>
      <c r="L28" s="23" t="s">
        <v>287</v>
      </c>
      <c r="M28" s="23">
        <f t="shared" si="0"/>
        <v>438</v>
      </c>
      <c r="N28" s="24" t="str">
        <f t="array" ref="N28">INDEX('MATCH INFO'!O:O, INT((ROW()-2)/10)+2 + 92)</f>
        <v>260626_CB_O2_S3</v>
      </c>
    </row>
    <row r="29" spans="1:14">
      <c r="A29" s="23" t="s">
        <v>20</v>
      </c>
      <c r="B29" s="23" t="s">
        <v>113</v>
      </c>
      <c r="C29" s="23" t="s">
        <v>109</v>
      </c>
      <c r="D29" s="23" t="s">
        <v>28</v>
      </c>
      <c r="E29" s="23" t="s">
        <v>192</v>
      </c>
      <c r="F29" s="23">
        <v>8</v>
      </c>
      <c r="G29" s="23">
        <v>3</v>
      </c>
      <c r="H29" s="23">
        <v>8</v>
      </c>
      <c r="I29" s="23">
        <v>5043</v>
      </c>
      <c r="J29" s="23">
        <v>13263</v>
      </c>
      <c r="K29" s="23">
        <v>0</v>
      </c>
      <c r="L29" s="23" t="s">
        <v>287</v>
      </c>
      <c r="M29" s="23">
        <f t="shared" si="0"/>
        <v>438</v>
      </c>
      <c r="N29" s="24" t="str">
        <f t="array" ref="N29">INDEX('MATCH INFO'!O:O, INT((ROW()-2)/10)+2 + 92)</f>
        <v>260626_CB_O2_S3</v>
      </c>
    </row>
    <row r="30" spans="1:14">
      <c r="A30" s="23" t="s">
        <v>20</v>
      </c>
      <c r="B30" s="23" t="s">
        <v>106</v>
      </c>
      <c r="C30" s="23" t="s">
        <v>104</v>
      </c>
      <c r="D30" s="23" t="s">
        <v>28</v>
      </c>
      <c r="E30" s="23" t="s">
        <v>192</v>
      </c>
      <c r="F30" s="23">
        <v>8</v>
      </c>
      <c r="G30" s="23">
        <v>5</v>
      </c>
      <c r="H30" s="23">
        <v>1</v>
      </c>
      <c r="I30" s="23">
        <v>8656</v>
      </c>
      <c r="J30" s="23">
        <v>75</v>
      </c>
      <c r="K30" s="23">
        <v>208</v>
      </c>
      <c r="L30" s="23" t="s">
        <v>287</v>
      </c>
      <c r="M30" s="23">
        <f t="shared" si="0"/>
        <v>438</v>
      </c>
      <c r="N30" s="24" t="str">
        <f t="array" ref="N30">INDEX('MATCH INFO'!O:O, INT((ROW()-2)/10)+2 + 92)</f>
        <v>260626_CB_O2_S3</v>
      </c>
    </row>
    <row r="31" spans="1:14">
      <c r="A31" s="23" t="s">
        <v>20</v>
      </c>
      <c r="B31" s="23" t="s">
        <v>103</v>
      </c>
      <c r="C31" s="23" t="s">
        <v>104</v>
      </c>
      <c r="D31" s="23" t="s">
        <v>28</v>
      </c>
      <c r="E31" s="23" t="s">
        <v>192</v>
      </c>
      <c r="F31" s="23">
        <v>4</v>
      </c>
      <c r="G31" s="23">
        <v>7</v>
      </c>
      <c r="H31" s="23">
        <v>0</v>
      </c>
      <c r="I31" s="23">
        <v>5575</v>
      </c>
      <c r="J31" s="23">
        <v>617</v>
      </c>
      <c r="K31" s="23">
        <v>85</v>
      </c>
      <c r="L31" s="23" t="s">
        <v>287</v>
      </c>
      <c r="M31" s="23">
        <f t="shared" si="0"/>
        <v>438</v>
      </c>
      <c r="N31" s="24" t="str">
        <f t="array" ref="N31">INDEX('MATCH INFO'!O:O, INT((ROW()-2)/10)+2 + 92)</f>
        <v>260626_CB_O2_S3</v>
      </c>
    </row>
    <row r="32" spans="1:14">
      <c r="A32" s="23" t="s">
        <v>20</v>
      </c>
      <c r="B32" s="23" t="s">
        <v>108</v>
      </c>
      <c r="C32" s="23" t="s">
        <v>109</v>
      </c>
      <c r="D32" s="23" t="s">
        <v>44</v>
      </c>
      <c r="E32" s="23" t="s">
        <v>190</v>
      </c>
      <c r="F32" s="23">
        <v>20</v>
      </c>
      <c r="G32" s="23">
        <v>4</v>
      </c>
      <c r="H32" s="23">
        <v>23</v>
      </c>
      <c r="I32" s="23">
        <v>6398</v>
      </c>
      <c r="J32" s="23">
        <v>9202</v>
      </c>
      <c r="K32" s="23">
        <v>2139</v>
      </c>
      <c r="L32" s="23" t="s">
        <v>288</v>
      </c>
      <c r="M32" s="23">
        <f t="shared" si="0"/>
        <v>710</v>
      </c>
      <c r="N32" s="24" t="str">
        <f t="array" ref="N32">INDEX('MATCH INFO'!O:O, INT((ROW()-2)/10)+2 + 92)</f>
        <v>260626_CB_O2_S4</v>
      </c>
    </row>
    <row r="33" spans="1:14">
      <c r="A33" s="23" t="s">
        <v>20</v>
      </c>
      <c r="B33" s="23" t="s">
        <v>100</v>
      </c>
      <c r="C33" s="23" t="s">
        <v>101</v>
      </c>
      <c r="D33" s="23" t="s">
        <v>44</v>
      </c>
      <c r="E33" s="23" t="s">
        <v>190</v>
      </c>
      <c r="F33" s="23">
        <v>26</v>
      </c>
      <c r="G33" s="23">
        <v>6</v>
      </c>
      <c r="H33" s="23">
        <v>19</v>
      </c>
      <c r="I33" s="23">
        <v>16141</v>
      </c>
      <c r="J33" s="23">
        <v>4279</v>
      </c>
      <c r="K33" s="23">
        <v>9238</v>
      </c>
      <c r="L33" s="23" t="s">
        <v>288</v>
      </c>
      <c r="M33" s="23">
        <f t="shared" si="0"/>
        <v>710</v>
      </c>
      <c r="N33" s="24" t="str">
        <f t="array" ref="N33">INDEX('MATCH INFO'!O:O, INT((ROW()-2)/10)+2 + 92)</f>
        <v>260626_CB_O2_S4</v>
      </c>
    </row>
    <row r="34" spans="1:14">
      <c r="A34" s="23" t="s">
        <v>20</v>
      </c>
      <c r="B34" s="23" t="s">
        <v>113</v>
      </c>
      <c r="C34" s="23" t="s">
        <v>109</v>
      </c>
      <c r="D34" s="23" t="s">
        <v>44</v>
      </c>
      <c r="E34" s="23" t="s">
        <v>190</v>
      </c>
      <c r="F34" s="23">
        <v>17</v>
      </c>
      <c r="G34" s="23">
        <v>4</v>
      </c>
      <c r="H34" s="23">
        <v>34</v>
      </c>
      <c r="I34" s="23">
        <v>7192</v>
      </c>
      <c r="J34" s="23">
        <v>17014</v>
      </c>
      <c r="K34" s="23">
        <v>0</v>
      </c>
      <c r="L34" s="23" t="s">
        <v>288</v>
      </c>
      <c r="M34" s="23">
        <f t="shared" si="0"/>
        <v>710</v>
      </c>
      <c r="N34" s="24" t="str">
        <f t="array" ref="N34">INDEX('MATCH INFO'!O:O, INT((ROW()-2)/10)+2 + 92)</f>
        <v>260626_CB_O2_S4</v>
      </c>
    </row>
    <row r="35" spans="1:14">
      <c r="A35" s="23" t="s">
        <v>20</v>
      </c>
      <c r="B35" s="23" t="s">
        <v>106</v>
      </c>
      <c r="C35" s="23" t="s">
        <v>104</v>
      </c>
      <c r="D35" s="23" t="s">
        <v>44</v>
      </c>
      <c r="E35" s="23" t="s">
        <v>190</v>
      </c>
      <c r="F35" s="23">
        <v>29</v>
      </c>
      <c r="G35" s="23">
        <v>4</v>
      </c>
      <c r="H35" s="23">
        <v>5</v>
      </c>
      <c r="I35" s="23">
        <v>12122</v>
      </c>
      <c r="J35" s="23">
        <v>75</v>
      </c>
      <c r="K35" s="23">
        <v>313</v>
      </c>
      <c r="L35" s="23" t="s">
        <v>288</v>
      </c>
      <c r="M35" s="23">
        <f t="shared" si="0"/>
        <v>710</v>
      </c>
      <c r="N35" s="24" t="str">
        <f t="array" ref="N35">INDEX('MATCH INFO'!O:O, INT((ROW()-2)/10)+2 + 92)</f>
        <v>260626_CB_O2_S4</v>
      </c>
    </row>
    <row r="36" spans="1:14">
      <c r="A36" s="23" t="s">
        <v>20</v>
      </c>
      <c r="B36" s="23" t="s">
        <v>103</v>
      </c>
      <c r="C36" s="23" t="s">
        <v>104</v>
      </c>
      <c r="D36" s="23" t="s">
        <v>44</v>
      </c>
      <c r="E36" s="23" t="s">
        <v>190</v>
      </c>
      <c r="F36" s="23">
        <v>31</v>
      </c>
      <c r="G36" s="23">
        <v>5</v>
      </c>
      <c r="H36" s="23">
        <v>0</v>
      </c>
      <c r="I36" s="23">
        <v>13650</v>
      </c>
      <c r="J36" s="23">
        <v>2258</v>
      </c>
      <c r="K36" s="23">
        <v>0</v>
      </c>
      <c r="L36" s="23" t="s">
        <v>288</v>
      </c>
      <c r="M36" s="23">
        <f t="shared" si="0"/>
        <v>710</v>
      </c>
      <c r="N36" s="24" t="str">
        <f t="array" ref="N36">INDEX('MATCH INFO'!O:O, INT((ROW()-2)/10)+2 + 92)</f>
        <v>260626_CB_O2_S4</v>
      </c>
    </row>
    <row r="37" spans="1:14">
      <c r="A37" s="23" t="s">
        <v>51</v>
      </c>
      <c r="B37" s="23" t="s">
        <v>126</v>
      </c>
      <c r="C37" s="23" t="s">
        <v>104</v>
      </c>
      <c r="D37" s="23" t="s">
        <v>44</v>
      </c>
      <c r="E37" s="23" t="s">
        <v>190</v>
      </c>
      <c r="F37" s="23">
        <v>16</v>
      </c>
      <c r="G37" s="23">
        <v>9</v>
      </c>
      <c r="H37" s="23">
        <v>0</v>
      </c>
      <c r="I37" s="23">
        <v>12357</v>
      </c>
      <c r="J37" s="23">
        <v>2006</v>
      </c>
      <c r="K37" s="23">
        <v>0</v>
      </c>
      <c r="L37" s="23" t="s">
        <v>288</v>
      </c>
      <c r="M37" s="23">
        <f t="shared" si="0"/>
        <v>710</v>
      </c>
      <c r="N37" s="24" t="str">
        <f t="array" ref="N37">INDEX('MATCH INFO'!O:O, INT((ROW()-2)/10)+2 + 92)</f>
        <v>260626_CB_O2_S4</v>
      </c>
    </row>
    <row r="38" spans="1:14">
      <c r="A38" s="23" t="s">
        <v>51</v>
      </c>
      <c r="B38" s="23" t="s">
        <v>125</v>
      </c>
      <c r="C38" s="23" t="s">
        <v>101</v>
      </c>
      <c r="D38" s="23" t="s">
        <v>44</v>
      </c>
      <c r="E38" s="23" t="s">
        <v>190</v>
      </c>
      <c r="F38" s="23">
        <v>21</v>
      </c>
      <c r="G38" s="23">
        <v>8</v>
      </c>
      <c r="H38" s="23">
        <v>7</v>
      </c>
      <c r="I38" s="23">
        <v>16319</v>
      </c>
      <c r="J38" s="23">
        <v>4561</v>
      </c>
      <c r="K38" s="23">
        <v>8065</v>
      </c>
      <c r="L38" s="23" t="s">
        <v>288</v>
      </c>
      <c r="M38" s="23">
        <f t="shared" si="0"/>
        <v>710</v>
      </c>
      <c r="N38" s="24" t="str">
        <f t="array" ref="N38">INDEX('MATCH INFO'!O:O, INT((ROW()-2)/10)+2 + 92)</f>
        <v>260626_CB_O2_S4</v>
      </c>
    </row>
    <row r="39" spans="1:14">
      <c r="A39" s="23" t="s">
        <v>51</v>
      </c>
      <c r="B39" s="23" t="s">
        <v>127</v>
      </c>
      <c r="C39" s="23" t="s">
        <v>104</v>
      </c>
      <c r="D39" s="23" t="s">
        <v>44</v>
      </c>
      <c r="E39" s="23" t="s">
        <v>190</v>
      </c>
      <c r="F39" s="23">
        <v>13</v>
      </c>
      <c r="G39" s="23">
        <v>8</v>
      </c>
      <c r="H39" s="23">
        <v>0</v>
      </c>
      <c r="I39" s="23">
        <v>9935</v>
      </c>
      <c r="J39" s="23">
        <v>263</v>
      </c>
      <c r="K39" s="23">
        <v>471</v>
      </c>
      <c r="L39" s="23" t="s">
        <v>288</v>
      </c>
      <c r="M39" s="23">
        <f t="shared" si="0"/>
        <v>710</v>
      </c>
      <c r="N39" s="24" t="str">
        <f t="array" ref="N39">INDEX('MATCH INFO'!O:O, INT((ROW()-2)/10)+2 + 92)</f>
        <v>260626_CB_O2_S4</v>
      </c>
    </row>
    <row r="40" spans="1:14">
      <c r="A40" s="23" t="s">
        <v>51</v>
      </c>
      <c r="B40" s="23" t="s">
        <v>128</v>
      </c>
      <c r="C40" s="23" t="s">
        <v>109</v>
      </c>
      <c r="D40" s="23" t="s">
        <v>44</v>
      </c>
      <c r="E40" s="23" t="s">
        <v>190</v>
      </c>
      <c r="F40" s="23">
        <v>11</v>
      </c>
      <c r="G40" s="23">
        <v>8</v>
      </c>
      <c r="H40" s="23">
        <v>20</v>
      </c>
      <c r="I40" s="23">
        <v>5438</v>
      </c>
      <c r="J40" s="23">
        <v>9130</v>
      </c>
      <c r="K40" s="23">
        <v>2940</v>
      </c>
      <c r="L40" s="23" t="s">
        <v>288</v>
      </c>
      <c r="M40" s="23">
        <f t="shared" si="0"/>
        <v>710</v>
      </c>
      <c r="N40" s="24" t="str">
        <f t="array" ref="N40">INDEX('MATCH INFO'!O:O, INT((ROW()-2)/10)+2 + 92)</f>
        <v>260626_CB_O2_S4</v>
      </c>
    </row>
    <row r="41" spans="1:14">
      <c r="A41" s="23" t="s">
        <v>51</v>
      </c>
      <c r="B41" s="23" t="s">
        <v>129</v>
      </c>
      <c r="C41" s="23" t="s">
        <v>109</v>
      </c>
      <c r="D41" s="23" t="s">
        <v>44</v>
      </c>
      <c r="E41" s="23" t="s">
        <v>190</v>
      </c>
      <c r="F41" s="23">
        <v>11</v>
      </c>
      <c r="G41" s="23">
        <v>8</v>
      </c>
      <c r="H41" s="23">
        <v>17</v>
      </c>
      <c r="I41" s="23">
        <v>6050</v>
      </c>
      <c r="J41" s="23">
        <v>15732</v>
      </c>
      <c r="K41" s="23">
        <v>0</v>
      </c>
      <c r="L41" s="23" t="s">
        <v>288</v>
      </c>
      <c r="M41" s="23">
        <f t="shared" si="0"/>
        <v>710</v>
      </c>
      <c r="N41" s="24" t="str">
        <f t="array" ref="N41">INDEX('MATCH INFO'!O:O, INT((ROW()-2)/10)+2 + 92)</f>
        <v>260626_CB_O2_S4</v>
      </c>
    </row>
    <row r="42" spans="1:14">
      <c r="A42" s="23" t="s">
        <v>42</v>
      </c>
      <c r="B42" s="23" t="s">
        <v>139</v>
      </c>
      <c r="C42" s="23" t="s">
        <v>101</v>
      </c>
      <c r="D42" s="23" t="s">
        <v>54</v>
      </c>
      <c r="E42" s="23" t="s">
        <v>188</v>
      </c>
      <c r="F42" s="23">
        <v>27</v>
      </c>
      <c r="G42" s="23">
        <v>3</v>
      </c>
      <c r="H42" s="23">
        <v>14</v>
      </c>
      <c r="I42" s="23">
        <v>8249</v>
      </c>
      <c r="J42" s="23">
        <v>2008</v>
      </c>
      <c r="K42" s="23">
        <v>13352</v>
      </c>
      <c r="L42" s="23" t="s">
        <v>289</v>
      </c>
      <c r="M42" s="23">
        <f t="shared" si="0"/>
        <v>516</v>
      </c>
      <c r="N42" s="24" t="str">
        <f t="array" ref="N42">INDEX('MATCH INFO'!O:O, INT((ROW()-2)/10)+2 + 92)</f>
        <v>260626_ZETA_FLC_S1</v>
      </c>
    </row>
    <row r="43" spans="1:14">
      <c r="A43" s="23" t="s">
        <v>42</v>
      </c>
      <c r="B43" s="23" t="s">
        <v>141</v>
      </c>
      <c r="C43" s="23" t="s">
        <v>104</v>
      </c>
      <c r="D43" s="23" t="s">
        <v>54</v>
      </c>
      <c r="E43" s="23" t="s">
        <v>188</v>
      </c>
      <c r="F43" s="23">
        <v>24</v>
      </c>
      <c r="G43" s="23">
        <v>3</v>
      </c>
      <c r="H43" s="23">
        <v>2</v>
      </c>
      <c r="I43" s="23">
        <v>12238</v>
      </c>
      <c r="J43" s="23">
        <v>195</v>
      </c>
      <c r="K43" s="23">
        <v>844</v>
      </c>
      <c r="L43" s="23" t="s">
        <v>289</v>
      </c>
      <c r="M43" s="23">
        <f t="shared" si="0"/>
        <v>516</v>
      </c>
      <c r="N43" s="24" t="str">
        <f t="array" ref="N43">INDEX('MATCH INFO'!O:O, INT((ROW()-2)/10)+2 + 92)</f>
        <v>260626_ZETA_FLC_S1</v>
      </c>
    </row>
    <row r="44" spans="1:14">
      <c r="A44" s="23" t="s">
        <v>42</v>
      </c>
      <c r="B44" s="23" t="s">
        <v>140</v>
      </c>
      <c r="C44" s="23" t="s">
        <v>104</v>
      </c>
      <c r="D44" s="23" t="s">
        <v>54</v>
      </c>
      <c r="E44" s="23" t="s">
        <v>188</v>
      </c>
      <c r="F44" s="23">
        <v>17</v>
      </c>
      <c r="G44" s="23">
        <v>6</v>
      </c>
      <c r="H44" s="23">
        <v>0</v>
      </c>
      <c r="I44" s="23">
        <v>7897</v>
      </c>
      <c r="J44" s="23">
        <v>0</v>
      </c>
      <c r="K44" s="23">
        <v>449</v>
      </c>
      <c r="L44" s="23" t="s">
        <v>289</v>
      </c>
      <c r="M44" s="23">
        <f t="shared" si="0"/>
        <v>516</v>
      </c>
      <c r="N44" s="24" t="str">
        <f t="array" ref="N44">INDEX('MATCH INFO'!O:O, INT((ROW()-2)/10)+2 + 92)</f>
        <v>260626_ZETA_FLC_S1</v>
      </c>
    </row>
    <row r="45" spans="1:14">
      <c r="A45" s="23" t="s">
        <v>42</v>
      </c>
      <c r="B45" s="23" t="s">
        <v>143</v>
      </c>
      <c r="C45" s="23" t="s">
        <v>109</v>
      </c>
      <c r="D45" s="23" t="s">
        <v>54</v>
      </c>
      <c r="E45" s="23" t="s">
        <v>188</v>
      </c>
      <c r="F45" s="23">
        <v>14</v>
      </c>
      <c r="G45" s="23">
        <v>4</v>
      </c>
      <c r="H45" s="23">
        <v>20</v>
      </c>
      <c r="I45" s="23">
        <v>3815</v>
      </c>
      <c r="J45" s="23">
        <v>8916</v>
      </c>
      <c r="K45" s="23">
        <v>0</v>
      </c>
      <c r="L45" s="23" t="s">
        <v>289</v>
      </c>
      <c r="M45" s="23">
        <f t="shared" si="0"/>
        <v>516</v>
      </c>
      <c r="N45" s="24" t="str">
        <f t="array" ref="N45">INDEX('MATCH INFO'!O:O, INT((ROW()-2)/10)+2 + 92)</f>
        <v>260626_ZETA_FLC_S1</v>
      </c>
    </row>
    <row r="46" spans="1:14">
      <c r="A46" s="23" t="s">
        <v>42</v>
      </c>
      <c r="B46" s="23" t="s">
        <v>142</v>
      </c>
      <c r="C46" s="23" t="s">
        <v>109</v>
      </c>
      <c r="D46" s="23" t="s">
        <v>54</v>
      </c>
      <c r="E46" s="23" t="s">
        <v>188</v>
      </c>
      <c r="F46" s="23">
        <v>26</v>
      </c>
      <c r="G46" s="23">
        <v>3</v>
      </c>
      <c r="H46" s="23">
        <v>16</v>
      </c>
      <c r="I46" s="23">
        <v>3845</v>
      </c>
      <c r="J46" s="23">
        <v>9753</v>
      </c>
      <c r="K46" s="23">
        <v>0</v>
      </c>
      <c r="L46" s="23" t="s">
        <v>289</v>
      </c>
      <c r="M46" s="23">
        <f t="shared" si="0"/>
        <v>516</v>
      </c>
      <c r="N46" s="24" t="str">
        <f t="array" ref="N46">INDEX('MATCH INFO'!O:O, INT((ROW()-2)/10)+2 + 92)</f>
        <v>260626_ZETA_FLC_S1</v>
      </c>
    </row>
    <row r="47" spans="1:14">
      <c r="A47" s="23" t="s">
        <v>31</v>
      </c>
      <c r="B47" s="23" t="s">
        <v>165</v>
      </c>
      <c r="C47" s="23" t="s">
        <v>109</v>
      </c>
      <c r="D47" s="23" t="s">
        <v>54</v>
      </c>
      <c r="E47" s="23" t="s">
        <v>188</v>
      </c>
      <c r="F47" s="23">
        <v>9</v>
      </c>
      <c r="G47" s="23">
        <v>7</v>
      </c>
      <c r="H47" s="23">
        <v>6</v>
      </c>
      <c r="I47" s="23">
        <v>2564</v>
      </c>
      <c r="J47" s="23">
        <v>8342</v>
      </c>
      <c r="K47" s="23">
        <v>0</v>
      </c>
      <c r="L47" s="23" t="s">
        <v>289</v>
      </c>
      <c r="M47" s="23">
        <f t="shared" si="0"/>
        <v>516</v>
      </c>
      <c r="N47" s="24" t="str">
        <f t="array" ref="N47">INDEX('MATCH INFO'!O:O, INT((ROW()-2)/10)+2 + 92)</f>
        <v>260626_ZETA_FLC_S1</v>
      </c>
    </row>
    <row r="48" spans="1:14">
      <c r="A48" s="23" t="s">
        <v>31</v>
      </c>
      <c r="B48" s="23" t="s">
        <v>166</v>
      </c>
      <c r="C48" s="23" t="s">
        <v>109</v>
      </c>
      <c r="D48" s="23" t="s">
        <v>54</v>
      </c>
      <c r="E48" s="23" t="s">
        <v>188</v>
      </c>
      <c r="F48" s="23">
        <v>6</v>
      </c>
      <c r="G48" s="23">
        <v>8</v>
      </c>
      <c r="H48" s="23">
        <v>9</v>
      </c>
      <c r="I48" s="23">
        <v>3774</v>
      </c>
      <c r="J48" s="23">
        <v>6237</v>
      </c>
      <c r="K48" s="23">
        <v>0</v>
      </c>
      <c r="L48" s="23" t="s">
        <v>289</v>
      </c>
      <c r="M48" s="23">
        <f t="shared" si="0"/>
        <v>516</v>
      </c>
      <c r="N48" s="24" t="str">
        <f t="array" ref="N48">INDEX('MATCH INFO'!O:O, INT((ROW()-2)/10)+2 + 92)</f>
        <v>260626_ZETA_FLC_S1</v>
      </c>
    </row>
    <row r="49" spans="1:14">
      <c r="A49" s="23" t="s">
        <v>31</v>
      </c>
      <c r="B49" s="23" t="s">
        <v>161</v>
      </c>
      <c r="C49" s="23" t="s">
        <v>101</v>
      </c>
      <c r="D49" s="23" t="s">
        <v>54</v>
      </c>
      <c r="E49" s="23" t="s">
        <v>188</v>
      </c>
      <c r="F49" s="23">
        <v>11</v>
      </c>
      <c r="G49" s="23">
        <v>8</v>
      </c>
      <c r="H49" s="23">
        <v>7</v>
      </c>
      <c r="I49" s="23">
        <v>5978</v>
      </c>
      <c r="J49" s="23">
        <v>1389</v>
      </c>
      <c r="K49" s="23">
        <v>15919</v>
      </c>
      <c r="L49" s="23" t="s">
        <v>289</v>
      </c>
      <c r="M49" s="23">
        <f t="shared" si="0"/>
        <v>516</v>
      </c>
      <c r="N49" s="24" t="str">
        <f t="array" ref="N49">INDEX('MATCH INFO'!O:O, INT((ROW()-2)/10)+2 + 92)</f>
        <v>260626_ZETA_FLC_S1</v>
      </c>
    </row>
    <row r="50" spans="1:14">
      <c r="A50" s="23" t="s">
        <v>31</v>
      </c>
      <c r="B50" s="23" t="s">
        <v>164</v>
      </c>
      <c r="C50" s="23" t="s">
        <v>104</v>
      </c>
      <c r="D50" s="23" t="s">
        <v>54</v>
      </c>
      <c r="E50" s="23" t="s">
        <v>188</v>
      </c>
      <c r="F50" s="23">
        <v>12</v>
      </c>
      <c r="G50" s="23">
        <v>8</v>
      </c>
      <c r="H50" s="23">
        <v>2</v>
      </c>
      <c r="I50" s="23">
        <v>11398</v>
      </c>
      <c r="J50" s="23">
        <v>4</v>
      </c>
      <c r="K50" s="23">
        <v>1250</v>
      </c>
      <c r="L50" s="23" t="s">
        <v>289</v>
      </c>
      <c r="M50" s="23">
        <f t="shared" si="0"/>
        <v>516</v>
      </c>
      <c r="N50" s="24" t="str">
        <f t="array" ref="N50">INDEX('MATCH INFO'!O:O, INT((ROW()-2)/10)+2 + 92)</f>
        <v>260626_ZETA_FLC_S1</v>
      </c>
    </row>
    <row r="51" spans="1:14">
      <c r="A51" s="23" t="s">
        <v>31</v>
      </c>
      <c r="B51" s="23" t="s">
        <v>162</v>
      </c>
      <c r="C51" s="23" t="s">
        <v>104</v>
      </c>
      <c r="D51" s="23" t="s">
        <v>54</v>
      </c>
      <c r="E51" s="23" t="s">
        <v>188</v>
      </c>
      <c r="F51" s="23">
        <v>10</v>
      </c>
      <c r="G51" s="23">
        <v>9</v>
      </c>
      <c r="H51" s="23">
        <v>2</v>
      </c>
      <c r="I51" s="23">
        <v>8446</v>
      </c>
      <c r="J51" s="23">
        <v>382</v>
      </c>
      <c r="K51" s="23">
        <v>584</v>
      </c>
      <c r="L51" s="23" t="s">
        <v>289</v>
      </c>
      <c r="M51" s="23">
        <f t="shared" si="0"/>
        <v>516</v>
      </c>
      <c r="N51" s="24" t="str">
        <f t="array" ref="N51">INDEX('MATCH INFO'!O:O, INT((ROW()-2)/10)+2 + 92)</f>
        <v>260626_ZETA_FLC_S1</v>
      </c>
    </row>
    <row r="52" spans="1:14">
      <c r="A52" s="23" t="s">
        <v>31</v>
      </c>
      <c r="B52" s="23" t="s">
        <v>165</v>
      </c>
      <c r="C52" s="23" t="s">
        <v>109</v>
      </c>
      <c r="D52" s="23" t="s">
        <v>44</v>
      </c>
      <c r="E52" s="23" t="s">
        <v>190</v>
      </c>
      <c r="F52" s="23">
        <v>6</v>
      </c>
      <c r="G52" s="23">
        <v>11</v>
      </c>
      <c r="H52" s="23">
        <v>6</v>
      </c>
      <c r="I52" s="23">
        <v>4519</v>
      </c>
      <c r="J52" s="23">
        <v>6964</v>
      </c>
      <c r="K52" s="23">
        <v>2426</v>
      </c>
      <c r="L52" s="23" t="s">
        <v>290</v>
      </c>
      <c r="M52" s="23">
        <f t="shared" si="0"/>
        <v>607</v>
      </c>
      <c r="N52" s="24" t="str">
        <f t="array" ref="N52">INDEX('MATCH INFO'!O:O, INT((ROW()-2)/10)+2 + 92)</f>
        <v>260626_ZETA_FLC_S2</v>
      </c>
    </row>
    <row r="53" spans="1:14">
      <c r="A53" s="23" t="s">
        <v>31</v>
      </c>
      <c r="B53" s="23" t="s">
        <v>166</v>
      </c>
      <c r="C53" s="23" t="s">
        <v>109</v>
      </c>
      <c r="D53" s="23" t="s">
        <v>44</v>
      </c>
      <c r="E53" s="23" t="s">
        <v>190</v>
      </c>
      <c r="F53" s="23">
        <v>13</v>
      </c>
      <c r="G53" s="23">
        <v>11</v>
      </c>
      <c r="H53" s="23">
        <v>13</v>
      </c>
      <c r="I53" s="23">
        <v>5917</v>
      </c>
      <c r="J53" s="23">
        <v>10088</v>
      </c>
      <c r="K53" s="23">
        <v>0</v>
      </c>
      <c r="L53" s="23" t="s">
        <v>290</v>
      </c>
      <c r="M53" s="23">
        <f t="shared" si="0"/>
        <v>607</v>
      </c>
      <c r="N53" s="24" t="str">
        <f t="array" ref="N53">INDEX('MATCH INFO'!O:O, INT((ROW()-2)/10)+2 + 92)</f>
        <v>260626_ZETA_FLC_S2</v>
      </c>
    </row>
    <row r="54" spans="1:14">
      <c r="A54" s="23" t="s">
        <v>31</v>
      </c>
      <c r="B54" s="23" t="s">
        <v>161</v>
      </c>
      <c r="C54" s="23" t="s">
        <v>101</v>
      </c>
      <c r="D54" s="23" t="s">
        <v>44</v>
      </c>
      <c r="E54" s="23" t="s">
        <v>190</v>
      </c>
      <c r="F54" s="23">
        <v>12</v>
      </c>
      <c r="G54" s="23">
        <v>11</v>
      </c>
      <c r="H54" s="23">
        <v>11</v>
      </c>
      <c r="I54" s="23">
        <v>11260</v>
      </c>
      <c r="J54" s="23">
        <v>3166</v>
      </c>
      <c r="K54" s="23">
        <v>7702</v>
      </c>
      <c r="L54" s="23" t="s">
        <v>290</v>
      </c>
      <c r="M54" s="23">
        <f t="shared" si="0"/>
        <v>607</v>
      </c>
      <c r="N54" s="24" t="str">
        <f t="array" ref="N54">INDEX('MATCH INFO'!O:O, INT((ROW()-2)/10)+2 + 92)</f>
        <v>260626_ZETA_FLC_S2</v>
      </c>
    </row>
    <row r="55" spans="1:14">
      <c r="A55" s="23" t="s">
        <v>31</v>
      </c>
      <c r="B55" s="23" t="s">
        <v>164</v>
      </c>
      <c r="C55" s="23" t="s">
        <v>104</v>
      </c>
      <c r="D55" s="23" t="s">
        <v>44</v>
      </c>
      <c r="E55" s="23" t="s">
        <v>190</v>
      </c>
      <c r="F55" s="23">
        <v>14</v>
      </c>
      <c r="G55" s="23">
        <v>10</v>
      </c>
      <c r="H55" s="23">
        <v>3</v>
      </c>
      <c r="I55" s="23">
        <v>10733</v>
      </c>
      <c r="J55" s="23">
        <v>75</v>
      </c>
      <c r="K55" s="23">
        <v>734</v>
      </c>
      <c r="L55" s="23" t="s">
        <v>290</v>
      </c>
      <c r="M55" s="23">
        <f t="shared" si="0"/>
        <v>607</v>
      </c>
      <c r="N55" s="24" t="str">
        <f t="array" ref="N55">INDEX('MATCH INFO'!O:O, INT((ROW()-2)/10)+2 + 92)</f>
        <v>260626_ZETA_FLC_S2</v>
      </c>
    </row>
    <row r="56" spans="1:14">
      <c r="A56" s="23" t="s">
        <v>31</v>
      </c>
      <c r="B56" s="23" t="s">
        <v>162</v>
      </c>
      <c r="C56" s="23" t="s">
        <v>104</v>
      </c>
      <c r="D56" s="23" t="s">
        <v>44</v>
      </c>
      <c r="E56" s="23" t="s">
        <v>190</v>
      </c>
      <c r="F56" s="23">
        <v>8</v>
      </c>
      <c r="G56" s="23">
        <v>11</v>
      </c>
      <c r="H56" s="23">
        <v>1</v>
      </c>
      <c r="I56" s="23">
        <v>6403</v>
      </c>
      <c r="J56" s="23">
        <v>712</v>
      </c>
      <c r="K56" s="23">
        <v>78</v>
      </c>
      <c r="L56" s="23" t="s">
        <v>290</v>
      </c>
      <c r="M56" s="23">
        <f t="shared" si="0"/>
        <v>607</v>
      </c>
      <c r="N56" s="24" t="str">
        <f t="array" ref="N56">INDEX('MATCH INFO'!O:O, INT((ROW()-2)/10)+2 + 92)</f>
        <v>260626_ZETA_FLC_S2</v>
      </c>
    </row>
    <row r="57" spans="1:14">
      <c r="A57" s="23" t="s">
        <v>42</v>
      </c>
      <c r="B57" s="23" t="s">
        <v>139</v>
      </c>
      <c r="C57" s="23" t="s">
        <v>101</v>
      </c>
      <c r="D57" s="23" t="s">
        <v>44</v>
      </c>
      <c r="E57" s="23" t="s">
        <v>190</v>
      </c>
      <c r="F57" s="23">
        <v>35</v>
      </c>
      <c r="G57" s="23">
        <v>4</v>
      </c>
      <c r="H57" s="23">
        <v>23</v>
      </c>
      <c r="I57" s="23">
        <v>14197</v>
      </c>
      <c r="J57" s="23">
        <v>3588</v>
      </c>
      <c r="K57" s="23">
        <v>5015</v>
      </c>
      <c r="L57" s="23" t="s">
        <v>290</v>
      </c>
      <c r="M57" s="23">
        <f t="shared" si="0"/>
        <v>607</v>
      </c>
      <c r="N57" s="24" t="str">
        <f t="array" ref="N57">INDEX('MATCH INFO'!O:O, INT((ROW()-2)/10)+2 + 92)</f>
        <v>260626_ZETA_FLC_S2</v>
      </c>
    </row>
    <row r="58" spans="1:14">
      <c r="A58" s="23" t="s">
        <v>42</v>
      </c>
      <c r="B58" s="23" t="s">
        <v>141</v>
      </c>
      <c r="C58" s="23" t="s">
        <v>104</v>
      </c>
      <c r="D58" s="23" t="s">
        <v>44</v>
      </c>
      <c r="E58" s="23" t="s">
        <v>190</v>
      </c>
      <c r="F58" s="23">
        <v>36</v>
      </c>
      <c r="G58" s="23">
        <v>5</v>
      </c>
      <c r="H58" s="23">
        <v>0</v>
      </c>
      <c r="I58" s="23">
        <v>11204</v>
      </c>
      <c r="J58" s="23">
        <v>1713</v>
      </c>
      <c r="K58" s="23">
        <v>0</v>
      </c>
      <c r="L58" s="23" t="s">
        <v>290</v>
      </c>
      <c r="M58" s="23">
        <f t="shared" si="0"/>
        <v>607</v>
      </c>
      <c r="N58" s="24" t="str">
        <f t="array" ref="N58">INDEX('MATCH INFO'!O:O, INT((ROW()-2)/10)+2 + 92)</f>
        <v>260626_ZETA_FLC_S2</v>
      </c>
    </row>
    <row r="59" spans="1:14">
      <c r="A59" s="23" t="s">
        <v>42</v>
      </c>
      <c r="B59" s="23" t="s">
        <v>140</v>
      </c>
      <c r="C59" s="23" t="s">
        <v>104</v>
      </c>
      <c r="D59" s="23" t="s">
        <v>44</v>
      </c>
      <c r="E59" s="23" t="s">
        <v>190</v>
      </c>
      <c r="F59" s="23">
        <v>29</v>
      </c>
      <c r="G59" s="23">
        <v>4</v>
      </c>
      <c r="H59" s="23">
        <v>4</v>
      </c>
      <c r="I59" s="23">
        <v>11584</v>
      </c>
      <c r="J59" s="23">
        <v>0</v>
      </c>
      <c r="K59" s="23">
        <v>433</v>
      </c>
      <c r="L59" s="23" t="s">
        <v>290</v>
      </c>
      <c r="M59" s="23">
        <f t="shared" si="0"/>
        <v>607</v>
      </c>
      <c r="N59" s="24" t="str">
        <f t="array" ref="N59">INDEX('MATCH INFO'!O:O, INT((ROW()-2)/10)+2 + 92)</f>
        <v>260626_ZETA_FLC_S2</v>
      </c>
    </row>
    <row r="60" spans="1:14">
      <c r="A60" s="23" t="s">
        <v>42</v>
      </c>
      <c r="B60" s="23" t="s">
        <v>143</v>
      </c>
      <c r="C60" s="23" t="s">
        <v>109</v>
      </c>
      <c r="D60" s="23" t="s">
        <v>44</v>
      </c>
      <c r="E60" s="23" t="s">
        <v>190</v>
      </c>
      <c r="F60" s="23">
        <v>25</v>
      </c>
      <c r="G60" s="23">
        <v>3</v>
      </c>
      <c r="H60" s="23">
        <v>43</v>
      </c>
      <c r="I60" s="23">
        <v>4917</v>
      </c>
      <c r="J60" s="23">
        <v>12968</v>
      </c>
      <c r="K60" s="23">
        <v>0</v>
      </c>
      <c r="L60" s="23" t="s">
        <v>290</v>
      </c>
      <c r="M60" s="23">
        <f t="shared" si="0"/>
        <v>607</v>
      </c>
      <c r="N60" s="24" t="str">
        <f t="array" ref="N60">INDEX('MATCH INFO'!O:O, INT((ROW()-2)/10)+2 + 92)</f>
        <v>260626_ZETA_FLC_S2</v>
      </c>
    </row>
    <row r="61" spans="1:14">
      <c r="A61" s="23" t="s">
        <v>42</v>
      </c>
      <c r="B61" s="23" t="s">
        <v>142</v>
      </c>
      <c r="C61" s="23" t="s">
        <v>109</v>
      </c>
      <c r="D61" s="23" t="s">
        <v>44</v>
      </c>
      <c r="E61" s="23" t="s">
        <v>190</v>
      </c>
      <c r="F61" s="23">
        <v>34</v>
      </c>
      <c r="G61" s="23">
        <v>4</v>
      </c>
      <c r="H61" s="23">
        <v>21</v>
      </c>
      <c r="I61" s="23">
        <v>6437</v>
      </c>
      <c r="J61" s="23">
        <v>7478</v>
      </c>
      <c r="K61" s="23">
        <v>175</v>
      </c>
      <c r="L61" s="23" t="s">
        <v>290</v>
      </c>
      <c r="M61" s="23">
        <f t="shared" si="0"/>
        <v>607</v>
      </c>
      <c r="N61" s="24" t="str">
        <f t="array" ref="N61">INDEX('MATCH INFO'!O:O, INT((ROW()-2)/10)+2 + 92)</f>
        <v>260626_ZETA_FLC_S2</v>
      </c>
    </row>
    <row r="62" spans="1:14">
      <c r="A62" s="23" t="s">
        <v>31</v>
      </c>
      <c r="B62" s="23" t="s">
        <v>163</v>
      </c>
      <c r="C62" s="23" t="s">
        <v>104</v>
      </c>
      <c r="D62" s="23" t="s">
        <v>69</v>
      </c>
      <c r="E62" s="23" t="s">
        <v>201</v>
      </c>
      <c r="F62" s="23">
        <v>29</v>
      </c>
      <c r="G62" s="23">
        <v>14</v>
      </c>
      <c r="H62" s="23">
        <v>7</v>
      </c>
      <c r="I62" s="23">
        <v>16613</v>
      </c>
      <c r="J62" s="23">
        <v>1582</v>
      </c>
      <c r="K62" s="23">
        <v>11617</v>
      </c>
      <c r="L62" s="23" t="s">
        <v>291</v>
      </c>
      <c r="M62" s="23">
        <f t="shared" si="0"/>
        <v>1019</v>
      </c>
      <c r="N62" s="24" t="str">
        <f t="array" ref="N62">INDEX('MATCH INFO'!O:O, INT((ROW()-2)/10)+2 + 92)</f>
        <v>260626_ZETA_FLC_S3</v>
      </c>
    </row>
    <row r="63" spans="1:14">
      <c r="A63" s="23" t="s">
        <v>31</v>
      </c>
      <c r="B63" s="23" t="s">
        <v>165</v>
      </c>
      <c r="C63" s="23" t="s">
        <v>109</v>
      </c>
      <c r="D63" s="23" t="s">
        <v>69</v>
      </c>
      <c r="E63" s="23" t="s">
        <v>201</v>
      </c>
      <c r="F63" s="23">
        <v>19</v>
      </c>
      <c r="G63" s="23">
        <v>14</v>
      </c>
      <c r="H63" s="23">
        <v>23</v>
      </c>
      <c r="I63" s="23">
        <v>6983</v>
      </c>
      <c r="J63" s="23">
        <v>16839</v>
      </c>
      <c r="K63" s="23">
        <v>0</v>
      </c>
      <c r="L63" s="23" t="s">
        <v>291</v>
      </c>
      <c r="M63" s="23">
        <f t="shared" si="0"/>
        <v>1019</v>
      </c>
      <c r="N63" s="24" t="str">
        <f t="array" ref="N63">INDEX('MATCH INFO'!O:O, INT((ROW()-2)/10)+2 + 92)</f>
        <v>260626_ZETA_FLC_S3</v>
      </c>
    </row>
    <row r="64" spans="1:14">
      <c r="A64" s="23" t="s">
        <v>31</v>
      </c>
      <c r="B64" s="23" t="s">
        <v>166</v>
      </c>
      <c r="C64" s="23" t="s">
        <v>109</v>
      </c>
      <c r="D64" s="23" t="s">
        <v>69</v>
      </c>
      <c r="E64" s="23" t="s">
        <v>201</v>
      </c>
      <c r="F64" s="23">
        <v>16</v>
      </c>
      <c r="G64" s="23">
        <v>15</v>
      </c>
      <c r="H64" s="23">
        <v>23</v>
      </c>
      <c r="I64" s="23">
        <v>7474</v>
      </c>
      <c r="J64" s="23">
        <v>16236</v>
      </c>
      <c r="K64" s="23">
        <v>0</v>
      </c>
      <c r="L64" s="23" t="s">
        <v>291</v>
      </c>
      <c r="M64" s="23">
        <f t="shared" si="0"/>
        <v>1019</v>
      </c>
      <c r="N64" s="24" t="str">
        <f t="array" ref="N64">INDEX('MATCH INFO'!O:O, INT((ROW()-2)/10)+2 + 92)</f>
        <v>260626_ZETA_FLC_S3</v>
      </c>
    </row>
    <row r="65" spans="1:14">
      <c r="A65" s="23" t="s">
        <v>31</v>
      </c>
      <c r="B65" s="23" t="s">
        <v>164</v>
      </c>
      <c r="C65" s="23" t="s">
        <v>104</v>
      </c>
      <c r="D65" s="23" t="s">
        <v>69</v>
      </c>
      <c r="E65" s="23" t="s">
        <v>201</v>
      </c>
      <c r="F65" s="23">
        <v>26</v>
      </c>
      <c r="G65" s="23">
        <v>18</v>
      </c>
      <c r="H65" s="23">
        <v>0</v>
      </c>
      <c r="I65" s="23">
        <v>18943</v>
      </c>
      <c r="J65" s="23">
        <v>0</v>
      </c>
      <c r="K65" s="23">
        <v>496</v>
      </c>
      <c r="L65" s="23" t="s">
        <v>291</v>
      </c>
      <c r="M65" s="23">
        <f t="shared" si="0"/>
        <v>1019</v>
      </c>
      <c r="N65" s="24" t="str">
        <f t="array" ref="N65">INDEX('MATCH INFO'!O:O, INT((ROW()-2)/10)+2 + 92)</f>
        <v>260626_ZETA_FLC_S3</v>
      </c>
    </row>
    <row r="66" spans="1:14">
      <c r="A66" s="23" t="s">
        <v>31</v>
      </c>
      <c r="B66" s="23" t="s">
        <v>160</v>
      </c>
      <c r="C66" s="23" t="s">
        <v>101</v>
      </c>
      <c r="D66" s="23" t="s">
        <v>69</v>
      </c>
      <c r="E66" s="23" t="s">
        <v>201</v>
      </c>
      <c r="F66" s="23">
        <v>27</v>
      </c>
      <c r="G66" s="23">
        <v>12</v>
      </c>
      <c r="H66" s="23">
        <v>10</v>
      </c>
      <c r="I66" s="23">
        <v>17011</v>
      </c>
      <c r="J66" s="23">
        <v>1767</v>
      </c>
      <c r="K66" s="23">
        <v>29618</v>
      </c>
      <c r="L66" s="23" t="s">
        <v>291</v>
      </c>
      <c r="M66" s="23">
        <f t="shared" ref="M66:M129" si="1">L66*86400</f>
        <v>1019</v>
      </c>
      <c r="N66" s="24" t="str">
        <f t="array" ref="N66">INDEX('MATCH INFO'!O:O, INT((ROW()-2)/10)+2 + 92)</f>
        <v>260626_ZETA_FLC_S3</v>
      </c>
    </row>
    <row r="67" spans="1:14">
      <c r="A67" s="23" t="s">
        <v>42</v>
      </c>
      <c r="B67" s="23" t="s">
        <v>139</v>
      </c>
      <c r="C67" s="23" t="s">
        <v>101</v>
      </c>
      <c r="D67" s="23" t="s">
        <v>69</v>
      </c>
      <c r="E67" s="23" t="s">
        <v>201</v>
      </c>
      <c r="F67" s="23">
        <v>47</v>
      </c>
      <c r="G67" s="23">
        <v>8</v>
      </c>
      <c r="H67" s="23">
        <v>14</v>
      </c>
      <c r="I67" s="23">
        <v>18825</v>
      </c>
      <c r="J67" s="23">
        <v>1274</v>
      </c>
      <c r="K67" s="23">
        <v>20507</v>
      </c>
      <c r="L67" s="23" t="s">
        <v>291</v>
      </c>
      <c r="M67" s="23">
        <f t="shared" si="1"/>
        <v>1019</v>
      </c>
      <c r="N67" s="24" t="str">
        <f t="array" ref="N67">INDEX('MATCH INFO'!O:O, INT((ROW()-2)/10)+2 + 92)</f>
        <v>260626_ZETA_FLC_S3</v>
      </c>
    </row>
    <row r="68" spans="1:14">
      <c r="A68" s="23" t="s">
        <v>42</v>
      </c>
      <c r="B68" s="23" t="s">
        <v>141</v>
      </c>
      <c r="C68" s="23" t="s">
        <v>104</v>
      </c>
      <c r="D68" s="23" t="s">
        <v>69</v>
      </c>
      <c r="E68" s="23" t="s">
        <v>201</v>
      </c>
      <c r="F68" s="23">
        <v>45</v>
      </c>
      <c r="G68" s="23">
        <v>10</v>
      </c>
      <c r="H68" s="23">
        <v>5</v>
      </c>
      <c r="I68" s="23">
        <v>19629</v>
      </c>
      <c r="J68" s="23">
        <v>539</v>
      </c>
      <c r="K68" s="23">
        <v>989</v>
      </c>
      <c r="L68" s="23" t="s">
        <v>291</v>
      </c>
      <c r="M68" s="23">
        <f t="shared" si="1"/>
        <v>1019</v>
      </c>
      <c r="N68" s="24" t="str">
        <f t="array" ref="N68">INDEX('MATCH INFO'!O:O, INT((ROW()-2)/10)+2 + 92)</f>
        <v>260626_ZETA_FLC_S3</v>
      </c>
    </row>
    <row r="69" spans="1:14">
      <c r="A69" s="23" t="s">
        <v>42</v>
      </c>
      <c r="B69" s="23" t="s">
        <v>140</v>
      </c>
      <c r="C69" s="23" t="s">
        <v>104</v>
      </c>
      <c r="D69" s="23" t="s">
        <v>69</v>
      </c>
      <c r="E69" s="23" t="s">
        <v>201</v>
      </c>
      <c r="F69" s="23">
        <v>40</v>
      </c>
      <c r="G69" s="23">
        <v>8</v>
      </c>
      <c r="H69" s="23">
        <v>11</v>
      </c>
      <c r="I69" s="23">
        <v>14346</v>
      </c>
      <c r="J69" s="23">
        <v>3008</v>
      </c>
      <c r="K69" s="23">
        <v>4504</v>
      </c>
      <c r="L69" s="23" t="s">
        <v>291</v>
      </c>
      <c r="M69" s="23">
        <f t="shared" si="1"/>
        <v>1019</v>
      </c>
      <c r="N69" s="24" t="str">
        <f t="array" ref="N69">INDEX('MATCH INFO'!O:O, INT((ROW()-2)/10)+2 + 92)</f>
        <v>260626_ZETA_FLC_S3</v>
      </c>
    </row>
    <row r="70" spans="1:14">
      <c r="A70" s="23" t="s">
        <v>42</v>
      </c>
      <c r="B70" s="23" t="s">
        <v>143</v>
      </c>
      <c r="C70" s="23" t="s">
        <v>109</v>
      </c>
      <c r="D70" s="23" t="s">
        <v>69</v>
      </c>
      <c r="E70" s="23" t="s">
        <v>201</v>
      </c>
      <c r="F70" s="23">
        <v>22</v>
      </c>
      <c r="G70" s="23">
        <v>9</v>
      </c>
      <c r="H70" s="23">
        <v>50</v>
      </c>
      <c r="I70" s="23">
        <v>8206</v>
      </c>
      <c r="J70" s="23">
        <v>22822</v>
      </c>
      <c r="K70" s="23">
        <v>0</v>
      </c>
      <c r="L70" s="23" t="s">
        <v>291</v>
      </c>
      <c r="M70" s="23">
        <f t="shared" si="1"/>
        <v>1019</v>
      </c>
      <c r="N70" s="24" t="str">
        <f t="array" ref="N70">INDEX('MATCH INFO'!O:O, INT((ROW()-2)/10)+2 + 92)</f>
        <v>260626_ZETA_FLC_S3</v>
      </c>
    </row>
    <row r="71" spans="1:14">
      <c r="A71" s="23" t="s">
        <v>42</v>
      </c>
      <c r="B71" s="23" t="s">
        <v>142</v>
      </c>
      <c r="C71" s="23" t="s">
        <v>109</v>
      </c>
      <c r="D71" s="23" t="s">
        <v>69</v>
      </c>
      <c r="E71" s="23" t="s">
        <v>201</v>
      </c>
      <c r="F71" s="23">
        <v>25</v>
      </c>
      <c r="G71" s="23">
        <v>11</v>
      </c>
      <c r="H71" s="23">
        <v>24</v>
      </c>
      <c r="I71" s="23">
        <v>5358</v>
      </c>
      <c r="J71" s="23">
        <v>15983</v>
      </c>
      <c r="K71" s="23">
        <v>0</v>
      </c>
      <c r="L71" s="23" t="s">
        <v>291</v>
      </c>
      <c r="M71" s="23">
        <f t="shared" si="1"/>
        <v>1019</v>
      </c>
      <c r="N71" s="24" t="str">
        <f t="array" ref="N71">INDEX('MATCH INFO'!O:O, INT((ROW()-2)/10)+2 + 92)</f>
        <v>260626_ZETA_FLC_S3</v>
      </c>
    </row>
    <row r="72" spans="1:14">
      <c r="A72" s="23" t="s">
        <v>53</v>
      </c>
      <c r="B72" s="23" t="s">
        <v>170</v>
      </c>
      <c r="C72" s="23" t="s">
        <v>104</v>
      </c>
      <c r="D72" s="23" t="s">
        <v>33</v>
      </c>
      <c r="E72" s="23" t="s">
        <v>188</v>
      </c>
      <c r="F72" s="23">
        <v>23</v>
      </c>
      <c r="G72" s="23">
        <v>11</v>
      </c>
      <c r="H72" s="23">
        <v>0</v>
      </c>
      <c r="I72" s="23">
        <v>13866</v>
      </c>
      <c r="J72" s="23">
        <v>1843</v>
      </c>
      <c r="K72" s="23">
        <v>0</v>
      </c>
      <c r="L72" s="23" t="s">
        <v>292</v>
      </c>
      <c r="M72" s="23">
        <f t="shared" si="1"/>
        <v>803</v>
      </c>
      <c r="N72" s="24" t="str">
        <f t="array" ref="N72">INDEX('MATCH INFO'!O:O, INT((ROW()-2)/10)+2 + 92)</f>
        <v>260626_SB_ROZE_S1</v>
      </c>
    </row>
    <row r="73" spans="1:14">
      <c r="A73" s="23" t="s">
        <v>53</v>
      </c>
      <c r="B73" s="23" t="s">
        <v>168</v>
      </c>
      <c r="C73" s="23" t="s">
        <v>101</v>
      </c>
      <c r="D73" s="23" t="s">
        <v>33</v>
      </c>
      <c r="E73" s="23" t="s">
        <v>188</v>
      </c>
      <c r="F73" s="23">
        <v>27</v>
      </c>
      <c r="G73" s="23">
        <v>7</v>
      </c>
      <c r="H73" s="23">
        <v>3</v>
      </c>
      <c r="I73" s="23">
        <v>20318</v>
      </c>
      <c r="J73" s="23">
        <v>0</v>
      </c>
      <c r="K73" s="23">
        <v>25093</v>
      </c>
      <c r="L73" s="23" t="s">
        <v>292</v>
      </c>
      <c r="M73" s="23">
        <f t="shared" si="1"/>
        <v>803</v>
      </c>
      <c r="N73" s="24" t="str">
        <f t="array" ref="N73">INDEX('MATCH INFO'!O:O, INT((ROW()-2)/10)+2 + 92)</f>
        <v>260626_SB_ROZE_S1</v>
      </c>
    </row>
    <row r="74" spans="1:14">
      <c r="A74" s="23" t="s">
        <v>53</v>
      </c>
      <c r="B74" s="23" t="s">
        <v>172</v>
      </c>
      <c r="C74" s="23" t="s">
        <v>109</v>
      </c>
      <c r="D74" s="23" t="s">
        <v>33</v>
      </c>
      <c r="E74" s="23" t="s">
        <v>188</v>
      </c>
      <c r="F74" s="23">
        <v>23</v>
      </c>
      <c r="G74" s="23">
        <v>8</v>
      </c>
      <c r="H74" s="23">
        <v>22</v>
      </c>
      <c r="I74" s="23">
        <v>4075</v>
      </c>
      <c r="J74" s="23">
        <v>15412</v>
      </c>
      <c r="K74" s="23">
        <v>0</v>
      </c>
      <c r="L74" s="23" t="s">
        <v>292</v>
      </c>
      <c r="M74" s="23">
        <f t="shared" si="1"/>
        <v>803</v>
      </c>
      <c r="N74" s="24" t="str">
        <f t="array" ref="N74">INDEX('MATCH INFO'!O:O, INT((ROW()-2)/10)+2 + 92)</f>
        <v>260626_SB_ROZE_S1</v>
      </c>
    </row>
    <row r="75" spans="1:14">
      <c r="A75" s="23" t="s">
        <v>53</v>
      </c>
      <c r="B75" s="23" t="s">
        <v>171</v>
      </c>
      <c r="C75" s="23" t="s">
        <v>104</v>
      </c>
      <c r="D75" s="23" t="s">
        <v>33</v>
      </c>
      <c r="E75" s="23" t="s">
        <v>188</v>
      </c>
      <c r="F75" s="23">
        <v>19</v>
      </c>
      <c r="G75" s="23">
        <v>12</v>
      </c>
      <c r="H75" s="23">
        <v>1</v>
      </c>
      <c r="I75" s="23">
        <v>12519</v>
      </c>
      <c r="J75" s="23">
        <v>107</v>
      </c>
      <c r="K75" s="23">
        <v>531</v>
      </c>
      <c r="L75" s="23" t="s">
        <v>292</v>
      </c>
      <c r="M75" s="23">
        <f t="shared" si="1"/>
        <v>803</v>
      </c>
      <c r="N75" s="24" t="str">
        <f t="array" ref="N75">INDEX('MATCH INFO'!O:O, INT((ROW()-2)/10)+2 + 92)</f>
        <v>260626_SB_ROZE_S1</v>
      </c>
    </row>
    <row r="76" spans="1:14">
      <c r="A76" s="23" t="s">
        <v>53</v>
      </c>
      <c r="B76" s="23" t="s">
        <v>174</v>
      </c>
      <c r="C76" s="23" t="s">
        <v>109</v>
      </c>
      <c r="D76" s="23" t="s">
        <v>33</v>
      </c>
      <c r="E76" s="23" t="s">
        <v>188</v>
      </c>
      <c r="F76" s="23">
        <v>14</v>
      </c>
      <c r="G76" s="23">
        <v>8</v>
      </c>
      <c r="H76" s="23">
        <v>24</v>
      </c>
      <c r="I76" s="23">
        <v>5016</v>
      </c>
      <c r="J76" s="23">
        <v>18420</v>
      </c>
      <c r="K76" s="23">
        <v>0</v>
      </c>
      <c r="L76" s="23" t="s">
        <v>292</v>
      </c>
      <c r="M76" s="23">
        <f t="shared" si="1"/>
        <v>803</v>
      </c>
      <c r="N76" s="24" t="str">
        <f t="array" ref="N76">INDEX('MATCH INFO'!O:O, INT((ROW()-2)/10)+2 + 92)</f>
        <v>260626_SB_ROZE_S1</v>
      </c>
    </row>
    <row r="77" spans="1:14">
      <c r="A77" s="23" t="s">
        <v>21</v>
      </c>
      <c r="B77" s="23" t="s">
        <v>117</v>
      </c>
      <c r="C77" s="23" t="s">
        <v>104</v>
      </c>
      <c r="D77" s="23" t="s">
        <v>33</v>
      </c>
      <c r="E77" s="23" t="s">
        <v>188</v>
      </c>
      <c r="F77" s="23">
        <v>21</v>
      </c>
      <c r="G77" s="23">
        <v>10</v>
      </c>
      <c r="H77" s="23">
        <v>2</v>
      </c>
      <c r="I77" s="23">
        <v>11100</v>
      </c>
      <c r="J77" s="23">
        <v>780</v>
      </c>
      <c r="K77" s="23">
        <v>2084</v>
      </c>
      <c r="L77" s="23" t="s">
        <v>292</v>
      </c>
      <c r="M77" s="23">
        <f t="shared" si="1"/>
        <v>803</v>
      </c>
      <c r="N77" s="24" t="str">
        <f t="array" ref="N77">INDEX('MATCH INFO'!O:O, INT((ROW()-2)/10)+2 + 92)</f>
        <v>260626_SB_ROZE_S1</v>
      </c>
    </row>
    <row r="78" spans="1:14">
      <c r="A78" s="23" t="s">
        <v>21</v>
      </c>
      <c r="B78" s="23" t="s">
        <v>116</v>
      </c>
      <c r="C78" s="23" t="s">
        <v>101</v>
      </c>
      <c r="D78" s="23" t="s">
        <v>33</v>
      </c>
      <c r="E78" s="23" t="s">
        <v>188</v>
      </c>
      <c r="F78" s="23">
        <v>22</v>
      </c>
      <c r="G78" s="23">
        <v>8</v>
      </c>
      <c r="H78" s="23">
        <v>18</v>
      </c>
      <c r="I78" s="23">
        <v>14659</v>
      </c>
      <c r="J78" s="23">
        <v>2889</v>
      </c>
      <c r="K78" s="23">
        <v>6402</v>
      </c>
      <c r="L78" s="23" t="s">
        <v>292</v>
      </c>
      <c r="M78" s="23">
        <f t="shared" si="1"/>
        <v>803</v>
      </c>
      <c r="N78" s="24" t="str">
        <f t="array" ref="N78">INDEX('MATCH INFO'!O:O, INT((ROW()-2)/10)+2 + 92)</f>
        <v>260626_SB_ROZE_S1</v>
      </c>
    </row>
    <row r="79" spans="1:14">
      <c r="A79" s="23" t="s">
        <v>21</v>
      </c>
      <c r="B79" s="23" t="s">
        <v>122</v>
      </c>
      <c r="C79" s="23" t="s">
        <v>109</v>
      </c>
      <c r="D79" s="23" t="s">
        <v>33</v>
      </c>
      <c r="E79" s="23" t="s">
        <v>188</v>
      </c>
      <c r="F79" s="23">
        <v>21</v>
      </c>
      <c r="G79" s="23">
        <v>5</v>
      </c>
      <c r="H79" s="23">
        <v>23</v>
      </c>
      <c r="I79" s="23">
        <v>5055</v>
      </c>
      <c r="J79" s="23">
        <v>18247</v>
      </c>
      <c r="K79" s="23">
        <v>0</v>
      </c>
      <c r="L79" s="23" t="s">
        <v>292</v>
      </c>
      <c r="M79" s="23">
        <f t="shared" si="1"/>
        <v>803</v>
      </c>
      <c r="N79" s="24" t="str">
        <f t="array" ref="N79">INDEX('MATCH INFO'!O:O, INT((ROW()-2)/10)+2 + 92)</f>
        <v>260626_SB_ROZE_S1</v>
      </c>
    </row>
    <row r="80" spans="1:14">
      <c r="A80" s="23" t="s">
        <v>21</v>
      </c>
      <c r="B80" s="23" t="s">
        <v>120</v>
      </c>
      <c r="C80" s="23" t="s">
        <v>109</v>
      </c>
      <c r="D80" s="23" t="s">
        <v>33</v>
      </c>
      <c r="E80" s="23" t="s">
        <v>188</v>
      </c>
      <c r="F80" s="23">
        <v>25</v>
      </c>
      <c r="G80" s="23">
        <v>6</v>
      </c>
      <c r="H80" s="23">
        <v>23</v>
      </c>
      <c r="I80" s="23">
        <v>6977</v>
      </c>
      <c r="J80" s="23">
        <v>10704</v>
      </c>
      <c r="K80" s="23">
        <v>6236</v>
      </c>
      <c r="L80" s="23" t="s">
        <v>292</v>
      </c>
      <c r="M80" s="23">
        <f t="shared" si="1"/>
        <v>803</v>
      </c>
      <c r="N80" s="24" t="str">
        <f t="array" ref="N80">INDEX('MATCH INFO'!O:O, INT((ROW()-2)/10)+2 + 92)</f>
        <v>260626_SB_ROZE_S1</v>
      </c>
    </row>
    <row r="81" spans="1:14">
      <c r="A81" s="23" t="s">
        <v>21</v>
      </c>
      <c r="B81" s="23" t="s">
        <v>119</v>
      </c>
      <c r="C81" s="23" t="s">
        <v>104</v>
      </c>
      <c r="D81" s="23" t="s">
        <v>33</v>
      </c>
      <c r="E81" s="23" t="s">
        <v>188</v>
      </c>
      <c r="F81" s="23">
        <v>33</v>
      </c>
      <c r="G81" s="23">
        <v>8</v>
      </c>
      <c r="H81" s="23">
        <v>5</v>
      </c>
      <c r="I81" s="23">
        <v>18423</v>
      </c>
      <c r="J81" s="23">
        <v>100</v>
      </c>
      <c r="K81" s="23">
        <v>621</v>
      </c>
      <c r="L81" s="23" t="s">
        <v>292</v>
      </c>
      <c r="M81" s="23">
        <f t="shared" si="1"/>
        <v>803</v>
      </c>
      <c r="N81" s="24" t="str">
        <f t="array" ref="N81">INDEX('MATCH INFO'!O:O, INT((ROW()-2)/10)+2 + 92)</f>
        <v>260626_SB_ROZE_S1</v>
      </c>
    </row>
    <row r="82" spans="1:14">
      <c r="A82" s="23" t="s">
        <v>53</v>
      </c>
      <c r="B82" s="23" t="s">
        <v>170</v>
      </c>
      <c r="C82" s="23" t="s">
        <v>104</v>
      </c>
      <c r="D82" s="23" t="s">
        <v>61</v>
      </c>
      <c r="E82" s="23" t="s">
        <v>196</v>
      </c>
      <c r="F82" s="23">
        <v>28</v>
      </c>
      <c r="G82" s="23">
        <v>10</v>
      </c>
      <c r="H82" s="23">
        <v>3</v>
      </c>
      <c r="I82" s="23">
        <v>15281</v>
      </c>
      <c r="J82" s="23">
        <v>1568</v>
      </c>
      <c r="K82" s="23">
        <v>2561</v>
      </c>
      <c r="L82" s="23" t="s">
        <v>293</v>
      </c>
      <c r="M82" s="23">
        <f t="shared" si="1"/>
        <v>930</v>
      </c>
      <c r="N82" s="24" t="str">
        <f t="array" ref="N82">INDEX('MATCH INFO'!O:O, INT((ROW()-2)/10)+2 + 92)</f>
        <v>260626_SB_ROZE_S2</v>
      </c>
    </row>
    <row r="83" spans="1:14">
      <c r="A83" s="23" t="s">
        <v>53</v>
      </c>
      <c r="B83" s="23" t="s">
        <v>168</v>
      </c>
      <c r="C83" s="23" t="s">
        <v>101</v>
      </c>
      <c r="D83" s="23" t="s">
        <v>61</v>
      </c>
      <c r="E83" s="23" t="s">
        <v>196</v>
      </c>
      <c r="F83" s="23">
        <v>22</v>
      </c>
      <c r="G83" s="23">
        <v>9</v>
      </c>
      <c r="H83" s="23">
        <v>8</v>
      </c>
      <c r="I83" s="23">
        <v>25319</v>
      </c>
      <c r="J83" s="23">
        <v>1880</v>
      </c>
      <c r="K83" s="23">
        <v>19223</v>
      </c>
      <c r="L83" s="23" t="s">
        <v>293</v>
      </c>
      <c r="M83" s="23">
        <f t="shared" si="1"/>
        <v>930</v>
      </c>
      <c r="N83" s="24" t="str">
        <f t="array" ref="N83">INDEX('MATCH INFO'!O:O, INT((ROW()-2)/10)+2 + 92)</f>
        <v>260626_SB_ROZE_S2</v>
      </c>
    </row>
    <row r="84" spans="1:14">
      <c r="A84" s="23" t="s">
        <v>53</v>
      </c>
      <c r="B84" s="23" t="s">
        <v>172</v>
      </c>
      <c r="C84" s="23" t="s">
        <v>109</v>
      </c>
      <c r="D84" s="23" t="s">
        <v>61</v>
      </c>
      <c r="E84" s="23" t="s">
        <v>196</v>
      </c>
      <c r="F84" s="23">
        <v>15</v>
      </c>
      <c r="G84" s="23">
        <v>10</v>
      </c>
      <c r="H84" s="23">
        <v>19</v>
      </c>
      <c r="I84" s="23">
        <v>5625</v>
      </c>
      <c r="J84" s="23">
        <v>17060</v>
      </c>
      <c r="K84" s="23">
        <v>2004</v>
      </c>
      <c r="L84" s="23" t="s">
        <v>293</v>
      </c>
      <c r="M84" s="23">
        <f t="shared" si="1"/>
        <v>930</v>
      </c>
      <c r="N84" s="24" t="str">
        <f t="array" ref="N84">INDEX('MATCH INFO'!O:O, INT((ROW()-2)/10)+2 + 92)</f>
        <v>260626_SB_ROZE_S2</v>
      </c>
    </row>
    <row r="85" spans="1:14">
      <c r="A85" s="23" t="s">
        <v>53</v>
      </c>
      <c r="B85" s="23" t="s">
        <v>171</v>
      </c>
      <c r="C85" s="23" t="s">
        <v>104</v>
      </c>
      <c r="D85" s="23" t="s">
        <v>61</v>
      </c>
      <c r="E85" s="23" t="s">
        <v>196</v>
      </c>
      <c r="F85" s="23">
        <v>19</v>
      </c>
      <c r="G85" s="23">
        <v>13</v>
      </c>
      <c r="H85" s="23">
        <v>3</v>
      </c>
      <c r="I85" s="23">
        <v>18628</v>
      </c>
      <c r="J85" s="23">
        <v>169</v>
      </c>
      <c r="K85" s="23">
        <v>1110</v>
      </c>
      <c r="L85" s="23" t="s">
        <v>293</v>
      </c>
      <c r="M85" s="23">
        <f t="shared" si="1"/>
        <v>930</v>
      </c>
      <c r="N85" s="24" t="str">
        <f t="array" ref="N85">INDEX('MATCH INFO'!O:O, INT((ROW()-2)/10)+2 + 92)</f>
        <v>260626_SB_ROZE_S2</v>
      </c>
    </row>
    <row r="86" spans="1:14">
      <c r="A86" s="23" t="s">
        <v>53</v>
      </c>
      <c r="B86" s="23" t="s">
        <v>174</v>
      </c>
      <c r="C86" s="23" t="s">
        <v>109</v>
      </c>
      <c r="D86" s="23" t="s">
        <v>61</v>
      </c>
      <c r="E86" s="23" t="s">
        <v>196</v>
      </c>
      <c r="F86" s="23">
        <v>18</v>
      </c>
      <c r="G86" s="23">
        <v>10</v>
      </c>
      <c r="H86" s="23">
        <v>23</v>
      </c>
      <c r="I86" s="23">
        <v>6384</v>
      </c>
      <c r="J86" s="23">
        <v>21753</v>
      </c>
      <c r="K86" s="23">
        <v>0</v>
      </c>
      <c r="L86" s="23" t="s">
        <v>293</v>
      </c>
      <c r="M86" s="23">
        <f t="shared" si="1"/>
        <v>930</v>
      </c>
      <c r="N86" s="24" t="str">
        <f t="array" ref="N86">INDEX('MATCH INFO'!O:O, INT((ROW()-2)/10)+2 + 92)</f>
        <v>260626_SB_ROZE_S2</v>
      </c>
    </row>
    <row r="87" spans="1:14">
      <c r="A87" s="23" t="s">
        <v>21</v>
      </c>
      <c r="B87" s="23" t="s">
        <v>117</v>
      </c>
      <c r="C87" s="23" t="s">
        <v>104</v>
      </c>
      <c r="D87" s="23" t="s">
        <v>61</v>
      </c>
      <c r="E87" s="23" t="s">
        <v>196</v>
      </c>
      <c r="F87" s="23">
        <v>36</v>
      </c>
      <c r="G87" s="23">
        <v>7</v>
      </c>
      <c r="H87" s="23">
        <v>16</v>
      </c>
      <c r="I87" s="23">
        <v>17027</v>
      </c>
      <c r="J87" s="23">
        <v>2192</v>
      </c>
      <c r="K87" s="23">
        <v>7990</v>
      </c>
      <c r="L87" s="23" t="s">
        <v>293</v>
      </c>
      <c r="M87" s="23">
        <f t="shared" si="1"/>
        <v>930</v>
      </c>
      <c r="N87" s="24" t="str">
        <f t="array" ref="N87">INDEX('MATCH INFO'!O:O, INT((ROW()-2)/10)+2 + 92)</f>
        <v>260626_SB_ROZE_S2</v>
      </c>
    </row>
    <row r="88" spans="1:14">
      <c r="A88" s="23" t="s">
        <v>21</v>
      </c>
      <c r="B88" s="23" t="s">
        <v>116</v>
      </c>
      <c r="C88" s="23" t="s">
        <v>101</v>
      </c>
      <c r="D88" s="23" t="s">
        <v>61</v>
      </c>
      <c r="E88" s="23" t="s">
        <v>196</v>
      </c>
      <c r="F88" s="23">
        <v>32</v>
      </c>
      <c r="G88" s="23">
        <v>7</v>
      </c>
      <c r="H88" s="23">
        <v>23</v>
      </c>
      <c r="I88" s="23">
        <v>21589</v>
      </c>
      <c r="J88" s="23">
        <v>4692</v>
      </c>
      <c r="K88" s="23">
        <v>10602</v>
      </c>
      <c r="L88" s="23" t="s">
        <v>293</v>
      </c>
      <c r="M88" s="23">
        <f t="shared" si="1"/>
        <v>930</v>
      </c>
      <c r="N88" s="24" t="str">
        <f t="array" ref="N88">INDEX('MATCH INFO'!O:O, INT((ROW()-2)/10)+2 + 92)</f>
        <v>260626_SB_ROZE_S2</v>
      </c>
    </row>
    <row r="89" spans="1:14">
      <c r="A89" s="23" t="s">
        <v>21</v>
      </c>
      <c r="B89" s="23" t="s">
        <v>122</v>
      </c>
      <c r="C89" s="23" t="s">
        <v>109</v>
      </c>
      <c r="D89" s="23" t="s">
        <v>61</v>
      </c>
      <c r="E89" s="23" t="s">
        <v>196</v>
      </c>
      <c r="F89" s="23">
        <v>30</v>
      </c>
      <c r="G89" s="23">
        <v>7</v>
      </c>
      <c r="H89" s="23">
        <v>31</v>
      </c>
      <c r="I89" s="23">
        <v>7156</v>
      </c>
      <c r="J89" s="23">
        <v>24514</v>
      </c>
      <c r="K89" s="23">
        <v>0</v>
      </c>
      <c r="L89" s="23" t="s">
        <v>293</v>
      </c>
      <c r="M89" s="23">
        <f t="shared" si="1"/>
        <v>930</v>
      </c>
      <c r="N89" s="24" t="str">
        <f t="array" ref="N89">INDEX('MATCH INFO'!O:O, INT((ROW()-2)/10)+2 + 92)</f>
        <v>260626_SB_ROZE_S2</v>
      </c>
    </row>
    <row r="90" spans="1:14">
      <c r="A90" s="23" t="s">
        <v>21</v>
      </c>
      <c r="B90" s="23" t="s">
        <v>120</v>
      </c>
      <c r="C90" s="23" t="s">
        <v>109</v>
      </c>
      <c r="D90" s="23" t="s">
        <v>61</v>
      </c>
      <c r="E90" s="23" t="s">
        <v>196</v>
      </c>
      <c r="F90" s="23">
        <v>24</v>
      </c>
      <c r="G90" s="23">
        <v>6</v>
      </c>
      <c r="H90" s="23">
        <v>37</v>
      </c>
      <c r="I90" s="23">
        <v>6196</v>
      </c>
      <c r="J90" s="23">
        <v>13371</v>
      </c>
      <c r="K90" s="23">
        <v>7057</v>
      </c>
      <c r="L90" s="23" t="s">
        <v>293</v>
      </c>
      <c r="M90" s="23">
        <f t="shared" si="1"/>
        <v>930</v>
      </c>
      <c r="N90" s="24" t="str">
        <f t="array" ref="N90">INDEX('MATCH INFO'!O:O, INT((ROW()-2)/10)+2 + 92)</f>
        <v>260626_SB_ROZE_S2</v>
      </c>
    </row>
    <row r="91" spans="1:14">
      <c r="A91" s="23" t="s">
        <v>21</v>
      </c>
      <c r="B91" s="23" t="s">
        <v>119</v>
      </c>
      <c r="C91" s="23" t="s">
        <v>104</v>
      </c>
      <c r="D91" s="23" t="s">
        <v>61</v>
      </c>
      <c r="E91" s="23" t="s">
        <v>196</v>
      </c>
      <c r="F91" s="23">
        <v>35</v>
      </c>
      <c r="G91" s="23">
        <v>6</v>
      </c>
      <c r="H91" s="23">
        <v>2</v>
      </c>
      <c r="I91" s="23">
        <v>16937</v>
      </c>
      <c r="J91" s="23">
        <v>0</v>
      </c>
      <c r="K91" s="23">
        <v>336</v>
      </c>
      <c r="L91" s="23" t="s">
        <v>293</v>
      </c>
      <c r="M91" s="23">
        <f t="shared" si="1"/>
        <v>930</v>
      </c>
      <c r="N91" s="24" t="str">
        <f t="array" ref="N91">INDEX('MATCH INFO'!O:O, INT((ROW()-2)/10)+2 + 92)</f>
        <v>260626_SB_ROZE_S2</v>
      </c>
    </row>
    <row r="92" spans="1:14">
      <c r="A92" s="23" t="s">
        <v>53</v>
      </c>
      <c r="B92" s="23" t="s">
        <v>170</v>
      </c>
      <c r="C92" s="23" t="s">
        <v>104</v>
      </c>
      <c r="D92" s="23" t="s">
        <v>69</v>
      </c>
      <c r="E92" s="23" t="s">
        <v>201</v>
      </c>
      <c r="F92" s="23">
        <v>23</v>
      </c>
      <c r="G92" s="23">
        <v>4</v>
      </c>
      <c r="H92" s="23">
        <v>12</v>
      </c>
      <c r="I92" s="23">
        <v>8865</v>
      </c>
      <c r="J92" s="23">
        <v>1645</v>
      </c>
      <c r="K92" s="23">
        <v>5981</v>
      </c>
      <c r="L92" s="23" t="s">
        <v>294</v>
      </c>
      <c r="M92" s="23">
        <f t="shared" si="1"/>
        <v>625</v>
      </c>
      <c r="N92" s="24" t="str">
        <f t="array" ref="N92">INDEX('MATCH INFO'!O:O, INT((ROW()-2)/10)+2 + 92)</f>
        <v>260626_SB_ROZE_S3</v>
      </c>
    </row>
    <row r="93" spans="1:14">
      <c r="A93" s="23" t="s">
        <v>53</v>
      </c>
      <c r="B93" s="23" t="s">
        <v>169</v>
      </c>
      <c r="C93" s="23" t="s">
        <v>101</v>
      </c>
      <c r="D93" s="23" t="s">
        <v>69</v>
      </c>
      <c r="E93" s="23" t="s">
        <v>201</v>
      </c>
      <c r="F93" s="23">
        <v>22</v>
      </c>
      <c r="G93" s="23">
        <v>4</v>
      </c>
      <c r="H93" s="23">
        <v>5</v>
      </c>
      <c r="I93" s="23">
        <v>13753</v>
      </c>
      <c r="J93" s="23">
        <v>0</v>
      </c>
      <c r="K93" s="23">
        <v>20164</v>
      </c>
      <c r="L93" s="23" t="s">
        <v>294</v>
      </c>
      <c r="M93" s="23">
        <f t="shared" si="1"/>
        <v>625</v>
      </c>
      <c r="N93" s="24" t="str">
        <f t="array" ref="N93">INDEX('MATCH INFO'!O:O, INT((ROW()-2)/10)+2 + 92)</f>
        <v>260626_SB_ROZE_S3</v>
      </c>
    </row>
    <row r="94" spans="1:14">
      <c r="A94" s="23" t="s">
        <v>53</v>
      </c>
      <c r="B94" s="23" t="s">
        <v>172</v>
      </c>
      <c r="C94" s="23" t="s">
        <v>109</v>
      </c>
      <c r="D94" s="23" t="s">
        <v>69</v>
      </c>
      <c r="E94" s="23" t="s">
        <v>201</v>
      </c>
      <c r="F94" s="23">
        <v>23</v>
      </c>
      <c r="G94" s="23">
        <v>3</v>
      </c>
      <c r="H94" s="23">
        <v>20</v>
      </c>
      <c r="I94" s="23">
        <v>6439</v>
      </c>
      <c r="J94" s="23">
        <v>12603</v>
      </c>
      <c r="K94" s="23">
        <v>1768</v>
      </c>
      <c r="L94" s="23" t="s">
        <v>294</v>
      </c>
      <c r="M94" s="23">
        <f t="shared" si="1"/>
        <v>625</v>
      </c>
      <c r="N94" s="24" t="str">
        <f t="array" ref="N94">INDEX('MATCH INFO'!O:O, INT((ROW()-2)/10)+2 + 92)</f>
        <v>260626_SB_ROZE_S3</v>
      </c>
    </row>
    <row r="95" spans="1:14">
      <c r="A95" s="23" t="s">
        <v>53</v>
      </c>
      <c r="B95" s="23" t="s">
        <v>171</v>
      </c>
      <c r="C95" s="23" t="s">
        <v>104</v>
      </c>
      <c r="D95" s="23" t="s">
        <v>69</v>
      </c>
      <c r="E95" s="23" t="s">
        <v>201</v>
      </c>
      <c r="F95" s="23">
        <v>20</v>
      </c>
      <c r="G95" s="23">
        <v>3</v>
      </c>
      <c r="H95" s="23">
        <v>0</v>
      </c>
      <c r="I95" s="23">
        <v>8579</v>
      </c>
      <c r="J95" s="23">
        <v>0</v>
      </c>
      <c r="K95" s="23">
        <v>0</v>
      </c>
      <c r="L95" s="23" t="s">
        <v>294</v>
      </c>
      <c r="M95" s="23">
        <f t="shared" si="1"/>
        <v>625</v>
      </c>
      <c r="N95" s="24" t="str">
        <f t="array" ref="N95">INDEX('MATCH INFO'!O:O, INT((ROW()-2)/10)+2 + 92)</f>
        <v>260626_SB_ROZE_S3</v>
      </c>
    </row>
    <row r="96" spans="1:14">
      <c r="A96" s="23" t="s">
        <v>53</v>
      </c>
      <c r="B96" s="23" t="s">
        <v>174</v>
      </c>
      <c r="C96" s="23" t="s">
        <v>109</v>
      </c>
      <c r="D96" s="23" t="s">
        <v>69</v>
      </c>
      <c r="E96" s="23" t="s">
        <v>201</v>
      </c>
      <c r="F96" s="23">
        <v>15</v>
      </c>
      <c r="G96" s="23">
        <v>3</v>
      </c>
      <c r="H96" s="23">
        <v>23</v>
      </c>
      <c r="I96" s="23">
        <v>2611</v>
      </c>
      <c r="J96" s="23">
        <v>16423</v>
      </c>
      <c r="K96" s="23">
        <v>0</v>
      </c>
      <c r="L96" s="23" t="s">
        <v>294</v>
      </c>
      <c r="M96" s="23">
        <f t="shared" si="1"/>
        <v>625</v>
      </c>
      <c r="N96" s="24" t="str">
        <f t="array" ref="N96">INDEX('MATCH INFO'!O:O, INT((ROW()-2)/10)+2 + 92)</f>
        <v>260626_SB_ROZE_S3</v>
      </c>
    </row>
    <row r="97" spans="1:14">
      <c r="A97" s="23" t="s">
        <v>21</v>
      </c>
      <c r="B97" s="23" t="s">
        <v>117</v>
      </c>
      <c r="C97" s="23" t="s">
        <v>104</v>
      </c>
      <c r="D97" s="23" t="s">
        <v>69</v>
      </c>
      <c r="E97" s="23" t="s">
        <v>201</v>
      </c>
      <c r="F97" s="23">
        <v>12</v>
      </c>
      <c r="G97" s="23">
        <v>10</v>
      </c>
      <c r="H97" s="23">
        <v>1</v>
      </c>
      <c r="I97" s="23">
        <v>8906</v>
      </c>
      <c r="J97" s="23">
        <v>848</v>
      </c>
      <c r="K97" s="23">
        <v>5744</v>
      </c>
      <c r="L97" s="23" t="s">
        <v>294</v>
      </c>
      <c r="M97" s="23">
        <f t="shared" si="1"/>
        <v>625</v>
      </c>
      <c r="N97" s="24" t="str">
        <f t="array" ref="N97">INDEX('MATCH INFO'!O:O, INT((ROW()-2)/10)+2 + 92)</f>
        <v>260626_SB_ROZE_S3</v>
      </c>
    </row>
    <row r="98" spans="1:14">
      <c r="A98" s="23" t="s">
        <v>21</v>
      </c>
      <c r="B98" s="23" t="s">
        <v>116</v>
      </c>
      <c r="C98" s="23" t="s">
        <v>101</v>
      </c>
      <c r="D98" s="23" t="s">
        <v>69</v>
      </c>
      <c r="E98" s="23" t="s">
        <v>201</v>
      </c>
      <c r="F98" s="23">
        <v>10</v>
      </c>
      <c r="G98" s="23">
        <v>7</v>
      </c>
      <c r="H98" s="23">
        <v>9</v>
      </c>
      <c r="I98" s="23">
        <v>11414</v>
      </c>
      <c r="J98" s="23">
        <v>0</v>
      </c>
      <c r="K98" s="23">
        <v>14329</v>
      </c>
      <c r="L98" s="23" t="s">
        <v>294</v>
      </c>
      <c r="M98" s="23">
        <f t="shared" si="1"/>
        <v>625</v>
      </c>
      <c r="N98" s="24" t="str">
        <f t="array" ref="N98">INDEX('MATCH INFO'!O:O, INT((ROW()-2)/10)+2 + 92)</f>
        <v>260626_SB_ROZE_S3</v>
      </c>
    </row>
    <row r="99" spans="1:14">
      <c r="A99" s="23" t="s">
        <v>21</v>
      </c>
      <c r="B99" s="23" t="s">
        <v>122</v>
      </c>
      <c r="C99" s="23" t="s">
        <v>109</v>
      </c>
      <c r="D99" s="23" t="s">
        <v>69</v>
      </c>
      <c r="E99" s="23" t="s">
        <v>201</v>
      </c>
      <c r="F99" s="23">
        <v>4</v>
      </c>
      <c r="G99" s="23">
        <v>7</v>
      </c>
      <c r="H99" s="23">
        <v>13</v>
      </c>
      <c r="I99" s="23">
        <v>4640</v>
      </c>
      <c r="J99" s="23">
        <v>15480</v>
      </c>
      <c r="K99" s="23">
        <v>0</v>
      </c>
      <c r="L99" s="23" t="s">
        <v>294</v>
      </c>
      <c r="M99" s="23">
        <f t="shared" si="1"/>
        <v>625</v>
      </c>
      <c r="N99" s="24" t="str">
        <f t="array" ref="N99">INDEX('MATCH INFO'!O:O, INT((ROW()-2)/10)+2 + 92)</f>
        <v>260626_SB_ROZE_S3</v>
      </c>
    </row>
    <row r="100" spans="1:14">
      <c r="A100" s="23" t="s">
        <v>21</v>
      </c>
      <c r="B100" s="23" t="s">
        <v>120</v>
      </c>
      <c r="C100" s="23" t="s">
        <v>109</v>
      </c>
      <c r="D100" s="23" t="s">
        <v>69</v>
      </c>
      <c r="E100" s="23" t="s">
        <v>201</v>
      </c>
      <c r="F100" s="23">
        <v>11</v>
      </c>
      <c r="G100" s="23">
        <v>6</v>
      </c>
      <c r="H100" s="23">
        <v>11</v>
      </c>
      <c r="I100" s="23">
        <v>4812</v>
      </c>
      <c r="J100" s="23">
        <v>9516</v>
      </c>
      <c r="K100" s="23">
        <v>1110</v>
      </c>
      <c r="L100" s="23" t="s">
        <v>294</v>
      </c>
      <c r="M100" s="23">
        <f t="shared" si="1"/>
        <v>625</v>
      </c>
      <c r="N100" s="24" t="str">
        <f t="array" ref="N100">INDEX('MATCH INFO'!O:O, INT((ROW()-2)/10)+2 + 92)</f>
        <v>260626_SB_ROZE_S3</v>
      </c>
    </row>
    <row r="101" spans="1:14">
      <c r="A101" s="23" t="s">
        <v>21</v>
      </c>
      <c r="B101" s="23" t="s">
        <v>119</v>
      </c>
      <c r="C101" s="23" t="s">
        <v>104</v>
      </c>
      <c r="D101" s="23" t="s">
        <v>69</v>
      </c>
      <c r="E101" s="23" t="s">
        <v>201</v>
      </c>
      <c r="F101" s="23">
        <v>11</v>
      </c>
      <c r="G101" s="23">
        <v>4</v>
      </c>
      <c r="H101" s="23">
        <v>0</v>
      </c>
      <c r="I101" s="23">
        <v>10231</v>
      </c>
      <c r="J101" s="23">
        <v>0</v>
      </c>
      <c r="K101" s="23">
        <v>0</v>
      </c>
      <c r="L101" s="23" t="s">
        <v>294</v>
      </c>
      <c r="M101" s="23">
        <f t="shared" si="1"/>
        <v>625</v>
      </c>
      <c r="N101" s="24" t="str">
        <f t="array" ref="N101">INDEX('MATCH INFO'!O:O, INT((ROW()-2)/10)+2 + 92)</f>
        <v>260626_SB_ROZE_S3</v>
      </c>
    </row>
    <row r="102" spans="1:14">
      <c r="A102" s="23" t="s">
        <v>21</v>
      </c>
      <c r="B102" s="23" t="s">
        <v>117</v>
      </c>
      <c r="C102" s="23" t="s">
        <v>104</v>
      </c>
      <c r="D102" s="23" t="s">
        <v>28</v>
      </c>
      <c r="E102" s="23" t="s">
        <v>192</v>
      </c>
      <c r="F102" s="23">
        <v>18</v>
      </c>
      <c r="G102" s="23">
        <v>5</v>
      </c>
      <c r="H102" s="23">
        <v>4</v>
      </c>
      <c r="I102" s="23">
        <v>8584</v>
      </c>
      <c r="J102" s="23">
        <v>531</v>
      </c>
      <c r="K102" s="23">
        <v>990</v>
      </c>
      <c r="L102" s="23" t="s">
        <v>295</v>
      </c>
      <c r="M102" s="23">
        <f t="shared" si="1"/>
        <v>609</v>
      </c>
      <c r="N102" s="24" t="str">
        <f t="array" ref="N102">INDEX('MATCH INFO'!O:O, INT((ROW()-2)/10)+2 + 92)</f>
        <v>260626_SB_ROZE_S4</v>
      </c>
    </row>
    <row r="103" spans="1:14">
      <c r="A103" s="23" t="s">
        <v>21</v>
      </c>
      <c r="B103" s="23" t="s">
        <v>116</v>
      </c>
      <c r="C103" s="23" t="s">
        <v>101</v>
      </c>
      <c r="D103" s="23" t="s">
        <v>28</v>
      </c>
      <c r="E103" s="23" t="s">
        <v>192</v>
      </c>
      <c r="F103" s="23">
        <v>23</v>
      </c>
      <c r="G103" s="23">
        <v>5</v>
      </c>
      <c r="H103" s="23">
        <v>15</v>
      </c>
      <c r="I103" s="23">
        <v>12470</v>
      </c>
      <c r="J103" s="23">
        <v>2213</v>
      </c>
      <c r="K103" s="23">
        <v>6264</v>
      </c>
      <c r="L103" s="23" t="s">
        <v>295</v>
      </c>
      <c r="M103" s="23">
        <f t="shared" si="1"/>
        <v>609</v>
      </c>
      <c r="N103" s="24" t="str">
        <f t="array" ref="N103">INDEX('MATCH INFO'!O:O, INT((ROW()-2)/10)+2 + 92)</f>
        <v>260626_SB_ROZE_S4</v>
      </c>
    </row>
    <row r="104" spans="1:14">
      <c r="A104" s="23" t="s">
        <v>21</v>
      </c>
      <c r="B104" s="23" t="s">
        <v>122</v>
      </c>
      <c r="C104" s="23" t="s">
        <v>109</v>
      </c>
      <c r="D104" s="23" t="s">
        <v>28</v>
      </c>
      <c r="E104" s="23" t="s">
        <v>192</v>
      </c>
      <c r="F104" s="23">
        <v>15</v>
      </c>
      <c r="G104" s="23">
        <v>5</v>
      </c>
      <c r="H104" s="23">
        <v>22</v>
      </c>
      <c r="I104" s="23">
        <v>4618</v>
      </c>
      <c r="J104" s="23">
        <v>16196</v>
      </c>
      <c r="K104" s="23">
        <v>0</v>
      </c>
      <c r="L104" s="23" t="s">
        <v>295</v>
      </c>
      <c r="M104" s="23">
        <f t="shared" si="1"/>
        <v>609</v>
      </c>
      <c r="N104" s="24" t="str">
        <f t="array" ref="N104">INDEX('MATCH INFO'!O:O, INT((ROW()-2)/10)+2 + 92)</f>
        <v>260626_SB_ROZE_S4</v>
      </c>
    </row>
    <row r="105" spans="1:14">
      <c r="A105" s="23" t="s">
        <v>21</v>
      </c>
      <c r="B105" s="23" t="s">
        <v>120</v>
      </c>
      <c r="C105" s="23" t="s">
        <v>109</v>
      </c>
      <c r="D105" s="23" t="s">
        <v>28</v>
      </c>
      <c r="E105" s="23" t="s">
        <v>192</v>
      </c>
      <c r="F105" s="23">
        <v>11</v>
      </c>
      <c r="G105" s="23">
        <v>8</v>
      </c>
      <c r="H105" s="23">
        <v>16</v>
      </c>
      <c r="I105" s="23">
        <v>4246</v>
      </c>
      <c r="J105" s="23">
        <v>6231</v>
      </c>
      <c r="K105" s="23">
        <v>1703</v>
      </c>
      <c r="L105" s="23" t="s">
        <v>295</v>
      </c>
      <c r="M105" s="23">
        <f t="shared" si="1"/>
        <v>609</v>
      </c>
      <c r="N105" s="24" t="str">
        <f t="array" ref="N105">INDEX('MATCH INFO'!O:O, INT((ROW()-2)/10)+2 + 92)</f>
        <v>260626_SB_ROZE_S4</v>
      </c>
    </row>
    <row r="106" spans="1:14">
      <c r="A106" s="23" t="s">
        <v>21</v>
      </c>
      <c r="B106" s="23" t="s">
        <v>119</v>
      </c>
      <c r="C106" s="23" t="s">
        <v>104</v>
      </c>
      <c r="D106" s="23" t="s">
        <v>28</v>
      </c>
      <c r="E106" s="23" t="s">
        <v>192</v>
      </c>
      <c r="F106" s="23">
        <v>15</v>
      </c>
      <c r="G106" s="23">
        <v>4</v>
      </c>
      <c r="H106" s="23">
        <v>1</v>
      </c>
      <c r="I106" s="23">
        <v>10987</v>
      </c>
      <c r="J106" s="23">
        <v>2</v>
      </c>
      <c r="K106" s="23">
        <v>59</v>
      </c>
      <c r="L106" s="23" t="s">
        <v>295</v>
      </c>
      <c r="M106" s="23">
        <f t="shared" si="1"/>
        <v>609</v>
      </c>
      <c r="N106" s="24" t="str">
        <f t="array" ref="N106">INDEX('MATCH INFO'!O:O, INT((ROW()-2)/10)+2 + 92)</f>
        <v>260626_SB_ROZE_S4</v>
      </c>
    </row>
    <row r="107" spans="1:14">
      <c r="A107" s="23" t="s">
        <v>53</v>
      </c>
      <c r="B107" s="23" t="s">
        <v>170</v>
      </c>
      <c r="C107" s="23" t="s">
        <v>104</v>
      </c>
      <c r="D107" s="23" t="s">
        <v>28</v>
      </c>
      <c r="E107" s="23" t="s">
        <v>192</v>
      </c>
      <c r="F107" s="23">
        <v>21</v>
      </c>
      <c r="G107" s="23">
        <v>7</v>
      </c>
      <c r="H107" s="23">
        <v>5</v>
      </c>
      <c r="I107" s="23">
        <v>7433</v>
      </c>
      <c r="J107" s="23">
        <v>703</v>
      </c>
      <c r="K107" s="23">
        <v>458</v>
      </c>
      <c r="L107" s="23" t="s">
        <v>295</v>
      </c>
      <c r="M107" s="23">
        <f t="shared" si="1"/>
        <v>609</v>
      </c>
      <c r="N107" s="24" t="str">
        <f t="array" ref="N107">INDEX('MATCH INFO'!O:O, INT((ROW()-2)/10)+2 + 92)</f>
        <v>260626_SB_ROZE_S4</v>
      </c>
    </row>
    <row r="108" spans="1:14">
      <c r="A108" s="23" t="s">
        <v>53</v>
      </c>
      <c r="B108" s="23" t="s">
        <v>168</v>
      </c>
      <c r="C108" s="23" t="s">
        <v>101</v>
      </c>
      <c r="D108" s="23" t="s">
        <v>28</v>
      </c>
      <c r="E108" s="23" t="s">
        <v>192</v>
      </c>
      <c r="F108" s="23">
        <v>22</v>
      </c>
      <c r="G108" s="23">
        <v>4</v>
      </c>
      <c r="H108" s="23">
        <v>2</v>
      </c>
      <c r="I108" s="23">
        <v>13296</v>
      </c>
      <c r="J108" s="23">
        <v>275</v>
      </c>
      <c r="K108" s="23">
        <v>18981</v>
      </c>
      <c r="L108" s="23" t="s">
        <v>295</v>
      </c>
      <c r="M108" s="23">
        <f t="shared" si="1"/>
        <v>609</v>
      </c>
      <c r="N108" s="24" t="str">
        <f t="array" ref="N108">INDEX('MATCH INFO'!O:O, INT((ROW()-2)/10)+2 + 92)</f>
        <v>260626_SB_ROZE_S4</v>
      </c>
    </row>
    <row r="109" spans="1:14">
      <c r="A109" s="23" t="s">
        <v>53</v>
      </c>
      <c r="B109" s="23" t="s">
        <v>172</v>
      </c>
      <c r="C109" s="23" t="s">
        <v>109</v>
      </c>
      <c r="D109" s="23" t="s">
        <v>28</v>
      </c>
      <c r="E109" s="23" t="s">
        <v>192</v>
      </c>
      <c r="F109" s="23">
        <v>9</v>
      </c>
      <c r="G109" s="23">
        <v>6</v>
      </c>
      <c r="H109" s="23">
        <v>19</v>
      </c>
      <c r="I109" s="23">
        <v>6780</v>
      </c>
      <c r="J109" s="23">
        <v>12159</v>
      </c>
      <c r="K109" s="23">
        <v>2944</v>
      </c>
      <c r="L109" s="23" t="s">
        <v>295</v>
      </c>
      <c r="M109" s="23">
        <f t="shared" si="1"/>
        <v>609</v>
      </c>
      <c r="N109" s="24" t="str">
        <f t="array" ref="N109">INDEX('MATCH INFO'!O:O, INT((ROW()-2)/10)+2 + 92)</f>
        <v>260626_SB_ROZE_S4</v>
      </c>
    </row>
    <row r="110" spans="1:14">
      <c r="A110" s="23" t="s">
        <v>53</v>
      </c>
      <c r="B110" s="23" t="s">
        <v>171</v>
      </c>
      <c r="C110" s="23" t="s">
        <v>104</v>
      </c>
      <c r="D110" s="23" t="s">
        <v>28</v>
      </c>
      <c r="E110" s="23" t="s">
        <v>192</v>
      </c>
      <c r="F110" s="23">
        <v>18</v>
      </c>
      <c r="G110" s="23">
        <v>8</v>
      </c>
      <c r="H110" s="23">
        <v>1</v>
      </c>
      <c r="I110" s="23">
        <v>10205</v>
      </c>
      <c r="J110" s="23">
        <v>137</v>
      </c>
      <c r="K110" s="23">
        <v>136</v>
      </c>
      <c r="L110" s="23" t="s">
        <v>295</v>
      </c>
      <c r="M110" s="23">
        <f t="shared" si="1"/>
        <v>609</v>
      </c>
      <c r="N110" s="24" t="str">
        <f t="array" ref="N110">INDEX('MATCH INFO'!O:O, INT((ROW()-2)/10)+2 + 92)</f>
        <v>260626_SB_ROZE_S4</v>
      </c>
    </row>
    <row r="111" spans="1:14">
      <c r="A111" s="23" t="s">
        <v>53</v>
      </c>
      <c r="B111" s="23" t="s">
        <v>174</v>
      </c>
      <c r="C111" s="23" t="s">
        <v>109</v>
      </c>
      <c r="D111" s="23" t="s">
        <v>28</v>
      </c>
      <c r="E111" s="23" t="s">
        <v>192</v>
      </c>
      <c r="F111" s="23">
        <v>10</v>
      </c>
      <c r="G111" s="23">
        <v>6</v>
      </c>
      <c r="H111" s="23">
        <v>20</v>
      </c>
      <c r="I111" s="23">
        <v>2895</v>
      </c>
      <c r="J111" s="23">
        <v>14229</v>
      </c>
      <c r="K111" s="23">
        <v>0</v>
      </c>
      <c r="L111" s="23" t="s">
        <v>295</v>
      </c>
      <c r="M111" s="23">
        <f t="shared" si="1"/>
        <v>609</v>
      </c>
      <c r="N111" s="24" t="str">
        <f t="array" ref="N111">INDEX('MATCH INFO'!O:O, INT((ROW()-2)/10)+2 + 92)</f>
        <v>260626_SB_ROZE_S4</v>
      </c>
    </row>
    <row r="112" spans="1:14">
      <c r="A112" s="23" t="s">
        <v>50</v>
      </c>
      <c r="B112" s="23" t="s">
        <v>136</v>
      </c>
      <c r="C112" s="23" t="s">
        <v>109</v>
      </c>
      <c r="D112" s="23" t="s">
        <v>54</v>
      </c>
      <c r="E112" s="23" t="s">
        <v>188</v>
      </c>
      <c r="F112" s="23">
        <v>2</v>
      </c>
      <c r="G112" s="23">
        <v>7</v>
      </c>
      <c r="H112" s="23">
        <v>7</v>
      </c>
      <c r="I112" s="23">
        <v>3088</v>
      </c>
      <c r="J112" s="23">
        <v>6758</v>
      </c>
      <c r="K112" s="23">
        <v>0</v>
      </c>
      <c r="L112" s="23" t="s">
        <v>195</v>
      </c>
      <c r="M112" s="23">
        <f t="shared" si="1"/>
        <v>450</v>
      </c>
      <c r="N112" s="24" t="str">
        <f t="array" ref="N112">INDEX('MATCH INFO'!O:O, INT((ROW()-2)/10)+2 + 92)</f>
        <v>260627_PF_T1_S1</v>
      </c>
    </row>
    <row r="113" spans="1:14">
      <c r="A113" s="23" t="s">
        <v>50</v>
      </c>
      <c r="B113" s="23" t="s">
        <v>133</v>
      </c>
      <c r="C113" s="23" t="s">
        <v>104</v>
      </c>
      <c r="D113" s="23" t="s">
        <v>54</v>
      </c>
      <c r="E113" s="23" t="s">
        <v>188</v>
      </c>
      <c r="F113" s="23">
        <v>4</v>
      </c>
      <c r="G113" s="23">
        <v>8</v>
      </c>
      <c r="H113" s="23">
        <v>0</v>
      </c>
      <c r="I113" s="23">
        <v>3715</v>
      </c>
      <c r="J113" s="23">
        <v>349</v>
      </c>
      <c r="K113" s="23">
        <v>231</v>
      </c>
      <c r="L113" s="23" t="s">
        <v>195</v>
      </c>
      <c r="M113" s="23">
        <f t="shared" si="1"/>
        <v>450</v>
      </c>
      <c r="N113" s="24" t="str">
        <f t="array" ref="N113">INDEX('MATCH INFO'!O:O, INT((ROW()-2)/10)+2 + 92)</f>
        <v>260627_PF_T1_S1</v>
      </c>
    </row>
    <row r="114" spans="1:14">
      <c r="A114" s="23" t="s">
        <v>50</v>
      </c>
      <c r="B114" s="23" t="s">
        <v>131</v>
      </c>
      <c r="C114" s="23" t="s">
        <v>101</v>
      </c>
      <c r="D114" s="23" t="s">
        <v>54</v>
      </c>
      <c r="E114" s="23" t="s">
        <v>188</v>
      </c>
      <c r="F114" s="23">
        <v>4</v>
      </c>
      <c r="G114" s="23">
        <v>8</v>
      </c>
      <c r="H114" s="23">
        <v>3</v>
      </c>
      <c r="I114" s="23">
        <v>5801</v>
      </c>
      <c r="J114" s="23">
        <v>1099</v>
      </c>
      <c r="K114" s="23">
        <v>2200</v>
      </c>
      <c r="L114" s="23" t="s">
        <v>195</v>
      </c>
      <c r="M114" s="23">
        <f t="shared" si="1"/>
        <v>450</v>
      </c>
      <c r="N114" s="24" t="str">
        <f t="array" ref="N114">INDEX('MATCH INFO'!O:O, INT((ROW()-2)/10)+2 + 92)</f>
        <v>260627_PF_T1_S1</v>
      </c>
    </row>
    <row r="115" spans="1:14">
      <c r="A115" s="23" t="s">
        <v>50</v>
      </c>
      <c r="B115" s="23" t="s">
        <v>134</v>
      </c>
      <c r="C115" s="23" t="s">
        <v>104</v>
      </c>
      <c r="D115" s="23" t="s">
        <v>54</v>
      </c>
      <c r="E115" s="23" t="s">
        <v>188</v>
      </c>
      <c r="F115" s="23">
        <v>8</v>
      </c>
      <c r="G115" s="23">
        <v>7</v>
      </c>
      <c r="H115" s="23">
        <v>0</v>
      </c>
      <c r="I115" s="23">
        <v>8929</v>
      </c>
      <c r="J115" s="23">
        <v>75</v>
      </c>
      <c r="K115" s="23">
        <v>690</v>
      </c>
      <c r="L115" s="23" t="s">
        <v>195</v>
      </c>
      <c r="M115" s="23">
        <f t="shared" si="1"/>
        <v>450</v>
      </c>
      <c r="N115" s="24" t="str">
        <f t="array" ref="N115">INDEX('MATCH INFO'!O:O, INT((ROW()-2)/10)+2 + 92)</f>
        <v>260627_PF_T1_S1</v>
      </c>
    </row>
    <row r="116" spans="1:14">
      <c r="A116" s="23" t="s">
        <v>50</v>
      </c>
      <c r="B116" s="23" t="s">
        <v>135</v>
      </c>
      <c r="C116" s="23" t="s">
        <v>109</v>
      </c>
      <c r="D116" s="23" t="s">
        <v>54</v>
      </c>
      <c r="E116" s="23" t="s">
        <v>188</v>
      </c>
      <c r="F116" s="23">
        <v>5</v>
      </c>
      <c r="G116" s="23">
        <v>5</v>
      </c>
      <c r="H116" s="23">
        <v>9</v>
      </c>
      <c r="I116" s="23">
        <v>3499</v>
      </c>
      <c r="J116" s="23">
        <v>6786</v>
      </c>
      <c r="K116" s="23">
        <v>0</v>
      </c>
      <c r="L116" s="23" t="s">
        <v>195</v>
      </c>
      <c r="M116" s="23">
        <f t="shared" si="1"/>
        <v>450</v>
      </c>
      <c r="N116" s="24" t="str">
        <f t="array" ref="N116">INDEX('MATCH INFO'!O:O, INT((ROW()-2)/10)+2 + 92)</f>
        <v>260627_PF_T1_S1</v>
      </c>
    </row>
    <row r="117" spans="1:14">
      <c r="A117" s="23" t="s">
        <v>41</v>
      </c>
      <c r="B117" s="23" t="s">
        <v>157</v>
      </c>
      <c r="C117" s="23" t="s">
        <v>109</v>
      </c>
      <c r="D117" s="23" t="s">
        <v>54</v>
      </c>
      <c r="E117" s="23" t="s">
        <v>188</v>
      </c>
      <c r="F117" s="23">
        <v>16</v>
      </c>
      <c r="G117" s="23">
        <v>2</v>
      </c>
      <c r="H117" s="23">
        <v>19</v>
      </c>
      <c r="I117" s="23">
        <v>3402</v>
      </c>
      <c r="J117" s="23">
        <v>6091</v>
      </c>
      <c r="K117" s="23">
        <v>504</v>
      </c>
      <c r="L117" s="23" t="s">
        <v>195</v>
      </c>
      <c r="M117" s="23">
        <f t="shared" si="1"/>
        <v>450</v>
      </c>
      <c r="N117" s="24" t="str">
        <f t="array" ref="N117">INDEX('MATCH INFO'!O:O, INT((ROW()-2)/10)+2 + 92)</f>
        <v>260627_PF_T1_S1</v>
      </c>
    </row>
    <row r="118" spans="1:14">
      <c r="A118" s="23" t="s">
        <v>41</v>
      </c>
      <c r="B118" s="23" t="s">
        <v>153</v>
      </c>
      <c r="C118" s="23" t="s">
        <v>101</v>
      </c>
      <c r="D118" s="23" t="s">
        <v>54</v>
      </c>
      <c r="E118" s="23" t="s">
        <v>188</v>
      </c>
      <c r="F118" s="23">
        <v>25</v>
      </c>
      <c r="G118" s="23">
        <v>1</v>
      </c>
      <c r="H118" s="23">
        <v>1</v>
      </c>
      <c r="I118" s="23">
        <v>8754</v>
      </c>
      <c r="J118" s="23">
        <v>1188</v>
      </c>
      <c r="K118" s="23">
        <v>11348</v>
      </c>
      <c r="L118" s="23" t="s">
        <v>195</v>
      </c>
      <c r="M118" s="23">
        <f t="shared" si="1"/>
        <v>450</v>
      </c>
      <c r="N118" s="24" t="str">
        <f t="array" ref="N118">INDEX('MATCH INFO'!O:O, INT((ROW()-2)/10)+2 + 92)</f>
        <v>260627_PF_T1_S1</v>
      </c>
    </row>
    <row r="119" spans="1:14">
      <c r="A119" s="23" t="s">
        <v>41</v>
      </c>
      <c r="B119" s="23" t="s">
        <v>155</v>
      </c>
      <c r="C119" s="23" t="s">
        <v>104</v>
      </c>
      <c r="D119" s="23" t="s">
        <v>54</v>
      </c>
      <c r="E119" s="23" t="s">
        <v>188</v>
      </c>
      <c r="F119" s="23">
        <v>15</v>
      </c>
      <c r="G119" s="23">
        <v>5</v>
      </c>
      <c r="H119" s="23">
        <v>1</v>
      </c>
      <c r="I119" s="23">
        <v>7590</v>
      </c>
      <c r="J119" s="23">
        <v>0</v>
      </c>
      <c r="K119" s="23">
        <v>118</v>
      </c>
      <c r="L119" s="23" t="s">
        <v>195</v>
      </c>
      <c r="M119" s="23">
        <f t="shared" si="1"/>
        <v>450</v>
      </c>
      <c r="N119" s="24" t="str">
        <f t="array" ref="N119">INDEX('MATCH INFO'!O:O, INT((ROW()-2)/10)+2 + 92)</f>
        <v>260627_PF_T1_S1</v>
      </c>
    </row>
    <row r="120" spans="1:14">
      <c r="A120" s="23" t="s">
        <v>41</v>
      </c>
      <c r="B120" s="23" t="s">
        <v>158</v>
      </c>
      <c r="C120" s="23" t="s">
        <v>109</v>
      </c>
      <c r="D120" s="23" t="s">
        <v>54</v>
      </c>
      <c r="E120" s="23" t="s">
        <v>188</v>
      </c>
      <c r="F120" s="23">
        <v>14</v>
      </c>
      <c r="G120" s="23">
        <v>1</v>
      </c>
      <c r="H120" s="23">
        <v>25</v>
      </c>
      <c r="I120" s="23">
        <v>4682</v>
      </c>
      <c r="J120" s="23">
        <v>11477</v>
      </c>
      <c r="K120" s="23">
        <v>0</v>
      </c>
      <c r="L120" s="23" t="s">
        <v>195</v>
      </c>
      <c r="M120" s="23">
        <f t="shared" si="1"/>
        <v>450</v>
      </c>
      <c r="N120" s="24" t="str">
        <f t="array" ref="N120">INDEX('MATCH INFO'!O:O, INT((ROW()-2)/10)+2 + 92)</f>
        <v>260627_PF_T1_S1</v>
      </c>
    </row>
    <row r="121" spans="1:14">
      <c r="A121" s="23" t="s">
        <v>41</v>
      </c>
      <c r="B121" s="23" t="s">
        <v>154</v>
      </c>
      <c r="C121" s="23" t="s">
        <v>104</v>
      </c>
      <c r="D121" s="23" t="s">
        <v>54</v>
      </c>
      <c r="E121" s="23" t="s">
        <v>188</v>
      </c>
      <c r="F121" s="23">
        <v>23</v>
      </c>
      <c r="G121" s="23">
        <v>1</v>
      </c>
      <c r="H121" s="23">
        <v>0</v>
      </c>
      <c r="I121" s="23">
        <v>7714</v>
      </c>
      <c r="J121" s="23">
        <v>1074</v>
      </c>
      <c r="K121" s="23">
        <v>0</v>
      </c>
      <c r="L121" s="23" t="s">
        <v>195</v>
      </c>
      <c r="M121" s="23">
        <f t="shared" si="1"/>
        <v>450</v>
      </c>
      <c r="N121" s="24" t="str">
        <f t="array" ref="N121">INDEX('MATCH INFO'!O:O, INT((ROW()-2)/10)+2 + 92)</f>
        <v>260627_PF_T1_S1</v>
      </c>
    </row>
    <row r="122" spans="1:14">
      <c r="A122" s="23" t="s">
        <v>41</v>
      </c>
      <c r="B122" s="23" t="s">
        <v>157</v>
      </c>
      <c r="C122" s="23" t="s">
        <v>109</v>
      </c>
      <c r="D122" s="23" t="s">
        <v>44</v>
      </c>
      <c r="E122" s="23" t="s">
        <v>190</v>
      </c>
      <c r="F122" s="23">
        <v>21</v>
      </c>
      <c r="G122" s="23">
        <v>8</v>
      </c>
      <c r="H122" s="23">
        <v>17</v>
      </c>
      <c r="I122" s="23">
        <v>4174</v>
      </c>
      <c r="J122" s="23">
        <v>6869</v>
      </c>
      <c r="K122" s="23">
        <v>1853</v>
      </c>
      <c r="L122" s="23" t="s">
        <v>296</v>
      </c>
      <c r="M122" s="23">
        <f t="shared" si="1"/>
        <v>652</v>
      </c>
      <c r="N122" s="24" t="str">
        <f t="array" ref="N122">INDEX('MATCH INFO'!O:O, INT((ROW()-2)/10)+2 + 92)</f>
        <v>260627_PF_T1_S2</v>
      </c>
    </row>
    <row r="123" spans="1:14">
      <c r="A123" s="23" t="s">
        <v>41</v>
      </c>
      <c r="B123" s="23" t="s">
        <v>153</v>
      </c>
      <c r="C123" s="23" t="s">
        <v>101</v>
      </c>
      <c r="D123" s="23" t="s">
        <v>44</v>
      </c>
      <c r="E123" s="23" t="s">
        <v>190</v>
      </c>
      <c r="F123" s="23">
        <v>26</v>
      </c>
      <c r="G123" s="23">
        <v>2</v>
      </c>
      <c r="H123" s="23">
        <v>15</v>
      </c>
      <c r="I123" s="23">
        <v>14804</v>
      </c>
      <c r="J123" s="23">
        <v>2167</v>
      </c>
      <c r="K123" s="23">
        <v>5147</v>
      </c>
      <c r="L123" s="23" t="s">
        <v>296</v>
      </c>
      <c r="M123" s="23">
        <f t="shared" si="1"/>
        <v>652</v>
      </c>
      <c r="N123" s="24" t="str">
        <f t="array" ref="N123">INDEX('MATCH INFO'!O:O, INT((ROW()-2)/10)+2 + 92)</f>
        <v>260627_PF_T1_S2</v>
      </c>
    </row>
    <row r="124" spans="1:14">
      <c r="A124" s="23" t="s">
        <v>41</v>
      </c>
      <c r="B124" s="23" t="s">
        <v>155</v>
      </c>
      <c r="C124" s="23" t="s">
        <v>104</v>
      </c>
      <c r="D124" s="23" t="s">
        <v>44</v>
      </c>
      <c r="E124" s="23" t="s">
        <v>190</v>
      </c>
      <c r="F124" s="23">
        <v>33</v>
      </c>
      <c r="G124" s="23">
        <v>4</v>
      </c>
      <c r="H124" s="23">
        <v>0</v>
      </c>
      <c r="I124" s="23">
        <v>15065</v>
      </c>
      <c r="J124" s="23">
        <v>0</v>
      </c>
      <c r="K124" s="23">
        <v>0</v>
      </c>
      <c r="L124" s="23" t="s">
        <v>296</v>
      </c>
      <c r="M124" s="23">
        <f t="shared" si="1"/>
        <v>652</v>
      </c>
      <c r="N124" s="24" t="str">
        <f t="array" ref="N124">INDEX('MATCH INFO'!O:O, INT((ROW()-2)/10)+2 + 92)</f>
        <v>260627_PF_T1_S2</v>
      </c>
    </row>
    <row r="125" spans="1:14">
      <c r="A125" s="23" t="s">
        <v>41</v>
      </c>
      <c r="B125" s="23" t="s">
        <v>158</v>
      </c>
      <c r="C125" s="23" t="s">
        <v>109</v>
      </c>
      <c r="D125" s="23" t="s">
        <v>44</v>
      </c>
      <c r="E125" s="23" t="s">
        <v>190</v>
      </c>
      <c r="F125" s="23">
        <v>22</v>
      </c>
      <c r="G125" s="23">
        <v>4</v>
      </c>
      <c r="H125" s="23">
        <v>32</v>
      </c>
      <c r="I125" s="23">
        <v>6897</v>
      </c>
      <c r="J125" s="23">
        <v>13293</v>
      </c>
      <c r="K125" s="23">
        <v>0</v>
      </c>
      <c r="L125" s="23" t="s">
        <v>296</v>
      </c>
      <c r="M125" s="23">
        <f t="shared" si="1"/>
        <v>652</v>
      </c>
      <c r="N125" s="24" t="str">
        <f t="array" ref="N125">INDEX('MATCH INFO'!O:O, INT((ROW()-2)/10)+2 + 92)</f>
        <v>260627_PF_T1_S2</v>
      </c>
    </row>
    <row r="126" spans="1:14">
      <c r="A126" s="23" t="s">
        <v>41</v>
      </c>
      <c r="B126" s="23" t="s">
        <v>154</v>
      </c>
      <c r="C126" s="23" t="s">
        <v>104</v>
      </c>
      <c r="D126" s="23" t="s">
        <v>44</v>
      </c>
      <c r="E126" s="23" t="s">
        <v>190</v>
      </c>
      <c r="F126" s="23">
        <v>24</v>
      </c>
      <c r="G126" s="23">
        <v>6</v>
      </c>
      <c r="H126" s="23">
        <v>3</v>
      </c>
      <c r="I126" s="23">
        <v>12879</v>
      </c>
      <c r="J126" s="23">
        <v>360</v>
      </c>
      <c r="K126" s="23">
        <v>602</v>
      </c>
      <c r="L126" s="23" t="s">
        <v>296</v>
      </c>
      <c r="M126" s="23">
        <f t="shared" si="1"/>
        <v>652</v>
      </c>
      <c r="N126" s="24" t="str">
        <f t="array" ref="N126">INDEX('MATCH INFO'!O:O, INT((ROW()-2)/10)+2 + 92)</f>
        <v>260627_PF_T1_S2</v>
      </c>
    </row>
    <row r="127" spans="1:14">
      <c r="A127" s="23" t="s">
        <v>50</v>
      </c>
      <c r="B127" s="23" t="s">
        <v>136</v>
      </c>
      <c r="C127" s="23" t="s">
        <v>109</v>
      </c>
      <c r="D127" s="23" t="s">
        <v>44</v>
      </c>
      <c r="E127" s="23" t="s">
        <v>190</v>
      </c>
      <c r="F127" s="23">
        <v>9</v>
      </c>
      <c r="G127" s="23">
        <v>9</v>
      </c>
      <c r="H127" s="23">
        <v>18</v>
      </c>
      <c r="I127" s="23">
        <v>3930</v>
      </c>
      <c r="J127" s="23">
        <v>17102</v>
      </c>
      <c r="K127" s="23">
        <v>0</v>
      </c>
      <c r="L127" s="23" t="s">
        <v>296</v>
      </c>
      <c r="M127" s="23">
        <f t="shared" si="1"/>
        <v>652</v>
      </c>
      <c r="N127" s="24" t="str">
        <f t="array" ref="N127">INDEX('MATCH INFO'!O:O, INT((ROW()-2)/10)+2 + 92)</f>
        <v>260627_PF_T1_S2</v>
      </c>
    </row>
    <row r="128" spans="1:14">
      <c r="A128" s="23" t="s">
        <v>50</v>
      </c>
      <c r="B128" s="23" t="s">
        <v>133</v>
      </c>
      <c r="C128" s="23" t="s">
        <v>104</v>
      </c>
      <c r="D128" s="23" t="s">
        <v>44</v>
      </c>
      <c r="E128" s="23" t="s">
        <v>190</v>
      </c>
      <c r="F128" s="23">
        <v>16</v>
      </c>
      <c r="G128" s="23">
        <v>10</v>
      </c>
      <c r="H128" s="23">
        <v>3</v>
      </c>
      <c r="I128" s="23">
        <v>9051</v>
      </c>
      <c r="J128" s="23">
        <v>300</v>
      </c>
      <c r="K128" s="23">
        <v>234</v>
      </c>
      <c r="L128" s="23" t="s">
        <v>296</v>
      </c>
      <c r="M128" s="23">
        <f t="shared" si="1"/>
        <v>652</v>
      </c>
      <c r="N128" s="24" t="str">
        <f t="array" ref="N128">INDEX('MATCH INFO'!O:O, INT((ROW()-2)/10)+2 + 92)</f>
        <v>260627_PF_T1_S2</v>
      </c>
    </row>
    <row r="129" spans="1:14">
      <c r="A129" s="23" t="s">
        <v>50</v>
      </c>
      <c r="B129" s="23" t="s">
        <v>131</v>
      </c>
      <c r="C129" s="23" t="s">
        <v>101</v>
      </c>
      <c r="D129" s="23" t="s">
        <v>44</v>
      </c>
      <c r="E129" s="23" t="s">
        <v>190</v>
      </c>
      <c r="F129" s="23">
        <v>11</v>
      </c>
      <c r="G129" s="23">
        <v>8</v>
      </c>
      <c r="H129" s="23">
        <v>8</v>
      </c>
      <c r="I129" s="23">
        <v>12636</v>
      </c>
      <c r="J129" s="23">
        <v>4260</v>
      </c>
      <c r="K129" s="23">
        <v>7693</v>
      </c>
      <c r="L129" s="23" t="s">
        <v>296</v>
      </c>
      <c r="M129" s="23">
        <f t="shared" si="1"/>
        <v>652</v>
      </c>
      <c r="N129" s="24" t="str">
        <f t="array" ref="N129">INDEX('MATCH INFO'!O:O, INT((ROW()-2)/10)+2 + 92)</f>
        <v>260627_PF_T1_S2</v>
      </c>
    </row>
    <row r="130" spans="1:14">
      <c r="A130" s="23" t="s">
        <v>50</v>
      </c>
      <c r="B130" s="23" t="s">
        <v>134</v>
      </c>
      <c r="C130" s="23" t="s">
        <v>104</v>
      </c>
      <c r="D130" s="23" t="s">
        <v>44</v>
      </c>
      <c r="E130" s="23" t="s">
        <v>190</v>
      </c>
      <c r="F130" s="23">
        <v>17</v>
      </c>
      <c r="G130" s="23">
        <v>9</v>
      </c>
      <c r="H130" s="23">
        <v>2</v>
      </c>
      <c r="I130" s="23">
        <v>8566</v>
      </c>
      <c r="J130" s="23">
        <v>0</v>
      </c>
      <c r="K130" s="23">
        <v>471</v>
      </c>
      <c r="L130" s="23" t="s">
        <v>296</v>
      </c>
      <c r="M130" s="23">
        <f t="shared" ref="M130:M193" si="2">L130*86400</f>
        <v>652</v>
      </c>
      <c r="N130" s="24" t="str">
        <f t="array" ref="N130">INDEX('MATCH INFO'!O:O, INT((ROW()-2)/10)+2 + 92)</f>
        <v>260627_PF_T1_S2</v>
      </c>
    </row>
    <row r="131" spans="1:14">
      <c r="A131" s="23" t="s">
        <v>50</v>
      </c>
      <c r="B131" s="23" t="s">
        <v>135</v>
      </c>
      <c r="C131" s="23" t="s">
        <v>109</v>
      </c>
      <c r="D131" s="23" t="s">
        <v>44</v>
      </c>
      <c r="E131" s="23" t="s">
        <v>190</v>
      </c>
      <c r="F131" s="23">
        <v>10</v>
      </c>
      <c r="G131" s="23">
        <v>9</v>
      </c>
      <c r="H131" s="23">
        <v>11</v>
      </c>
      <c r="I131" s="23">
        <v>5587</v>
      </c>
      <c r="J131" s="23">
        <v>7880</v>
      </c>
      <c r="K131" s="23">
        <v>3216</v>
      </c>
      <c r="L131" s="23" t="s">
        <v>296</v>
      </c>
      <c r="M131" s="23">
        <f t="shared" si="2"/>
        <v>652</v>
      </c>
      <c r="N131" s="24" t="str">
        <f t="array" ref="N131">INDEX('MATCH INFO'!O:O, INT((ROW()-2)/10)+2 + 92)</f>
        <v>260627_PF_T1_S2</v>
      </c>
    </row>
    <row r="132" spans="1:14">
      <c r="A132" s="23" t="s">
        <v>41</v>
      </c>
      <c r="B132" s="23" t="s">
        <v>157</v>
      </c>
      <c r="C132" s="23" t="s">
        <v>109</v>
      </c>
      <c r="D132" s="23" t="s">
        <v>28</v>
      </c>
      <c r="E132" s="23" t="s">
        <v>192</v>
      </c>
      <c r="F132" s="23">
        <v>12</v>
      </c>
      <c r="G132" s="23">
        <v>0</v>
      </c>
      <c r="H132" s="23">
        <v>20</v>
      </c>
      <c r="I132" s="23">
        <v>2432</v>
      </c>
      <c r="J132" s="23">
        <v>4573</v>
      </c>
      <c r="K132" s="23">
        <v>1371</v>
      </c>
      <c r="L132" s="23" t="s">
        <v>297</v>
      </c>
      <c r="M132" s="23">
        <f t="shared" si="2"/>
        <v>325</v>
      </c>
      <c r="N132" s="24" t="str">
        <f t="array" ref="N132">INDEX('MATCH INFO'!O:O, INT((ROW()-2)/10)+2 + 92)</f>
        <v>260627_PF_T1_S3</v>
      </c>
    </row>
    <row r="133" spans="1:14">
      <c r="A133" s="23" t="s">
        <v>41</v>
      </c>
      <c r="B133" s="23" t="s">
        <v>153</v>
      </c>
      <c r="C133" s="23" t="s">
        <v>101</v>
      </c>
      <c r="D133" s="23" t="s">
        <v>28</v>
      </c>
      <c r="E133" s="23" t="s">
        <v>192</v>
      </c>
      <c r="F133" s="23">
        <v>13</v>
      </c>
      <c r="G133" s="23">
        <v>2</v>
      </c>
      <c r="H133" s="23">
        <v>10</v>
      </c>
      <c r="I133" s="23">
        <v>5753</v>
      </c>
      <c r="J133" s="23">
        <v>1201</v>
      </c>
      <c r="K133" s="23">
        <v>1158</v>
      </c>
      <c r="L133" s="23" t="s">
        <v>297</v>
      </c>
      <c r="M133" s="23">
        <f t="shared" si="2"/>
        <v>325</v>
      </c>
      <c r="N133" s="24" t="str">
        <f t="array" ref="N133">INDEX('MATCH INFO'!O:O, INT((ROW()-2)/10)+2 + 92)</f>
        <v>260627_PF_T1_S3</v>
      </c>
    </row>
    <row r="134" spans="1:14">
      <c r="A134" s="23" t="s">
        <v>41</v>
      </c>
      <c r="B134" s="23" t="s">
        <v>155</v>
      </c>
      <c r="C134" s="23" t="s">
        <v>104</v>
      </c>
      <c r="D134" s="23" t="s">
        <v>28</v>
      </c>
      <c r="E134" s="23" t="s">
        <v>192</v>
      </c>
      <c r="F134" s="23">
        <v>21</v>
      </c>
      <c r="G134" s="23">
        <v>1</v>
      </c>
      <c r="H134" s="23">
        <v>0</v>
      </c>
      <c r="I134" s="23">
        <v>7975</v>
      </c>
      <c r="J134" s="23">
        <v>0</v>
      </c>
      <c r="K134" s="23">
        <v>0</v>
      </c>
      <c r="L134" s="23" t="s">
        <v>297</v>
      </c>
      <c r="M134" s="23">
        <f t="shared" si="2"/>
        <v>325</v>
      </c>
      <c r="N134" s="24" t="str">
        <f t="array" ref="N134">INDEX('MATCH INFO'!O:O, INT((ROW()-2)/10)+2 + 92)</f>
        <v>260627_PF_T1_S3</v>
      </c>
    </row>
    <row r="135" spans="1:14">
      <c r="A135" s="23" t="s">
        <v>41</v>
      </c>
      <c r="B135" s="23" t="s">
        <v>158</v>
      </c>
      <c r="C135" s="23" t="s">
        <v>109</v>
      </c>
      <c r="D135" s="23" t="s">
        <v>28</v>
      </c>
      <c r="E135" s="23" t="s">
        <v>192</v>
      </c>
      <c r="F135" s="23">
        <v>8</v>
      </c>
      <c r="G135" s="23">
        <v>1</v>
      </c>
      <c r="H135" s="23">
        <v>19</v>
      </c>
      <c r="I135" s="23">
        <v>2441</v>
      </c>
      <c r="J135" s="23">
        <v>6940</v>
      </c>
      <c r="K135" s="23">
        <v>0</v>
      </c>
      <c r="L135" s="23" t="s">
        <v>297</v>
      </c>
      <c r="M135" s="23">
        <f t="shared" si="2"/>
        <v>325</v>
      </c>
      <c r="N135" s="24" t="str">
        <f t="array" ref="N135">INDEX('MATCH INFO'!O:O, INT((ROW()-2)/10)+2 + 92)</f>
        <v>260627_PF_T1_S3</v>
      </c>
    </row>
    <row r="136" spans="1:14">
      <c r="A136" s="23" t="s">
        <v>41</v>
      </c>
      <c r="B136" s="23" t="s">
        <v>154</v>
      </c>
      <c r="C136" s="23" t="s">
        <v>104</v>
      </c>
      <c r="D136" s="23" t="s">
        <v>28</v>
      </c>
      <c r="E136" s="23" t="s">
        <v>192</v>
      </c>
      <c r="F136" s="23">
        <v>17</v>
      </c>
      <c r="G136" s="23">
        <v>1</v>
      </c>
      <c r="H136" s="23">
        <v>2</v>
      </c>
      <c r="I136" s="23">
        <v>4611</v>
      </c>
      <c r="J136" s="23">
        <v>0</v>
      </c>
      <c r="K136" s="23">
        <v>179</v>
      </c>
      <c r="L136" s="23" t="s">
        <v>297</v>
      </c>
      <c r="M136" s="23">
        <f t="shared" si="2"/>
        <v>325</v>
      </c>
      <c r="N136" s="24" t="str">
        <f t="array" ref="N136">INDEX('MATCH INFO'!O:O, INT((ROW()-2)/10)+2 + 92)</f>
        <v>260627_PF_T1_S3</v>
      </c>
    </row>
    <row r="137" spans="1:14">
      <c r="A137" s="23" t="s">
        <v>50</v>
      </c>
      <c r="B137" s="23" t="s">
        <v>136</v>
      </c>
      <c r="C137" s="23" t="s">
        <v>109</v>
      </c>
      <c r="D137" s="23" t="s">
        <v>28</v>
      </c>
      <c r="E137" s="23" t="s">
        <v>192</v>
      </c>
      <c r="F137" s="23">
        <v>2</v>
      </c>
      <c r="G137" s="23">
        <v>4</v>
      </c>
      <c r="H137" s="23">
        <v>5</v>
      </c>
      <c r="I137" s="23">
        <v>2082</v>
      </c>
      <c r="J137" s="23">
        <v>5335</v>
      </c>
      <c r="K137" s="23">
        <v>0</v>
      </c>
      <c r="L137" s="23" t="s">
        <v>297</v>
      </c>
      <c r="M137" s="23">
        <f t="shared" si="2"/>
        <v>325</v>
      </c>
      <c r="N137" s="24" t="str">
        <f t="array" ref="N137">INDEX('MATCH INFO'!O:O, INT((ROW()-2)/10)+2 + 92)</f>
        <v>260627_PF_T1_S3</v>
      </c>
    </row>
    <row r="138" spans="1:14">
      <c r="A138" s="23" t="s">
        <v>50</v>
      </c>
      <c r="B138" s="23" t="s">
        <v>133</v>
      </c>
      <c r="C138" s="23" t="s">
        <v>104</v>
      </c>
      <c r="D138" s="23" t="s">
        <v>28</v>
      </c>
      <c r="E138" s="23" t="s">
        <v>192</v>
      </c>
      <c r="F138" s="23">
        <v>2</v>
      </c>
      <c r="G138" s="23">
        <v>4</v>
      </c>
      <c r="H138" s="23">
        <v>0</v>
      </c>
      <c r="I138" s="23">
        <v>3675</v>
      </c>
      <c r="J138" s="23">
        <v>10</v>
      </c>
      <c r="K138" s="23">
        <v>316</v>
      </c>
      <c r="L138" s="23" t="s">
        <v>297</v>
      </c>
      <c r="M138" s="23">
        <f t="shared" si="2"/>
        <v>325</v>
      </c>
      <c r="N138" s="24" t="str">
        <f t="array" ref="N138">INDEX('MATCH INFO'!O:O, INT((ROW()-2)/10)+2 + 92)</f>
        <v>260627_PF_T1_S3</v>
      </c>
    </row>
    <row r="139" spans="1:14">
      <c r="A139" s="23" t="s">
        <v>50</v>
      </c>
      <c r="B139" s="23" t="s">
        <v>131</v>
      </c>
      <c r="C139" s="23" t="s">
        <v>101</v>
      </c>
      <c r="D139" s="23" t="s">
        <v>28</v>
      </c>
      <c r="E139" s="23" t="s">
        <v>192</v>
      </c>
      <c r="F139" s="23">
        <v>3</v>
      </c>
      <c r="G139" s="23">
        <v>6</v>
      </c>
      <c r="H139" s="23">
        <v>3</v>
      </c>
      <c r="I139" s="23">
        <v>6359</v>
      </c>
      <c r="J139" s="23">
        <v>1455</v>
      </c>
      <c r="K139" s="23">
        <v>3181</v>
      </c>
      <c r="L139" s="23" t="s">
        <v>297</v>
      </c>
      <c r="M139" s="23">
        <f t="shared" si="2"/>
        <v>325</v>
      </c>
      <c r="N139" s="24" t="str">
        <f t="array" ref="N139">INDEX('MATCH INFO'!O:O, INT((ROW()-2)/10)+2 + 92)</f>
        <v>260627_PF_T1_S3</v>
      </c>
    </row>
    <row r="140" spans="1:14">
      <c r="A140" s="23" t="s">
        <v>50</v>
      </c>
      <c r="B140" s="23" t="s">
        <v>134</v>
      </c>
      <c r="C140" s="23" t="s">
        <v>104</v>
      </c>
      <c r="D140" s="23" t="s">
        <v>28</v>
      </c>
      <c r="E140" s="23" t="s">
        <v>192</v>
      </c>
      <c r="F140" s="23">
        <v>3</v>
      </c>
      <c r="G140" s="23">
        <v>6</v>
      </c>
      <c r="H140" s="23">
        <v>0</v>
      </c>
      <c r="I140" s="23">
        <v>4633</v>
      </c>
      <c r="J140" s="23">
        <v>0</v>
      </c>
      <c r="K140" s="23">
        <v>0</v>
      </c>
      <c r="L140" s="23" t="s">
        <v>297</v>
      </c>
      <c r="M140" s="23">
        <f t="shared" si="2"/>
        <v>325</v>
      </c>
      <c r="N140" s="24" t="str">
        <f t="array" ref="N140">INDEX('MATCH INFO'!O:O, INT((ROW()-2)/10)+2 + 92)</f>
        <v>260627_PF_T1_S3</v>
      </c>
    </row>
    <row r="141" spans="1:14">
      <c r="A141" s="23" t="s">
        <v>50</v>
      </c>
      <c r="B141" s="23" t="s">
        <v>135</v>
      </c>
      <c r="C141" s="23" t="s">
        <v>109</v>
      </c>
      <c r="D141" s="23" t="s">
        <v>28</v>
      </c>
      <c r="E141" s="23" t="s">
        <v>192</v>
      </c>
      <c r="F141" s="23">
        <v>5</v>
      </c>
      <c r="G141" s="23">
        <v>4</v>
      </c>
      <c r="H141" s="23">
        <v>3</v>
      </c>
      <c r="I141" s="23">
        <v>2344</v>
      </c>
      <c r="J141" s="23">
        <v>4302</v>
      </c>
      <c r="K141" s="23">
        <v>0</v>
      </c>
      <c r="L141" s="23" t="s">
        <v>297</v>
      </c>
      <c r="M141" s="23">
        <f t="shared" si="2"/>
        <v>325</v>
      </c>
      <c r="N141" s="24" t="str">
        <f t="array" ref="N141">INDEX('MATCH INFO'!O:O, INT((ROW()-2)/10)+2 + 92)</f>
        <v>260627_PF_T1_S3</v>
      </c>
    </row>
    <row r="142" spans="1:14">
      <c r="A142" s="23" t="s">
        <v>51</v>
      </c>
      <c r="B142" s="23" t="s">
        <v>126</v>
      </c>
      <c r="C142" s="23" t="s">
        <v>104</v>
      </c>
      <c r="D142" s="23" t="s">
        <v>22</v>
      </c>
      <c r="E142" s="23" t="s">
        <v>188</v>
      </c>
      <c r="F142" s="23">
        <v>3</v>
      </c>
      <c r="G142" s="23">
        <v>6</v>
      </c>
      <c r="H142" s="23">
        <v>0</v>
      </c>
      <c r="I142" s="23">
        <v>5139</v>
      </c>
      <c r="J142" s="23">
        <v>1126</v>
      </c>
      <c r="K142" s="23">
        <v>0</v>
      </c>
      <c r="L142" s="23" t="s">
        <v>298</v>
      </c>
      <c r="M142" s="23">
        <f t="shared" si="2"/>
        <v>429</v>
      </c>
      <c r="N142" s="24" t="str">
        <f t="array" ref="N142">INDEX('MATCH INFO'!O:O, INT((ROW()-2)/10)+2 + 92)</f>
        <v>260627_CB_FLC_S1</v>
      </c>
    </row>
    <row r="143" spans="1:14">
      <c r="A143" s="23" t="s">
        <v>51</v>
      </c>
      <c r="B143" s="23" t="s">
        <v>124</v>
      </c>
      <c r="C143" s="23" t="s">
        <v>101</v>
      </c>
      <c r="D143" s="23" t="s">
        <v>22</v>
      </c>
      <c r="E143" s="23" t="s">
        <v>188</v>
      </c>
      <c r="F143" s="23">
        <v>1</v>
      </c>
      <c r="G143" s="23">
        <v>7</v>
      </c>
      <c r="H143" s="23">
        <v>1</v>
      </c>
      <c r="I143" s="23">
        <v>5439</v>
      </c>
      <c r="J143" s="23">
        <v>3594</v>
      </c>
      <c r="K143" s="23">
        <v>1840</v>
      </c>
      <c r="L143" s="23" t="s">
        <v>298</v>
      </c>
      <c r="M143" s="23">
        <f t="shared" si="2"/>
        <v>429</v>
      </c>
      <c r="N143" s="24" t="str">
        <f t="array" ref="N143">INDEX('MATCH INFO'!O:O, INT((ROW()-2)/10)+2 + 92)</f>
        <v>260627_CB_FLC_S1</v>
      </c>
    </row>
    <row r="144" spans="1:14">
      <c r="A144" s="23" t="s">
        <v>51</v>
      </c>
      <c r="B144" s="23" t="s">
        <v>127</v>
      </c>
      <c r="C144" s="23" t="s">
        <v>104</v>
      </c>
      <c r="D144" s="23" t="s">
        <v>22</v>
      </c>
      <c r="E144" s="23" t="s">
        <v>188</v>
      </c>
      <c r="F144" s="23">
        <v>3</v>
      </c>
      <c r="G144" s="23">
        <v>7</v>
      </c>
      <c r="H144" s="23">
        <v>1</v>
      </c>
      <c r="I144" s="23">
        <v>5896</v>
      </c>
      <c r="J144" s="23">
        <v>239</v>
      </c>
      <c r="K144" s="23">
        <v>1015</v>
      </c>
      <c r="L144" s="23" t="s">
        <v>298</v>
      </c>
      <c r="M144" s="23">
        <f t="shared" si="2"/>
        <v>429</v>
      </c>
      <c r="N144" s="24" t="str">
        <f t="array" ref="N144">INDEX('MATCH INFO'!O:O, INT((ROW()-2)/10)+2 + 92)</f>
        <v>260627_CB_FLC_S1</v>
      </c>
    </row>
    <row r="145" spans="1:14">
      <c r="A145" s="23" t="s">
        <v>51</v>
      </c>
      <c r="B145" s="23" t="s">
        <v>128</v>
      </c>
      <c r="C145" s="23" t="s">
        <v>109</v>
      </c>
      <c r="D145" s="23" t="s">
        <v>22</v>
      </c>
      <c r="E145" s="23" t="s">
        <v>188</v>
      </c>
      <c r="F145" s="23">
        <v>2</v>
      </c>
      <c r="G145" s="23">
        <v>5</v>
      </c>
      <c r="H145" s="23">
        <v>2</v>
      </c>
      <c r="I145" s="23">
        <v>1648</v>
      </c>
      <c r="J145" s="23">
        <v>6358</v>
      </c>
      <c r="K145" s="23">
        <v>0</v>
      </c>
      <c r="L145" s="23" t="s">
        <v>298</v>
      </c>
      <c r="M145" s="23">
        <f t="shared" si="2"/>
        <v>429</v>
      </c>
      <c r="N145" s="24" t="str">
        <f t="array" ref="N145">INDEX('MATCH INFO'!O:O, INT((ROW()-2)/10)+2 + 92)</f>
        <v>260627_CB_FLC_S1</v>
      </c>
    </row>
    <row r="146" spans="1:14">
      <c r="A146" s="23" t="s">
        <v>51</v>
      </c>
      <c r="B146" s="23" t="s">
        <v>129</v>
      </c>
      <c r="C146" s="23" t="s">
        <v>109</v>
      </c>
      <c r="D146" s="23" t="s">
        <v>22</v>
      </c>
      <c r="E146" s="23" t="s">
        <v>188</v>
      </c>
      <c r="F146" s="23">
        <v>1</v>
      </c>
      <c r="G146" s="23">
        <v>4</v>
      </c>
      <c r="H146" s="23">
        <v>3</v>
      </c>
      <c r="I146" s="23">
        <v>3270</v>
      </c>
      <c r="J146" s="23">
        <v>7554</v>
      </c>
      <c r="K146" s="23">
        <v>0</v>
      </c>
      <c r="L146" s="23" t="s">
        <v>298</v>
      </c>
      <c r="M146" s="23">
        <f t="shared" si="2"/>
        <v>429</v>
      </c>
      <c r="N146" s="24" t="str">
        <f t="array" ref="N146">INDEX('MATCH INFO'!O:O, INT((ROW()-2)/10)+2 + 92)</f>
        <v>260627_CB_FLC_S1</v>
      </c>
    </row>
    <row r="147" spans="1:14">
      <c r="A147" s="23" t="s">
        <v>31</v>
      </c>
      <c r="B147" s="23" t="s">
        <v>165</v>
      </c>
      <c r="C147" s="23" t="s">
        <v>109</v>
      </c>
      <c r="D147" s="23" t="s">
        <v>22</v>
      </c>
      <c r="E147" s="23" t="s">
        <v>188</v>
      </c>
      <c r="F147" s="23">
        <v>18</v>
      </c>
      <c r="G147" s="23">
        <v>0</v>
      </c>
      <c r="H147" s="23">
        <v>15</v>
      </c>
      <c r="I147" s="23">
        <v>3013</v>
      </c>
      <c r="J147" s="23">
        <v>5441</v>
      </c>
      <c r="K147" s="23">
        <v>0</v>
      </c>
      <c r="L147" s="23" t="s">
        <v>298</v>
      </c>
      <c r="M147" s="23">
        <f t="shared" si="2"/>
        <v>429</v>
      </c>
      <c r="N147" s="24" t="str">
        <f t="array" ref="N147">INDEX('MATCH INFO'!O:O, INT((ROW()-2)/10)+2 + 92)</f>
        <v>260627_CB_FLC_S1</v>
      </c>
    </row>
    <row r="148" spans="1:14">
      <c r="A148" s="23" t="s">
        <v>31</v>
      </c>
      <c r="B148" s="23" t="s">
        <v>166</v>
      </c>
      <c r="C148" s="23" t="s">
        <v>109</v>
      </c>
      <c r="D148" s="23" t="s">
        <v>22</v>
      </c>
      <c r="E148" s="23" t="s">
        <v>188</v>
      </c>
      <c r="F148" s="23">
        <v>8</v>
      </c>
      <c r="G148" s="23">
        <v>0</v>
      </c>
      <c r="H148" s="23">
        <v>19</v>
      </c>
      <c r="I148" s="23">
        <v>3453</v>
      </c>
      <c r="J148" s="23">
        <v>9099</v>
      </c>
      <c r="K148" s="23">
        <v>0</v>
      </c>
      <c r="L148" s="23" t="s">
        <v>298</v>
      </c>
      <c r="M148" s="23">
        <f t="shared" si="2"/>
        <v>429</v>
      </c>
      <c r="N148" s="24" t="str">
        <f t="array" ref="N148">INDEX('MATCH INFO'!O:O, INT((ROW()-2)/10)+2 + 92)</f>
        <v>260627_CB_FLC_S1</v>
      </c>
    </row>
    <row r="149" spans="1:14">
      <c r="A149" s="23" t="s">
        <v>31</v>
      </c>
      <c r="B149" s="23" t="s">
        <v>161</v>
      </c>
      <c r="C149" s="23" t="s">
        <v>101</v>
      </c>
      <c r="D149" s="23" t="s">
        <v>22</v>
      </c>
      <c r="E149" s="23" t="s">
        <v>188</v>
      </c>
      <c r="F149" s="23">
        <v>23</v>
      </c>
      <c r="G149" s="23">
        <v>0</v>
      </c>
      <c r="H149" s="23">
        <v>12</v>
      </c>
      <c r="I149" s="23">
        <v>7822</v>
      </c>
      <c r="J149" s="23">
        <v>1393</v>
      </c>
      <c r="K149" s="23">
        <v>15822</v>
      </c>
      <c r="L149" s="23" t="s">
        <v>298</v>
      </c>
      <c r="M149" s="23">
        <f t="shared" si="2"/>
        <v>429</v>
      </c>
      <c r="N149" s="24" t="str">
        <f t="array" ref="N149">INDEX('MATCH INFO'!O:O, INT((ROW()-2)/10)+2 + 92)</f>
        <v>260627_CB_FLC_S1</v>
      </c>
    </row>
    <row r="150" spans="1:14">
      <c r="A150" s="23" t="s">
        <v>31</v>
      </c>
      <c r="B150" s="23" t="s">
        <v>164</v>
      </c>
      <c r="C150" s="23" t="s">
        <v>104</v>
      </c>
      <c r="D150" s="23" t="s">
        <v>22</v>
      </c>
      <c r="E150" s="23" t="s">
        <v>188</v>
      </c>
      <c r="F150" s="23">
        <v>14</v>
      </c>
      <c r="G150" s="23">
        <v>3</v>
      </c>
      <c r="H150" s="23">
        <v>3</v>
      </c>
      <c r="I150" s="23">
        <v>11048</v>
      </c>
      <c r="J150" s="23">
        <v>568</v>
      </c>
      <c r="K150" s="23">
        <v>695</v>
      </c>
      <c r="L150" s="23" t="s">
        <v>298</v>
      </c>
      <c r="M150" s="23">
        <f t="shared" si="2"/>
        <v>429</v>
      </c>
      <c r="N150" s="24" t="str">
        <f t="array" ref="N150">INDEX('MATCH INFO'!O:O, INT((ROW()-2)/10)+2 + 92)</f>
        <v>260627_CB_FLC_S1</v>
      </c>
    </row>
    <row r="151" spans="1:14">
      <c r="A151" s="23" t="s">
        <v>31</v>
      </c>
      <c r="B151" s="23" t="s">
        <v>162</v>
      </c>
      <c r="C151" s="23" t="s">
        <v>104</v>
      </c>
      <c r="D151" s="23" t="s">
        <v>22</v>
      </c>
      <c r="E151" s="23" t="s">
        <v>188</v>
      </c>
      <c r="F151" s="23">
        <v>14</v>
      </c>
      <c r="G151" s="23">
        <v>1</v>
      </c>
      <c r="H151" s="23">
        <v>0</v>
      </c>
      <c r="I151" s="23">
        <v>7360</v>
      </c>
      <c r="J151" s="23">
        <v>75</v>
      </c>
      <c r="K151" s="23">
        <v>213</v>
      </c>
      <c r="L151" s="23" t="s">
        <v>298</v>
      </c>
      <c r="M151" s="23">
        <f t="shared" si="2"/>
        <v>429</v>
      </c>
      <c r="N151" s="24" t="str">
        <f t="array" ref="N151">INDEX('MATCH INFO'!O:O, INT((ROW()-2)/10)+2 + 92)</f>
        <v>260627_CB_FLC_S1</v>
      </c>
    </row>
    <row r="152" spans="1:14">
      <c r="A152" s="23" t="s">
        <v>51</v>
      </c>
      <c r="B152" s="23" t="s">
        <v>126</v>
      </c>
      <c r="C152" s="23" t="s">
        <v>104</v>
      </c>
      <c r="D152" s="23" t="s">
        <v>44</v>
      </c>
      <c r="E152" s="23" t="s">
        <v>190</v>
      </c>
      <c r="F152" s="23">
        <v>15</v>
      </c>
      <c r="G152" s="23">
        <v>9</v>
      </c>
      <c r="H152" s="23">
        <v>0</v>
      </c>
      <c r="I152" s="23">
        <v>9182</v>
      </c>
      <c r="J152" s="23">
        <v>1537</v>
      </c>
      <c r="K152" s="23">
        <v>0</v>
      </c>
      <c r="L152" s="23" t="s">
        <v>299</v>
      </c>
      <c r="M152" s="23">
        <f t="shared" si="2"/>
        <v>528</v>
      </c>
      <c r="N152" s="24" t="str">
        <f t="array" ref="N152">INDEX('MATCH INFO'!O:O, INT((ROW()-2)/10)+2 + 92)</f>
        <v>260627_CB_FLC_S2</v>
      </c>
    </row>
    <row r="153" spans="1:14">
      <c r="A153" s="23" t="s">
        <v>51</v>
      </c>
      <c r="B153" s="23" t="s">
        <v>124</v>
      </c>
      <c r="C153" s="23" t="s">
        <v>101</v>
      </c>
      <c r="D153" s="23" t="s">
        <v>44</v>
      </c>
      <c r="E153" s="23" t="s">
        <v>190</v>
      </c>
      <c r="F153" s="23">
        <v>18</v>
      </c>
      <c r="G153" s="23">
        <v>8</v>
      </c>
      <c r="H153" s="23">
        <v>13</v>
      </c>
      <c r="I153" s="23">
        <v>10511</v>
      </c>
      <c r="J153" s="23">
        <v>3161</v>
      </c>
      <c r="K153" s="23">
        <v>7071</v>
      </c>
      <c r="L153" s="23" t="s">
        <v>299</v>
      </c>
      <c r="M153" s="23">
        <f t="shared" si="2"/>
        <v>528</v>
      </c>
      <c r="N153" s="24" t="str">
        <f t="array" ref="N153">INDEX('MATCH INFO'!O:O, INT((ROW()-2)/10)+2 + 92)</f>
        <v>260627_CB_FLC_S2</v>
      </c>
    </row>
    <row r="154" spans="1:14">
      <c r="A154" s="23" t="s">
        <v>51</v>
      </c>
      <c r="B154" s="23" t="s">
        <v>127</v>
      </c>
      <c r="C154" s="23" t="s">
        <v>104</v>
      </c>
      <c r="D154" s="23" t="s">
        <v>44</v>
      </c>
      <c r="E154" s="23" t="s">
        <v>190</v>
      </c>
      <c r="F154" s="23">
        <v>16</v>
      </c>
      <c r="G154" s="23">
        <v>10</v>
      </c>
      <c r="H154" s="23">
        <v>4</v>
      </c>
      <c r="I154" s="23">
        <v>7511</v>
      </c>
      <c r="J154" s="23">
        <v>125</v>
      </c>
      <c r="K154" s="23">
        <v>632</v>
      </c>
      <c r="L154" s="23" t="s">
        <v>299</v>
      </c>
      <c r="M154" s="23">
        <f t="shared" si="2"/>
        <v>528</v>
      </c>
      <c r="N154" s="24" t="str">
        <f t="array" ref="N154">INDEX('MATCH INFO'!O:O, INT((ROW()-2)/10)+2 + 92)</f>
        <v>260627_CB_FLC_S2</v>
      </c>
    </row>
    <row r="155" spans="1:14">
      <c r="A155" s="23" t="s">
        <v>51</v>
      </c>
      <c r="B155" s="23" t="s">
        <v>128</v>
      </c>
      <c r="C155" s="23" t="s">
        <v>109</v>
      </c>
      <c r="D155" s="23" t="s">
        <v>44</v>
      </c>
      <c r="E155" s="23" t="s">
        <v>190</v>
      </c>
      <c r="F155" s="23">
        <v>15</v>
      </c>
      <c r="G155" s="23">
        <v>7</v>
      </c>
      <c r="H155" s="23">
        <v>12</v>
      </c>
      <c r="I155" s="23">
        <v>4698</v>
      </c>
      <c r="J155" s="23">
        <v>6401</v>
      </c>
      <c r="K155" s="23">
        <v>2150</v>
      </c>
      <c r="L155" s="23" t="s">
        <v>299</v>
      </c>
      <c r="M155" s="23">
        <f t="shared" si="2"/>
        <v>528</v>
      </c>
      <c r="N155" s="24" t="str">
        <f t="array" ref="N155">INDEX('MATCH INFO'!O:O, INT((ROW()-2)/10)+2 + 92)</f>
        <v>260627_CB_FLC_S2</v>
      </c>
    </row>
    <row r="156" spans="1:14">
      <c r="A156" s="23" t="s">
        <v>51</v>
      </c>
      <c r="B156" s="23" t="s">
        <v>129</v>
      </c>
      <c r="C156" s="23" t="s">
        <v>109</v>
      </c>
      <c r="D156" s="23" t="s">
        <v>44</v>
      </c>
      <c r="E156" s="23" t="s">
        <v>190</v>
      </c>
      <c r="F156" s="23">
        <v>8</v>
      </c>
      <c r="G156" s="23">
        <v>7</v>
      </c>
      <c r="H156" s="23">
        <v>11</v>
      </c>
      <c r="I156" s="23">
        <v>4479</v>
      </c>
      <c r="J156" s="23">
        <v>8410</v>
      </c>
      <c r="K156" s="23">
        <v>0</v>
      </c>
      <c r="L156" s="23" t="s">
        <v>299</v>
      </c>
      <c r="M156" s="23">
        <f t="shared" si="2"/>
        <v>528</v>
      </c>
      <c r="N156" s="24" t="str">
        <f t="array" ref="N156">INDEX('MATCH INFO'!O:O, INT((ROW()-2)/10)+2 + 92)</f>
        <v>260627_CB_FLC_S2</v>
      </c>
    </row>
    <row r="157" spans="1:14">
      <c r="A157" s="23" t="s">
        <v>31</v>
      </c>
      <c r="B157" s="23" t="s">
        <v>165</v>
      </c>
      <c r="C157" s="23" t="s">
        <v>109</v>
      </c>
      <c r="D157" s="23" t="s">
        <v>44</v>
      </c>
      <c r="E157" s="23" t="s">
        <v>190</v>
      </c>
      <c r="F157" s="23">
        <v>23</v>
      </c>
      <c r="G157" s="23">
        <v>4</v>
      </c>
      <c r="H157" s="23">
        <v>19</v>
      </c>
      <c r="I157" s="23">
        <v>6073</v>
      </c>
      <c r="J157" s="23">
        <v>5668</v>
      </c>
      <c r="K157" s="23">
        <v>1872</v>
      </c>
      <c r="L157" s="23" t="s">
        <v>299</v>
      </c>
      <c r="M157" s="23">
        <f t="shared" si="2"/>
        <v>528</v>
      </c>
      <c r="N157" s="24" t="str">
        <f t="array" ref="N157">INDEX('MATCH INFO'!O:O, INT((ROW()-2)/10)+2 + 92)</f>
        <v>260627_CB_FLC_S2</v>
      </c>
    </row>
    <row r="158" spans="1:14">
      <c r="A158" s="23" t="s">
        <v>31</v>
      </c>
      <c r="B158" s="23" t="s">
        <v>166</v>
      </c>
      <c r="C158" s="23" t="s">
        <v>109</v>
      </c>
      <c r="D158" s="23" t="s">
        <v>44</v>
      </c>
      <c r="E158" s="23" t="s">
        <v>190</v>
      </c>
      <c r="F158" s="23">
        <v>14</v>
      </c>
      <c r="G158" s="23">
        <v>5</v>
      </c>
      <c r="H158" s="23">
        <v>28</v>
      </c>
      <c r="I158" s="23">
        <v>4661</v>
      </c>
      <c r="J158" s="23">
        <v>11585</v>
      </c>
      <c r="K158" s="23">
        <v>0</v>
      </c>
      <c r="L158" s="23" t="s">
        <v>299</v>
      </c>
      <c r="M158" s="23">
        <f t="shared" si="2"/>
        <v>528</v>
      </c>
      <c r="N158" s="24" t="str">
        <f t="array" ref="N158">INDEX('MATCH INFO'!O:O, INT((ROW()-2)/10)+2 + 92)</f>
        <v>260627_CB_FLC_S2</v>
      </c>
    </row>
    <row r="159" spans="1:14">
      <c r="A159" s="23" t="s">
        <v>31</v>
      </c>
      <c r="B159" s="23" t="s">
        <v>161</v>
      </c>
      <c r="C159" s="23" t="s">
        <v>101</v>
      </c>
      <c r="D159" s="23" t="s">
        <v>44</v>
      </c>
      <c r="E159" s="23" t="s">
        <v>190</v>
      </c>
      <c r="F159" s="23">
        <v>27</v>
      </c>
      <c r="G159" s="23">
        <v>4</v>
      </c>
      <c r="H159" s="23">
        <v>21</v>
      </c>
      <c r="I159" s="23">
        <v>10290</v>
      </c>
      <c r="J159" s="23">
        <v>3049</v>
      </c>
      <c r="K159" s="23">
        <v>6321</v>
      </c>
      <c r="L159" s="23" t="s">
        <v>299</v>
      </c>
      <c r="M159" s="23">
        <f t="shared" si="2"/>
        <v>528</v>
      </c>
      <c r="N159" s="24" t="str">
        <f t="array" ref="N159">INDEX('MATCH INFO'!O:O, INT((ROW()-2)/10)+2 + 92)</f>
        <v>260627_CB_FLC_S2</v>
      </c>
    </row>
    <row r="160" spans="1:14">
      <c r="A160" s="23" t="s">
        <v>31</v>
      </c>
      <c r="B160" s="23" t="s">
        <v>164</v>
      </c>
      <c r="C160" s="23" t="s">
        <v>104</v>
      </c>
      <c r="D160" s="23" t="s">
        <v>44</v>
      </c>
      <c r="E160" s="23" t="s">
        <v>190</v>
      </c>
      <c r="F160" s="23">
        <v>28</v>
      </c>
      <c r="G160" s="23">
        <v>6</v>
      </c>
      <c r="H160" s="23">
        <v>4</v>
      </c>
      <c r="I160" s="23">
        <v>10779</v>
      </c>
      <c r="J160" s="23">
        <v>3</v>
      </c>
      <c r="K160" s="23">
        <v>542</v>
      </c>
      <c r="L160" s="23" t="s">
        <v>299</v>
      </c>
      <c r="M160" s="23">
        <f t="shared" si="2"/>
        <v>528</v>
      </c>
      <c r="N160" s="24" t="str">
        <f t="array" ref="N160">INDEX('MATCH INFO'!O:O, INT((ROW()-2)/10)+2 + 92)</f>
        <v>260627_CB_FLC_S2</v>
      </c>
    </row>
    <row r="161" spans="1:14">
      <c r="A161" s="23" t="s">
        <v>31</v>
      </c>
      <c r="B161" s="23" t="s">
        <v>162</v>
      </c>
      <c r="C161" s="23" t="s">
        <v>104</v>
      </c>
      <c r="D161" s="23" t="s">
        <v>44</v>
      </c>
      <c r="E161" s="23" t="s">
        <v>190</v>
      </c>
      <c r="F161" s="23">
        <v>21</v>
      </c>
      <c r="G161" s="23">
        <v>5</v>
      </c>
      <c r="H161" s="23">
        <v>0</v>
      </c>
      <c r="I161" s="23">
        <v>9727</v>
      </c>
      <c r="J161" s="23">
        <v>1454</v>
      </c>
      <c r="K161" s="23">
        <v>0</v>
      </c>
      <c r="L161" s="23" t="s">
        <v>299</v>
      </c>
      <c r="M161" s="23">
        <f t="shared" si="2"/>
        <v>528</v>
      </c>
      <c r="N161" s="24" t="str">
        <f t="array" ref="N161">INDEX('MATCH INFO'!O:O, INT((ROW()-2)/10)+2 + 92)</f>
        <v>260627_CB_FLC_S2</v>
      </c>
    </row>
    <row r="162" spans="1:14">
      <c r="A162" s="23" t="s">
        <v>51</v>
      </c>
      <c r="B162" s="23" t="s">
        <v>126</v>
      </c>
      <c r="C162" s="23" t="s">
        <v>104</v>
      </c>
      <c r="D162" s="23" t="s">
        <v>28</v>
      </c>
      <c r="E162" s="23" t="s">
        <v>192</v>
      </c>
      <c r="F162" s="23">
        <v>2</v>
      </c>
      <c r="G162" s="23">
        <v>5</v>
      </c>
      <c r="H162" s="23">
        <v>0</v>
      </c>
      <c r="I162" s="23">
        <v>4741</v>
      </c>
      <c r="J162" s="23">
        <v>703</v>
      </c>
      <c r="K162" s="23">
        <v>0</v>
      </c>
      <c r="L162" s="23" t="s">
        <v>300</v>
      </c>
      <c r="M162" s="23">
        <f t="shared" si="2"/>
        <v>283</v>
      </c>
      <c r="N162" s="24" t="str">
        <f t="array" ref="N162">INDEX('MATCH INFO'!O:O, INT((ROW()-2)/10)+2 + 92)</f>
        <v>260627_CB_FLC_S3</v>
      </c>
    </row>
    <row r="163" spans="1:14">
      <c r="A163" s="23" t="s">
        <v>51</v>
      </c>
      <c r="B163" s="23" t="s">
        <v>125</v>
      </c>
      <c r="C163" s="23" t="s">
        <v>101</v>
      </c>
      <c r="D163" s="23" t="s">
        <v>28</v>
      </c>
      <c r="E163" s="23" t="s">
        <v>192</v>
      </c>
      <c r="F163" s="23">
        <v>3</v>
      </c>
      <c r="G163" s="23">
        <v>5</v>
      </c>
      <c r="H163" s="23">
        <v>2</v>
      </c>
      <c r="I163" s="23">
        <v>4239</v>
      </c>
      <c r="J163" s="23">
        <v>1031</v>
      </c>
      <c r="K163" s="23">
        <v>6069</v>
      </c>
      <c r="L163" s="23" t="s">
        <v>300</v>
      </c>
      <c r="M163" s="23">
        <f t="shared" si="2"/>
        <v>283</v>
      </c>
      <c r="N163" s="24" t="str">
        <f t="array" ref="N163">INDEX('MATCH INFO'!O:O, INT((ROW()-2)/10)+2 + 92)</f>
        <v>260627_CB_FLC_S3</v>
      </c>
    </row>
    <row r="164" spans="1:14">
      <c r="A164" s="23" t="s">
        <v>51</v>
      </c>
      <c r="B164" s="23" t="s">
        <v>127</v>
      </c>
      <c r="C164" s="23" t="s">
        <v>104</v>
      </c>
      <c r="D164" s="23" t="s">
        <v>28</v>
      </c>
      <c r="E164" s="23" t="s">
        <v>192</v>
      </c>
      <c r="F164" s="23">
        <v>2</v>
      </c>
      <c r="G164" s="23">
        <v>6</v>
      </c>
      <c r="H164" s="23">
        <v>0</v>
      </c>
      <c r="I164" s="23">
        <v>3205</v>
      </c>
      <c r="J164" s="23">
        <v>0</v>
      </c>
      <c r="K164" s="23">
        <v>255</v>
      </c>
      <c r="L164" s="23" t="s">
        <v>300</v>
      </c>
      <c r="M164" s="23">
        <f t="shared" si="2"/>
        <v>283</v>
      </c>
      <c r="N164" s="24" t="str">
        <f t="array" ref="N164">INDEX('MATCH INFO'!O:O, INT((ROW()-2)/10)+2 + 92)</f>
        <v>260627_CB_FLC_S3</v>
      </c>
    </row>
    <row r="165" spans="1:14">
      <c r="A165" s="23" t="s">
        <v>51</v>
      </c>
      <c r="B165" s="23" t="s">
        <v>128</v>
      </c>
      <c r="C165" s="23" t="s">
        <v>109</v>
      </c>
      <c r="D165" s="23" t="s">
        <v>28</v>
      </c>
      <c r="E165" s="23" t="s">
        <v>192</v>
      </c>
      <c r="F165" s="23">
        <v>2</v>
      </c>
      <c r="G165" s="23">
        <v>5</v>
      </c>
      <c r="H165" s="23">
        <v>3</v>
      </c>
      <c r="I165" s="23">
        <v>1346</v>
      </c>
      <c r="J165" s="23">
        <v>3360</v>
      </c>
      <c r="K165" s="23">
        <v>246</v>
      </c>
      <c r="L165" s="23" t="s">
        <v>300</v>
      </c>
      <c r="M165" s="23">
        <f t="shared" si="2"/>
        <v>283</v>
      </c>
      <c r="N165" s="24" t="str">
        <f t="array" ref="N165">INDEX('MATCH INFO'!O:O, INT((ROW()-2)/10)+2 + 92)</f>
        <v>260627_CB_FLC_S3</v>
      </c>
    </row>
    <row r="166" spans="1:14">
      <c r="A166" s="23" t="s">
        <v>51</v>
      </c>
      <c r="B166" s="23" t="s">
        <v>129</v>
      </c>
      <c r="C166" s="23" t="s">
        <v>109</v>
      </c>
      <c r="D166" s="23" t="s">
        <v>28</v>
      </c>
      <c r="E166" s="23" t="s">
        <v>192</v>
      </c>
      <c r="F166" s="23">
        <v>2</v>
      </c>
      <c r="G166" s="23">
        <v>5</v>
      </c>
      <c r="H166" s="23">
        <v>2</v>
      </c>
      <c r="I166" s="23">
        <v>2653</v>
      </c>
      <c r="J166" s="23">
        <v>6231</v>
      </c>
      <c r="K166" s="23">
        <v>0</v>
      </c>
      <c r="L166" s="23" t="s">
        <v>300</v>
      </c>
      <c r="M166" s="23">
        <f t="shared" si="2"/>
        <v>283</v>
      </c>
      <c r="N166" s="24" t="str">
        <f t="array" ref="N166">INDEX('MATCH INFO'!O:O, INT((ROW()-2)/10)+2 + 92)</f>
        <v>260627_CB_FLC_S3</v>
      </c>
    </row>
    <row r="167" spans="1:14">
      <c r="A167" s="23" t="s">
        <v>31</v>
      </c>
      <c r="B167" s="23" t="s">
        <v>165</v>
      </c>
      <c r="C167" s="23" t="s">
        <v>109</v>
      </c>
      <c r="D167" s="23" t="s">
        <v>28</v>
      </c>
      <c r="E167" s="23" t="s">
        <v>192</v>
      </c>
      <c r="F167" s="23">
        <v>10</v>
      </c>
      <c r="G167" s="23">
        <v>0</v>
      </c>
      <c r="H167" s="23">
        <v>11</v>
      </c>
      <c r="I167" s="23">
        <v>1694</v>
      </c>
      <c r="J167" s="23">
        <v>6280</v>
      </c>
      <c r="K167" s="23">
        <v>0</v>
      </c>
      <c r="L167" s="23" t="s">
        <v>300</v>
      </c>
      <c r="M167" s="23">
        <f t="shared" si="2"/>
        <v>283</v>
      </c>
      <c r="N167" s="24" t="str">
        <f t="array" ref="N167">INDEX('MATCH INFO'!O:O, INT((ROW()-2)/10)+2 + 92)</f>
        <v>260627_CB_FLC_S3</v>
      </c>
    </row>
    <row r="168" spans="1:14">
      <c r="A168" s="23" t="s">
        <v>31</v>
      </c>
      <c r="B168" s="23" t="s">
        <v>166</v>
      </c>
      <c r="C168" s="23" t="s">
        <v>109</v>
      </c>
      <c r="D168" s="23" t="s">
        <v>28</v>
      </c>
      <c r="E168" s="23" t="s">
        <v>192</v>
      </c>
      <c r="F168" s="23">
        <v>10</v>
      </c>
      <c r="G168" s="23">
        <v>0</v>
      </c>
      <c r="H168" s="23">
        <v>20</v>
      </c>
      <c r="I168" s="23">
        <v>2015</v>
      </c>
      <c r="J168" s="23">
        <v>5526</v>
      </c>
      <c r="K168" s="23">
        <v>0</v>
      </c>
      <c r="L168" s="23" t="s">
        <v>300</v>
      </c>
      <c r="M168" s="23">
        <f t="shared" si="2"/>
        <v>283</v>
      </c>
      <c r="N168" s="24" t="str">
        <f t="array" ref="N168">INDEX('MATCH INFO'!O:O, INT((ROW()-2)/10)+2 + 92)</f>
        <v>260627_CB_FLC_S3</v>
      </c>
    </row>
    <row r="169" spans="1:14">
      <c r="A169" s="23" t="s">
        <v>31</v>
      </c>
      <c r="B169" s="23" t="s">
        <v>161</v>
      </c>
      <c r="C169" s="23" t="s">
        <v>101</v>
      </c>
      <c r="D169" s="23" t="s">
        <v>28</v>
      </c>
      <c r="E169" s="23" t="s">
        <v>192</v>
      </c>
      <c r="F169" s="23">
        <v>15</v>
      </c>
      <c r="G169" s="23">
        <v>0</v>
      </c>
      <c r="H169" s="23">
        <v>7</v>
      </c>
      <c r="I169" s="23">
        <v>3302</v>
      </c>
      <c r="J169" s="23">
        <v>700</v>
      </c>
      <c r="K169" s="23">
        <v>9021</v>
      </c>
      <c r="L169" s="23" t="s">
        <v>300</v>
      </c>
      <c r="M169" s="23">
        <f t="shared" si="2"/>
        <v>283</v>
      </c>
      <c r="N169" s="24" t="str">
        <f t="array" ref="N169">INDEX('MATCH INFO'!O:O, INT((ROW()-2)/10)+2 + 92)</f>
        <v>260627_CB_FLC_S3</v>
      </c>
    </row>
    <row r="170" spans="1:14">
      <c r="A170" s="23" t="s">
        <v>31</v>
      </c>
      <c r="B170" s="23" t="s">
        <v>164</v>
      </c>
      <c r="C170" s="23" t="s">
        <v>104</v>
      </c>
      <c r="D170" s="23" t="s">
        <v>28</v>
      </c>
      <c r="E170" s="23" t="s">
        <v>192</v>
      </c>
      <c r="F170" s="23">
        <v>17</v>
      </c>
      <c r="G170" s="23">
        <v>2</v>
      </c>
      <c r="H170" s="23">
        <v>3</v>
      </c>
      <c r="I170" s="23">
        <v>8030</v>
      </c>
      <c r="J170" s="23">
        <v>21</v>
      </c>
      <c r="K170" s="23">
        <v>798</v>
      </c>
      <c r="L170" s="23" t="s">
        <v>300</v>
      </c>
      <c r="M170" s="23">
        <f t="shared" si="2"/>
        <v>283</v>
      </c>
      <c r="N170" s="24" t="str">
        <f t="array" ref="N170">INDEX('MATCH INFO'!O:O, INT((ROW()-2)/10)+2 + 92)</f>
        <v>260627_CB_FLC_S3</v>
      </c>
    </row>
    <row r="171" spans="1:14">
      <c r="A171" s="23" t="s">
        <v>31</v>
      </c>
      <c r="B171" s="23" t="s">
        <v>162</v>
      </c>
      <c r="C171" s="23" t="s">
        <v>104</v>
      </c>
      <c r="D171" s="23" t="s">
        <v>28</v>
      </c>
      <c r="E171" s="23" t="s">
        <v>192</v>
      </c>
      <c r="F171" s="23">
        <v>21</v>
      </c>
      <c r="G171" s="23">
        <v>1</v>
      </c>
      <c r="H171" s="23">
        <v>2</v>
      </c>
      <c r="I171" s="23">
        <v>7342</v>
      </c>
      <c r="J171" s="23">
        <v>0</v>
      </c>
      <c r="K171" s="23">
        <v>72</v>
      </c>
      <c r="L171" s="23" t="s">
        <v>300</v>
      </c>
      <c r="M171" s="23">
        <f t="shared" si="2"/>
        <v>283</v>
      </c>
      <c r="N171" s="24" t="str">
        <f t="array" ref="N171">INDEX('MATCH INFO'!O:O, INT((ROW()-2)/10)+2 + 92)</f>
        <v>260627_CB_FLC_S3</v>
      </c>
    </row>
    <row r="172" spans="1:14">
      <c r="A172" s="23" t="s">
        <v>53</v>
      </c>
      <c r="B172" s="23" t="s">
        <v>170</v>
      </c>
      <c r="C172" s="23" t="s">
        <v>104</v>
      </c>
      <c r="D172" s="23" t="s">
        <v>22</v>
      </c>
      <c r="E172" s="23" t="s">
        <v>188</v>
      </c>
      <c r="F172" s="23">
        <v>2</v>
      </c>
      <c r="G172" s="23">
        <v>7</v>
      </c>
      <c r="H172" s="23">
        <v>0</v>
      </c>
      <c r="I172" s="23">
        <v>5603</v>
      </c>
      <c r="J172" s="23">
        <v>747</v>
      </c>
      <c r="K172" s="23">
        <v>3325</v>
      </c>
      <c r="L172" s="23" t="s">
        <v>301</v>
      </c>
      <c r="M172" s="23">
        <f t="shared" si="2"/>
        <v>306</v>
      </c>
      <c r="N172" s="24" t="str">
        <f t="array" ref="N172">INDEX('MATCH INFO'!O:O, INT((ROW()-2)/10)+2 + 92)</f>
        <v>260627_SB_CR_S1</v>
      </c>
    </row>
    <row r="173" spans="1:14">
      <c r="A173" s="23" t="s">
        <v>53</v>
      </c>
      <c r="B173" s="23" t="s">
        <v>168</v>
      </c>
      <c r="C173" s="23" t="s">
        <v>101</v>
      </c>
      <c r="D173" s="23" t="s">
        <v>22</v>
      </c>
      <c r="E173" s="23" t="s">
        <v>188</v>
      </c>
      <c r="F173" s="23">
        <v>4</v>
      </c>
      <c r="G173" s="23">
        <v>4</v>
      </c>
      <c r="H173" s="23">
        <v>1</v>
      </c>
      <c r="I173" s="23">
        <v>5206</v>
      </c>
      <c r="J173" s="23">
        <v>1056</v>
      </c>
      <c r="K173" s="23">
        <v>8595</v>
      </c>
      <c r="L173" s="23" t="s">
        <v>301</v>
      </c>
      <c r="M173" s="23">
        <f t="shared" si="2"/>
        <v>306</v>
      </c>
      <c r="N173" s="24" t="str">
        <f t="array" ref="N173">INDEX('MATCH INFO'!O:O, INT((ROW()-2)/10)+2 + 92)</f>
        <v>260627_SB_CR_S1</v>
      </c>
    </row>
    <row r="174" spans="1:14">
      <c r="A174" s="23" t="s">
        <v>53</v>
      </c>
      <c r="B174" s="23" t="s">
        <v>172</v>
      </c>
      <c r="C174" s="23" t="s">
        <v>109</v>
      </c>
      <c r="D174" s="23" t="s">
        <v>22</v>
      </c>
      <c r="E174" s="23" t="s">
        <v>188</v>
      </c>
      <c r="F174" s="23">
        <v>3</v>
      </c>
      <c r="G174" s="23">
        <v>5</v>
      </c>
      <c r="H174" s="23">
        <v>7</v>
      </c>
      <c r="I174" s="23">
        <v>1874</v>
      </c>
      <c r="J174" s="23">
        <v>5498</v>
      </c>
      <c r="K174" s="23">
        <v>0</v>
      </c>
      <c r="L174" s="23" t="s">
        <v>301</v>
      </c>
      <c r="M174" s="23">
        <f t="shared" si="2"/>
        <v>306</v>
      </c>
      <c r="N174" s="24" t="str">
        <f t="array" ref="N174">INDEX('MATCH INFO'!O:O, INT((ROW()-2)/10)+2 + 92)</f>
        <v>260627_SB_CR_S1</v>
      </c>
    </row>
    <row r="175" spans="1:14">
      <c r="A175" s="23" t="s">
        <v>53</v>
      </c>
      <c r="B175" s="23" t="s">
        <v>171</v>
      </c>
      <c r="C175" s="23" t="s">
        <v>104</v>
      </c>
      <c r="D175" s="23" t="s">
        <v>22</v>
      </c>
      <c r="E175" s="23" t="s">
        <v>188</v>
      </c>
      <c r="F175" s="23">
        <v>8</v>
      </c>
      <c r="G175" s="23">
        <v>4</v>
      </c>
      <c r="H175" s="23">
        <v>2</v>
      </c>
      <c r="I175" s="23">
        <v>8236</v>
      </c>
      <c r="J175" s="23">
        <v>86</v>
      </c>
      <c r="K175" s="23">
        <v>934</v>
      </c>
      <c r="L175" s="23" t="s">
        <v>301</v>
      </c>
      <c r="M175" s="23">
        <f t="shared" si="2"/>
        <v>306</v>
      </c>
      <c r="N175" s="24" t="str">
        <f t="array" ref="N175">INDEX('MATCH INFO'!O:O, INT((ROW()-2)/10)+2 + 92)</f>
        <v>260627_SB_CR_S1</v>
      </c>
    </row>
    <row r="176" spans="1:14">
      <c r="A176" s="23" t="s">
        <v>53</v>
      </c>
      <c r="B176" s="23" t="s">
        <v>174</v>
      </c>
      <c r="C176" s="23" t="s">
        <v>109</v>
      </c>
      <c r="D176" s="23" t="s">
        <v>22</v>
      </c>
      <c r="E176" s="23" t="s">
        <v>188</v>
      </c>
      <c r="F176" s="23">
        <v>1</v>
      </c>
      <c r="G176" s="23">
        <v>8</v>
      </c>
      <c r="H176" s="23">
        <v>4</v>
      </c>
      <c r="I176" s="23">
        <v>2787</v>
      </c>
      <c r="J176" s="23">
        <v>9771</v>
      </c>
      <c r="K176" s="23">
        <v>0</v>
      </c>
      <c r="L176" s="23" t="s">
        <v>301</v>
      </c>
      <c r="M176" s="23">
        <f t="shared" si="2"/>
        <v>306</v>
      </c>
      <c r="N176" s="24" t="str">
        <f t="array" ref="N176">INDEX('MATCH INFO'!O:O, INT((ROW()-2)/10)+2 + 92)</f>
        <v>260627_SB_CR_S1</v>
      </c>
    </row>
    <row r="177" spans="1:14">
      <c r="A177" s="23" t="s">
        <v>32</v>
      </c>
      <c r="B177" s="23" t="s">
        <v>150</v>
      </c>
      <c r="C177" s="23" t="s">
        <v>109</v>
      </c>
      <c r="D177" s="23" t="s">
        <v>22</v>
      </c>
      <c r="E177" s="23" t="s">
        <v>188</v>
      </c>
      <c r="F177" s="23">
        <v>14</v>
      </c>
      <c r="G177" s="23">
        <v>2</v>
      </c>
      <c r="H177" s="23">
        <v>11</v>
      </c>
      <c r="I177" s="23">
        <v>4563</v>
      </c>
      <c r="J177" s="23">
        <v>4336</v>
      </c>
      <c r="K177" s="23">
        <v>0</v>
      </c>
      <c r="L177" s="23" t="s">
        <v>301</v>
      </c>
      <c r="M177" s="23">
        <f t="shared" si="2"/>
        <v>306</v>
      </c>
      <c r="N177" s="24" t="str">
        <f t="array" ref="N177">INDEX('MATCH INFO'!O:O, INT((ROW()-2)/10)+2 + 92)</f>
        <v>260627_SB_CR_S1</v>
      </c>
    </row>
    <row r="178" spans="1:14">
      <c r="A178" s="23" t="s">
        <v>32</v>
      </c>
      <c r="B178" s="23" t="s">
        <v>148</v>
      </c>
      <c r="C178" s="23" t="s">
        <v>104</v>
      </c>
      <c r="D178" s="23" t="s">
        <v>22</v>
      </c>
      <c r="E178" s="23" t="s">
        <v>188</v>
      </c>
      <c r="F178" s="23">
        <v>14</v>
      </c>
      <c r="G178" s="23">
        <v>3</v>
      </c>
      <c r="H178" s="23">
        <v>0</v>
      </c>
      <c r="I178" s="23">
        <v>9074</v>
      </c>
      <c r="J178" s="23">
        <v>0</v>
      </c>
      <c r="K178" s="23">
        <v>635</v>
      </c>
      <c r="L178" s="23" t="s">
        <v>301</v>
      </c>
      <c r="M178" s="23">
        <f t="shared" si="2"/>
        <v>306</v>
      </c>
      <c r="N178" s="24" t="str">
        <f t="array" ref="N178">INDEX('MATCH INFO'!O:O, INT((ROW()-2)/10)+2 + 92)</f>
        <v>260627_SB_CR_S1</v>
      </c>
    </row>
    <row r="179" spans="1:14">
      <c r="A179" s="23" t="s">
        <v>32</v>
      </c>
      <c r="B179" s="23" t="s">
        <v>146</v>
      </c>
      <c r="C179" s="23" t="s">
        <v>101</v>
      </c>
      <c r="D179" s="23" t="s">
        <v>22</v>
      </c>
      <c r="E179" s="23" t="s">
        <v>188</v>
      </c>
      <c r="F179" s="23">
        <v>16</v>
      </c>
      <c r="G179" s="23">
        <v>2</v>
      </c>
      <c r="H179" s="23">
        <v>6</v>
      </c>
      <c r="I179" s="23">
        <v>6942</v>
      </c>
      <c r="J179" s="23">
        <v>870</v>
      </c>
      <c r="K179" s="23">
        <v>7642</v>
      </c>
      <c r="L179" s="23" t="s">
        <v>301</v>
      </c>
      <c r="M179" s="23">
        <f t="shared" si="2"/>
        <v>306</v>
      </c>
      <c r="N179" s="24" t="str">
        <f t="array" ref="N179">INDEX('MATCH INFO'!O:O, INT((ROW()-2)/10)+2 + 92)</f>
        <v>260627_SB_CR_S1</v>
      </c>
    </row>
    <row r="180" spans="1:14">
      <c r="A180" s="23" t="s">
        <v>32</v>
      </c>
      <c r="B180" s="23" t="s">
        <v>149</v>
      </c>
      <c r="C180" s="23" t="s">
        <v>104</v>
      </c>
      <c r="D180" s="23" t="s">
        <v>22</v>
      </c>
      <c r="E180" s="23" t="s">
        <v>188</v>
      </c>
      <c r="F180" s="23">
        <v>19</v>
      </c>
      <c r="G180" s="23">
        <v>0</v>
      </c>
      <c r="H180" s="23">
        <v>1</v>
      </c>
      <c r="I180" s="23">
        <v>10072</v>
      </c>
      <c r="J180" s="23">
        <v>29</v>
      </c>
      <c r="K180" s="23">
        <v>227</v>
      </c>
      <c r="L180" s="23" t="s">
        <v>301</v>
      </c>
      <c r="M180" s="23">
        <f t="shared" si="2"/>
        <v>306</v>
      </c>
      <c r="N180" s="24" t="str">
        <f t="array" ref="N180">INDEX('MATCH INFO'!O:O, INT((ROW()-2)/10)+2 + 92)</f>
        <v>260627_SB_CR_S1</v>
      </c>
    </row>
    <row r="181" spans="1:14">
      <c r="A181" s="23" t="s">
        <v>32</v>
      </c>
      <c r="B181" s="23" t="s">
        <v>151</v>
      </c>
      <c r="C181" s="23" t="s">
        <v>109</v>
      </c>
      <c r="D181" s="23" t="s">
        <v>22</v>
      </c>
      <c r="E181" s="23" t="s">
        <v>188</v>
      </c>
      <c r="F181" s="23">
        <v>6</v>
      </c>
      <c r="G181" s="23">
        <v>1</v>
      </c>
      <c r="H181" s="23">
        <v>15</v>
      </c>
      <c r="I181" s="23">
        <v>3307</v>
      </c>
      <c r="J181" s="23">
        <v>8310</v>
      </c>
      <c r="K181" s="23">
        <v>0</v>
      </c>
      <c r="L181" s="23" t="s">
        <v>301</v>
      </c>
      <c r="M181" s="23">
        <f t="shared" si="2"/>
        <v>306</v>
      </c>
      <c r="N181" s="24" t="str">
        <f t="array" ref="N181">INDEX('MATCH INFO'!O:O, INT((ROW()-2)/10)+2 + 92)</f>
        <v>260627_SB_CR_S1</v>
      </c>
    </row>
    <row r="182" spans="1:14">
      <c r="A182" s="23" t="s">
        <v>53</v>
      </c>
      <c r="B182" s="23" t="s">
        <v>173</v>
      </c>
      <c r="C182" s="23" t="s">
        <v>109</v>
      </c>
      <c r="D182" s="23" t="s">
        <v>44</v>
      </c>
      <c r="E182" s="23" t="s">
        <v>190</v>
      </c>
      <c r="F182" s="23">
        <v>11</v>
      </c>
      <c r="G182" s="23">
        <v>8</v>
      </c>
      <c r="H182" s="23">
        <v>10</v>
      </c>
      <c r="I182" s="23">
        <v>5406</v>
      </c>
      <c r="J182" s="23">
        <v>9650</v>
      </c>
      <c r="K182" s="23">
        <v>1978</v>
      </c>
      <c r="L182" s="23" t="s">
        <v>302</v>
      </c>
      <c r="M182" s="23">
        <f t="shared" si="2"/>
        <v>605</v>
      </c>
      <c r="N182" s="24" t="str">
        <f t="array" ref="N182">INDEX('MATCH INFO'!O:O, INT((ROW()-2)/10)+2 + 92)</f>
        <v>260627_SB_CR_S2</v>
      </c>
    </row>
    <row r="183" spans="1:14">
      <c r="A183" s="23" t="s">
        <v>53</v>
      </c>
      <c r="B183" s="23" t="s">
        <v>169</v>
      </c>
      <c r="C183" s="23" t="s">
        <v>101</v>
      </c>
      <c r="D183" s="23" t="s">
        <v>44</v>
      </c>
      <c r="E183" s="23" t="s">
        <v>190</v>
      </c>
      <c r="F183" s="23">
        <v>11</v>
      </c>
      <c r="G183" s="23">
        <v>7</v>
      </c>
      <c r="H183" s="23">
        <v>4</v>
      </c>
      <c r="I183" s="23">
        <v>10568</v>
      </c>
      <c r="J183" s="23">
        <v>1764</v>
      </c>
      <c r="K183" s="23">
        <v>7680</v>
      </c>
      <c r="L183" s="23" t="s">
        <v>302</v>
      </c>
      <c r="M183" s="23">
        <f t="shared" si="2"/>
        <v>605</v>
      </c>
      <c r="N183" s="24" t="str">
        <f t="array" ref="N183">INDEX('MATCH INFO'!O:O, INT((ROW()-2)/10)+2 + 92)</f>
        <v>260627_SB_CR_S2</v>
      </c>
    </row>
    <row r="184" spans="1:14">
      <c r="A184" s="23" t="s">
        <v>53</v>
      </c>
      <c r="B184" s="23" t="s">
        <v>172</v>
      </c>
      <c r="C184" s="23" t="s">
        <v>109</v>
      </c>
      <c r="D184" s="23" t="s">
        <v>44</v>
      </c>
      <c r="E184" s="23" t="s">
        <v>190</v>
      </c>
      <c r="F184" s="23">
        <v>13</v>
      </c>
      <c r="G184" s="23">
        <v>6</v>
      </c>
      <c r="H184" s="23">
        <v>4</v>
      </c>
      <c r="I184" s="23">
        <v>9038</v>
      </c>
      <c r="J184" s="23">
        <v>501</v>
      </c>
      <c r="K184" s="23">
        <v>4426</v>
      </c>
      <c r="L184" s="23" t="s">
        <v>302</v>
      </c>
      <c r="M184" s="23">
        <f t="shared" si="2"/>
        <v>605</v>
      </c>
      <c r="N184" s="24" t="str">
        <f t="array" ref="N184">INDEX('MATCH INFO'!O:O, INT((ROW()-2)/10)+2 + 92)</f>
        <v>260627_SB_CR_S2</v>
      </c>
    </row>
    <row r="185" spans="1:14">
      <c r="A185" s="23" t="s">
        <v>53</v>
      </c>
      <c r="B185" s="23" t="s">
        <v>171</v>
      </c>
      <c r="C185" s="23" t="s">
        <v>104</v>
      </c>
      <c r="D185" s="23" t="s">
        <v>44</v>
      </c>
      <c r="E185" s="23" t="s">
        <v>190</v>
      </c>
      <c r="F185" s="23">
        <v>11</v>
      </c>
      <c r="G185" s="23">
        <v>13</v>
      </c>
      <c r="H185" s="23">
        <v>0</v>
      </c>
      <c r="I185" s="23">
        <v>8382</v>
      </c>
      <c r="J185" s="23">
        <v>0</v>
      </c>
      <c r="K185" s="23">
        <v>40</v>
      </c>
      <c r="L185" s="23" t="s">
        <v>302</v>
      </c>
      <c r="M185" s="23">
        <f t="shared" si="2"/>
        <v>605</v>
      </c>
      <c r="N185" s="24" t="str">
        <f t="array" ref="N185">INDEX('MATCH INFO'!O:O, INT((ROW()-2)/10)+2 + 92)</f>
        <v>260627_SB_CR_S2</v>
      </c>
    </row>
    <row r="186" spans="1:14">
      <c r="A186" s="23" t="s">
        <v>53</v>
      </c>
      <c r="B186" s="23" t="s">
        <v>174</v>
      </c>
      <c r="C186" s="23" t="s">
        <v>109</v>
      </c>
      <c r="D186" s="23" t="s">
        <v>44</v>
      </c>
      <c r="E186" s="23" t="s">
        <v>190</v>
      </c>
      <c r="F186" s="23">
        <v>8</v>
      </c>
      <c r="G186" s="23">
        <v>7</v>
      </c>
      <c r="H186" s="23">
        <v>15</v>
      </c>
      <c r="I186" s="23">
        <v>3867</v>
      </c>
      <c r="J186" s="23">
        <v>10696</v>
      </c>
      <c r="K186" s="23">
        <v>0</v>
      </c>
      <c r="L186" s="23" t="s">
        <v>302</v>
      </c>
      <c r="M186" s="23">
        <f t="shared" si="2"/>
        <v>605</v>
      </c>
      <c r="N186" s="24" t="str">
        <f t="array" ref="N186">INDEX('MATCH INFO'!O:O, INT((ROW()-2)/10)+2 + 92)</f>
        <v>260627_SB_CR_S2</v>
      </c>
    </row>
    <row r="187" spans="1:14">
      <c r="A187" s="23" t="s">
        <v>32</v>
      </c>
      <c r="B187" s="23" t="s">
        <v>150</v>
      </c>
      <c r="C187" s="23" t="s">
        <v>109</v>
      </c>
      <c r="D187" s="23" t="s">
        <v>44</v>
      </c>
      <c r="E187" s="23" t="s">
        <v>190</v>
      </c>
      <c r="F187" s="23">
        <v>22</v>
      </c>
      <c r="G187" s="23">
        <v>2</v>
      </c>
      <c r="H187" s="23">
        <v>24</v>
      </c>
      <c r="I187" s="23">
        <v>6379</v>
      </c>
      <c r="J187" s="23">
        <v>7846</v>
      </c>
      <c r="K187" s="23">
        <v>2131</v>
      </c>
      <c r="L187" s="23" t="s">
        <v>302</v>
      </c>
      <c r="M187" s="23">
        <f t="shared" si="2"/>
        <v>605</v>
      </c>
      <c r="N187" s="24" t="str">
        <f t="array" ref="N187">INDEX('MATCH INFO'!O:O, INT((ROW()-2)/10)+2 + 92)</f>
        <v>260627_SB_CR_S2</v>
      </c>
    </row>
    <row r="188" spans="1:14">
      <c r="A188" s="23" t="s">
        <v>32</v>
      </c>
      <c r="B188" s="23" t="s">
        <v>148</v>
      </c>
      <c r="C188" s="23" t="s">
        <v>104</v>
      </c>
      <c r="D188" s="23" t="s">
        <v>44</v>
      </c>
      <c r="E188" s="23" t="s">
        <v>190</v>
      </c>
      <c r="F188" s="23">
        <v>20</v>
      </c>
      <c r="G188" s="23">
        <v>5</v>
      </c>
      <c r="H188" s="23">
        <v>0</v>
      </c>
      <c r="I188" s="23">
        <v>11192</v>
      </c>
      <c r="J188" s="23">
        <v>0</v>
      </c>
      <c r="K188" s="23">
        <v>0</v>
      </c>
      <c r="L188" s="23" t="s">
        <v>302</v>
      </c>
      <c r="M188" s="23">
        <f t="shared" si="2"/>
        <v>605</v>
      </c>
      <c r="N188" s="24" t="str">
        <f t="array" ref="N188">INDEX('MATCH INFO'!O:O, INT((ROW()-2)/10)+2 + 92)</f>
        <v>260627_SB_CR_S2</v>
      </c>
    </row>
    <row r="189" spans="1:14">
      <c r="A189" s="23" t="s">
        <v>32</v>
      </c>
      <c r="B189" s="23" t="s">
        <v>146</v>
      </c>
      <c r="C189" s="23" t="s">
        <v>101</v>
      </c>
      <c r="D189" s="23" t="s">
        <v>44</v>
      </c>
      <c r="E189" s="23" t="s">
        <v>190</v>
      </c>
      <c r="F189" s="23">
        <v>24</v>
      </c>
      <c r="G189" s="23">
        <v>6</v>
      </c>
      <c r="H189" s="23">
        <v>15</v>
      </c>
      <c r="I189" s="23">
        <v>9326</v>
      </c>
      <c r="J189" s="23">
        <v>1992</v>
      </c>
      <c r="K189" s="23">
        <v>4913</v>
      </c>
      <c r="L189" s="23" t="s">
        <v>302</v>
      </c>
      <c r="M189" s="23">
        <f t="shared" si="2"/>
        <v>605</v>
      </c>
      <c r="N189" s="24" t="str">
        <f t="array" ref="N189">INDEX('MATCH INFO'!O:O, INT((ROW()-2)/10)+2 + 92)</f>
        <v>260627_SB_CR_S2</v>
      </c>
    </row>
    <row r="190" spans="1:14">
      <c r="A190" s="23" t="s">
        <v>32</v>
      </c>
      <c r="B190" s="23" t="s">
        <v>149</v>
      </c>
      <c r="C190" s="23" t="s">
        <v>104</v>
      </c>
      <c r="D190" s="23" t="s">
        <v>44</v>
      </c>
      <c r="E190" s="23" t="s">
        <v>190</v>
      </c>
      <c r="F190" s="23">
        <v>29</v>
      </c>
      <c r="G190" s="23">
        <v>2</v>
      </c>
      <c r="H190" s="23">
        <v>6</v>
      </c>
      <c r="I190" s="23">
        <v>9207</v>
      </c>
      <c r="J190" s="23">
        <v>387</v>
      </c>
      <c r="K190" s="23">
        <v>775</v>
      </c>
      <c r="L190" s="23" t="s">
        <v>302</v>
      </c>
      <c r="M190" s="23">
        <f t="shared" si="2"/>
        <v>605</v>
      </c>
      <c r="N190" s="24" t="str">
        <f t="array" ref="N190">INDEX('MATCH INFO'!O:O, INT((ROW()-2)/10)+2 + 92)</f>
        <v>260627_SB_CR_S2</v>
      </c>
    </row>
    <row r="191" spans="1:14">
      <c r="A191" s="23" t="s">
        <v>32</v>
      </c>
      <c r="B191" s="23" t="s">
        <v>151</v>
      </c>
      <c r="C191" s="23" t="s">
        <v>109</v>
      </c>
      <c r="D191" s="23" t="s">
        <v>44</v>
      </c>
      <c r="E191" s="23" t="s">
        <v>190</v>
      </c>
      <c r="F191" s="23">
        <v>15</v>
      </c>
      <c r="G191" s="23">
        <v>5</v>
      </c>
      <c r="H191" s="23">
        <v>27</v>
      </c>
      <c r="I191" s="23">
        <v>4322</v>
      </c>
      <c r="J191" s="23">
        <v>12464</v>
      </c>
      <c r="K191" s="23">
        <v>0</v>
      </c>
      <c r="L191" s="23" t="s">
        <v>302</v>
      </c>
      <c r="M191" s="23">
        <f t="shared" si="2"/>
        <v>605</v>
      </c>
      <c r="N191" s="24" t="str">
        <f t="array" ref="N191">INDEX('MATCH INFO'!O:O, INT((ROW()-2)/10)+2 + 92)</f>
        <v>260627_SB_CR_S2</v>
      </c>
    </row>
    <row r="192" spans="1:14">
      <c r="A192" s="23" t="s">
        <v>32</v>
      </c>
      <c r="B192" s="23" t="s">
        <v>150</v>
      </c>
      <c r="C192" s="23" t="s">
        <v>109</v>
      </c>
      <c r="D192" s="23" t="s">
        <v>69</v>
      </c>
      <c r="E192" s="23" t="s">
        <v>201</v>
      </c>
      <c r="F192" s="23">
        <v>12</v>
      </c>
      <c r="G192" s="23">
        <v>4</v>
      </c>
      <c r="H192" s="23">
        <v>19</v>
      </c>
      <c r="I192" s="23">
        <v>5181</v>
      </c>
      <c r="J192" s="23">
        <v>6309</v>
      </c>
      <c r="K192" s="23">
        <v>361</v>
      </c>
      <c r="L192" s="23" t="s">
        <v>296</v>
      </c>
      <c r="M192" s="23">
        <f t="shared" si="2"/>
        <v>652</v>
      </c>
      <c r="N192" s="24" t="str">
        <f t="array" ref="N192">INDEX('MATCH INFO'!O:O, INT((ROW()-2)/10)+2 + 92)</f>
        <v>260627_SB_CR_S3</v>
      </c>
    </row>
    <row r="193" spans="1:14">
      <c r="A193" s="23" t="s">
        <v>32</v>
      </c>
      <c r="B193" s="23" t="s">
        <v>148</v>
      </c>
      <c r="C193" s="23" t="s">
        <v>104</v>
      </c>
      <c r="D193" s="23" t="s">
        <v>69</v>
      </c>
      <c r="E193" s="23" t="s">
        <v>201</v>
      </c>
      <c r="F193" s="23">
        <v>14</v>
      </c>
      <c r="G193" s="23">
        <v>3</v>
      </c>
      <c r="H193" s="23">
        <v>6</v>
      </c>
      <c r="I193" s="23">
        <v>7882</v>
      </c>
      <c r="J193" s="23">
        <v>70</v>
      </c>
      <c r="K193" s="23">
        <v>240</v>
      </c>
      <c r="L193" s="23" t="s">
        <v>296</v>
      </c>
      <c r="M193" s="23">
        <f t="shared" si="2"/>
        <v>652</v>
      </c>
      <c r="N193" s="24" t="str">
        <f t="array" ref="N193">INDEX('MATCH INFO'!O:O, INT((ROW()-2)/10)+2 + 92)</f>
        <v>260627_SB_CR_S3</v>
      </c>
    </row>
    <row r="194" spans="1:14">
      <c r="A194" s="23" t="s">
        <v>32</v>
      </c>
      <c r="B194" s="23" t="s">
        <v>146</v>
      </c>
      <c r="C194" s="23" t="s">
        <v>101</v>
      </c>
      <c r="D194" s="23" t="s">
        <v>69</v>
      </c>
      <c r="E194" s="23" t="s">
        <v>201</v>
      </c>
      <c r="F194" s="23">
        <v>24</v>
      </c>
      <c r="G194" s="23">
        <v>3</v>
      </c>
      <c r="H194" s="23">
        <v>4</v>
      </c>
      <c r="I194" s="23">
        <v>13532</v>
      </c>
      <c r="J194" s="23">
        <v>0</v>
      </c>
      <c r="K194" s="23">
        <v>22585</v>
      </c>
      <c r="L194" s="23" t="s">
        <v>296</v>
      </c>
      <c r="M194" s="23">
        <f t="shared" ref="M194:M257" si="3">L194*86400</f>
        <v>652</v>
      </c>
      <c r="N194" s="24" t="str">
        <f t="array" ref="N194">INDEX('MATCH INFO'!O:O, INT((ROW()-2)/10)+2 + 92)</f>
        <v>260627_SB_CR_S3</v>
      </c>
    </row>
    <row r="195" spans="1:14">
      <c r="A195" s="23" t="s">
        <v>32</v>
      </c>
      <c r="B195" s="23" t="s">
        <v>149</v>
      </c>
      <c r="C195" s="23" t="s">
        <v>104</v>
      </c>
      <c r="D195" s="23" t="s">
        <v>69</v>
      </c>
      <c r="E195" s="23" t="s">
        <v>201</v>
      </c>
      <c r="F195" s="23">
        <v>22</v>
      </c>
      <c r="G195" s="23">
        <v>4</v>
      </c>
      <c r="H195" s="23">
        <v>0</v>
      </c>
      <c r="I195" s="23">
        <v>10244</v>
      </c>
      <c r="J195" s="23">
        <v>272</v>
      </c>
      <c r="K195" s="23">
        <v>1788</v>
      </c>
      <c r="L195" s="23" t="s">
        <v>296</v>
      </c>
      <c r="M195" s="23">
        <f t="shared" si="3"/>
        <v>652</v>
      </c>
      <c r="N195" s="24" t="str">
        <f t="array" ref="N195">INDEX('MATCH INFO'!O:O, INT((ROW()-2)/10)+2 + 92)</f>
        <v>260627_SB_CR_S3</v>
      </c>
    </row>
    <row r="196" spans="1:14">
      <c r="A196" s="23" t="s">
        <v>32</v>
      </c>
      <c r="B196" s="23" t="s">
        <v>151</v>
      </c>
      <c r="C196" s="23" t="s">
        <v>109</v>
      </c>
      <c r="D196" s="23" t="s">
        <v>69</v>
      </c>
      <c r="E196" s="23" t="s">
        <v>201</v>
      </c>
      <c r="F196" s="23">
        <v>11</v>
      </c>
      <c r="G196" s="23">
        <v>3</v>
      </c>
      <c r="H196" s="23">
        <v>22</v>
      </c>
      <c r="I196" s="23">
        <v>3308</v>
      </c>
      <c r="J196" s="23">
        <v>12009</v>
      </c>
      <c r="K196" s="23">
        <v>287</v>
      </c>
      <c r="L196" s="23" t="s">
        <v>296</v>
      </c>
      <c r="M196" s="23">
        <f t="shared" si="3"/>
        <v>652</v>
      </c>
      <c r="N196" s="24" t="str">
        <f t="array" ref="N196">INDEX('MATCH INFO'!O:O, INT((ROW()-2)/10)+2 + 92)</f>
        <v>260627_SB_CR_S3</v>
      </c>
    </row>
    <row r="197" spans="1:14">
      <c r="A197" s="23" t="s">
        <v>53</v>
      </c>
      <c r="B197" s="23" t="s">
        <v>170</v>
      </c>
      <c r="C197" s="23" t="s">
        <v>104</v>
      </c>
      <c r="D197" s="23" t="s">
        <v>69</v>
      </c>
      <c r="E197" s="23" t="s">
        <v>201</v>
      </c>
      <c r="F197" s="23">
        <v>11</v>
      </c>
      <c r="G197" s="23">
        <v>8</v>
      </c>
      <c r="H197" s="23">
        <v>0</v>
      </c>
      <c r="I197" s="23">
        <v>8288</v>
      </c>
      <c r="J197" s="23">
        <v>0</v>
      </c>
      <c r="K197" s="23">
        <v>0</v>
      </c>
      <c r="L197" s="23" t="s">
        <v>296</v>
      </c>
      <c r="M197" s="23">
        <f t="shared" si="3"/>
        <v>652</v>
      </c>
      <c r="N197" s="24" t="str">
        <f t="array" ref="N197">INDEX('MATCH INFO'!O:O, INT((ROW()-2)/10)+2 + 92)</f>
        <v>260627_SB_CR_S3</v>
      </c>
    </row>
    <row r="198" spans="1:14">
      <c r="A198" s="23" t="s">
        <v>53</v>
      </c>
      <c r="B198" s="23" t="s">
        <v>169</v>
      </c>
      <c r="C198" s="23" t="s">
        <v>101</v>
      </c>
      <c r="D198" s="23" t="s">
        <v>69</v>
      </c>
      <c r="E198" s="23" t="s">
        <v>201</v>
      </c>
      <c r="F198" s="23">
        <v>9</v>
      </c>
      <c r="G198" s="23">
        <v>6</v>
      </c>
      <c r="H198" s="23">
        <v>2</v>
      </c>
      <c r="I198" s="23">
        <v>11227</v>
      </c>
      <c r="J198" s="23">
        <v>0</v>
      </c>
      <c r="K198" s="23">
        <v>23292</v>
      </c>
      <c r="L198" s="23" t="s">
        <v>296</v>
      </c>
      <c r="M198" s="23">
        <f t="shared" si="3"/>
        <v>652</v>
      </c>
      <c r="N198" s="24" t="str">
        <f t="array" ref="N198">INDEX('MATCH INFO'!O:O, INT((ROW()-2)/10)+2 + 92)</f>
        <v>260627_SB_CR_S3</v>
      </c>
    </row>
    <row r="199" spans="1:14">
      <c r="A199" s="23" t="s">
        <v>53</v>
      </c>
      <c r="B199" s="23" t="s">
        <v>172</v>
      </c>
      <c r="C199" s="23" t="s">
        <v>109</v>
      </c>
      <c r="D199" s="23" t="s">
        <v>69</v>
      </c>
      <c r="E199" s="23" t="s">
        <v>201</v>
      </c>
      <c r="F199" s="23">
        <v>7</v>
      </c>
      <c r="G199" s="23">
        <v>7</v>
      </c>
      <c r="H199" s="23">
        <v>9</v>
      </c>
      <c r="I199" s="23">
        <v>2318</v>
      </c>
      <c r="J199" s="23">
        <v>9542</v>
      </c>
      <c r="K199" s="23">
        <v>475</v>
      </c>
      <c r="L199" s="23" t="s">
        <v>296</v>
      </c>
      <c r="M199" s="23">
        <f t="shared" si="3"/>
        <v>652</v>
      </c>
      <c r="N199" s="24" t="str">
        <f t="array" ref="N199">INDEX('MATCH INFO'!O:O, INT((ROW()-2)/10)+2 + 92)</f>
        <v>260627_SB_CR_S3</v>
      </c>
    </row>
    <row r="200" spans="1:14">
      <c r="A200" s="23" t="s">
        <v>53</v>
      </c>
      <c r="B200" s="23" t="s">
        <v>171</v>
      </c>
      <c r="C200" s="23" t="s">
        <v>104</v>
      </c>
      <c r="D200" s="23" t="s">
        <v>69</v>
      </c>
      <c r="E200" s="23" t="s">
        <v>201</v>
      </c>
      <c r="F200" s="23">
        <v>10</v>
      </c>
      <c r="G200" s="23">
        <v>9</v>
      </c>
      <c r="H200" s="23">
        <v>1</v>
      </c>
      <c r="I200" s="23">
        <v>6880</v>
      </c>
      <c r="J200" s="23">
        <v>0</v>
      </c>
      <c r="K200" s="23">
        <v>200</v>
      </c>
      <c r="L200" s="23" t="s">
        <v>296</v>
      </c>
      <c r="M200" s="23">
        <f t="shared" si="3"/>
        <v>652</v>
      </c>
      <c r="N200" s="24" t="str">
        <f t="array" ref="N200">INDEX('MATCH INFO'!O:O, INT((ROW()-2)/10)+2 + 92)</f>
        <v>260627_SB_CR_S3</v>
      </c>
    </row>
    <row r="201" spans="1:14">
      <c r="A201" s="23" t="s">
        <v>53</v>
      </c>
      <c r="B201" s="23" t="s">
        <v>174</v>
      </c>
      <c r="C201" s="23" t="s">
        <v>109</v>
      </c>
      <c r="D201" s="23" t="s">
        <v>69</v>
      </c>
      <c r="E201" s="23" t="s">
        <v>201</v>
      </c>
      <c r="F201" s="23">
        <v>5</v>
      </c>
      <c r="G201" s="23">
        <v>5</v>
      </c>
      <c r="H201" s="23">
        <v>13</v>
      </c>
      <c r="I201" s="23">
        <v>1716</v>
      </c>
      <c r="J201" s="23">
        <v>14099</v>
      </c>
      <c r="K201" s="23">
        <v>0</v>
      </c>
      <c r="L201" s="23" t="s">
        <v>296</v>
      </c>
      <c r="M201" s="23">
        <f t="shared" si="3"/>
        <v>652</v>
      </c>
      <c r="N201" s="24" t="str">
        <f t="array" ref="N201">INDEX('MATCH INFO'!O:O, INT((ROW()-2)/10)+2 + 92)</f>
        <v>260627_SB_CR_S3</v>
      </c>
    </row>
    <row r="202" spans="1:14">
      <c r="A202" s="23" t="s">
        <v>20</v>
      </c>
      <c r="B202" s="23" t="s">
        <v>108</v>
      </c>
      <c r="C202" s="23" t="s">
        <v>109</v>
      </c>
      <c r="D202" s="23" t="s">
        <v>33</v>
      </c>
      <c r="E202" s="23" t="s">
        <v>188</v>
      </c>
      <c r="F202" s="23">
        <v>15</v>
      </c>
      <c r="G202" s="23">
        <v>6</v>
      </c>
      <c r="H202" s="23">
        <v>23</v>
      </c>
      <c r="I202" s="23">
        <v>3468</v>
      </c>
      <c r="J202" s="23">
        <v>6627</v>
      </c>
      <c r="K202" s="23">
        <v>1019</v>
      </c>
      <c r="L202" s="23" t="s">
        <v>230</v>
      </c>
      <c r="M202" s="23">
        <f t="shared" si="3"/>
        <v>555</v>
      </c>
      <c r="N202" s="24" t="str">
        <f t="array" ref="N202">INDEX('MATCH INFO'!O:O, INT((ROW()-2)/10)+2 + 92)</f>
        <v>260628_O2_PF_S1</v>
      </c>
    </row>
    <row r="203" spans="1:14">
      <c r="A203" s="23" t="s">
        <v>20</v>
      </c>
      <c r="B203" s="23" t="s">
        <v>100</v>
      </c>
      <c r="C203" s="23" t="s">
        <v>101</v>
      </c>
      <c r="D203" s="23" t="s">
        <v>33</v>
      </c>
      <c r="E203" s="23" t="s">
        <v>188</v>
      </c>
      <c r="F203" s="23">
        <v>19</v>
      </c>
      <c r="G203" s="23">
        <v>4</v>
      </c>
      <c r="H203" s="23">
        <v>15</v>
      </c>
      <c r="I203" s="23">
        <v>15295</v>
      </c>
      <c r="J203" s="23">
        <v>3984</v>
      </c>
      <c r="K203" s="23">
        <v>6948</v>
      </c>
      <c r="L203" s="23" t="s">
        <v>230</v>
      </c>
      <c r="M203" s="23">
        <f t="shared" si="3"/>
        <v>555</v>
      </c>
      <c r="N203" s="24" t="str">
        <f t="array" ref="N203">INDEX('MATCH INFO'!O:O, INT((ROW()-2)/10)+2 + 92)</f>
        <v>260628_O2_PF_S1</v>
      </c>
    </row>
    <row r="204" spans="1:14">
      <c r="A204" s="23" t="s">
        <v>20</v>
      </c>
      <c r="B204" s="23" t="s">
        <v>113</v>
      </c>
      <c r="C204" s="23" t="s">
        <v>109</v>
      </c>
      <c r="D204" s="23" t="s">
        <v>33</v>
      </c>
      <c r="E204" s="23" t="s">
        <v>188</v>
      </c>
      <c r="F204" s="23">
        <v>12</v>
      </c>
      <c r="G204" s="23">
        <v>3</v>
      </c>
      <c r="H204" s="23">
        <v>24</v>
      </c>
      <c r="I204" s="23">
        <v>5733</v>
      </c>
      <c r="J204" s="23">
        <v>15115</v>
      </c>
      <c r="K204" s="23">
        <v>0</v>
      </c>
      <c r="L204" s="23" t="s">
        <v>230</v>
      </c>
      <c r="M204" s="23">
        <f t="shared" si="3"/>
        <v>555</v>
      </c>
      <c r="N204" s="24" t="str">
        <f t="array" ref="N204">INDEX('MATCH INFO'!O:O, INT((ROW()-2)/10)+2 + 92)</f>
        <v>260628_O2_PF_S1</v>
      </c>
    </row>
    <row r="205" spans="1:14">
      <c r="A205" s="23" t="s">
        <v>20</v>
      </c>
      <c r="B205" s="23" t="s">
        <v>106</v>
      </c>
      <c r="C205" s="23" t="s">
        <v>104</v>
      </c>
      <c r="D205" s="23" t="s">
        <v>33</v>
      </c>
      <c r="E205" s="23" t="s">
        <v>188</v>
      </c>
      <c r="F205" s="23">
        <v>28</v>
      </c>
      <c r="G205" s="23">
        <v>3</v>
      </c>
      <c r="H205" s="23">
        <v>3</v>
      </c>
      <c r="I205" s="23">
        <v>11033</v>
      </c>
      <c r="J205" s="23">
        <v>75</v>
      </c>
      <c r="K205" s="23">
        <v>504</v>
      </c>
      <c r="L205" s="23" t="s">
        <v>230</v>
      </c>
      <c r="M205" s="23">
        <f t="shared" si="3"/>
        <v>555</v>
      </c>
      <c r="N205" s="24" t="str">
        <f t="array" ref="N205">INDEX('MATCH INFO'!O:O, INT((ROW()-2)/10)+2 + 92)</f>
        <v>260628_O2_PF_S1</v>
      </c>
    </row>
    <row r="206" spans="1:14">
      <c r="A206" s="23" t="s">
        <v>20</v>
      </c>
      <c r="B206" s="23" t="s">
        <v>103</v>
      </c>
      <c r="C206" s="23" t="s">
        <v>104</v>
      </c>
      <c r="D206" s="23" t="s">
        <v>33</v>
      </c>
      <c r="E206" s="23" t="s">
        <v>188</v>
      </c>
      <c r="F206" s="23">
        <v>19</v>
      </c>
      <c r="G206" s="23">
        <v>8</v>
      </c>
      <c r="H206" s="23">
        <v>3</v>
      </c>
      <c r="I206" s="23">
        <v>6283</v>
      </c>
      <c r="J206" s="23">
        <v>107</v>
      </c>
      <c r="K206" s="23">
        <v>666</v>
      </c>
      <c r="L206" s="23" t="s">
        <v>230</v>
      </c>
      <c r="M206" s="23">
        <f t="shared" si="3"/>
        <v>555</v>
      </c>
      <c r="N206" s="24" t="str">
        <f t="array" ref="N206">INDEX('MATCH INFO'!O:O, INT((ROW()-2)/10)+2 + 92)</f>
        <v>260628_O2_PF_S1</v>
      </c>
    </row>
    <row r="207" spans="1:14">
      <c r="A207" s="23" t="s">
        <v>50</v>
      </c>
      <c r="B207" s="23" t="s">
        <v>136</v>
      </c>
      <c r="C207" s="23" t="s">
        <v>109</v>
      </c>
      <c r="D207" s="23" t="s">
        <v>33</v>
      </c>
      <c r="E207" s="23" t="s">
        <v>188</v>
      </c>
      <c r="F207" s="23">
        <v>12</v>
      </c>
      <c r="G207" s="23">
        <v>8</v>
      </c>
      <c r="H207" s="23">
        <v>17</v>
      </c>
      <c r="I207" s="23">
        <v>3906</v>
      </c>
      <c r="J207" s="23">
        <v>8226</v>
      </c>
      <c r="K207" s="23">
        <v>0</v>
      </c>
      <c r="L207" s="23" t="s">
        <v>230</v>
      </c>
      <c r="M207" s="23">
        <f t="shared" si="3"/>
        <v>555</v>
      </c>
      <c r="N207" s="24" t="str">
        <f t="array" ref="N207">INDEX('MATCH INFO'!O:O, INT((ROW()-2)/10)+2 + 92)</f>
        <v>260628_O2_PF_S1</v>
      </c>
    </row>
    <row r="208" spans="1:14">
      <c r="A208" s="23" t="s">
        <v>50</v>
      </c>
      <c r="B208" s="23" t="s">
        <v>133</v>
      </c>
      <c r="C208" s="23" t="s">
        <v>104</v>
      </c>
      <c r="D208" s="23" t="s">
        <v>33</v>
      </c>
      <c r="E208" s="23" t="s">
        <v>188</v>
      </c>
      <c r="F208" s="23">
        <v>15</v>
      </c>
      <c r="G208" s="23">
        <v>6</v>
      </c>
      <c r="H208" s="23">
        <v>1</v>
      </c>
      <c r="I208" s="23">
        <v>9681</v>
      </c>
      <c r="J208" s="23">
        <v>508</v>
      </c>
      <c r="K208" s="23">
        <v>194</v>
      </c>
      <c r="L208" s="23" t="s">
        <v>230</v>
      </c>
      <c r="M208" s="23">
        <f t="shared" si="3"/>
        <v>555</v>
      </c>
      <c r="N208" s="24" t="str">
        <f t="array" ref="N208">INDEX('MATCH INFO'!O:O, INT((ROW()-2)/10)+2 + 92)</f>
        <v>260628_O2_PF_S1</v>
      </c>
    </row>
    <row r="209" spans="1:14">
      <c r="A209" s="23" t="s">
        <v>50</v>
      </c>
      <c r="B209" s="23" t="s">
        <v>131</v>
      </c>
      <c r="C209" s="23" t="s">
        <v>101</v>
      </c>
      <c r="D209" s="23" t="s">
        <v>33</v>
      </c>
      <c r="E209" s="23" t="s">
        <v>188</v>
      </c>
      <c r="F209" s="23">
        <v>13</v>
      </c>
      <c r="G209" s="23">
        <v>8</v>
      </c>
      <c r="H209" s="23">
        <v>12</v>
      </c>
      <c r="I209" s="23">
        <v>13554</v>
      </c>
      <c r="J209" s="23">
        <v>3047</v>
      </c>
      <c r="K209" s="23">
        <v>5574</v>
      </c>
      <c r="L209" s="23" t="s">
        <v>230</v>
      </c>
      <c r="M209" s="23">
        <f t="shared" si="3"/>
        <v>555</v>
      </c>
      <c r="N209" s="24" t="str">
        <f t="array" ref="N209">INDEX('MATCH INFO'!O:O, INT((ROW()-2)/10)+2 + 92)</f>
        <v>260628_O2_PF_S1</v>
      </c>
    </row>
    <row r="210" spans="1:14">
      <c r="A210" s="23" t="s">
        <v>50</v>
      </c>
      <c r="B210" s="23" t="s">
        <v>134</v>
      </c>
      <c r="C210" s="23" t="s">
        <v>104</v>
      </c>
      <c r="D210" s="23" t="s">
        <v>33</v>
      </c>
      <c r="E210" s="23" t="s">
        <v>188</v>
      </c>
      <c r="F210" s="23">
        <v>18</v>
      </c>
      <c r="G210" s="23">
        <v>6</v>
      </c>
      <c r="H210" s="23">
        <v>7</v>
      </c>
      <c r="I210" s="23">
        <v>10530</v>
      </c>
      <c r="J210" s="23">
        <v>58</v>
      </c>
      <c r="K210" s="23">
        <v>503</v>
      </c>
      <c r="L210" s="23" t="s">
        <v>230</v>
      </c>
      <c r="M210" s="23">
        <f t="shared" si="3"/>
        <v>555</v>
      </c>
      <c r="N210" s="24" t="str">
        <f t="array" ref="N210">INDEX('MATCH INFO'!O:O, INT((ROW()-2)/10)+2 + 92)</f>
        <v>260628_O2_PF_S1</v>
      </c>
    </row>
    <row r="211" spans="1:14">
      <c r="A211" s="23" t="s">
        <v>50</v>
      </c>
      <c r="B211" s="23" t="s">
        <v>135</v>
      </c>
      <c r="C211" s="23" t="s">
        <v>109</v>
      </c>
      <c r="D211" s="23" t="s">
        <v>33</v>
      </c>
      <c r="E211" s="23" t="s">
        <v>188</v>
      </c>
      <c r="F211" s="23">
        <v>8</v>
      </c>
      <c r="G211" s="23">
        <v>7</v>
      </c>
      <c r="H211" s="23">
        <v>16</v>
      </c>
      <c r="I211" s="23">
        <v>4108</v>
      </c>
      <c r="J211" s="23">
        <v>11194</v>
      </c>
      <c r="K211" s="23">
        <v>0</v>
      </c>
      <c r="L211" s="23" t="s">
        <v>230</v>
      </c>
      <c r="M211" s="23">
        <f t="shared" si="3"/>
        <v>555</v>
      </c>
      <c r="N211" s="24" t="str">
        <f t="array" ref="N211">INDEX('MATCH INFO'!O:O, INT((ROW()-2)/10)+2 + 92)</f>
        <v>260628_O2_PF_S1</v>
      </c>
    </row>
    <row r="212" spans="1:14">
      <c r="A212" s="23" t="s">
        <v>20</v>
      </c>
      <c r="B212" s="23" t="s">
        <v>108</v>
      </c>
      <c r="C212" s="23" t="s">
        <v>109</v>
      </c>
      <c r="D212" s="23" t="s">
        <v>44</v>
      </c>
      <c r="E212" s="23" t="s">
        <v>190</v>
      </c>
      <c r="F212" s="23">
        <v>19</v>
      </c>
      <c r="G212" s="23">
        <v>5</v>
      </c>
      <c r="H212" s="23">
        <v>21</v>
      </c>
      <c r="I212" s="23">
        <v>3812</v>
      </c>
      <c r="J212" s="23">
        <v>8107</v>
      </c>
      <c r="K212" s="23">
        <v>1753</v>
      </c>
      <c r="L212" s="23" t="s">
        <v>303</v>
      </c>
      <c r="M212" s="23">
        <f t="shared" si="3"/>
        <v>738</v>
      </c>
      <c r="N212" s="24" t="str">
        <f t="array" ref="N212">INDEX('MATCH INFO'!O:O, INT((ROW()-2)/10)+2 + 92)</f>
        <v>260628_O2_PF_S2</v>
      </c>
    </row>
    <row r="213" spans="1:14">
      <c r="A213" s="23" t="s">
        <v>20</v>
      </c>
      <c r="B213" s="23" t="s">
        <v>100</v>
      </c>
      <c r="C213" s="23" t="s">
        <v>101</v>
      </c>
      <c r="D213" s="23" t="s">
        <v>44</v>
      </c>
      <c r="E213" s="23" t="s">
        <v>190</v>
      </c>
      <c r="F213" s="23">
        <v>25</v>
      </c>
      <c r="G213" s="23">
        <v>6</v>
      </c>
      <c r="H213" s="23">
        <v>19</v>
      </c>
      <c r="I213" s="23">
        <v>14385</v>
      </c>
      <c r="J213" s="23">
        <v>2348</v>
      </c>
      <c r="K213" s="23">
        <v>7047</v>
      </c>
      <c r="L213" s="23" t="s">
        <v>303</v>
      </c>
      <c r="M213" s="23">
        <f t="shared" si="3"/>
        <v>738</v>
      </c>
      <c r="N213" s="24" t="str">
        <f t="array" ref="N213">INDEX('MATCH INFO'!O:O, INT((ROW()-2)/10)+2 + 92)</f>
        <v>260628_O2_PF_S2</v>
      </c>
    </row>
    <row r="214" spans="1:14">
      <c r="A214" s="23" t="s">
        <v>20</v>
      </c>
      <c r="B214" s="23" t="s">
        <v>113</v>
      </c>
      <c r="C214" s="23" t="s">
        <v>109</v>
      </c>
      <c r="D214" s="23" t="s">
        <v>44</v>
      </c>
      <c r="E214" s="23" t="s">
        <v>190</v>
      </c>
      <c r="F214" s="23">
        <v>16</v>
      </c>
      <c r="G214" s="23">
        <v>7</v>
      </c>
      <c r="H214" s="23">
        <v>25</v>
      </c>
      <c r="I214" s="23">
        <v>5091</v>
      </c>
      <c r="J214" s="23">
        <v>14186</v>
      </c>
      <c r="K214" s="23">
        <v>0</v>
      </c>
      <c r="L214" s="23" t="s">
        <v>303</v>
      </c>
      <c r="M214" s="23">
        <f t="shared" si="3"/>
        <v>738</v>
      </c>
      <c r="N214" s="24" t="str">
        <f t="array" ref="N214">INDEX('MATCH INFO'!O:O, INT((ROW()-2)/10)+2 + 92)</f>
        <v>260628_O2_PF_S2</v>
      </c>
    </row>
    <row r="215" spans="1:14">
      <c r="A215" s="23" t="s">
        <v>20</v>
      </c>
      <c r="B215" s="23" t="s">
        <v>106</v>
      </c>
      <c r="C215" s="23" t="s">
        <v>104</v>
      </c>
      <c r="D215" s="23" t="s">
        <v>44</v>
      </c>
      <c r="E215" s="23" t="s">
        <v>190</v>
      </c>
      <c r="F215" s="23">
        <v>22</v>
      </c>
      <c r="G215" s="23">
        <v>9</v>
      </c>
      <c r="H215" s="23">
        <v>0</v>
      </c>
      <c r="I215" s="23">
        <v>11830</v>
      </c>
      <c r="J215" s="23">
        <v>0</v>
      </c>
      <c r="K215" s="23">
        <v>0</v>
      </c>
      <c r="L215" s="23" t="s">
        <v>303</v>
      </c>
      <c r="M215" s="23">
        <f t="shared" si="3"/>
        <v>738</v>
      </c>
      <c r="N215" s="24" t="str">
        <f t="array" ref="N215">INDEX('MATCH INFO'!O:O, INT((ROW()-2)/10)+2 + 92)</f>
        <v>260628_O2_PF_S2</v>
      </c>
    </row>
    <row r="216" spans="1:14">
      <c r="A216" s="23" t="s">
        <v>20</v>
      </c>
      <c r="B216" s="23" t="s">
        <v>103</v>
      </c>
      <c r="C216" s="23" t="s">
        <v>104</v>
      </c>
      <c r="D216" s="23" t="s">
        <v>44</v>
      </c>
      <c r="E216" s="23" t="s">
        <v>190</v>
      </c>
      <c r="F216" s="23">
        <v>27</v>
      </c>
      <c r="G216" s="23">
        <v>5</v>
      </c>
      <c r="H216" s="23">
        <v>0</v>
      </c>
      <c r="I216" s="23">
        <v>9770</v>
      </c>
      <c r="J216" s="23">
        <v>1504</v>
      </c>
      <c r="K216" s="23">
        <v>0</v>
      </c>
      <c r="L216" s="23" t="s">
        <v>303</v>
      </c>
      <c r="M216" s="23">
        <f t="shared" si="3"/>
        <v>738</v>
      </c>
      <c r="N216" s="24" t="str">
        <f t="array" ref="N216">INDEX('MATCH INFO'!O:O, INT((ROW()-2)/10)+2 + 92)</f>
        <v>260628_O2_PF_S2</v>
      </c>
    </row>
    <row r="217" spans="1:14">
      <c r="A217" s="23" t="s">
        <v>50</v>
      </c>
      <c r="B217" s="23" t="s">
        <v>136</v>
      </c>
      <c r="C217" s="23" t="s">
        <v>109</v>
      </c>
      <c r="D217" s="23" t="s">
        <v>44</v>
      </c>
      <c r="E217" s="23" t="s">
        <v>190</v>
      </c>
      <c r="F217" s="23">
        <v>12</v>
      </c>
      <c r="G217" s="23">
        <v>7</v>
      </c>
      <c r="H217" s="23">
        <v>22</v>
      </c>
      <c r="I217" s="23">
        <v>4069</v>
      </c>
      <c r="J217" s="23">
        <v>14999</v>
      </c>
      <c r="K217" s="23">
        <v>0</v>
      </c>
      <c r="L217" s="23" t="s">
        <v>303</v>
      </c>
      <c r="M217" s="23">
        <f t="shared" si="3"/>
        <v>738</v>
      </c>
      <c r="N217" s="24" t="str">
        <f t="array" ref="N217">INDEX('MATCH INFO'!O:O, INT((ROW()-2)/10)+2 + 92)</f>
        <v>260628_O2_PF_S2</v>
      </c>
    </row>
    <row r="218" spans="1:14">
      <c r="A218" s="23" t="s">
        <v>50</v>
      </c>
      <c r="B218" s="23" t="s">
        <v>133</v>
      </c>
      <c r="C218" s="23" t="s">
        <v>104</v>
      </c>
      <c r="D218" s="23" t="s">
        <v>44</v>
      </c>
      <c r="E218" s="23" t="s">
        <v>190</v>
      </c>
      <c r="F218" s="23">
        <v>19</v>
      </c>
      <c r="G218" s="23">
        <v>8</v>
      </c>
      <c r="H218" s="23">
        <v>5</v>
      </c>
      <c r="I218" s="23">
        <v>9403</v>
      </c>
      <c r="J218" s="23">
        <v>150</v>
      </c>
      <c r="K218" s="23">
        <v>583</v>
      </c>
      <c r="L218" s="23" t="s">
        <v>303</v>
      </c>
      <c r="M218" s="23">
        <f t="shared" si="3"/>
        <v>738</v>
      </c>
      <c r="N218" s="24" t="str">
        <f t="array" ref="N218">INDEX('MATCH INFO'!O:O, INT((ROW()-2)/10)+2 + 92)</f>
        <v>260628_O2_PF_S2</v>
      </c>
    </row>
    <row r="219" spans="1:14">
      <c r="A219" s="23" t="s">
        <v>50</v>
      </c>
      <c r="B219" s="23" t="s">
        <v>131</v>
      </c>
      <c r="C219" s="23" t="s">
        <v>101</v>
      </c>
      <c r="D219" s="23" t="s">
        <v>44</v>
      </c>
      <c r="E219" s="23" t="s">
        <v>190</v>
      </c>
      <c r="F219" s="23">
        <v>21</v>
      </c>
      <c r="G219" s="23">
        <v>9</v>
      </c>
      <c r="H219" s="23">
        <v>9</v>
      </c>
      <c r="I219" s="23">
        <v>11328</v>
      </c>
      <c r="J219" s="23">
        <v>2936</v>
      </c>
      <c r="K219" s="23">
        <v>7002</v>
      </c>
      <c r="L219" s="23" t="s">
        <v>303</v>
      </c>
      <c r="M219" s="23">
        <f t="shared" si="3"/>
        <v>738</v>
      </c>
      <c r="N219" s="24" t="str">
        <f t="array" ref="N219">INDEX('MATCH INFO'!O:O, INT((ROW()-2)/10)+2 + 92)</f>
        <v>260628_O2_PF_S2</v>
      </c>
    </row>
    <row r="220" spans="1:14">
      <c r="A220" s="23" t="s">
        <v>50</v>
      </c>
      <c r="B220" s="23" t="s">
        <v>134</v>
      </c>
      <c r="C220" s="23" t="s">
        <v>104</v>
      </c>
      <c r="D220" s="23" t="s">
        <v>44</v>
      </c>
      <c r="E220" s="23" t="s">
        <v>190</v>
      </c>
      <c r="F220" s="23">
        <v>23</v>
      </c>
      <c r="G220" s="23">
        <v>4</v>
      </c>
      <c r="H220" s="23">
        <v>0</v>
      </c>
      <c r="I220" s="23">
        <v>15854</v>
      </c>
      <c r="J220" s="23">
        <v>0</v>
      </c>
      <c r="K220" s="23">
        <v>0</v>
      </c>
      <c r="L220" s="23" t="s">
        <v>303</v>
      </c>
      <c r="M220" s="23">
        <f t="shared" si="3"/>
        <v>738</v>
      </c>
      <c r="N220" s="24" t="str">
        <f t="array" ref="N220">INDEX('MATCH INFO'!O:O, INT((ROW()-2)/10)+2 + 92)</f>
        <v>260628_O2_PF_S2</v>
      </c>
    </row>
    <row r="221" spans="1:14">
      <c r="A221" s="23" t="s">
        <v>50</v>
      </c>
      <c r="B221" s="23" t="s">
        <v>135</v>
      </c>
      <c r="C221" s="23" t="s">
        <v>109</v>
      </c>
      <c r="D221" s="23" t="s">
        <v>44</v>
      </c>
      <c r="E221" s="23" t="s">
        <v>190</v>
      </c>
      <c r="F221" s="23">
        <v>17</v>
      </c>
      <c r="G221" s="23">
        <v>6</v>
      </c>
      <c r="H221" s="23">
        <v>20</v>
      </c>
      <c r="I221" s="23">
        <v>5860</v>
      </c>
      <c r="J221" s="23">
        <v>7631</v>
      </c>
      <c r="K221" s="23">
        <v>1157</v>
      </c>
      <c r="L221" s="23" t="s">
        <v>303</v>
      </c>
      <c r="M221" s="23">
        <f t="shared" si="3"/>
        <v>738</v>
      </c>
      <c r="N221" s="24" t="str">
        <f t="array" ref="N221">INDEX('MATCH INFO'!O:O, INT((ROW()-2)/10)+2 + 92)</f>
        <v>260628_O2_PF_S2</v>
      </c>
    </row>
    <row r="222" spans="1:14">
      <c r="A222" s="23" t="s">
        <v>20</v>
      </c>
      <c r="B222" s="23" t="s">
        <v>108</v>
      </c>
      <c r="C222" s="23" t="s">
        <v>109</v>
      </c>
      <c r="D222" s="23" t="s">
        <v>28</v>
      </c>
      <c r="E222" s="23" t="s">
        <v>192</v>
      </c>
      <c r="F222" s="23">
        <v>3</v>
      </c>
      <c r="G222" s="23">
        <v>9</v>
      </c>
      <c r="H222" s="23">
        <v>5</v>
      </c>
      <c r="I222" s="23">
        <v>2318</v>
      </c>
      <c r="J222" s="23">
        <v>5421</v>
      </c>
      <c r="K222" s="23">
        <v>1906</v>
      </c>
      <c r="L222" s="23" t="s">
        <v>261</v>
      </c>
      <c r="M222" s="23">
        <f t="shared" si="3"/>
        <v>600</v>
      </c>
      <c r="N222" s="24" t="str">
        <f t="array" ref="N222">INDEX('MATCH INFO'!O:O, INT((ROW()-2)/10)+2 + 92)</f>
        <v>260628_O2_PF_S3</v>
      </c>
    </row>
    <row r="223" spans="1:14">
      <c r="A223" s="23" t="s">
        <v>20</v>
      </c>
      <c r="B223" s="23" t="s">
        <v>100</v>
      </c>
      <c r="C223" s="23" t="s">
        <v>101</v>
      </c>
      <c r="D223" s="23" t="s">
        <v>28</v>
      </c>
      <c r="E223" s="23" t="s">
        <v>192</v>
      </c>
      <c r="F223" s="23">
        <v>12</v>
      </c>
      <c r="G223" s="23">
        <v>6</v>
      </c>
      <c r="H223" s="23">
        <v>5</v>
      </c>
      <c r="I223" s="23">
        <v>13264</v>
      </c>
      <c r="J223" s="23">
        <v>2706</v>
      </c>
      <c r="K223" s="23">
        <v>5109</v>
      </c>
      <c r="L223" s="23" t="s">
        <v>261</v>
      </c>
      <c r="M223" s="23">
        <f t="shared" si="3"/>
        <v>600</v>
      </c>
      <c r="N223" s="24" t="str">
        <f t="array" ref="N223">INDEX('MATCH INFO'!O:O, INT((ROW()-2)/10)+2 + 92)</f>
        <v>260628_O2_PF_S3</v>
      </c>
    </row>
    <row r="224" spans="1:14">
      <c r="A224" s="23" t="s">
        <v>20</v>
      </c>
      <c r="B224" s="23" t="s">
        <v>113</v>
      </c>
      <c r="C224" s="23" t="s">
        <v>109</v>
      </c>
      <c r="D224" s="23" t="s">
        <v>28</v>
      </c>
      <c r="E224" s="23" t="s">
        <v>192</v>
      </c>
      <c r="F224" s="23">
        <v>7</v>
      </c>
      <c r="G224" s="23">
        <v>10</v>
      </c>
      <c r="H224" s="23">
        <v>8</v>
      </c>
      <c r="I224" s="23">
        <v>4050</v>
      </c>
      <c r="J224" s="23">
        <v>12484</v>
      </c>
      <c r="K224" s="23">
        <v>0</v>
      </c>
      <c r="L224" s="23" t="s">
        <v>261</v>
      </c>
      <c r="M224" s="23">
        <f t="shared" si="3"/>
        <v>600</v>
      </c>
      <c r="N224" s="24" t="str">
        <f t="array" ref="N224">INDEX('MATCH INFO'!O:O, INT((ROW()-2)/10)+2 + 92)</f>
        <v>260628_O2_PF_S3</v>
      </c>
    </row>
    <row r="225" spans="1:14">
      <c r="A225" s="23" t="s">
        <v>20</v>
      </c>
      <c r="B225" s="23" t="s">
        <v>106</v>
      </c>
      <c r="C225" s="23" t="s">
        <v>104</v>
      </c>
      <c r="D225" s="23" t="s">
        <v>28</v>
      </c>
      <c r="E225" s="23" t="s">
        <v>192</v>
      </c>
      <c r="F225" s="23">
        <v>6</v>
      </c>
      <c r="G225" s="23">
        <v>9</v>
      </c>
      <c r="H225" s="23">
        <v>1</v>
      </c>
      <c r="I225" s="23">
        <v>7280</v>
      </c>
      <c r="J225" s="23">
        <v>0</v>
      </c>
      <c r="K225" s="23">
        <v>182</v>
      </c>
      <c r="L225" s="23" t="s">
        <v>261</v>
      </c>
      <c r="M225" s="23">
        <f t="shared" si="3"/>
        <v>600</v>
      </c>
      <c r="N225" s="24" t="str">
        <f t="array" ref="N225">INDEX('MATCH INFO'!O:O, INT((ROW()-2)/10)+2 + 92)</f>
        <v>260628_O2_PF_S3</v>
      </c>
    </row>
    <row r="226" spans="1:14">
      <c r="A226" s="23" t="s">
        <v>20</v>
      </c>
      <c r="B226" s="23" t="s">
        <v>103</v>
      </c>
      <c r="C226" s="23" t="s">
        <v>104</v>
      </c>
      <c r="D226" s="23" t="s">
        <v>28</v>
      </c>
      <c r="E226" s="23" t="s">
        <v>192</v>
      </c>
      <c r="F226" s="23">
        <v>6</v>
      </c>
      <c r="G226" s="23">
        <v>10</v>
      </c>
      <c r="H226" s="23">
        <v>1</v>
      </c>
      <c r="I226" s="23">
        <v>7636</v>
      </c>
      <c r="J226" s="23">
        <v>813</v>
      </c>
      <c r="K226" s="23">
        <v>105</v>
      </c>
      <c r="L226" s="23" t="s">
        <v>261</v>
      </c>
      <c r="M226" s="23">
        <f t="shared" si="3"/>
        <v>600</v>
      </c>
      <c r="N226" s="24" t="str">
        <f t="array" ref="N226">INDEX('MATCH INFO'!O:O, INT((ROW()-2)/10)+2 + 92)</f>
        <v>260628_O2_PF_S3</v>
      </c>
    </row>
    <row r="227" spans="1:14">
      <c r="A227" s="23" t="s">
        <v>50</v>
      </c>
      <c r="B227" s="23" t="s">
        <v>136</v>
      </c>
      <c r="C227" s="23" t="s">
        <v>109</v>
      </c>
      <c r="D227" s="23" t="s">
        <v>28</v>
      </c>
      <c r="E227" s="23" t="s">
        <v>192</v>
      </c>
      <c r="F227" s="23">
        <v>13</v>
      </c>
      <c r="G227" s="23">
        <v>2</v>
      </c>
      <c r="H227" s="23">
        <v>31</v>
      </c>
      <c r="I227" s="23">
        <v>3240</v>
      </c>
      <c r="J227" s="23">
        <v>11749</v>
      </c>
      <c r="K227" s="23">
        <v>0</v>
      </c>
      <c r="L227" s="23" t="s">
        <v>261</v>
      </c>
      <c r="M227" s="23">
        <f t="shared" si="3"/>
        <v>600</v>
      </c>
      <c r="N227" s="24" t="str">
        <f t="array" ref="N227">INDEX('MATCH INFO'!O:O, INT((ROW()-2)/10)+2 + 92)</f>
        <v>260628_O2_PF_S3</v>
      </c>
    </row>
    <row r="228" spans="1:14">
      <c r="A228" s="23" t="s">
        <v>50</v>
      </c>
      <c r="B228" s="23" t="s">
        <v>133</v>
      </c>
      <c r="C228" s="23" t="s">
        <v>104</v>
      </c>
      <c r="D228" s="23" t="s">
        <v>28</v>
      </c>
      <c r="E228" s="23" t="s">
        <v>192</v>
      </c>
      <c r="F228" s="23">
        <v>30</v>
      </c>
      <c r="G228" s="23">
        <v>2</v>
      </c>
      <c r="H228" s="23">
        <v>6</v>
      </c>
      <c r="I228" s="23">
        <v>9658</v>
      </c>
      <c r="J228" s="23">
        <v>0</v>
      </c>
      <c r="K228" s="23">
        <v>47</v>
      </c>
      <c r="L228" s="23" t="s">
        <v>261</v>
      </c>
      <c r="M228" s="23">
        <f t="shared" si="3"/>
        <v>600</v>
      </c>
      <c r="N228" s="24" t="str">
        <f t="array" ref="N228">INDEX('MATCH INFO'!O:O, INT((ROW()-2)/10)+2 + 92)</f>
        <v>260628_O2_PF_S3</v>
      </c>
    </row>
    <row r="229" spans="1:14">
      <c r="A229" s="23" t="s">
        <v>50</v>
      </c>
      <c r="B229" s="23" t="s">
        <v>131</v>
      </c>
      <c r="C229" s="23" t="s">
        <v>101</v>
      </c>
      <c r="D229" s="23" t="s">
        <v>28</v>
      </c>
      <c r="E229" s="23" t="s">
        <v>192</v>
      </c>
      <c r="F229" s="23">
        <v>21</v>
      </c>
      <c r="G229" s="23">
        <v>5</v>
      </c>
      <c r="H229" s="23">
        <v>13</v>
      </c>
      <c r="I229" s="23">
        <v>12342</v>
      </c>
      <c r="J229" s="23">
        <v>2161</v>
      </c>
      <c r="K229" s="23">
        <v>5477</v>
      </c>
      <c r="L229" s="23" t="s">
        <v>261</v>
      </c>
      <c r="M229" s="23">
        <f t="shared" si="3"/>
        <v>600</v>
      </c>
      <c r="N229" s="24" t="str">
        <f t="array" ref="N229">INDEX('MATCH INFO'!O:O, INT((ROW()-2)/10)+2 + 92)</f>
        <v>260628_O2_PF_S3</v>
      </c>
    </row>
    <row r="230" spans="1:14">
      <c r="A230" s="23" t="s">
        <v>50</v>
      </c>
      <c r="B230" s="23" t="s">
        <v>134</v>
      </c>
      <c r="C230" s="23" t="s">
        <v>104</v>
      </c>
      <c r="D230" s="23" t="s">
        <v>28</v>
      </c>
      <c r="E230" s="23" t="s">
        <v>192</v>
      </c>
      <c r="F230" s="23">
        <v>29</v>
      </c>
      <c r="G230" s="23">
        <v>2</v>
      </c>
      <c r="H230" s="23">
        <v>0</v>
      </c>
      <c r="I230" s="23">
        <v>12560</v>
      </c>
      <c r="J230" s="23">
        <v>0</v>
      </c>
      <c r="K230" s="23">
        <v>0</v>
      </c>
      <c r="L230" s="23" t="s">
        <v>261</v>
      </c>
      <c r="M230" s="23">
        <f t="shared" si="3"/>
        <v>600</v>
      </c>
      <c r="N230" s="24" t="str">
        <f t="array" ref="N230">INDEX('MATCH INFO'!O:O, INT((ROW()-2)/10)+2 + 92)</f>
        <v>260628_O2_PF_S3</v>
      </c>
    </row>
    <row r="231" spans="1:14">
      <c r="A231" s="23" t="s">
        <v>50</v>
      </c>
      <c r="B231" s="23" t="s">
        <v>135</v>
      </c>
      <c r="C231" s="23" t="s">
        <v>109</v>
      </c>
      <c r="D231" s="23" t="s">
        <v>28</v>
      </c>
      <c r="E231" s="23" t="s">
        <v>192</v>
      </c>
      <c r="F231" s="23">
        <v>26</v>
      </c>
      <c r="G231" s="23">
        <v>3</v>
      </c>
      <c r="H231" s="23">
        <v>24</v>
      </c>
      <c r="I231" s="23">
        <v>5762</v>
      </c>
      <c r="J231" s="23">
        <v>7821</v>
      </c>
      <c r="K231" s="23">
        <v>2980</v>
      </c>
      <c r="L231" s="23" t="s">
        <v>261</v>
      </c>
      <c r="M231" s="23">
        <f t="shared" si="3"/>
        <v>600</v>
      </c>
      <c r="N231" s="24" t="str">
        <f t="array" ref="N231">INDEX('MATCH INFO'!O:O, INT((ROW()-2)/10)+2 + 92)</f>
        <v>260628_O2_PF_S3</v>
      </c>
    </row>
    <row r="232" spans="1:14">
      <c r="A232" s="23" t="s">
        <v>20</v>
      </c>
      <c r="B232" s="23" t="s">
        <v>108</v>
      </c>
      <c r="C232" s="23" t="s">
        <v>109</v>
      </c>
      <c r="D232" s="23" t="s">
        <v>37</v>
      </c>
      <c r="E232" s="23" t="s">
        <v>196</v>
      </c>
      <c r="F232" s="23">
        <v>17</v>
      </c>
      <c r="G232" s="23">
        <v>8</v>
      </c>
      <c r="H232" s="23">
        <v>15</v>
      </c>
      <c r="I232" s="23">
        <v>10890</v>
      </c>
      <c r="J232" s="23">
        <v>9359</v>
      </c>
      <c r="K232" s="23">
        <v>766</v>
      </c>
      <c r="L232" s="23" t="s">
        <v>304</v>
      </c>
      <c r="M232" s="23">
        <f t="shared" si="3"/>
        <v>1128</v>
      </c>
      <c r="N232" s="24" t="str">
        <f t="array" ref="N232">INDEX('MATCH INFO'!O:O, INT((ROW()-2)/10)+2 + 92)</f>
        <v>260628_O2_PF_S4</v>
      </c>
    </row>
    <row r="233" spans="1:14">
      <c r="A233" s="23" t="s">
        <v>20</v>
      </c>
      <c r="B233" s="23" t="s">
        <v>113</v>
      </c>
      <c r="C233" s="23" t="s">
        <v>109</v>
      </c>
      <c r="D233" s="23" t="s">
        <v>37</v>
      </c>
      <c r="E233" s="23" t="s">
        <v>196</v>
      </c>
      <c r="F233" s="23">
        <v>14</v>
      </c>
      <c r="G233" s="23">
        <v>10</v>
      </c>
      <c r="H233" s="23">
        <v>24</v>
      </c>
      <c r="I233" s="23">
        <v>7636</v>
      </c>
      <c r="J233" s="23">
        <v>20374</v>
      </c>
      <c r="K233" s="23">
        <v>0</v>
      </c>
      <c r="L233" s="23" t="s">
        <v>304</v>
      </c>
      <c r="M233" s="23">
        <f t="shared" si="3"/>
        <v>1128</v>
      </c>
      <c r="N233" s="24" t="str">
        <f t="array" ref="N233">INDEX('MATCH INFO'!O:O, INT((ROW()-2)/10)+2 + 92)</f>
        <v>260628_O2_PF_S4</v>
      </c>
    </row>
    <row r="234" spans="1:14">
      <c r="A234" s="23" t="s">
        <v>20</v>
      </c>
      <c r="B234" s="23" t="s">
        <v>106</v>
      </c>
      <c r="C234" s="23" t="s">
        <v>104</v>
      </c>
      <c r="D234" s="23" t="s">
        <v>37</v>
      </c>
      <c r="E234" s="23" t="s">
        <v>196</v>
      </c>
      <c r="F234" s="23">
        <v>20</v>
      </c>
      <c r="G234" s="23">
        <v>13</v>
      </c>
      <c r="H234" s="23">
        <v>1</v>
      </c>
      <c r="I234" s="23">
        <v>13792</v>
      </c>
      <c r="J234" s="23">
        <v>226</v>
      </c>
      <c r="K234" s="23">
        <v>342</v>
      </c>
      <c r="L234" s="23" t="s">
        <v>304</v>
      </c>
      <c r="M234" s="23">
        <f t="shared" si="3"/>
        <v>1128</v>
      </c>
      <c r="N234" s="24" t="str">
        <f t="array" ref="N234">INDEX('MATCH INFO'!O:O, INT((ROW()-2)/10)+2 + 92)</f>
        <v>260628_O2_PF_S4</v>
      </c>
    </row>
    <row r="235" spans="1:14">
      <c r="A235" s="23" t="s">
        <v>20</v>
      </c>
      <c r="B235" s="23" t="s">
        <v>102</v>
      </c>
      <c r="C235" s="23" t="s">
        <v>101</v>
      </c>
      <c r="D235" s="23" t="s">
        <v>37</v>
      </c>
      <c r="E235" s="23" t="s">
        <v>196</v>
      </c>
      <c r="F235" s="23">
        <v>32</v>
      </c>
      <c r="G235" s="23">
        <v>7</v>
      </c>
      <c r="H235" s="23">
        <v>4</v>
      </c>
      <c r="I235" s="23">
        <v>19121</v>
      </c>
      <c r="J235" s="23">
        <v>825</v>
      </c>
      <c r="K235" s="23">
        <v>33446</v>
      </c>
      <c r="L235" s="23" t="s">
        <v>304</v>
      </c>
      <c r="M235" s="23">
        <f t="shared" si="3"/>
        <v>1128</v>
      </c>
      <c r="N235" s="24" t="str">
        <f t="array" ref="N235">INDEX('MATCH INFO'!O:O, INT((ROW()-2)/10)+2 + 92)</f>
        <v>260628_O2_PF_S4</v>
      </c>
    </row>
    <row r="236" spans="1:14">
      <c r="A236" s="23" t="s">
        <v>20</v>
      </c>
      <c r="B236" s="23" t="s">
        <v>103</v>
      </c>
      <c r="C236" s="23" t="s">
        <v>104</v>
      </c>
      <c r="D236" s="23" t="s">
        <v>37</v>
      </c>
      <c r="E236" s="23" t="s">
        <v>196</v>
      </c>
      <c r="F236" s="23">
        <v>22</v>
      </c>
      <c r="G236" s="23">
        <v>11</v>
      </c>
      <c r="H236" s="23">
        <v>3</v>
      </c>
      <c r="I236" s="23">
        <v>14815</v>
      </c>
      <c r="J236" s="23">
        <v>1479</v>
      </c>
      <c r="K236" s="23">
        <v>5629</v>
      </c>
      <c r="L236" s="23" t="s">
        <v>304</v>
      </c>
      <c r="M236" s="23">
        <f t="shared" si="3"/>
        <v>1128</v>
      </c>
      <c r="N236" s="24" t="str">
        <f t="array" ref="N236">INDEX('MATCH INFO'!O:O, INT((ROW()-2)/10)+2 + 92)</f>
        <v>260628_O2_PF_S4</v>
      </c>
    </row>
    <row r="237" spans="1:14">
      <c r="A237" s="23" t="s">
        <v>50</v>
      </c>
      <c r="B237" s="23" t="s">
        <v>136</v>
      </c>
      <c r="C237" s="23" t="s">
        <v>109</v>
      </c>
      <c r="D237" s="23" t="s">
        <v>37</v>
      </c>
      <c r="E237" s="23" t="s">
        <v>196</v>
      </c>
      <c r="F237" s="23">
        <v>10</v>
      </c>
      <c r="G237" s="23">
        <v>8</v>
      </c>
      <c r="H237" s="23">
        <v>30</v>
      </c>
      <c r="I237" s="23">
        <v>3465</v>
      </c>
      <c r="J237" s="23">
        <v>24981</v>
      </c>
      <c r="K237" s="23">
        <v>0</v>
      </c>
      <c r="L237" s="23" t="s">
        <v>304</v>
      </c>
      <c r="M237" s="23">
        <f t="shared" si="3"/>
        <v>1128</v>
      </c>
      <c r="N237" s="24" t="str">
        <f t="array" ref="N237">INDEX('MATCH INFO'!O:O, INT((ROW()-2)/10)+2 + 92)</f>
        <v>260628_O2_PF_S4</v>
      </c>
    </row>
    <row r="238" spans="1:14">
      <c r="A238" s="23" t="s">
        <v>50</v>
      </c>
      <c r="B238" s="23" t="s">
        <v>133</v>
      </c>
      <c r="C238" s="23" t="s">
        <v>104</v>
      </c>
      <c r="D238" s="23" t="s">
        <v>37</v>
      </c>
      <c r="E238" s="23" t="s">
        <v>196</v>
      </c>
      <c r="F238" s="23">
        <v>27</v>
      </c>
      <c r="G238" s="23">
        <v>8</v>
      </c>
      <c r="H238" s="23">
        <v>0</v>
      </c>
      <c r="I238" s="23">
        <v>14870</v>
      </c>
      <c r="J238" s="23">
        <v>309</v>
      </c>
      <c r="K238" s="23">
        <v>3717</v>
      </c>
      <c r="L238" s="23" t="s">
        <v>304</v>
      </c>
      <c r="M238" s="23">
        <f t="shared" si="3"/>
        <v>1128</v>
      </c>
      <c r="N238" s="24" t="str">
        <f t="array" ref="N238">INDEX('MATCH INFO'!O:O, INT((ROW()-2)/10)+2 + 92)</f>
        <v>260628_O2_PF_S4</v>
      </c>
    </row>
    <row r="239" spans="1:14">
      <c r="A239" s="23" t="s">
        <v>50</v>
      </c>
      <c r="B239" s="23" t="s">
        <v>131</v>
      </c>
      <c r="C239" s="23" t="s">
        <v>101</v>
      </c>
      <c r="D239" s="23" t="s">
        <v>37</v>
      </c>
      <c r="E239" s="23" t="s">
        <v>196</v>
      </c>
      <c r="F239" s="23">
        <v>25</v>
      </c>
      <c r="G239" s="23">
        <v>9</v>
      </c>
      <c r="H239" s="23">
        <v>5</v>
      </c>
      <c r="I239" s="23">
        <v>17290</v>
      </c>
      <c r="J239" s="23">
        <v>231</v>
      </c>
      <c r="K239" s="23">
        <v>31122</v>
      </c>
      <c r="L239" s="23" t="s">
        <v>304</v>
      </c>
      <c r="M239" s="23">
        <f t="shared" si="3"/>
        <v>1128</v>
      </c>
      <c r="N239" s="24" t="str">
        <f t="array" ref="N239">INDEX('MATCH INFO'!O:O, INT((ROW()-2)/10)+2 + 92)</f>
        <v>260628_O2_PF_S4</v>
      </c>
    </row>
    <row r="240" spans="1:14">
      <c r="A240" s="23" t="s">
        <v>50</v>
      </c>
      <c r="B240" s="23" t="s">
        <v>134</v>
      </c>
      <c r="C240" s="23" t="s">
        <v>104</v>
      </c>
      <c r="D240" s="23" t="s">
        <v>37</v>
      </c>
      <c r="E240" s="23" t="s">
        <v>196</v>
      </c>
      <c r="F240" s="23">
        <v>39</v>
      </c>
      <c r="G240" s="23">
        <v>8</v>
      </c>
      <c r="H240" s="23">
        <v>0</v>
      </c>
      <c r="I240" s="23">
        <v>17100</v>
      </c>
      <c r="J240" s="23">
        <v>0</v>
      </c>
      <c r="K240" s="23">
        <v>131</v>
      </c>
      <c r="L240" s="23" t="s">
        <v>304</v>
      </c>
      <c r="M240" s="23">
        <f t="shared" si="3"/>
        <v>1128</v>
      </c>
      <c r="N240" s="24" t="str">
        <f t="array" ref="N240">INDEX('MATCH INFO'!O:O, INT((ROW()-2)/10)+2 + 92)</f>
        <v>260628_O2_PF_S4</v>
      </c>
    </row>
    <row r="241" spans="1:14">
      <c r="A241" s="23" t="s">
        <v>50</v>
      </c>
      <c r="B241" s="23" t="s">
        <v>135</v>
      </c>
      <c r="C241" s="23" t="s">
        <v>109</v>
      </c>
      <c r="D241" s="23" t="s">
        <v>37</v>
      </c>
      <c r="E241" s="23" t="s">
        <v>196</v>
      </c>
      <c r="F241" s="23">
        <v>17</v>
      </c>
      <c r="G241" s="23">
        <v>11</v>
      </c>
      <c r="H241" s="23">
        <v>21</v>
      </c>
      <c r="I241" s="23">
        <v>5526</v>
      </c>
      <c r="J241" s="23">
        <v>11734</v>
      </c>
      <c r="K241" s="23">
        <v>2997</v>
      </c>
      <c r="L241" s="23" t="s">
        <v>304</v>
      </c>
      <c r="M241" s="23">
        <f t="shared" si="3"/>
        <v>1128</v>
      </c>
      <c r="N241" s="24" t="str">
        <f t="array" ref="N241">INDEX('MATCH INFO'!O:O, INT((ROW()-2)/10)+2 + 92)</f>
        <v>260628_O2_PF_S4</v>
      </c>
    </row>
    <row r="242" spans="1:14">
      <c r="A242" s="23" t="s">
        <v>21</v>
      </c>
      <c r="B242" s="23" t="s">
        <v>117</v>
      </c>
      <c r="C242" s="23" t="s">
        <v>104</v>
      </c>
      <c r="D242" s="23" t="s">
        <v>33</v>
      </c>
      <c r="E242" s="23" t="s">
        <v>188</v>
      </c>
      <c r="F242" s="23">
        <v>22</v>
      </c>
      <c r="G242" s="23">
        <v>11</v>
      </c>
      <c r="H242" s="23">
        <v>2</v>
      </c>
      <c r="I242" s="23">
        <v>12625</v>
      </c>
      <c r="J242" s="23">
        <v>761</v>
      </c>
      <c r="K242" s="23">
        <v>1657</v>
      </c>
      <c r="L242" s="23" t="s">
        <v>305</v>
      </c>
      <c r="M242" s="23">
        <f t="shared" si="3"/>
        <v>776</v>
      </c>
      <c r="N242" s="24" t="str">
        <f t="array" ref="N242">INDEX('MATCH INFO'!O:O, INT((ROW()-2)/10)+2 + 92)</f>
        <v>260628_ROZE_T1_S1</v>
      </c>
    </row>
    <row r="243" spans="1:14">
      <c r="A243" s="23" t="s">
        <v>21</v>
      </c>
      <c r="B243" s="23" t="s">
        <v>116</v>
      </c>
      <c r="C243" s="23" t="s">
        <v>101</v>
      </c>
      <c r="D243" s="23" t="s">
        <v>33</v>
      </c>
      <c r="E243" s="23" t="s">
        <v>188</v>
      </c>
      <c r="F243" s="23">
        <v>26</v>
      </c>
      <c r="G243" s="23">
        <v>11</v>
      </c>
      <c r="H243" s="23">
        <v>17</v>
      </c>
      <c r="I243" s="23">
        <v>18664</v>
      </c>
      <c r="J243" s="23">
        <v>4807</v>
      </c>
      <c r="K243" s="23">
        <v>9803</v>
      </c>
      <c r="L243" s="23" t="s">
        <v>305</v>
      </c>
      <c r="M243" s="23">
        <f t="shared" si="3"/>
        <v>776</v>
      </c>
      <c r="N243" s="24" t="str">
        <f t="array" ref="N243">INDEX('MATCH INFO'!O:O, INT((ROW()-2)/10)+2 + 92)</f>
        <v>260628_ROZE_T1_S1</v>
      </c>
    </row>
    <row r="244" spans="1:14">
      <c r="A244" s="23" t="s">
        <v>21</v>
      </c>
      <c r="B244" s="23" t="s">
        <v>122</v>
      </c>
      <c r="C244" s="23" t="s">
        <v>109</v>
      </c>
      <c r="D244" s="23" t="s">
        <v>33</v>
      </c>
      <c r="E244" s="23" t="s">
        <v>188</v>
      </c>
      <c r="F244" s="23">
        <v>14</v>
      </c>
      <c r="G244" s="23">
        <v>7</v>
      </c>
      <c r="H244" s="23">
        <v>30</v>
      </c>
      <c r="I244" s="23">
        <v>6923</v>
      </c>
      <c r="J244" s="23">
        <v>17513</v>
      </c>
      <c r="K244" s="23">
        <v>0</v>
      </c>
      <c r="L244" s="23" t="s">
        <v>305</v>
      </c>
      <c r="M244" s="23">
        <f t="shared" si="3"/>
        <v>776</v>
      </c>
      <c r="N244" s="24" t="str">
        <f t="array" ref="N244">INDEX('MATCH INFO'!O:O, INT((ROW()-2)/10)+2 + 92)</f>
        <v>260628_ROZE_T1_S1</v>
      </c>
    </row>
    <row r="245" spans="1:14">
      <c r="A245" s="23" t="s">
        <v>21</v>
      </c>
      <c r="B245" s="23" t="s">
        <v>120</v>
      </c>
      <c r="C245" s="23" t="s">
        <v>109</v>
      </c>
      <c r="D245" s="23" t="s">
        <v>33</v>
      </c>
      <c r="E245" s="23" t="s">
        <v>188</v>
      </c>
      <c r="F245" s="23">
        <v>15</v>
      </c>
      <c r="G245" s="23">
        <v>11</v>
      </c>
      <c r="H245" s="23">
        <v>16</v>
      </c>
      <c r="I245" s="23">
        <v>6078</v>
      </c>
      <c r="J245" s="23">
        <v>9414</v>
      </c>
      <c r="K245" s="23">
        <v>1695</v>
      </c>
      <c r="L245" s="23" t="s">
        <v>305</v>
      </c>
      <c r="M245" s="23">
        <f t="shared" si="3"/>
        <v>776</v>
      </c>
      <c r="N245" s="24" t="str">
        <f t="array" ref="N245">INDEX('MATCH INFO'!O:O, INT((ROW()-2)/10)+2 + 92)</f>
        <v>260628_ROZE_T1_S1</v>
      </c>
    </row>
    <row r="246" spans="1:14">
      <c r="A246" s="23" t="s">
        <v>21</v>
      </c>
      <c r="B246" s="23" t="s">
        <v>119</v>
      </c>
      <c r="C246" s="23" t="s">
        <v>104</v>
      </c>
      <c r="D246" s="23" t="s">
        <v>33</v>
      </c>
      <c r="E246" s="23" t="s">
        <v>188</v>
      </c>
      <c r="F246" s="23">
        <v>29</v>
      </c>
      <c r="G246" s="23">
        <v>8</v>
      </c>
      <c r="H246" s="23">
        <v>3</v>
      </c>
      <c r="I246" s="23">
        <v>17357</v>
      </c>
      <c r="J246" s="23">
        <v>216</v>
      </c>
      <c r="K246" s="23">
        <v>736</v>
      </c>
      <c r="L246" s="23" t="s">
        <v>305</v>
      </c>
      <c r="M246" s="23">
        <f t="shared" si="3"/>
        <v>776</v>
      </c>
      <c r="N246" s="24" t="str">
        <f t="array" ref="N246">INDEX('MATCH INFO'!O:O, INT((ROW()-2)/10)+2 + 92)</f>
        <v>260628_ROZE_T1_S1</v>
      </c>
    </row>
    <row r="247" spans="1:14">
      <c r="A247" s="23" t="s">
        <v>41</v>
      </c>
      <c r="B247" s="23" t="s">
        <v>157</v>
      </c>
      <c r="C247" s="23" t="s">
        <v>109</v>
      </c>
      <c r="D247" s="23" t="s">
        <v>33</v>
      </c>
      <c r="E247" s="23" t="s">
        <v>188</v>
      </c>
      <c r="F247" s="23">
        <v>27</v>
      </c>
      <c r="G247" s="23">
        <v>8</v>
      </c>
      <c r="H247" s="23">
        <v>21</v>
      </c>
      <c r="I247" s="23">
        <v>6838</v>
      </c>
      <c r="J247" s="23">
        <v>10603</v>
      </c>
      <c r="K247" s="23">
        <v>2228</v>
      </c>
      <c r="L247" s="23" t="s">
        <v>305</v>
      </c>
      <c r="M247" s="23">
        <f t="shared" si="3"/>
        <v>776</v>
      </c>
      <c r="N247" s="24" t="str">
        <f t="array" ref="N247">INDEX('MATCH INFO'!O:O, INT((ROW()-2)/10)+2 + 92)</f>
        <v>260628_ROZE_T1_S1</v>
      </c>
    </row>
    <row r="248" spans="1:14">
      <c r="A248" s="23" t="s">
        <v>41</v>
      </c>
      <c r="B248" s="23" t="s">
        <v>152</v>
      </c>
      <c r="C248" s="23" t="s">
        <v>101</v>
      </c>
      <c r="D248" s="23" t="s">
        <v>33</v>
      </c>
      <c r="E248" s="23" t="s">
        <v>188</v>
      </c>
      <c r="F248" s="23">
        <v>33</v>
      </c>
      <c r="G248" s="23">
        <v>7</v>
      </c>
      <c r="H248" s="23">
        <v>21</v>
      </c>
      <c r="I248" s="23">
        <v>20561</v>
      </c>
      <c r="J248" s="23">
        <v>5227</v>
      </c>
      <c r="K248" s="23">
        <v>10383</v>
      </c>
      <c r="L248" s="23" t="s">
        <v>305</v>
      </c>
      <c r="M248" s="23">
        <f t="shared" si="3"/>
        <v>776</v>
      </c>
      <c r="N248" s="24" t="str">
        <f t="array" ref="N248">INDEX('MATCH INFO'!O:O, INT((ROW()-2)/10)+2 + 92)</f>
        <v>260628_ROZE_T1_S1</v>
      </c>
    </row>
    <row r="249" spans="1:14">
      <c r="A249" s="23" t="s">
        <v>41</v>
      </c>
      <c r="B249" s="23" t="s">
        <v>155</v>
      </c>
      <c r="C249" s="23" t="s">
        <v>104</v>
      </c>
      <c r="D249" s="23" t="s">
        <v>33</v>
      </c>
      <c r="E249" s="23" t="s">
        <v>188</v>
      </c>
      <c r="F249" s="23">
        <v>31</v>
      </c>
      <c r="G249" s="23">
        <v>9</v>
      </c>
      <c r="H249" s="23">
        <v>2</v>
      </c>
      <c r="I249" s="23">
        <v>16531</v>
      </c>
      <c r="J249" s="23">
        <v>0</v>
      </c>
      <c r="K249" s="23">
        <v>725</v>
      </c>
      <c r="L249" s="23" t="s">
        <v>305</v>
      </c>
      <c r="M249" s="23">
        <f t="shared" si="3"/>
        <v>776</v>
      </c>
      <c r="N249" s="24" t="str">
        <f t="array" ref="N249">INDEX('MATCH INFO'!O:O, INT((ROW()-2)/10)+2 + 92)</f>
        <v>260628_ROZE_T1_S1</v>
      </c>
    </row>
    <row r="250" spans="1:14">
      <c r="A250" s="23" t="s">
        <v>41</v>
      </c>
      <c r="B250" s="23" t="s">
        <v>158</v>
      </c>
      <c r="C250" s="23" t="s">
        <v>109</v>
      </c>
      <c r="D250" s="23" t="s">
        <v>33</v>
      </c>
      <c r="E250" s="23" t="s">
        <v>188</v>
      </c>
      <c r="F250" s="23">
        <v>22</v>
      </c>
      <c r="G250" s="23">
        <v>7</v>
      </c>
      <c r="H250" s="23">
        <v>32</v>
      </c>
      <c r="I250" s="23">
        <v>5862</v>
      </c>
      <c r="J250" s="23">
        <v>19773</v>
      </c>
      <c r="K250" s="23">
        <v>0</v>
      </c>
      <c r="L250" s="23" t="s">
        <v>305</v>
      </c>
      <c r="M250" s="23">
        <f t="shared" si="3"/>
        <v>776</v>
      </c>
      <c r="N250" s="24" t="str">
        <f t="array" ref="N250">INDEX('MATCH INFO'!O:O, INT((ROW()-2)/10)+2 + 92)</f>
        <v>260628_ROZE_T1_S1</v>
      </c>
    </row>
    <row r="251" spans="1:14">
      <c r="A251" s="23" t="s">
        <v>41</v>
      </c>
      <c r="B251" s="23" t="s">
        <v>154</v>
      </c>
      <c r="C251" s="23" t="s">
        <v>104</v>
      </c>
      <c r="D251" s="23" t="s">
        <v>33</v>
      </c>
      <c r="E251" s="23" t="s">
        <v>188</v>
      </c>
      <c r="F251" s="23">
        <v>25</v>
      </c>
      <c r="G251" s="23">
        <v>10</v>
      </c>
      <c r="H251" s="23">
        <v>9</v>
      </c>
      <c r="I251" s="23">
        <v>11323</v>
      </c>
      <c r="J251" s="23">
        <v>707</v>
      </c>
      <c r="K251" s="23">
        <v>536</v>
      </c>
      <c r="L251" s="23" t="s">
        <v>305</v>
      </c>
      <c r="M251" s="23">
        <f t="shared" si="3"/>
        <v>776</v>
      </c>
      <c r="N251" s="24" t="str">
        <f t="array" ref="N251">INDEX('MATCH INFO'!O:O, INT((ROW()-2)/10)+2 + 92)</f>
        <v>260628_ROZE_T1_S1</v>
      </c>
    </row>
    <row r="252" spans="1:14">
      <c r="A252" s="23" t="s">
        <v>21</v>
      </c>
      <c r="B252" s="23" t="s">
        <v>117</v>
      </c>
      <c r="C252" s="23" t="s">
        <v>104</v>
      </c>
      <c r="D252" s="23" t="s">
        <v>28</v>
      </c>
      <c r="E252" s="23" t="s">
        <v>192</v>
      </c>
      <c r="F252" s="23">
        <v>21</v>
      </c>
      <c r="G252" s="23">
        <v>10</v>
      </c>
      <c r="H252" s="23">
        <v>5</v>
      </c>
      <c r="I252" s="23">
        <v>10126</v>
      </c>
      <c r="J252" s="23">
        <v>350</v>
      </c>
      <c r="K252" s="23">
        <v>3180</v>
      </c>
      <c r="L252" s="23" t="s">
        <v>306</v>
      </c>
      <c r="M252" s="23">
        <f t="shared" si="3"/>
        <v>695</v>
      </c>
      <c r="N252" s="24" t="str">
        <f t="array" ref="N252">INDEX('MATCH INFO'!O:O, INT((ROW()-2)/10)+2 + 92)</f>
        <v>260628_ROZE_T1_S2</v>
      </c>
    </row>
    <row r="253" spans="1:14">
      <c r="A253" s="23" t="s">
        <v>21</v>
      </c>
      <c r="B253" s="23" t="s">
        <v>116</v>
      </c>
      <c r="C253" s="23" t="s">
        <v>101</v>
      </c>
      <c r="D253" s="23" t="s">
        <v>28</v>
      </c>
      <c r="E253" s="23" t="s">
        <v>192</v>
      </c>
      <c r="F253" s="23">
        <v>16</v>
      </c>
      <c r="G253" s="23">
        <v>10</v>
      </c>
      <c r="H253" s="23">
        <v>10</v>
      </c>
      <c r="I253" s="23">
        <v>14322</v>
      </c>
      <c r="J253" s="23">
        <v>3065</v>
      </c>
      <c r="K253" s="23">
        <v>16485</v>
      </c>
      <c r="L253" s="23" t="s">
        <v>306</v>
      </c>
      <c r="M253" s="23">
        <f t="shared" si="3"/>
        <v>695</v>
      </c>
      <c r="N253" s="24" t="str">
        <f t="array" ref="N253">INDEX('MATCH INFO'!O:O, INT((ROW()-2)/10)+2 + 92)</f>
        <v>260628_ROZE_T1_S2</v>
      </c>
    </row>
    <row r="254" spans="1:14">
      <c r="A254" s="23" t="s">
        <v>21</v>
      </c>
      <c r="B254" s="23" t="s">
        <v>122</v>
      </c>
      <c r="C254" s="23" t="s">
        <v>109</v>
      </c>
      <c r="D254" s="23" t="s">
        <v>28</v>
      </c>
      <c r="E254" s="23" t="s">
        <v>192</v>
      </c>
      <c r="F254" s="23">
        <v>12</v>
      </c>
      <c r="G254" s="23">
        <v>8</v>
      </c>
      <c r="H254" s="23">
        <v>17</v>
      </c>
      <c r="I254" s="23">
        <v>4029</v>
      </c>
      <c r="J254" s="23">
        <v>11521</v>
      </c>
      <c r="K254" s="23">
        <v>0</v>
      </c>
      <c r="L254" s="23" t="s">
        <v>306</v>
      </c>
      <c r="M254" s="23">
        <f t="shared" si="3"/>
        <v>695</v>
      </c>
      <c r="N254" s="24" t="str">
        <f t="array" ref="N254">INDEX('MATCH INFO'!O:O, INT((ROW()-2)/10)+2 + 92)</f>
        <v>260628_ROZE_T1_S2</v>
      </c>
    </row>
    <row r="255" spans="1:14">
      <c r="A255" s="23" t="s">
        <v>21</v>
      </c>
      <c r="B255" s="23" t="s">
        <v>120</v>
      </c>
      <c r="C255" s="23" t="s">
        <v>109</v>
      </c>
      <c r="D255" s="23" t="s">
        <v>28</v>
      </c>
      <c r="E255" s="23" t="s">
        <v>192</v>
      </c>
      <c r="F255" s="23">
        <v>15</v>
      </c>
      <c r="G255" s="23">
        <v>9</v>
      </c>
      <c r="H255" s="23">
        <v>16</v>
      </c>
      <c r="I255" s="23">
        <v>3581</v>
      </c>
      <c r="J255" s="23">
        <v>7266</v>
      </c>
      <c r="K255" s="23">
        <v>583</v>
      </c>
      <c r="L255" s="23" t="s">
        <v>306</v>
      </c>
      <c r="M255" s="23">
        <f t="shared" si="3"/>
        <v>695</v>
      </c>
      <c r="N255" s="24" t="str">
        <f t="array" ref="N255">INDEX('MATCH INFO'!O:O, INT((ROW()-2)/10)+2 + 92)</f>
        <v>260628_ROZE_T1_S2</v>
      </c>
    </row>
    <row r="256" spans="1:14">
      <c r="A256" s="23" t="s">
        <v>21</v>
      </c>
      <c r="B256" s="23" t="s">
        <v>119</v>
      </c>
      <c r="C256" s="23" t="s">
        <v>104</v>
      </c>
      <c r="D256" s="23" t="s">
        <v>28</v>
      </c>
      <c r="E256" s="23" t="s">
        <v>192</v>
      </c>
      <c r="F256" s="23">
        <v>15</v>
      </c>
      <c r="G256" s="23">
        <v>9</v>
      </c>
      <c r="H256" s="23">
        <v>3</v>
      </c>
      <c r="I256" s="23">
        <v>8744</v>
      </c>
      <c r="J256" s="23">
        <v>0</v>
      </c>
      <c r="K256" s="23">
        <v>373</v>
      </c>
      <c r="L256" s="23" t="s">
        <v>306</v>
      </c>
      <c r="M256" s="23">
        <f t="shared" si="3"/>
        <v>695</v>
      </c>
      <c r="N256" s="24" t="str">
        <f t="array" ref="N256">INDEX('MATCH INFO'!O:O, INT((ROW()-2)/10)+2 + 92)</f>
        <v>260628_ROZE_T1_S2</v>
      </c>
    </row>
    <row r="257" spans="1:14">
      <c r="A257" s="23" t="s">
        <v>41</v>
      </c>
      <c r="B257" s="23" t="s">
        <v>157</v>
      </c>
      <c r="C257" s="23" t="s">
        <v>109</v>
      </c>
      <c r="D257" s="23" t="s">
        <v>28</v>
      </c>
      <c r="E257" s="23" t="s">
        <v>192</v>
      </c>
      <c r="F257" s="23">
        <v>21</v>
      </c>
      <c r="G257" s="23">
        <v>5</v>
      </c>
      <c r="H257" s="23">
        <v>24</v>
      </c>
      <c r="I257" s="23">
        <v>2769</v>
      </c>
      <c r="J257" s="23">
        <v>8221</v>
      </c>
      <c r="K257" s="23">
        <v>0</v>
      </c>
      <c r="L257" s="23" t="s">
        <v>306</v>
      </c>
      <c r="M257" s="23">
        <f t="shared" si="3"/>
        <v>695</v>
      </c>
      <c r="N257" s="24" t="str">
        <f t="array" ref="N257">INDEX('MATCH INFO'!O:O, INT((ROW()-2)/10)+2 + 92)</f>
        <v>260628_ROZE_T1_S2</v>
      </c>
    </row>
    <row r="258" spans="1:14">
      <c r="A258" s="23" t="s">
        <v>41</v>
      </c>
      <c r="B258" s="23" t="s">
        <v>152</v>
      </c>
      <c r="C258" s="23" t="s">
        <v>101</v>
      </c>
      <c r="D258" s="23" t="s">
        <v>28</v>
      </c>
      <c r="E258" s="23" t="s">
        <v>192</v>
      </c>
      <c r="F258" s="23">
        <v>25</v>
      </c>
      <c r="G258" s="23">
        <v>6</v>
      </c>
      <c r="H258" s="23">
        <v>12</v>
      </c>
      <c r="I258" s="23">
        <v>12350</v>
      </c>
      <c r="J258" s="23">
        <v>2098</v>
      </c>
      <c r="K258" s="23">
        <v>12295</v>
      </c>
      <c r="L258" s="23" t="s">
        <v>306</v>
      </c>
      <c r="M258" s="23">
        <f t="shared" ref="M258:M321" si="4">L258*86400</f>
        <v>695</v>
      </c>
      <c r="N258" s="24" t="str">
        <f t="array" ref="N258">INDEX('MATCH INFO'!O:O, INT((ROW()-2)/10)+2 + 92)</f>
        <v>260628_ROZE_T1_S2</v>
      </c>
    </row>
    <row r="259" spans="1:14">
      <c r="A259" s="23" t="s">
        <v>41</v>
      </c>
      <c r="B259" s="23" t="s">
        <v>155</v>
      </c>
      <c r="C259" s="23" t="s">
        <v>104</v>
      </c>
      <c r="D259" s="23" t="s">
        <v>28</v>
      </c>
      <c r="E259" s="23" t="s">
        <v>192</v>
      </c>
      <c r="F259" s="23">
        <v>28</v>
      </c>
      <c r="G259" s="23">
        <v>8</v>
      </c>
      <c r="H259" s="23">
        <v>6</v>
      </c>
      <c r="I259" s="23">
        <v>12733</v>
      </c>
      <c r="J259" s="23">
        <v>33</v>
      </c>
      <c r="K259" s="23">
        <v>1291</v>
      </c>
      <c r="L259" s="23" t="s">
        <v>306</v>
      </c>
      <c r="M259" s="23">
        <f t="shared" si="4"/>
        <v>695</v>
      </c>
      <c r="N259" s="24" t="str">
        <f t="array" ref="N259">INDEX('MATCH INFO'!O:O, INT((ROW()-2)/10)+2 + 92)</f>
        <v>260628_ROZE_T1_S2</v>
      </c>
    </row>
    <row r="260" spans="1:14">
      <c r="A260" s="23" t="s">
        <v>41</v>
      </c>
      <c r="B260" s="23" t="s">
        <v>158</v>
      </c>
      <c r="C260" s="23" t="s">
        <v>109</v>
      </c>
      <c r="D260" s="23" t="s">
        <v>28</v>
      </c>
      <c r="E260" s="23" t="s">
        <v>192</v>
      </c>
      <c r="F260" s="23">
        <v>16</v>
      </c>
      <c r="G260" s="23">
        <v>3</v>
      </c>
      <c r="H260" s="23">
        <v>29</v>
      </c>
      <c r="I260" s="23">
        <v>4595</v>
      </c>
      <c r="J260" s="23">
        <v>13742</v>
      </c>
      <c r="K260" s="23">
        <v>0</v>
      </c>
      <c r="L260" s="23" t="s">
        <v>306</v>
      </c>
      <c r="M260" s="23">
        <f t="shared" si="4"/>
        <v>695</v>
      </c>
      <c r="N260" s="24" t="str">
        <f t="array" ref="N260">INDEX('MATCH INFO'!O:O, INT((ROW()-2)/10)+2 + 92)</f>
        <v>260628_ROZE_T1_S2</v>
      </c>
    </row>
    <row r="261" spans="1:14">
      <c r="A261" s="23" t="s">
        <v>41</v>
      </c>
      <c r="B261" s="23" t="s">
        <v>154</v>
      </c>
      <c r="C261" s="23" t="s">
        <v>104</v>
      </c>
      <c r="D261" s="23" t="s">
        <v>28</v>
      </c>
      <c r="E261" s="23" t="s">
        <v>192</v>
      </c>
      <c r="F261" s="23">
        <v>30</v>
      </c>
      <c r="G261" s="23">
        <v>6</v>
      </c>
      <c r="H261" s="23">
        <v>2</v>
      </c>
      <c r="I261" s="23">
        <v>11400</v>
      </c>
      <c r="J261" s="23">
        <v>0</v>
      </c>
      <c r="K261" s="23">
        <v>625</v>
      </c>
      <c r="L261" s="23" t="s">
        <v>306</v>
      </c>
      <c r="M261" s="23">
        <f t="shared" si="4"/>
        <v>695</v>
      </c>
      <c r="N261" s="24" t="str">
        <f t="array" ref="N261">INDEX('MATCH INFO'!O:O, INT((ROW()-2)/10)+2 + 92)</f>
        <v>260628_ROZE_T1_S2</v>
      </c>
    </row>
    <row r="262" spans="1:14">
      <c r="A262" s="23" t="s">
        <v>21</v>
      </c>
      <c r="B262" s="23" t="s">
        <v>117</v>
      </c>
      <c r="C262" s="23" t="s">
        <v>104</v>
      </c>
      <c r="D262" s="23" t="s">
        <v>44</v>
      </c>
      <c r="E262" s="23" t="s">
        <v>190</v>
      </c>
      <c r="F262" s="23">
        <v>10</v>
      </c>
      <c r="G262" s="23">
        <v>7</v>
      </c>
      <c r="H262" s="23">
        <v>3</v>
      </c>
      <c r="I262" s="23">
        <v>7962</v>
      </c>
      <c r="J262" s="23">
        <v>910</v>
      </c>
      <c r="K262" s="23">
        <v>3181</v>
      </c>
      <c r="L262" s="23" t="s">
        <v>307</v>
      </c>
      <c r="M262" s="23">
        <f t="shared" si="4"/>
        <v>530</v>
      </c>
      <c r="N262" s="24" t="str">
        <f t="array" ref="N262">INDEX('MATCH INFO'!O:O, INT((ROW()-2)/10)+2 + 92)</f>
        <v>260628_ROZE_T1_S3</v>
      </c>
    </row>
    <row r="263" spans="1:14">
      <c r="A263" s="23" t="s">
        <v>21</v>
      </c>
      <c r="B263" s="23" t="s">
        <v>116</v>
      </c>
      <c r="C263" s="23" t="s">
        <v>101</v>
      </c>
      <c r="D263" s="23" t="s">
        <v>44</v>
      </c>
      <c r="E263" s="23" t="s">
        <v>190</v>
      </c>
      <c r="F263" s="23">
        <v>12</v>
      </c>
      <c r="G263" s="23">
        <v>7</v>
      </c>
      <c r="H263" s="23">
        <v>4</v>
      </c>
      <c r="I263" s="23">
        <v>11647</v>
      </c>
      <c r="J263" s="23">
        <v>469</v>
      </c>
      <c r="K263" s="23">
        <v>5284</v>
      </c>
      <c r="L263" s="23" t="s">
        <v>307</v>
      </c>
      <c r="M263" s="23">
        <f t="shared" si="4"/>
        <v>530</v>
      </c>
      <c r="N263" s="24" t="str">
        <f t="array" ref="N263">INDEX('MATCH INFO'!O:O, INT((ROW()-2)/10)+2 + 92)</f>
        <v>260628_ROZE_T1_S3</v>
      </c>
    </row>
    <row r="264" spans="1:14">
      <c r="A264" s="23" t="s">
        <v>21</v>
      </c>
      <c r="B264" s="23" t="s">
        <v>122</v>
      </c>
      <c r="C264" s="23" t="s">
        <v>109</v>
      </c>
      <c r="D264" s="23" t="s">
        <v>44</v>
      </c>
      <c r="E264" s="23" t="s">
        <v>190</v>
      </c>
      <c r="F264" s="23">
        <v>8</v>
      </c>
      <c r="G264" s="23">
        <v>4</v>
      </c>
      <c r="H264" s="23">
        <v>12</v>
      </c>
      <c r="I264" s="23">
        <v>5922</v>
      </c>
      <c r="J264" s="23">
        <v>10877</v>
      </c>
      <c r="K264" s="23">
        <v>2856</v>
      </c>
      <c r="L264" s="23" t="s">
        <v>307</v>
      </c>
      <c r="M264" s="23">
        <f t="shared" si="4"/>
        <v>530</v>
      </c>
      <c r="N264" s="24" t="str">
        <f t="array" ref="N264">INDEX('MATCH INFO'!O:O, INT((ROW()-2)/10)+2 + 92)</f>
        <v>260628_ROZE_T1_S3</v>
      </c>
    </row>
    <row r="265" spans="1:14">
      <c r="A265" s="23" t="s">
        <v>21</v>
      </c>
      <c r="B265" s="23" t="s">
        <v>120</v>
      </c>
      <c r="C265" s="23" t="s">
        <v>109</v>
      </c>
      <c r="D265" s="23" t="s">
        <v>44</v>
      </c>
      <c r="E265" s="23" t="s">
        <v>190</v>
      </c>
      <c r="F265" s="23">
        <v>5</v>
      </c>
      <c r="G265" s="23">
        <v>8</v>
      </c>
      <c r="H265" s="23">
        <v>5</v>
      </c>
      <c r="I265" s="23">
        <v>2063</v>
      </c>
      <c r="J265" s="23">
        <v>8822</v>
      </c>
      <c r="K265" s="23">
        <v>0</v>
      </c>
      <c r="L265" s="23" t="s">
        <v>307</v>
      </c>
      <c r="M265" s="23">
        <f t="shared" si="4"/>
        <v>530</v>
      </c>
      <c r="N265" s="24" t="str">
        <f t="array" ref="N265">INDEX('MATCH INFO'!O:O, INT((ROW()-2)/10)+2 + 92)</f>
        <v>260628_ROZE_T1_S3</v>
      </c>
    </row>
    <row r="266" spans="1:14">
      <c r="A266" s="23" t="s">
        <v>21</v>
      </c>
      <c r="B266" s="23" t="s">
        <v>119</v>
      </c>
      <c r="C266" s="23" t="s">
        <v>104</v>
      </c>
      <c r="D266" s="23" t="s">
        <v>44</v>
      </c>
      <c r="E266" s="23" t="s">
        <v>190</v>
      </c>
      <c r="F266" s="23">
        <v>8</v>
      </c>
      <c r="G266" s="23">
        <v>8</v>
      </c>
      <c r="H266" s="23">
        <v>1</v>
      </c>
      <c r="I266" s="23">
        <v>7005</v>
      </c>
      <c r="J266" s="23">
        <v>0</v>
      </c>
      <c r="K266" s="23">
        <v>451</v>
      </c>
      <c r="L266" s="23" t="s">
        <v>307</v>
      </c>
      <c r="M266" s="23">
        <f t="shared" si="4"/>
        <v>530</v>
      </c>
      <c r="N266" s="24" t="str">
        <f t="array" ref="N266">INDEX('MATCH INFO'!O:O, INT((ROW()-2)/10)+2 + 92)</f>
        <v>260628_ROZE_T1_S3</v>
      </c>
    </row>
    <row r="267" spans="1:14">
      <c r="A267" s="23" t="s">
        <v>41</v>
      </c>
      <c r="B267" s="23" t="s">
        <v>157</v>
      </c>
      <c r="C267" s="23" t="s">
        <v>109</v>
      </c>
      <c r="D267" s="23" t="s">
        <v>44</v>
      </c>
      <c r="E267" s="23" t="s">
        <v>190</v>
      </c>
      <c r="F267" s="23">
        <v>19</v>
      </c>
      <c r="G267" s="23">
        <v>5</v>
      </c>
      <c r="H267" s="23">
        <v>19</v>
      </c>
      <c r="I267" s="23">
        <v>3698</v>
      </c>
      <c r="J267" s="23">
        <v>4865</v>
      </c>
      <c r="K267" s="23">
        <v>901</v>
      </c>
      <c r="L267" s="23" t="s">
        <v>307</v>
      </c>
      <c r="M267" s="23">
        <f t="shared" si="4"/>
        <v>530</v>
      </c>
      <c r="N267" s="24" t="str">
        <f t="array" ref="N267">INDEX('MATCH INFO'!O:O, INT((ROW()-2)/10)+2 + 92)</f>
        <v>260628_ROZE_T1_S3</v>
      </c>
    </row>
    <row r="268" spans="1:14">
      <c r="A268" s="23" t="s">
        <v>41</v>
      </c>
      <c r="B268" s="23" t="s">
        <v>152</v>
      </c>
      <c r="C268" s="23" t="s">
        <v>101</v>
      </c>
      <c r="D268" s="23" t="s">
        <v>44</v>
      </c>
      <c r="E268" s="23" t="s">
        <v>190</v>
      </c>
      <c r="F268" s="23">
        <v>20</v>
      </c>
      <c r="G268" s="23">
        <v>4</v>
      </c>
      <c r="H268" s="23">
        <v>14</v>
      </c>
      <c r="I268" s="23">
        <v>9006</v>
      </c>
      <c r="J268" s="23">
        <v>2776</v>
      </c>
      <c r="K268" s="23">
        <v>4796</v>
      </c>
      <c r="L268" s="23" t="s">
        <v>307</v>
      </c>
      <c r="M268" s="23">
        <f t="shared" si="4"/>
        <v>530</v>
      </c>
      <c r="N268" s="24" t="str">
        <f t="array" ref="N268">INDEX('MATCH INFO'!O:O, INT((ROW()-2)/10)+2 + 92)</f>
        <v>260628_ROZE_T1_S3</v>
      </c>
    </row>
    <row r="269" spans="1:14">
      <c r="A269" s="23" t="s">
        <v>41</v>
      </c>
      <c r="B269" s="23" t="s">
        <v>155</v>
      </c>
      <c r="C269" s="23" t="s">
        <v>104</v>
      </c>
      <c r="D269" s="23" t="s">
        <v>44</v>
      </c>
      <c r="E269" s="23" t="s">
        <v>190</v>
      </c>
      <c r="F269" s="23">
        <v>23</v>
      </c>
      <c r="G269" s="23">
        <v>2</v>
      </c>
      <c r="H269" s="23">
        <v>0</v>
      </c>
      <c r="I269" s="23">
        <v>10646</v>
      </c>
      <c r="J269" s="23">
        <v>0</v>
      </c>
      <c r="K269" s="23">
        <v>0</v>
      </c>
      <c r="L269" s="23" t="s">
        <v>307</v>
      </c>
      <c r="M269" s="23">
        <f t="shared" si="4"/>
        <v>530</v>
      </c>
      <c r="N269" s="24" t="str">
        <f t="array" ref="N269">INDEX('MATCH INFO'!O:O, INT((ROW()-2)/10)+2 + 92)</f>
        <v>260628_ROZE_T1_S3</v>
      </c>
    </row>
    <row r="270" spans="1:14">
      <c r="A270" s="23" t="s">
        <v>41</v>
      </c>
      <c r="B270" s="23" t="s">
        <v>158</v>
      </c>
      <c r="C270" s="23" t="s">
        <v>109</v>
      </c>
      <c r="D270" s="23" t="s">
        <v>44</v>
      </c>
      <c r="E270" s="23" t="s">
        <v>190</v>
      </c>
      <c r="F270" s="23">
        <v>23</v>
      </c>
      <c r="G270" s="23">
        <v>1</v>
      </c>
      <c r="H270" s="23">
        <v>28</v>
      </c>
      <c r="I270" s="23">
        <v>4642</v>
      </c>
      <c r="J270" s="23">
        <v>15232</v>
      </c>
      <c r="K270" s="23">
        <v>0</v>
      </c>
      <c r="L270" s="23" t="s">
        <v>307</v>
      </c>
      <c r="M270" s="23">
        <f t="shared" si="4"/>
        <v>530</v>
      </c>
      <c r="N270" s="24" t="str">
        <f t="array" ref="N270">INDEX('MATCH INFO'!O:O, INT((ROW()-2)/10)+2 + 92)</f>
        <v>260628_ROZE_T1_S3</v>
      </c>
    </row>
    <row r="271" spans="1:14">
      <c r="A271" s="23" t="s">
        <v>41</v>
      </c>
      <c r="B271" s="23" t="s">
        <v>154</v>
      </c>
      <c r="C271" s="23" t="s">
        <v>104</v>
      </c>
      <c r="D271" s="23" t="s">
        <v>44</v>
      </c>
      <c r="E271" s="23" t="s">
        <v>190</v>
      </c>
      <c r="F271" s="23">
        <v>21</v>
      </c>
      <c r="G271" s="23">
        <v>3</v>
      </c>
      <c r="H271" s="23">
        <v>0</v>
      </c>
      <c r="I271" s="23">
        <v>7311</v>
      </c>
      <c r="J271" s="23">
        <v>272</v>
      </c>
      <c r="K271" s="23">
        <v>1409</v>
      </c>
      <c r="L271" s="23" t="s">
        <v>307</v>
      </c>
      <c r="M271" s="23">
        <f t="shared" si="4"/>
        <v>530</v>
      </c>
      <c r="N271" s="24" t="str">
        <f t="array" ref="N271">INDEX('MATCH INFO'!O:O, INT((ROW()-2)/10)+2 + 92)</f>
        <v>260628_ROZE_T1_S3</v>
      </c>
    </row>
    <row r="272" spans="1:14">
      <c r="A272" s="23" t="s">
        <v>32</v>
      </c>
      <c r="B272" s="23" t="s">
        <v>150</v>
      </c>
      <c r="C272" s="23" t="s">
        <v>109</v>
      </c>
      <c r="D272" s="23" t="s">
        <v>33</v>
      </c>
      <c r="E272" s="23" t="s">
        <v>188</v>
      </c>
      <c r="F272" s="23">
        <v>32</v>
      </c>
      <c r="G272" s="23">
        <v>9</v>
      </c>
      <c r="H272" s="23">
        <v>35</v>
      </c>
      <c r="I272" s="23">
        <v>7309</v>
      </c>
      <c r="J272" s="23">
        <v>9767</v>
      </c>
      <c r="K272" s="23">
        <v>4800</v>
      </c>
      <c r="L272" s="23" t="s">
        <v>308</v>
      </c>
      <c r="M272" s="23">
        <f t="shared" si="4"/>
        <v>726</v>
      </c>
      <c r="N272" s="24" t="str">
        <f t="array" ref="N272">INDEX('MATCH INFO'!O:O, INT((ROW()-2)/10)+2 + 92)</f>
        <v>260628_CR_ZETA_S1</v>
      </c>
    </row>
    <row r="273" spans="1:14">
      <c r="A273" s="23" t="s">
        <v>32</v>
      </c>
      <c r="B273" s="23" t="s">
        <v>147</v>
      </c>
      <c r="C273" s="23" t="s">
        <v>104</v>
      </c>
      <c r="D273" s="23" t="s">
        <v>33</v>
      </c>
      <c r="E273" s="23" t="s">
        <v>188</v>
      </c>
      <c r="F273" s="23">
        <v>38</v>
      </c>
      <c r="G273" s="23">
        <v>8</v>
      </c>
      <c r="H273" s="23">
        <v>0</v>
      </c>
      <c r="I273" s="23">
        <v>18300</v>
      </c>
      <c r="J273" s="23">
        <v>2274</v>
      </c>
      <c r="K273" s="23">
        <v>0</v>
      </c>
      <c r="L273" s="23" t="s">
        <v>308</v>
      </c>
      <c r="M273" s="23">
        <f t="shared" si="4"/>
        <v>726</v>
      </c>
      <c r="N273" s="24" t="str">
        <f t="array" ref="N273">INDEX('MATCH INFO'!O:O, INT((ROW()-2)/10)+2 + 92)</f>
        <v>260628_CR_ZETA_S1</v>
      </c>
    </row>
    <row r="274" spans="1:14">
      <c r="A274" s="23" t="s">
        <v>32</v>
      </c>
      <c r="B274" s="23" t="s">
        <v>146</v>
      </c>
      <c r="C274" s="23" t="s">
        <v>101</v>
      </c>
      <c r="D274" s="23" t="s">
        <v>33</v>
      </c>
      <c r="E274" s="23" t="s">
        <v>188</v>
      </c>
      <c r="F274" s="23">
        <v>35</v>
      </c>
      <c r="G274" s="23">
        <v>7</v>
      </c>
      <c r="H274" s="23">
        <v>25</v>
      </c>
      <c r="I274" s="23">
        <v>20012</v>
      </c>
      <c r="J274" s="23">
        <v>4170</v>
      </c>
      <c r="K274" s="23">
        <v>7981</v>
      </c>
      <c r="L274" s="23" t="s">
        <v>308</v>
      </c>
      <c r="M274" s="23">
        <f t="shared" si="4"/>
        <v>726</v>
      </c>
      <c r="N274" s="24" t="str">
        <f t="array" ref="N274">INDEX('MATCH INFO'!O:O, INT((ROW()-2)/10)+2 + 92)</f>
        <v>260628_CR_ZETA_S1</v>
      </c>
    </row>
    <row r="275" spans="1:14">
      <c r="A275" s="23" t="s">
        <v>32</v>
      </c>
      <c r="B275" s="23" t="s">
        <v>149</v>
      </c>
      <c r="C275" s="23" t="s">
        <v>104</v>
      </c>
      <c r="D275" s="23" t="s">
        <v>33</v>
      </c>
      <c r="E275" s="23" t="s">
        <v>188</v>
      </c>
      <c r="F275" s="23">
        <v>29</v>
      </c>
      <c r="G275" s="23">
        <v>9</v>
      </c>
      <c r="H275" s="23">
        <v>5</v>
      </c>
      <c r="I275" s="23">
        <v>14693</v>
      </c>
      <c r="J275" s="23">
        <v>0</v>
      </c>
      <c r="K275" s="23">
        <v>502</v>
      </c>
      <c r="L275" s="23" t="s">
        <v>308</v>
      </c>
      <c r="M275" s="23">
        <f t="shared" si="4"/>
        <v>726</v>
      </c>
      <c r="N275" s="24" t="str">
        <f t="array" ref="N275">INDEX('MATCH INFO'!O:O, INT((ROW()-2)/10)+2 + 92)</f>
        <v>260628_CR_ZETA_S1</v>
      </c>
    </row>
    <row r="276" spans="1:14">
      <c r="A276" s="23" t="s">
        <v>32</v>
      </c>
      <c r="B276" s="23" t="s">
        <v>151</v>
      </c>
      <c r="C276" s="23" t="s">
        <v>109</v>
      </c>
      <c r="D276" s="23" t="s">
        <v>33</v>
      </c>
      <c r="E276" s="23" t="s">
        <v>188</v>
      </c>
      <c r="F276" s="23">
        <v>24</v>
      </c>
      <c r="G276" s="23">
        <v>8</v>
      </c>
      <c r="H276" s="23">
        <v>41</v>
      </c>
      <c r="I276" s="23">
        <v>6048</v>
      </c>
      <c r="J276" s="23">
        <v>19754</v>
      </c>
      <c r="K276" s="23">
        <v>0</v>
      </c>
      <c r="L276" s="23" t="s">
        <v>308</v>
      </c>
      <c r="M276" s="23">
        <f t="shared" si="4"/>
        <v>726</v>
      </c>
      <c r="N276" s="24" t="str">
        <f t="array" ref="N276">INDEX('MATCH INFO'!O:O, INT((ROW()-2)/10)+2 + 92)</f>
        <v>260628_CR_ZETA_S1</v>
      </c>
    </row>
    <row r="277" spans="1:14">
      <c r="A277" s="23" t="s">
        <v>42</v>
      </c>
      <c r="B277" s="23" t="s">
        <v>139</v>
      </c>
      <c r="C277" s="23" t="s">
        <v>101</v>
      </c>
      <c r="D277" s="23" t="s">
        <v>33</v>
      </c>
      <c r="E277" s="23" t="s">
        <v>188</v>
      </c>
      <c r="F277" s="23">
        <v>29</v>
      </c>
      <c r="G277" s="23">
        <v>9</v>
      </c>
      <c r="H277" s="23">
        <v>15</v>
      </c>
      <c r="I277" s="23">
        <v>16840</v>
      </c>
      <c r="J277" s="23">
        <v>4035</v>
      </c>
      <c r="K277" s="23">
        <v>8852</v>
      </c>
      <c r="L277" s="23" t="s">
        <v>308</v>
      </c>
      <c r="M277" s="23">
        <f t="shared" si="4"/>
        <v>726</v>
      </c>
      <c r="N277" s="24" t="str">
        <f t="array" ref="N277">INDEX('MATCH INFO'!O:O, INT((ROW()-2)/10)+2 + 92)</f>
        <v>260628_CR_ZETA_S1</v>
      </c>
    </row>
    <row r="278" spans="1:14">
      <c r="A278" s="23" t="s">
        <v>42</v>
      </c>
      <c r="B278" s="23" t="s">
        <v>141</v>
      </c>
      <c r="C278" s="23" t="s">
        <v>104</v>
      </c>
      <c r="D278" s="23" t="s">
        <v>33</v>
      </c>
      <c r="E278" s="23" t="s">
        <v>188</v>
      </c>
      <c r="F278" s="23">
        <v>26</v>
      </c>
      <c r="G278" s="23">
        <v>11</v>
      </c>
      <c r="H278" s="23">
        <v>0</v>
      </c>
      <c r="I278" s="23">
        <v>13782</v>
      </c>
      <c r="J278" s="23">
        <v>2099</v>
      </c>
      <c r="K278" s="23">
        <v>0</v>
      </c>
      <c r="L278" s="23" t="s">
        <v>308</v>
      </c>
      <c r="M278" s="23">
        <f t="shared" si="4"/>
        <v>726</v>
      </c>
      <c r="N278" s="24" t="str">
        <f t="array" ref="N278">INDEX('MATCH INFO'!O:O, INT((ROW()-2)/10)+2 + 92)</f>
        <v>260628_CR_ZETA_S1</v>
      </c>
    </row>
    <row r="279" spans="1:14">
      <c r="A279" s="23" t="s">
        <v>42</v>
      </c>
      <c r="B279" s="23" t="s">
        <v>140</v>
      </c>
      <c r="C279" s="23" t="s">
        <v>104</v>
      </c>
      <c r="D279" s="23" t="s">
        <v>33</v>
      </c>
      <c r="E279" s="23" t="s">
        <v>188</v>
      </c>
      <c r="F279" s="23">
        <v>25</v>
      </c>
      <c r="G279" s="23">
        <v>10</v>
      </c>
      <c r="H279" s="23">
        <v>7</v>
      </c>
      <c r="I279" s="23">
        <v>16103</v>
      </c>
      <c r="J279" s="23">
        <v>26</v>
      </c>
      <c r="K279" s="23">
        <v>551</v>
      </c>
      <c r="L279" s="23" t="s">
        <v>308</v>
      </c>
      <c r="M279" s="23">
        <f t="shared" si="4"/>
        <v>726</v>
      </c>
      <c r="N279" s="24" t="str">
        <f t="array" ref="N279">INDEX('MATCH INFO'!O:O, INT((ROW()-2)/10)+2 + 92)</f>
        <v>260628_CR_ZETA_S1</v>
      </c>
    </row>
    <row r="280" spans="1:14">
      <c r="A280" s="23" t="s">
        <v>42</v>
      </c>
      <c r="B280" s="23" t="s">
        <v>143</v>
      </c>
      <c r="C280" s="23" t="s">
        <v>109</v>
      </c>
      <c r="D280" s="23" t="s">
        <v>33</v>
      </c>
      <c r="E280" s="23" t="s">
        <v>188</v>
      </c>
      <c r="F280" s="23">
        <v>17</v>
      </c>
      <c r="G280" s="23">
        <v>6</v>
      </c>
      <c r="H280" s="23">
        <v>33</v>
      </c>
      <c r="I280" s="23">
        <v>7913</v>
      </c>
      <c r="J280" s="23">
        <v>20866</v>
      </c>
      <c r="K280" s="23">
        <v>0</v>
      </c>
      <c r="L280" s="23" t="s">
        <v>308</v>
      </c>
      <c r="M280" s="23">
        <f t="shared" si="4"/>
        <v>726</v>
      </c>
      <c r="N280" s="24" t="str">
        <f t="array" ref="N280">INDEX('MATCH INFO'!O:O, INT((ROW()-2)/10)+2 + 92)</f>
        <v>260628_CR_ZETA_S1</v>
      </c>
    </row>
    <row r="281" spans="1:14">
      <c r="A281" s="23" t="s">
        <v>42</v>
      </c>
      <c r="B281" s="23" t="s">
        <v>142</v>
      </c>
      <c r="C281" s="23" t="s">
        <v>109</v>
      </c>
      <c r="D281" s="23" t="s">
        <v>33</v>
      </c>
      <c r="E281" s="23" t="s">
        <v>188</v>
      </c>
      <c r="F281" s="23">
        <v>20</v>
      </c>
      <c r="G281" s="23">
        <v>8</v>
      </c>
      <c r="H281" s="23">
        <v>26</v>
      </c>
      <c r="I281" s="23">
        <v>8561</v>
      </c>
      <c r="J281" s="23">
        <v>13480</v>
      </c>
      <c r="K281" s="23">
        <v>3884</v>
      </c>
      <c r="L281" s="23" t="s">
        <v>308</v>
      </c>
      <c r="M281" s="23">
        <f t="shared" si="4"/>
        <v>726</v>
      </c>
      <c r="N281" s="24" t="str">
        <f t="array" ref="N281">INDEX('MATCH INFO'!O:O, INT((ROW()-2)/10)+2 + 92)</f>
        <v>260628_CR_ZETA_S1</v>
      </c>
    </row>
    <row r="282" spans="1:14">
      <c r="A282" s="23" t="s">
        <v>32</v>
      </c>
      <c r="B282" s="23" t="s">
        <v>150</v>
      </c>
      <c r="C282" s="23" t="s">
        <v>109</v>
      </c>
      <c r="D282" s="23" t="s">
        <v>43</v>
      </c>
      <c r="E282" s="23" t="s">
        <v>201</v>
      </c>
      <c r="F282" s="23">
        <v>22</v>
      </c>
      <c r="G282" s="23">
        <v>14</v>
      </c>
      <c r="H282" s="23">
        <v>23</v>
      </c>
      <c r="I282" s="23">
        <v>6548</v>
      </c>
      <c r="J282" s="23">
        <v>8947</v>
      </c>
      <c r="K282" s="23">
        <v>2201</v>
      </c>
      <c r="L282" s="23" t="s">
        <v>309</v>
      </c>
      <c r="M282" s="23">
        <f t="shared" si="4"/>
        <v>886</v>
      </c>
      <c r="N282" s="24" t="str">
        <f t="array" ref="N282">INDEX('MATCH INFO'!O:O, INT((ROW()-2)/10)+2 + 92)</f>
        <v>260628_CR_ZETA_S2</v>
      </c>
    </row>
    <row r="283" spans="1:14">
      <c r="A283" s="23" t="s">
        <v>32</v>
      </c>
      <c r="B283" s="23" t="s">
        <v>147</v>
      </c>
      <c r="C283" s="23" t="s">
        <v>104</v>
      </c>
      <c r="D283" s="23" t="s">
        <v>43</v>
      </c>
      <c r="E283" s="23" t="s">
        <v>201</v>
      </c>
      <c r="F283" s="23">
        <v>30</v>
      </c>
      <c r="G283" s="23">
        <v>13</v>
      </c>
      <c r="H283" s="23">
        <v>9</v>
      </c>
      <c r="I283" s="23">
        <v>13643</v>
      </c>
      <c r="J283" s="23">
        <v>410</v>
      </c>
      <c r="K283" s="23">
        <v>2141</v>
      </c>
      <c r="L283" s="23" t="s">
        <v>309</v>
      </c>
      <c r="M283" s="23">
        <f t="shared" si="4"/>
        <v>886</v>
      </c>
      <c r="N283" s="24" t="str">
        <f t="array" ref="N283">INDEX('MATCH INFO'!O:O, INT((ROW()-2)/10)+2 + 92)</f>
        <v>260628_CR_ZETA_S2</v>
      </c>
    </row>
    <row r="284" spans="1:14">
      <c r="A284" s="23" t="s">
        <v>32</v>
      </c>
      <c r="B284" s="23" t="s">
        <v>146</v>
      </c>
      <c r="C284" s="23" t="s">
        <v>101</v>
      </c>
      <c r="D284" s="23" t="s">
        <v>43</v>
      </c>
      <c r="E284" s="23" t="s">
        <v>201</v>
      </c>
      <c r="F284" s="23">
        <v>34</v>
      </c>
      <c r="G284" s="23">
        <v>12</v>
      </c>
      <c r="H284" s="23">
        <v>18</v>
      </c>
      <c r="I284" s="23">
        <v>13697</v>
      </c>
      <c r="J284" s="23">
        <v>2467</v>
      </c>
      <c r="K284" s="23">
        <v>27559</v>
      </c>
      <c r="L284" s="23" t="s">
        <v>309</v>
      </c>
      <c r="M284" s="23">
        <f t="shared" si="4"/>
        <v>886</v>
      </c>
      <c r="N284" s="24" t="str">
        <f t="array" ref="N284">INDEX('MATCH INFO'!O:O, INT((ROW()-2)/10)+2 + 92)</f>
        <v>260628_CR_ZETA_S2</v>
      </c>
    </row>
    <row r="285" spans="1:14">
      <c r="A285" s="23" t="s">
        <v>32</v>
      </c>
      <c r="B285" s="23" t="s">
        <v>149</v>
      </c>
      <c r="C285" s="23" t="s">
        <v>104</v>
      </c>
      <c r="D285" s="23" t="s">
        <v>43</v>
      </c>
      <c r="E285" s="23" t="s">
        <v>201</v>
      </c>
      <c r="F285" s="23">
        <v>25</v>
      </c>
      <c r="G285" s="23">
        <v>19</v>
      </c>
      <c r="H285" s="23">
        <v>6</v>
      </c>
      <c r="I285" s="23">
        <v>18140</v>
      </c>
      <c r="J285" s="23">
        <v>0</v>
      </c>
      <c r="K285" s="23">
        <v>789</v>
      </c>
      <c r="L285" s="23" t="s">
        <v>309</v>
      </c>
      <c r="M285" s="23">
        <f t="shared" si="4"/>
        <v>886</v>
      </c>
      <c r="N285" s="24" t="str">
        <f t="array" ref="N285">INDEX('MATCH INFO'!O:O, INT((ROW()-2)/10)+2 + 92)</f>
        <v>260628_CR_ZETA_S2</v>
      </c>
    </row>
    <row r="286" spans="1:14">
      <c r="A286" s="23" t="s">
        <v>32</v>
      </c>
      <c r="B286" s="23" t="s">
        <v>151</v>
      </c>
      <c r="C286" s="23" t="s">
        <v>109</v>
      </c>
      <c r="D286" s="23" t="s">
        <v>43</v>
      </c>
      <c r="E286" s="23" t="s">
        <v>201</v>
      </c>
      <c r="F286" s="23">
        <v>18</v>
      </c>
      <c r="G286" s="23">
        <v>14</v>
      </c>
      <c r="H286" s="23">
        <v>29</v>
      </c>
      <c r="I286" s="23">
        <v>6322</v>
      </c>
      <c r="J286" s="23">
        <v>16844</v>
      </c>
      <c r="K286" s="23">
        <v>131</v>
      </c>
      <c r="L286" s="23" t="s">
        <v>309</v>
      </c>
      <c r="M286" s="23">
        <f t="shared" si="4"/>
        <v>886</v>
      </c>
      <c r="N286" s="24" t="str">
        <f t="array" ref="N286">INDEX('MATCH INFO'!O:O, INT((ROW()-2)/10)+2 + 92)</f>
        <v>260628_CR_ZETA_S2</v>
      </c>
    </row>
    <row r="287" spans="1:14">
      <c r="A287" s="23" t="s">
        <v>42</v>
      </c>
      <c r="B287" s="23" t="s">
        <v>139</v>
      </c>
      <c r="C287" s="23" t="s">
        <v>101</v>
      </c>
      <c r="D287" s="23" t="s">
        <v>43</v>
      </c>
      <c r="E287" s="23" t="s">
        <v>201</v>
      </c>
      <c r="F287" s="23">
        <v>50</v>
      </c>
      <c r="G287" s="23">
        <v>8</v>
      </c>
      <c r="H287" s="23">
        <v>25</v>
      </c>
      <c r="I287" s="23">
        <v>16999</v>
      </c>
      <c r="J287" s="23">
        <v>3102</v>
      </c>
      <c r="K287" s="23">
        <v>10904</v>
      </c>
      <c r="L287" s="23" t="s">
        <v>309</v>
      </c>
      <c r="M287" s="23">
        <f t="shared" si="4"/>
        <v>886</v>
      </c>
      <c r="N287" s="24" t="str">
        <f t="array" ref="N287">INDEX('MATCH INFO'!O:O, INT((ROW()-2)/10)+2 + 92)</f>
        <v>260628_CR_ZETA_S2</v>
      </c>
    </row>
    <row r="288" spans="1:14">
      <c r="A288" s="23" t="s">
        <v>42</v>
      </c>
      <c r="B288" s="23" t="s">
        <v>141</v>
      </c>
      <c r="C288" s="23" t="s">
        <v>104</v>
      </c>
      <c r="D288" s="23" t="s">
        <v>43</v>
      </c>
      <c r="E288" s="23" t="s">
        <v>201</v>
      </c>
      <c r="F288" s="23">
        <v>34</v>
      </c>
      <c r="G288" s="23">
        <v>8</v>
      </c>
      <c r="H288" s="23">
        <v>6</v>
      </c>
      <c r="I288" s="23">
        <v>13478</v>
      </c>
      <c r="J288" s="23">
        <v>1995</v>
      </c>
      <c r="K288" s="23">
        <v>2035</v>
      </c>
      <c r="L288" s="23" t="s">
        <v>309</v>
      </c>
      <c r="M288" s="23">
        <f t="shared" si="4"/>
        <v>886</v>
      </c>
      <c r="N288" s="24" t="str">
        <f t="array" ref="N288">INDEX('MATCH INFO'!O:O, INT((ROW()-2)/10)+2 + 92)</f>
        <v>260628_CR_ZETA_S2</v>
      </c>
    </row>
    <row r="289" spans="1:14">
      <c r="A289" s="23" t="s">
        <v>42</v>
      </c>
      <c r="B289" s="23" t="s">
        <v>140</v>
      </c>
      <c r="C289" s="23" t="s">
        <v>104</v>
      </c>
      <c r="D289" s="23" t="s">
        <v>43</v>
      </c>
      <c r="E289" s="23" t="s">
        <v>201</v>
      </c>
      <c r="F289" s="23">
        <v>37</v>
      </c>
      <c r="G289" s="23">
        <v>9</v>
      </c>
      <c r="H289" s="23">
        <v>5</v>
      </c>
      <c r="I289" s="23">
        <v>14922</v>
      </c>
      <c r="J289" s="23">
        <v>0</v>
      </c>
      <c r="K289" s="23">
        <v>599</v>
      </c>
      <c r="L289" s="23" t="s">
        <v>309</v>
      </c>
      <c r="M289" s="23">
        <f t="shared" si="4"/>
        <v>886</v>
      </c>
      <c r="N289" s="24" t="str">
        <f t="array" ref="N289">INDEX('MATCH INFO'!O:O, INT((ROW()-2)/10)+2 + 92)</f>
        <v>260628_CR_ZETA_S2</v>
      </c>
    </row>
    <row r="290" spans="1:14">
      <c r="A290" s="23" t="s">
        <v>42</v>
      </c>
      <c r="B290" s="23" t="s">
        <v>143</v>
      </c>
      <c r="C290" s="23" t="s">
        <v>109</v>
      </c>
      <c r="D290" s="23" t="s">
        <v>43</v>
      </c>
      <c r="E290" s="23" t="s">
        <v>201</v>
      </c>
      <c r="F290" s="23">
        <v>20</v>
      </c>
      <c r="G290" s="23">
        <v>10</v>
      </c>
      <c r="H290" s="23">
        <v>44</v>
      </c>
      <c r="I290" s="23">
        <v>7175</v>
      </c>
      <c r="J290" s="23">
        <v>19182</v>
      </c>
      <c r="K290" s="23">
        <v>0</v>
      </c>
      <c r="L290" s="23" t="s">
        <v>309</v>
      </c>
      <c r="M290" s="23">
        <f t="shared" si="4"/>
        <v>886</v>
      </c>
      <c r="N290" s="24" t="str">
        <f t="array" ref="N290">INDEX('MATCH INFO'!O:O, INT((ROW()-2)/10)+2 + 92)</f>
        <v>260628_CR_ZETA_S2</v>
      </c>
    </row>
    <row r="291" spans="1:14">
      <c r="A291" s="23" t="s">
        <v>42</v>
      </c>
      <c r="B291" s="23" t="s">
        <v>142</v>
      </c>
      <c r="C291" s="23" t="s">
        <v>109</v>
      </c>
      <c r="D291" s="23" t="s">
        <v>43</v>
      </c>
      <c r="E291" s="23" t="s">
        <v>201</v>
      </c>
      <c r="F291" s="23">
        <v>39</v>
      </c>
      <c r="G291" s="23">
        <v>9</v>
      </c>
      <c r="H291" s="23">
        <v>33</v>
      </c>
      <c r="I291" s="23">
        <v>7718</v>
      </c>
      <c r="J291" s="23">
        <v>12752</v>
      </c>
      <c r="K291" s="23">
        <v>0</v>
      </c>
      <c r="L291" s="23" t="s">
        <v>309</v>
      </c>
      <c r="M291" s="23">
        <f t="shared" si="4"/>
        <v>886</v>
      </c>
      <c r="N291" s="24" t="str">
        <f t="array" ref="N291">INDEX('MATCH INFO'!O:O, INT((ROW()-2)/10)+2 + 92)</f>
        <v>260628_CR_ZETA_S2</v>
      </c>
    </row>
    <row r="292" spans="1:14">
      <c r="A292" s="23" t="s">
        <v>42</v>
      </c>
      <c r="B292" s="23" t="s">
        <v>139</v>
      </c>
      <c r="C292" s="23" t="s">
        <v>101</v>
      </c>
      <c r="D292" s="23" t="s">
        <v>37</v>
      </c>
      <c r="E292" s="23" t="s">
        <v>196</v>
      </c>
      <c r="F292" s="23">
        <v>64</v>
      </c>
      <c r="G292" s="23">
        <v>18</v>
      </c>
      <c r="H292" s="23">
        <v>46</v>
      </c>
      <c r="I292" s="23">
        <v>27087</v>
      </c>
      <c r="J292" s="23">
        <v>5201</v>
      </c>
      <c r="K292" s="23">
        <v>19886</v>
      </c>
      <c r="L292" s="23" t="s">
        <v>310</v>
      </c>
      <c r="M292" s="23">
        <f t="shared" si="4"/>
        <v>1403</v>
      </c>
      <c r="N292" s="24" t="str">
        <f t="array" ref="N292">INDEX('MATCH INFO'!O:O, INT((ROW()-2)/10)+2 + 92)</f>
        <v>260628_CR_ZETA_S3</v>
      </c>
    </row>
    <row r="293" spans="1:14">
      <c r="A293" s="23" t="s">
        <v>42</v>
      </c>
      <c r="B293" s="23" t="s">
        <v>141</v>
      </c>
      <c r="C293" s="23" t="s">
        <v>104</v>
      </c>
      <c r="D293" s="23" t="s">
        <v>37</v>
      </c>
      <c r="E293" s="23" t="s">
        <v>196</v>
      </c>
      <c r="F293" s="23">
        <v>50</v>
      </c>
      <c r="G293" s="23">
        <v>21</v>
      </c>
      <c r="H293" s="23">
        <v>0</v>
      </c>
      <c r="I293" s="23">
        <v>21756</v>
      </c>
      <c r="J293" s="23">
        <v>3394</v>
      </c>
      <c r="K293" s="23">
        <v>0</v>
      </c>
      <c r="L293" s="23" t="s">
        <v>310</v>
      </c>
      <c r="M293" s="23">
        <f t="shared" si="4"/>
        <v>1403</v>
      </c>
      <c r="N293" s="24" t="str">
        <f t="array" ref="N293">INDEX('MATCH INFO'!O:O, INT((ROW()-2)/10)+2 + 92)</f>
        <v>260628_CR_ZETA_S3</v>
      </c>
    </row>
    <row r="294" spans="1:14">
      <c r="A294" s="23" t="s">
        <v>42</v>
      </c>
      <c r="B294" s="23" t="s">
        <v>140</v>
      </c>
      <c r="C294" s="23" t="s">
        <v>104</v>
      </c>
      <c r="D294" s="23" t="s">
        <v>37</v>
      </c>
      <c r="E294" s="23" t="s">
        <v>196</v>
      </c>
      <c r="F294" s="23">
        <v>61</v>
      </c>
      <c r="G294" s="23">
        <v>16</v>
      </c>
      <c r="H294" s="23">
        <v>8</v>
      </c>
      <c r="I294" s="23">
        <v>29930</v>
      </c>
      <c r="J294" s="23">
        <v>524</v>
      </c>
      <c r="K294" s="23">
        <v>1160</v>
      </c>
      <c r="L294" s="23" t="s">
        <v>310</v>
      </c>
      <c r="M294" s="23">
        <f t="shared" si="4"/>
        <v>1403</v>
      </c>
      <c r="N294" s="24" t="str">
        <f t="array" ref="N294">INDEX('MATCH INFO'!O:O, INT((ROW()-2)/10)+2 + 92)</f>
        <v>260628_CR_ZETA_S3</v>
      </c>
    </row>
    <row r="295" spans="1:14">
      <c r="A295" s="23" t="s">
        <v>42</v>
      </c>
      <c r="B295" s="23" t="s">
        <v>143</v>
      </c>
      <c r="C295" s="23" t="s">
        <v>109</v>
      </c>
      <c r="D295" s="23" t="s">
        <v>37</v>
      </c>
      <c r="E295" s="23" t="s">
        <v>196</v>
      </c>
      <c r="F295" s="23">
        <v>20</v>
      </c>
      <c r="G295" s="23">
        <v>22</v>
      </c>
      <c r="H295" s="23">
        <v>55</v>
      </c>
      <c r="I295" s="23">
        <v>10134</v>
      </c>
      <c r="J295" s="23">
        <v>23934</v>
      </c>
      <c r="K295" s="23">
        <v>0</v>
      </c>
      <c r="L295" s="23" t="s">
        <v>310</v>
      </c>
      <c r="M295" s="23">
        <f t="shared" si="4"/>
        <v>1403</v>
      </c>
      <c r="N295" s="24" t="str">
        <f t="array" ref="N295">INDEX('MATCH INFO'!O:O, INT((ROW()-2)/10)+2 + 92)</f>
        <v>260628_CR_ZETA_S3</v>
      </c>
    </row>
    <row r="296" spans="1:14">
      <c r="A296" s="23" t="s">
        <v>42</v>
      </c>
      <c r="B296" s="23" t="s">
        <v>142</v>
      </c>
      <c r="C296" s="23" t="s">
        <v>109</v>
      </c>
      <c r="D296" s="23" t="s">
        <v>37</v>
      </c>
      <c r="E296" s="23" t="s">
        <v>196</v>
      </c>
      <c r="F296" s="23">
        <v>52</v>
      </c>
      <c r="G296" s="23">
        <v>20</v>
      </c>
      <c r="H296" s="23">
        <v>42</v>
      </c>
      <c r="I296" s="23">
        <v>12593</v>
      </c>
      <c r="J296" s="23">
        <v>21301</v>
      </c>
      <c r="K296" s="23">
        <v>0</v>
      </c>
      <c r="L296" s="23" t="s">
        <v>310</v>
      </c>
      <c r="M296" s="23">
        <f t="shared" si="4"/>
        <v>1403</v>
      </c>
      <c r="N296" s="24" t="str">
        <f t="array" ref="N296">INDEX('MATCH INFO'!O:O, INT((ROW()-2)/10)+2 + 92)</f>
        <v>260628_CR_ZETA_S3</v>
      </c>
    </row>
    <row r="297" spans="1:14">
      <c r="A297" s="23" t="s">
        <v>32</v>
      </c>
      <c r="B297" s="23" t="s">
        <v>150</v>
      </c>
      <c r="C297" s="23" t="s">
        <v>109</v>
      </c>
      <c r="D297" s="23" t="s">
        <v>37</v>
      </c>
      <c r="E297" s="23" t="s">
        <v>196</v>
      </c>
      <c r="F297" s="23">
        <v>45</v>
      </c>
      <c r="G297" s="23">
        <v>16</v>
      </c>
      <c r="H297" s="23">
        <v>49</v>
      </c>
      <c r="I297" s="23">
        <v>12268</v>
      </c>
      <c r="J297" s="23">
        <v>19128</v>
      </c>
      <c r="K297" s="23">
        <v>990</v>
      </c>
      <c r="L297" s="23" t="s">
        <v>310</v>
      </c>
      <c r="M297" s="23">
        <f t="shared" si="4"/>
        <v>1403</v>
      </c>
      <c r="N297" s="24" t="str">
        <f t="array" ref="N297">INDEX('MATCH INFO'!O:O, INT((ROW()-2)/10)+2 + 92)</f>
        <v>260628_CR_ZETA_S3</v>
      </c>
    </row>
    <row r="298" spans="1:14">
      <c r="A298" s="23" t="s">
        <v>32</v>
      </c>
      <c r="B298" s="23" t="s">
        <v>147</v>
      </c>
      <c r="C298" s="23" t="s">
        <v>104</v>
      </c>
      <c r="D298" s="23" t="s">
        <v>37</v>
      </c>
      <c r="E298" s="23" t="s">
        <v>196</v>
      </c>
      <c r="F298" s="23">
        <v>59</v>
      </c>
      <c r="G298" s="23">
        <v>19</v>
      </c>
      <c r="H298" s="23">
        <v>4</v>
      </c>
      <c r="I298" s="23">
        <v>24978</v>
      </c>
      <c r="J298" s="23">
        <v>3866</v>
      </c>
      <c r="K298" s="23">
        <v>460</v>
      </c>
      <c r="L298" s="23" t="s">
        <v>310</v>
      </c>
      <c r="M298" s="23">
        <f t="shared" si="4"/>
        <v>1403</v>
      </c>
      <c r="N298" s="24" t="str">
        <f t="array" ref="N298">INDEX('MATCH INFO'!O:O, INT((ROW()-2)/10)+2 + 92)</f>
        <v>260628_CR_ZETA_S3</v>
      </c>
    </row>
    <row r="299" spans="1:14">
      <c r="A299" s="23" t="s">
        <v>32</v>
      </c>
      <c r="B299" s="23" t="s">
        <v>146</v>
      </c>
      <c r="C299" s="23" t="s">
        <v>101</v>
      </c>
      <c r="D299" s="23" t="s">
        <v>37</v>
      </c>
      <c r="E299" s="23" t="s">
        <v>196</v>
      </c>
      <c r="F299" s="23">
        <v>62</v>
      </c>
      <c r="G299" s="23">
        <v>17</v>
      </c>
      <c r="H299" s="23">
        <v>45</v>
      </c>
      <c r="I299" s="23">
        <v>28412</v>
      </c>
      <c r="J299" s="23">
        <v>6287</v>
      </c>
      <c r="K299" s="23">
        <v>22531</v>
      </c>
      <c r="L299" s="23" t="s">
        <v>310</v>
      </c>
      <c r="M299" s="23">
        <f t="shared" si="4"/>
        <v>1403</v>
      </c>
      <c r="N299" s="24" t="str">
        <f t="array" ref="N299">INDEX('MATCH INFO'!O:O, INT((ROW()-2)/10)+2 + 92)</f>
        <v>260628_CR_ZETA_S3</v>
      </c>
    </row>
    <row r="300" spans="1:14">
      <c r="A300" s="23" t="s">
        <v>32</v>
      </c>
      <c r="B300" s="23" t="s">
        <v>149</v>
      </c>
      <c r="C300" s="23" t="s">
        <v>104</v>
      </c>
      <c r="D300" s="23" t="s">
        <v>37</v>
      </c>
      <c r="E300" s="23" t="s">
        <v>196</v>
      </c>
      <c r="F300" s="23">
        <v>67</v>
      </c>
      <c r="G300" s="23">
        <v>19</v>
      </c>
      <c r="H300" s="23">
        <v>4</v>
      </c>
      <c r="I300" s="23">
        <v>26048</v>
      </c>
      <c r="J300" s="23">
        <v>322</v>
      </c>
      <c r="K300" s="23">
        <v>1368</v>
      </c>
      <c r="L300" s="23" t="s">
        <v>310</v>
      </c>
      <c r="M300" s="23">
        <f t="shared" si="4"/>
        <v>1403</v>
      </c>
      <c r="N300" s="24" t="str">
        <f t="array" ref="N300">INDEX('MATCH INFO'!O:O, INT((ROW()-2)/10)+2 + 92)</f>
        <v>260628_CR_ZETA_S3</v>
      </c>
    </row>
    <row r="301" spans="1:14">
      <c r="A301" s="23" t="s">
        <v>32</v>
      </c>
      <c r="B301" s="23" t="s">
        <v>151</v>
      </c>
      <c r="C301" s="23" t="s">
        <v>109</v>
      </c>
      <c r="D301" s="23" t="s">
        <v>37</v>
      </c>
      <c r="E301" s="23" t="s">
        <v>196</v>
      </c>
      <c r="F301" s="23">
        <v>35</v>
      </c>
      <c r="G301" s="23">
        <v>17</v>
      </c>
      <c r="H301" s="23">
        <v>72</v>
      </c>
      <c r="I301" s="23">
        <v>10808</v>
      </c>
      <c r="J301" s="23">
        <v>26063</v>
      </c>
      <c r="K301" s="23">
        <v>0</v>
      </c>
      <c r="L301" s="23" t="s">
        <v>310</v>
      </c>
      <c r="M301" s="23">
        <f t="shared" si="4"/>
        <v>1403</v>
      </c>
      <c r="N301" s="24" t="str">
        <f t="array" ref="N301">INDEX('MATCH INFO'!O:O, INT((ROW()-2)/10)+2 + 92)</f>
        <v>260628_CR_ZETA_S3</v>
      </c>
    </row>
    <row r="302" spans="1:14">
      <c r="A302" s="23" t="s">
        <v>32</v>
      </c>
      <c r="B302" s="23" t="s">
        <v>150</v>
      </c>
      <c r="C302" s="23" t="s">
        <v>109</v>
      </c>
      <c r="D302" s="23" t="s">
        <v>25</v>
      </c>
      <c r="E302" s="23" t="s">
        <v>190</v>
      </c>
      <c r="F302" s="23">
        <v>10</v>
      </c>
      <c r="G302" s="23">
        <v>9</v>
      </c>
      <c r="H302" s="23">
        <v>15</v>
      </c>
      <c r="I302" s="23">
        <v>4480</v>
      </c>
      <c r="J302" s="23">
        <v>6388</v>
      </c>
      <c r="K302" s="23">
        <v>2454</v>
      </c>
      <c r="L302" s="23" t="s">
        <v>311</v>
      </c>
      <c r="M302" s="23">
        <f t="shared" si="4"/>
        <v>527</v>
      </c>
      <c r="N302" s="24" t="str">
        <f t="array" ref="N302">INDEX('MATCH INFO'!O:O, INT((ROW()-2)/10)+2 + 92)</f>
        <v>260628_CR_ZETA_S4</v>
      </c>
    </row>
    <row r="303" spans="1:14">
      <c r="A303" s="23" t="s">
        <v>32</v>
      </c>
      <c r="B303" s="23" t="s">
        <v>147</v>
      </c>
      <c r="C303" s="23" t="s">
        <v>104</v>
      </c>
      <c r="D303" s="23" t="s">
        <v>25</v>
      </c>
      <c r="E303" s="23" t="s">
        <v>190</v>
      </c>
      <c r="F303" s="23">
        <v>6</v>
      </c>
      <c r="G303" s="23">
        <v>10</v>
      </c>
      <c r="H303" s="23">
        <v>2</v>
      </c>
      <c r="I303" s="23">
        <v>4456</v>
      </c>
      <c r="J303" s="23">
        <v>189</v>
      </c>
      <c r="K303" s="23">
        <v>5016</v>
      </c>
      <c r="L303" s="23" t="s">
        <v>311</v>
      </c>
      <c r="M303" s="23">
        <f t="shared" si="4"/>
        <v>527</v>
      </c>
      <c r="N303" s="24" t="str">
        <f t="array" ref="N303">INDEX('MATCH INFO'!O:O, INT((ROW()-2)/10)+2 + 92)</f>
        <v>260628_CR_ZETA_S4</v>
      </c>
    </row>
    <row r="304" spans="1:14">
      <c r="A304" s="23" t="s">
        <v>32</v>
      </c>
      <c r="B304" s="23" t="s">
        <v>146</v>
      </c>
      <c r="C304" s="23" t="s">
        <v>101</v>
      </c>
      <c r="D304" s="23" t="s">
        <v>25</v>
      </c>
      <c r="E304" s="23" t="s">
        <v>190</v>
      </c>
      <c r="F304" s="23">
        <v>15</v>
      </c>
      <c r="G304" s="23">
        <v>8</v>
      </c>
      <c r="H304" s="23">
        <v>2</v>
      </c>
      <c r="I304" s="23">
        <v>5674</v>
      </c>
      <c r="J304" s="23">
        <v>430</v>
      </c>
      <c r="K304" s="23">
        <v>12089</v>
      </c>
      <c r="L304" s="23" t="s">
        <v>311</v>
      </c>
      <c r="M304" s="23">
        <f t="shared" si="4"/>
        <v>527</v>
      </c>
      <c r="N304" s="24" t="str">
        <f t="array" ref="N304">INDEX('MATCH INFO'!O:O, INT((ROW()-2)/10)+2 + 92)</f>
        <v>260628_CR_ZETA_S4</v>
      </c>
    </row>
    <row r="305" spans="1:14">
      <c r="A305" s="23" t="s">
        <v>32</v>
      </c>
      <c r="B305" s="23" t="s">
        <v>149</v>
      </c>
      <c r="C305" s="23" t="s">
        <v>104</v>
      </c>
      <c r="D305" s="23" t="s">
        <v>25</v>
      </c>
      <c r="E305" s="23" t="s">
        <v>190</v>
      </c>
      <c r="F305" s="23">
        <v>16</v>
      </c>
      <c r="G305" s="23">
        <v>8</v>
      </c>
      <c r="H305" s="23">
        <v>1</v>
      </c>
      <c r="I305" s="23">
        <v>8870</v>
      </c>
      <c r="J305" s="23">
        <v>0</v>
      </c>
      <c r="K305" s="23">
        <v>441</v>
      </c>
      <c r="L305" s="23" t="s">
        <v>311</v>
      </c>
      <c r="M305" s="23">
        <f t="shared" si="4"/>
        <v>527</v>
      </c>
      <c r="N305" s="24" t="str">
        <f t="array" ref="N305">INDEX('MATCH INFO'!O:O, INT((ROW()-2)/10)+2 + 92)</f>
        <v>260628_CR_ZETA_S4</v>
      </c>
    </row>
    <row r="306" spans="1:14">
      <c r="A306" s="23" t="s">
        <v>32</v>
      </c>
      <c r="B306" s="23" t="s">
        <v>151</v>
      </c>
      <c r="C306" s="23" t="s">
        <v>109</v>
      </c>
      <c r="D306" s="23" t="s">
        <v>25</v>
      </c>
      <c r="E306" s="23" t="s">
        <v>190</v>
      </c>
      <c r="F306" s="23">
        <v>8</v>
      </c>
      <c r="G306" s="23">
        <v>9</v>
      </c>
      <c r="H306" s="23">
        <v>12</v>
      </c>
      <c r="I306" s="23">
        <v>3080</v>
      </c>
      <c r="J306" s="23">
        <v>6814</v>
      </c>
      <c r="K306" s="23">
        <v>90</v>
      </c>
      <c r="L306" s="23" t="s">
        <v>311</v>
      </c>
      <c r="M306" s="23">
        <f t="shared" si="4"/>
        <v>527</v>
      </c>
      <c r="N306" s="24" t="str">
        <f t="array" ref="N306">INDEX('MATCH INFO'!O:O, INT((ROW()-2)/10)+2 + 92)</f>
        <v>260628_CR_ZETA_S4</v>
      </c>
    </row>
    <row r="307" spans="1:14">
      <c r="A307" s="23" t="s">
        <v>42</v>
      </c>
      <c r="B307" s="23" t="s">
        <v>139</v>
      </c>
      <c r="C307" s="23" t="s">
        <v>101</v>
      </c>
      <c r="D307" s="23" t="s">
        <v>25</v>
      </c>
      <c r="E307" s="23" t="s">
        <v>190</v>
      </c>
      <c r="F307" s="23">
        <v>27</v>
      </c>
      <c r="G307" s="23">
        <v>4</v>
      </c>
      <c r="H307" s="23">
        <v>17</v>
      </c>
      <c r="I307" s="23">
        <v>5838</v>
      </c>
      <c r="J307" s="23">
        <v>1815</v>
      </c>
      <c r="K307" s="23">
        <v>8464</v>
      </c>
      <c r="L307" s="23" t="s">
        <v>311</v>
      </c>
      <c r="M307" s="23">
        <f t="shared" si="4"/>
        <v>527</v>
      </c>
      <c r="N307" s="24" t="str">
        <f t="array" ref="N307">INDEX('MATCH INFO'!O:O, INT((ROW()-2)/10)+2 + 92)</f>
        <v>260628_CR_ZETA_S4</v>
      </c>
    </row>
    <row r="308" spans="1:14">
      <c r="A308" s="23" t="s">
        <v>42</v>
      </c>
      <c r="B308" s="23" t="s">
        <v>141</v>
      </c>
      <c r="C308" s="23" t="s">
        <v>104</v>
      </c>
      <c r="D308" s="23" t="s">
        <v>25</v>
      </c>
      <c r="E308" s="23" t="s">
        <v>190</v>
      </c>
      <c r="F308" s="23">
        <v>15</v>
      </c>
      <c r="G308" s="23">
        <v>6</v>
      </c>
      <c r="H308" s="23">
        <v>0</v>
      </c>
      <c r="I308" s="23">
        <v>8382</v>
      </c>
      <c r="J308" s="23">
        <v>428</v>
      </c>
      <c r="K308" s="23">
        <v>723</v>
      </c>
      <c r="L308" s="23" t="s">
        <v>311</v>
      </c>
      <c r="M308" s="23">
        <f t="shared" si="4"/>
        <v>527</v>
      </c>
      <c r="N308" s="24" t="str">
        <f t="array" ref="N308">INDEX('MATCH INFO'!O:O, INT((ROW()-2)/10)+2 + 92)</f>
        <v>260628_CR_ZETA_S4</v>
      </c>
    </row>
    <row r="309" spans="1:14">
      <c r="A309" s="23" t="s">
        <v>42</v>
      </c>
      <c r="B309" s="23" t="s">
        <v>140</v>
      </c>
      <c r="C309" s="23" t="s">
        <v>104</v>
      </c>
      <c r="D309" s="23" t="s">
        <v>25</v>
      </c>
      <c r="E309" s="23" t="s">
        <v>190</v>
      </c>
      <c r="F309" s="23">
        <v>29</v>
      </c>
      <c r="G309" s="23">
        <v>3</v>
      </c>
      <c r="H309" s="23">
        <v>8</v>
      </c>
      <c r="I309" s="23">
        <v>9801</v>
      </c>
      <c r="J309" s="23">
        <v>39</v>
      </c>
      <c r="K309" s="23">
        <v>426</v>
      </c>
      <c r="L309" s="23" t="s">
        <v>311</v>
      </c>
      <c r="M309" s="23">
        <f t="shared" si="4"/>
        <v>527</v>
      </c>
      <c r="N309" s="24" t="str">
        <f t="array" ref="N309">INDEX('MATCH INFO'!O:O, INT((ROW()-2)/10)+2 + 92)</f>
        <v>260628_CR_ZETA_S4</v>
      </c>
    </row>
    <row r="310" spans="1:14">
      <c r="A310" s="23" t="s">
        <v>42</v>
      </c>
      <c r="B310" s="23" t="s">
        <v>143</v>
      </c>
      <c r="C310" s="23" t="s">
        <v>109</v>
      </c>
      <c r="D310" s="23" t="s">
        <v>25</v>
      </c>
      <c r="E310" s="23" t="s">
        <v>190</v>
      </c>
      <c r="F310" s="23">
        <v>15</v>
      </c>
      <c r="G310" s="23">
        <v>6</v>
      </c>
      <c r="H310" s="23">
        <v>18</v>
      </c>
      <c r="I310" s="23">
        <v>3133</v>
      </c>
      <c r="J310" s="23">
        <v>4950</v>
      </c>
      <c r="K310" s="23">
        <v>679</v>
      </c>
      <c r="L310" s="23" t="s">
        <v>311</v>
      </c>
      <c r="M310" s="23">
        <f t="shared" si="4"/>
        <v>527</v>
      </c>
      <c r="N310" s="24" t="str">
        <f t="array" ref="N310">INDEX('MATCH INFO'!O:O, INT((ROW()-2)/10)+2 + 92)</f>
        <v>260628_CR_ZETA_S4</v>
      </c>
    </row>
    <row r="311" spans="1:14">
      <c r="A311" s="23" t="s">
        <v>42</v>
      </c>
      <c r="B311" s="23" t="s">
        <v>142</v>
      </c>
      <c r="C311" s="23" t="s">
        <v>109</v>
      </c>
      <c r="D311" s="23" t="s">
        <v>25</v>
      </c>
      <c r="E311" s="23" t="s">
        <v>190</v>
      </c>
      <c r="F311" s="23">
        <v>25</v>
      </c>
      <c r="G311" s="23">
        <v>5</v>
      </c>
      <c r="H311" s="23">
        <v>15</v>
      </c>
      <c r="I311" s="23">
        <v>3890</v>
      </c>
      <c r="J311" s="23">
        <v>6910</v>
      </c>
      <c r="K311" s="23">
        <v>0</v>
      </c>
      <c r="L311" s="23" t="s">
        <v>311</v>
      </c>
      <c r="M311" s="23">
        <f t="shared" si="4"/>
        <v>527</v>
      </c>
      <c r="N311" s="24" t="str">
        <f t="array" ref="N311">INDEX('MATCH INFO'!O:O, INT((ROW()-2)/10)+2 + 92)</f>
        <v>260628_CR_ZETA_S4</v>
      </c>
    </row>
    <row r="312" spans="1:14">
      <c r="A312" s="23" t="s">
        <v>32</v>
      </c>
      <c r="B312" s="23" t="s">
        <v>150</v>
      </c>
      <c r="C312" s="23" t="s">
        <v>109</v>
      </c>
      <c r="D312" s="23" t="s">
        <v>28</v>
      </c>
      <c r="E312" s="23" t="s">
        <v>192</v>
      </c>
      <c r="F312" s="23">
        <v>24</v>
      </c>
      <c r="G312" s="23">
        <v>9</v>
      </c>
      <c r="H312" s="23">
        <v>25</v>
      </c>
      <c r="I312" s="23">
        <v>5052</v>
      </c>
      <c r="J312" s="23">
        <v>8322</v>
      </c>
      <c r="K312" s="23">
        <v>0</v>
      </c>
      <c r="L312" s="23" t="s">
        <v>312</v>
      </c>
      <c r="M312" s="23">
        <f t="shared" si="4"/>
        <v>662</v>
      </c>
      <c r="N312" s="24" t="str">
        <f t="array" ref="N312">INDEX('MATCH INFO'!O:O, INT((ROW()-2)/10)+2 + 92)</f>
        <v>260628_CR_ZETA_S5</v>
      </c>
    </row>
    <row r="313" spans="1:14">
      <c r="A313" s="23" t="s">
        <v>32</v>
      </c>
      <c r="B313" s="23" t="s">
        <v>147</v>
      </c>
      <c r="C313" s="23" t="s">
        <v>104</v>
      </c>
      <c r="D313" s="23" t="s">
        <v>28</v>
      </c>
      <c r="E313" s="23" t="s">
        <v>192</v>
      </c>
      <c r="F313" s="23">
        <v>27</v>
      </c>
      <c r="G313" s="23">
        <v>12</v>
      </c>
      <c r="H313" s="23">
        <v>0</v>
      </c>
      <c r="I313" s="23">
        <v>13187</v>
      </c>
      <c r="J313" s="23">
        <v>2500</v>
      </c>
      <c r="K313" s="23">
        <v>0</v>
      </c>
      <c r="L313" s="23" t="s">
        <v>312</v>
      </c>
      <c r="M313" s="23">
        <f t="shared" si="4"/>
        <v>662</v>
      </c>
      <c r="N313" s="24" t="str">
        <f t="array" ref="N313">INDEX('MATCH INFO'!O:O, INT((ROW()-2)/10)+2 + 92)</f>
        <v>260628_CR_ZETA_S5</v>
      </c>
    </row>
    <row r="314" spans="1:14">
      <c r="A314" s="23" t="s">
        <v>32</v>
      </c>
      <c r="B314" s="23" t="s">
        <v>146</v>
      </c>
      <c r="C314" s="23" t="s">
        <v>101</v>
      </c>
      <c r="D314" s="23" t="s">
        <v>28</v>
      </c>
      <c r="E314" s="23" t="s">
        <v>192</v>
      </c>
      <c r="F314" s="23">
        <v>24</v>
      </c>
      <c r="G314" s="23">
        <v>11</v>
      </c>
      <c r="H314" s="23">
        <v>20</v>
      </c>
      <c r="I314" s="23">
        <v>15848</v>
      </c>
      <c r="J314" s="23">
        <v>5414</v>
      </c>
      <c r="K314" s="23">
        <v>7927</v>
      </c>
      <c r="L314" s="23" t="s">
        <v>312</v>
      </c>
      <c r="M314" s="23">
        <f t="shared" si="4"/>
        <v>662</v>
      </c>
      <c r="N314" s="24" t="str">
        <f t="array" ref="N314">INDEX('MATCH INFO'!O:O, INT((ROW()-2)/10)+2 + 92)</f>
        <v>260628_CR_ZETA_S5</v>
      </c>
    </row>
    <row r="315" spans="1:14">
      <c r="A315" s="23" t="s">
        <v>32</v>
      </c>
      <c r="B315" s="23" t="s">
        <v>149</v>
      </c>
      <c r="C315" s="23" t="s">
        <v>104</v>
      </c>
      <c r="D315" s="23" t="s">
        <v>28</v>
      </c>
      <c r="E315" s="23" t="s">
        <v>192</v>
      </c>
      <c r="F315" s="23">
        <v>27</v>
      </c>
      <c r="G315" s="23">
        <v>12</v>
      </c>
      <c r="H315" s="23">
        <v>3</v>
      </c>
      <c r="I315" s="23">
        <v>13953</v>
      </c>
      <c r="J315" s="23">
        <v>239</v>
      </c>
      <c r="K315" s="23">
        <v>1693</v>
      </c>
      <c r="L315" s="23" t="s">
        <v>312</v>
      </c>
      <c r="M315" s="23">
        <f t="shared" si="4"/>
        <v>662</v>
      </c>
      <c r="N315" s="24" t="str">
        <f t="array" ref="N315">INDEX('MATCH INFO'!O:O, INT((ROW()-2)/10)+2 + 92)</f>
        <v>260628_CR_ZETA_S5</v>
      </c>
    </row>
    <row r="316" spans="1:14">
      <c r="A316" s="23" t="s">
        <v>32</v>
      </c>
      <c r="B316" s="23" t="s">
        <v>151</v>
      </c>
      <c r="C316" s="23" t="s">
        <v>109</v>
      </c>
      <c r="D316" s="23" t="s">
        <v>28</v>
      </c>
      <c r="E316" s="23" t="s">
        <v>192</v>
      </c>
      <c r="F316" s="23">
        <v>10</v>
      </c>
      <c r="G316" s="23">
        <v>12</v>
      </c>
      <c r="H316" s="23">
        <v>26</v>
      </c>
      <c r="I316" s="23">
        <v>4309</v>
      </c>
      <c r="J316" s="23">
        <v>10859</v>
      </c>
      <c r="K316" s="23">
        <v>0</v>
      </c>
      <c r="L316" s="23" t="s">
        <v>312</v>
      </c>
      <c r="M316" s="23">
        <f t="shared" si="4"/>
        <v>662</v>
      </c>
      <c r="N316" s="24" t="str">
        <f t="array" ref="N316">INDEX('MATCH INFO'!O:O, INT((ROW()-2)/10)+2 + 92)</f>
        <v>260628_CR_ZETA_S5</v>
      </c>
    </row>
    <row r="317" spans="1:14">
      <c r="A317" s="23" t="s">
        <v>42</v>
      </c>
      <c r="B317" s="23" t="s">
        <v>139</v>
      </c>
      <c r="C317" s="23" t="s">
        <v>101</v>
      </c>
      <c r="D317" s="23" t="s">
        <v>28</v>
      </c>
      <c r="E317" s="23" t="s">
        <v>192</v>
      </c>
      <c r="F317" s="23">
        <v>42</v>
      </c>
      <c r="G317" s="23">
        <v>7</v>
      </c>
      <c r="H317" s="23">
        <v>29</v>
      </c>
      <c r="I317" s="23">
        <v>16824</v>
      </c>
      <c r="J317" s="23">
        <v>4408</v>
      </c>
      <c r="K317" s="23">
        <v>7483</v>
      </c>
      <c r="L317" s="23" t="s">
        <v>312</v>
      </c>
      <c r="M317" s="23">
        <f t="shared" si="4"/>
        <v>662</v>
      </c>
      <c r="N317" s="24" t="str">
        <f t="array" ref="N317">INDEX('MATCH INFO'!O:O, INT((ROW()-2)/10)+2 + 92)</f>
        <v>260628_CR_ZETA_S5</v>
      </c>
    </row>
    <row r="318" spans="1:14">
      <c r="A318" s="23" t="s">
        <v>42</v>
      </c>
      <c r="B318" s="23" t="s">
        <v>141</v>
      </c>
      <c r="C318" s="23" t="s">
        <v>104</v>
      </c>
      <c r="D318" s="23" t="s">
        <v>28</v>
      </c>
      <c r="E318" s="23" t="s">
        <v>192</v>
      </c>
      <c r="F318" s="23">
        <v>36</v>
      </c>
      <c r="G318" s="23">
        <v>9</v>
      </c>
      <c r="H318" s="23">
        <v>2</v>
      </c>
      <c r="I318" s="23">
        <v>14401</v>
      </c>
      <c r="J318" s="23">
        <v>64</v>
      </c>
      <c r="K318" s="23">
        <v>2145</v>
      </c>
      <c r="L318" s="23" t="s">
        <v>312</v>
      </c>
      <c r="M318" s="23">
        <f t="shared" si="4"/>
        <v>662</v>
      </c>
      <c r="N318" s="24" t="str">
        <f t="array" ref="N318">INDEX('MATCH INFO'!O:O, INT((ROW()-2)/10)+2 + 92)</f>
        <v>260628_CR_ZETA_S5</v>
      </c>
    </row>
    <row r="319" spans="1:14">
      <c r="A319" s="23" t="s">
        <v>42</v>
      </c>
      <c r="B319" s="23" t="s">
        <v>140</v>
      </c>
      <c r="C319" s="23" t="s">
        <v>104</v>
      </c>
      <c r="D319" s="23" t="s">
        <v>28</v>
      </c>
      <c r="E319" s="23" t="s">
        <v>192</v>
      </c>
      <c r="F319" s="23">
        <v>41</v>
      </c>
      <c r="G319" s="23">
        <v>9</v>
      </c>
      <c r="H319" s="23">
        <v>0</v>
      </c>
      <c r="I319" s="23">
        <v>15924</v>
      </c>
      <c r="J319" s="23">
        <v>2401</v>
      </c>
      <c r="K319" s="23">
        <v>0</v>
      </c>
      <c r="L319" s="23" t="s">
        <v>312</v>
      </c>
      <c r="M319" s="23">
        <f t="shared" si="4"/>
        <v>662</v>
      </c>
      <c r="N319" s="24" t="str">
        <f t="array" ref="N319">INDEX('MATCH INFO'!O:O, INT((ROW()-2)/10)+2 + 92)</f>
        <v>260628_CR_ZETA_S5</v>
      </c>
    </row>
    <row r="320" spans="1:14">
      <c r="A320" s="23" t="s">
        <v>42</v>
      </c>
      <c r="B320" s="23" t="s">
        <v>143</v>
      </c>
      <c r="C320" s="23" t="s">
        <v>109</v>
      </c>
      <c r="D320" s="23" t="s">
        <v>28</v>
      </c>
      <c r="E320" s="23" t="s">
        <v>192</v>
      </c>
      <c r="F320" s="23">
        <v>16</v>
      </c>
      <c r="G320" s="23">
        <v>8</v>
      </c>
      <c r="H320" s="23">
        <v>42</v>
      </c>
      <c r="I320" s="23">
        <v>4261</v>
      </c>
      <c r="J320" s="23">
        <v>12861</v>
      </c>
      <c r="K320" s="23">
        <v>0</v>
      </c>
      <c r="L320" s="23" t="s">
        <v>312</v>
      </c>
      <c r="M320" s="23">
        <f t="shared" si="4"/>
        <v>662</v>
      </c>
      <c r="N320" s="24" t="str">
        <f t="array" ref="N320">INDEX('MATCH INFO'!O:O, INT((ROW()-2)/10)+2 + 92)</f>
        <v>260628_CR_ZETA_S5</v>
      </c>
    </row>
    <row r="321" spans="1:14">
      <c r="A321" s="23" t="s">
        <v>42</v>
      </c>
      <c r="B321" s="23" t="s">
        <v>142</v>
      </c>
      <c r="C321" s="23" t="s">
        <v>109</v>
      </c>
      <c r="D321" s="23" t="s">
        <v>28</v>
      </c>
      <c r="E321" s="23" t="s">
        <v>192</v>
      </c>
      <c r="F321" s="23">
        <v>25</v>
      </c>
      <c r="G321" s="23">
        <v>5</v>
      </c>
      <c r="H321" s="23">
        <v>31</v>
      </c>
      <c r="I321" s="23">
        <v>3569</v>
      </c>
      <c r="J321" s="23">
        <v>10494</v>
      </c>
      <c r="K321" s="23">
        <v>0</v>
      </c>
      <c r="L321" s="23" t="s">
        <v>312</v>
      </c>
      <c r="M321" s="23">
        <f t="shared" si="4"/>
        <v>662</v>
      </c>
      <c r="N321" s="24" t="str">
        <f t="array" ref="N321">INDEX('MATCH INFO'!O:O, INT((ROW()-2)/10)+2 + 92)</f>
        <v>260628_CR_ZETA_S5</v>
      </c>
    </row>
  </sheetData>
  <phoneticPr fontId="8" type="noConversion"/>
  <conditionalFormatting sqref="A2:N321">
    <cfRule type="expression" dxfId="5" priority="1">
      <formula>MOD(ROW()-1, 10)=0</formula>
    </cfRule>
    <cfRule type="expression" dxfId="4" priority="2">
      <formula>MOD(INT((ROW()-2)/10), 2)=1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31"/>
  <sheetViews>
    <sheetView workbookViewId="0"/>
  </sheetViews>
  <sheetFormatPr baseColWidth="10" defaultRowHeight="18"/>
  <cols>
    <col min="2" max="2" width="13.28515625" style="3" customWidth="1"/>
    <col min="4" max="4" width="15.28515625" style="3" customWidth="1"/>
    <col min="13" max="13" width="16.7109375" style="3" customWidth="1"/>
    <col min="14" max="14" width="17.42578125" style="3" customWidth="1"/>
  </cols>
  <sheetData>
    <row r="1" spans="1:14">
      <c r="A1" s="4" t="s">
        <v>175</v>
      </c>
      <c r="B1" s="4" t="s">
        <v>176</v>
      </c>
      <c r="C1" s="4" t="s">
        <v>177</v>
      </c>
      <c r="D1" s="4" t="s">
        <v>178</v>
      </c>
      <c r="E1" s="4" t="s">
        <v>179</v>
      </c>
      <c r="F1" s="4" t="s">
        <v>180</v>
      </c>
      <c r="G1" s="4" t="s">
        <v>181</v>
      </c>
      <c r="H1" s="4" t="s">
        <v>182</v>
      </c>
      <c r="I1" s="4" t="s">
        <v>183</v>
      </c>
      <c r="J1" s="4" t="s">
        <v>184</v>
      </c>
      <c r="K1" s="4" t="s">
        <v>185</v>
      </c>
      <c r="L1" s="4" t="s">
        <v>186</v>
      </c>
      <c r="M1" s="4" t="s">
        <v>187</v>
      </c>
      <c r="N1" s="7" t="s">
        <v>14</v>
      </c>
    </row>
    <row r="2" spans="1:14">
      <c r="A2" s="23" t="s">
        <v>20</v>
      </c>
      <c r="B2" s="23" t="s">
        <v>108</v>
      </c>
      <c r="C2" s="23" t="s">
        <v>109</v>
      </c>
      <c r="D2" s="23" t="s">
        <v>33</v>
      </c>
      <c r="E2" s="23" t="s">
        <v>188</v>
      </c>
      <c r="F2" s="23">
        <v>5</v>
      </c>
      <c r="G2" s="23">
        <v>6</v>
      </c>
      <c r="H2" s="23">
        <v>5</v>
      </c>
      <c r="I2" s="23">
        <v>2828</v>
      </c>
      <c r="J2" s="23">
        <v>3483</v>
      </c>
      <c r="K2" s="23">
        <v>923</v>
      </c>
      <c r="L2" s="23" t="s">
        <v>276</v>
      </c>
      <c r="M2" s="23">
        <f t="shared" ref="M2:M65" si="0">L2*86400</f>
        <v>370.99999999999994</v>
      </c>
      <c r="N2" s="24" t="str">
        <f t="array" ref="N2">INDEX('MATCH INFO'!O:O, INT((ROW()-2)/10)+2 + 124)</f>
        <v>260703_O2_ROZE_S1</v>
      </c>
    </row>
    <row r="3" spans="1:14">
      <c r="A3" s="23" t="s">
        <v>20</v>
      </c>
      <c r="B3" s="23" t="s">
        <v>113</v>
      </c>
      <c r="C3" s="23" t="s">
        <v>109</v>
      </c>
      <c r="D3" s="23" t="s">
        <v>33</v>
      </c>
      <c r="E3" s="23" t="s">
        <v>188</v>
      </c>
      <c r="F3" s="23">
        <v>5</v>
      </c>
      <c r="G3" s="23">
        <v>8</v>
      </c>
      <c r="H3" s="23">
        <v>6</v>
      </c>
      <c r="I3" s="23">
        <v>2979</v>
      </c>
      <c r="J3" s="23">
        <v>6397</v>
      </c>
      <c r="K3" s="23">
        <v>0</v>
      </c>
      <c r="L3" s="23" t="s">
        <v>276</v>
      </c>
      <c r="M3" s="23">
        <f t="shared" si="0"/>
        <v>370.99999999999994</v>
      </c>
      <c r="N3" s="24" t="str">
        <f t="array" ref="N3">INDEX('MATCH INFO'!O:O, INT((ROW()-2)/10)+2 + 124)</f>
        <v>260703_O2_ROZE_S1</v>
      </c>
    </row>
    <row r="4" spans="1:14">
      <c r="A4" s="23" t="s">
        <v>20</v>
      </c>
      <c r="B4" s="23" t="s">
        <v>106</v>
      </c>
      <c r="C4" s="23" t="s">
        <v>104</v>
      </c>
      <c r="D4" s="23" t="s">
        <v>33</v>
      </c>
      <c r="E4" s="23" t="s">
        <v>188</v>
      </c>
      <c r="F4" s="23">
        <v>7</v>
      </c>
      <c r="G4" s="23">
        <v>7</v>
      </c>
      <c r="H4" s="23">
        <v>3</v>
      </c>
      <c r="I4" s="23">
        <v>6306</v>
      </c>
      <c r="J4" s="23">
        <v>75</v>
      </c>
      <c r="K4" s="23">
        <v>266</v>
      </c>
      <c r="L4" s="23" t="s">
        <v>276</v>
      </c>
      <c r="M4" s="23">
        <f t="shared" si="0"/>
        <v>370.99999999999994</v>
      </c>
      <c r="N4" s="24" t="str">
        <f t="array" ref="N4">INDEX('MATCH INFO'!O:O, INT((ROW()-2)/10)+2 + 124)</f>
        <v>260703_O2_ROZE_S1</v>
      </c>
    </row>
    <row r="5" spans="1:14">
      <c r="A5" s="23" t="s">
        <v>20</v>
      </c>
      <c r="B5" s="23" t="s">
        <v>102</v>
      </c>
      <c r="C5" s="23" t="s">
        <v>101</v>
      </c>
      <c r="D5" s="23" t="s">
        <v>33</v>
      </c>
      <c r="E5" s="23" t="s">
        <v>188</v>
      </c>
      <c r="F5" s="23">
        <v>7</v>
      </c>
      <c r="G5" s="23">
        <v>9</v>
      </c>
      <c r="H5" s="23">
        <v>6</v>
      </c>
      <c r="I5" s="23">
        <v>7160</v>
      </c>
      <c r="J5" s="23">
        <v>1656</v>
      </c>
      <c r="K5" s="23">
        <v>4261</v>
      </c>
      <c r="L5" s="23" t="s">
        <v>276</v>
      </c>
      <c r="M5" s="23">
        <f t="shared" si="0"/>
        <v>370.99999999999994</v>
      </c>
      <c r="N5" s="24" t="str">
        <f t="array" ref="N5">INDEX('MATCH INFO'!O:O, INT((ROW()-2)/10)+2 + 124)</f>
        <v>260703_O2_ROZE_S1</v>
      </c>
    </row>
    <row r="6" spans="1:14">
      <c r="A6" s="23" t="s">
        <v>20</v>
      </c>
      <c r="B6" s="23" t="s">
        <v>103</v>
      </c>
      <c r="C6" s="23" t="s">
        <v>104</v>
      </c>
      <c r="D6" s="23" t="s">
        <v>33</v>
      </c>
      <c r="E6" s="23" t="s">
        <v>188</v>
      </c>
      <c r="F6" s="23">
        <v>5</v>
      </c>
      <c r="G6" s="23">
        <v>9</v>
      </c>
      <c r="H6" s="23">
        <v>0</v>
      </c>
      <c r="I6" s="23">
        <v>8698</v>
      </c>
      <c r="J6" s="23">
        <v>1161</v>
      </c>
      <c r="K6" s="23">
        <v>0</v>
      </c>
      <c r="L6" s="23" t="s">
        <v>276</v>
      </c>
      <c r="M6" s="23">
        <f t="shared" si="0"/>
        <v>370.99999999999994</v>
      </c>
      <c r="N6" s="24" t="str">
        <f t="array" ref="N6">INDEX('MATCH INFO'!O:O, INT((ROW()-2)/10)+2 + 124)</f>
        <v>260703_O2_ROZE_S1</v>
      </c>
    </row>
    <row r="7" spans="1:14">
      <c r="A7" s="23" t="s">
        <v>21</v>
      </c>
      <c r="B7" s="23" t="s">
        <v>117</v>
      </c>
      <c r="C7" s="23" t="s">
        <v>104</v>
      </c>
      <c r="D7" s="23" t="s">
        <v>33</v>
      </c>
      <c r="E7" s="23" t="s">
        <v>188</v>
      </c>
      <c r="F7" s="23">
        <v>32</v>
      </c>
      <c r="G7" s="23">
        <v>0</v>
      </c>
      <c r="H7" s="23">
        <v>0</v>
      </c>
      <c r="I7" s="23">
        <v>8104</v>
      </c>
      <c r="J7" s="23">
        <v>1262</v>
      </c>
      <c r="K7" s="23">
        <v>0</v>
      </c>
      <c r="L7" s="23" t="s">
        <v>276</v>
      </c>
      <c r="M7" s="23">
        <f t="shared" si="0"/>
        <v>370.99999999999994</v>
      </c>
      <c r="N7" s="24" t="str">
        <f t="array" ref="N7">INDEX('MATCH INFO'!O:O, INT((ROW()-2)/10)+2 + 124)</f>
        <v>260703_O2_ROZE_S1</v>
      </c>
    </row>
    <row r="8" spans="1:14">
      <c r="A8" s="23" t="s">
        <v>21</v>
      </c>
      <c r="B8" s="23" t="s">
        <v>116</v>
      </c>
      <c r="C8" s="23" t="s">
        <v>101</v>
      </c>
      <c r="D8" s="23" t="s">
        <v>33</v>
      </c>
      <c r="E8" s="23" t="s">
        <v>188</v>
      </c>
      <c r="F8" s="23">
        <v>32</v>
      </c>
      <c r="G8" s="23">
        <v>2</v>
      </c>
      <c r="H8" s="23">
        <v>19</v>
      </c>
      <c r="I8" s="23">
        <v>9195</v>
      </c>
      <c r="J8" s="23">
        <v>3001</v>
      </c>
      <c r="K8" s="23">
        <v>3690</v>
      </c>
      <c r="L8" s="23" t="s">
        <v>276</v>
      </c>
      <c r="M8" s="23">
        <f t="shared" si="0"/>
        <v>370.99999999999994</v>
      </c>
      <c r="N8" s="24" t="str">
        <f t="array" ref="N8">INDEX('MATCH INFO'!O:O, INT((ROW()-2)/10)+2 + 124)</f>
        <v>260703_O2_ROZE_S1</v>
      </c>
    </row>
    <row r="9" spans="1:14">
      <c r="A9" s="23" t="s">
        <v>21</v>
      </c>
      <c r="B9" s="23" t="s">
        <v>122</v>
      </c>
      <c r="C9" s="23" t="s">
        <v>109</v>
      </c>
      <c r="D9" s="23" t="s">
        <v>33</v>
      </c>
      <c r="E9" s="23" t="s">
        <v>188</v>
      </c>
      <c r="F9" s="23">
        <v>17</v>
      </c>
      <c r="G9" s="23">
        <v>0</v>
      </c>
      <c r="H9" s="23">
        <v>31</v>
      </c>
      <c r="I9" s="23">
        <v>2982</v>
      </c>
      <c r="J9" s="23">
        <v>10786</v>
      </c>
      <c r="K9" s="23">
        <v>0</v>
      </c>
      <c r="L9" s="23" t="s">
        <v>276</v>
      </c>
      <c r="M9" s="23">
        <f t="shared" si="0"/>
        <v>370.99999999999994</v>
      </c>
      <c r="N9" s="24" t="str">
        <f t="array" ref="N9">INDEX('MATCH INFO'!O:O, INT((ROW()-2)/10)+2 + 124)</f>
        <v>260703_O2_ROZE_S1</v>
      </c>
    </row>
    <row r="10" spans="1:14">
      <c r="A10" s="23" t="s">
        <v>21</v>
      </c>
      <c r="B10" s="23" t="s">
        <v>120</v>
      </c>
      <c r="C10" s="23" t="s">
        <v>109</v>
      </c>
      <c r="D10" s="23" t="s">
        <v>33</v>
      </c>
      <c r="E10" s="23" t="s">
        <v>188</v>
      </c>
      <c r="F10" s="23">
        <v>19</v>
      </c>
      <c r="G10" s="23">
        <v>2</v>
      </c>
      <c r="H10" s="23">
        <v>15</v>
      </c>
      <c r="I10" s="23">
        <v>3061</v>
      </c>
      <c r="J10" s="23">
        <v>4596</v>
      </c>
      <c r="K10" s="23">
        <v>2066</v>
      </c>
      <c r="L10" s="23" t="s">
        <v>276</v>
      </c>
      <c r="M10" s="23">
        <f t="shared" si="0"/>
        <v>370.99999999999994</v>
      </c>
      <c r="N10" s="24" t="str">
        <f t="array" ref="N10">INDEX('MATCH INFO'!O:O, INT((ROW()-2)/10)+2 + 124)</f>
        <v>260703_O2_ROZE_S1</v>
      </c>
    </row>
    <row r="11" spans="1:14">
      <c r="A11" s="23" t="s">
        <v>21</v>
      </c>
      <c r="B11" s="23" t="s">
        <v>119</v>
      </c>
      <c r="C11" s="23" t="s">
        <v>104</v>
      </c>
      <c r="D11" s="23" t="s">
        <v>33</v>
      </c>
      <c r="E11" s="23" t="s">
        <v>188</v>
      </c>
      <c r="F11" s="23">
        <v>26</v>
      </c>
      <c r="G11" s="23">
        <v>3</v>
      </c>
      <c r="H11" s="23">
        <v>4</v>
      </c>
      <c r="I11" s="23">
        <v>7017</v>
      </c>
      <c r="J11" s="23">
        <v>0</v>
      </c>
      <c r="K11" s="23">
        <v>210</v>
      </c>
      <c r="L11" s="23" t="s">
        <v>276</v>
      </c>
      <c r="M11" s="23">
        <f t="shared" si="0"/>
        <v>370.99999999999994</v>
      </c>
      <c r="N11" s="24" t="str">
        <f t="array" ref="N11">INDEX('MATCH INFO'!O:O, INT((ROW()-2)/10)+2 + 124)</f>
        <v>260703_O2_ROZE_S1</v>
      </c>
    </row>
    <row r="12" spans="1:14">
      <c r="A12" s="23" t="s">
        <v>20</v>
      </c>
      <c r="B12" s="23" t="s">
        <v>108</v>
      </c>
      <c r="C12" s="23" t="s">
        <v>109</v>
      </c>
      <c r="D12" s="23" t="s">
        <v>37</v>
      </c>
      <c r="E12" s="23" t="s">
        <v>196</v>
      </c>
      <c r="F12" s="23">
        <v>23</v>
      </c>
      <c r="G12" s="23">
        <v>9</v>
      </c>
      <c r="H12" s="23">
        <v>9</v>
      </c>
      <c r="I12" s="23">
        <v>6444</v>
      </c>
      <c r="J12" s="23">
        <v>10763</v>
      </c>
      <c r="K12" s="23">
        <v>0</v>
      </c>
      <c r="L12" s="23" t="s">
        <v>204</v>
      </c>
      <c r="M12" s="23">
        <f t="shared" si="0"/>
        <v>980.00000000000011</v>
      </c>
      <c r="N12" s="24" t="str">
        <f t="array" ref="N12">INDEX('MATCH INFO'!O:O, INT((ROW()-2)/10)+2 + 124)</f>
        <v>260703_O2_ROZE_S2</v>
      </c>
    </row>
    <row r="13" spans="1:14">
      <c r="A13" s="23" t="s">
        <v>20</v>
      </c>
      <c r="B13" s="23" t="s">
        <v>113</v>
      </c>
      <c r="C13" s="23" t="s">
        <v>109</v>
      </c>
      <c r="D13" s="23" t="s">
        <v>37</v>
      </c>
      <c r="E13" s="23" t="s">
        <v>196</v>
      </c>
      <c r="F13" s="23">
        <v>13</v>
      </c>
      <c r="G13" s="23">
        <v>12</v>
      </c>
      <c r="H13" s="23">
        <v>28</v>
      </c>
      <c r="I13" s="23">
        <v>8511</v>
      </c>
      <c r="J13" s="23">
        <v>14122</v>
      </c>
      <c r="K13" s="23">
        <v>0</v>
      </c>
      <c r="L13" s="23" t="s">
        <v>204</v>
      </c>
      <c r="M13" s="23">
        <f t="shared" si="0"/>
        <v>980.00000000000011</v>
      </c>
      <c r="N13" s="24" t="str">
        <f t="array" ref="N13">INDEX('MATCH INFO'!O:O, INT((ROW()-2)/10)+2 + 124)</f>
        <v>260703_O2_ROZE_S2</v>
      </c>
    </row>
    <row r="14" spans="1:14">
      <c r="A14" s="23" t="s">
        <v>20</v>
      </c>
      <c r="B14" s="23" t="s">
        <v>106</v>
      </c>
      <c r="C14" s="23" t="s">
        <v>104</v>
      </c>
      <c r="D14" s="23" t="s">
        <v>37</v>
      </c>
      <c r="E14" s="23" t="s">
        <v>196</v>
      </c>
      <c r="F14" s="23">
        <v>23</v>
      </c>
      <c r="G14" s="23">
        <v>13</v>
      </c>
      <c r="H14" s="23">
        <v>0</v>
      </c>
      <c r="I14" s="23">
        <v>13533</v>
      </c>
      <c r="J14" s="23">
        <v>49</v>
      </c>
      <c r="K14" s="23">
        <v>282</v>
      </c>
      <c r="L14" s="23" t="s">
        <v>204</v>
      </c>
      <c r="M14" s="23">
        <f t="shared" si="0"/>
        <v>980.00000000000011</v>
      </c>
      <c r="N14" s="24" t="str">
        <f t="array" ref="N14">INDEX('MATCH INFO'!O:O, INT((ROW()-2)/10)+2 + 124)</f>
        <v>260703_O2_ROZE_S2</v>
      </c>
    </row>
    <row r="15" spans="1:14">
      <c r="A15" s="23" t="s">
        <v>20</v>
      </c>
      <c r="B15" s="23" t="s">
        <v>102</v>
      </c>
      <c r="C15" s="23" t="s">
        <v>101</v>
      </c>
      <c r="D15" s="23" t="s">
        <v>37</v>
      </c>
      <c r="E15" s="23" t="s">
        <v>196</v>
      </c>
      <c r="F15" s="23">
        <v>25</v>
      </c>
      <c r="G15" s="23">
        <v>11</v>
      </c>
      <c r="H15" s="23">
        <v>9</v>
      </c>
      <c r="I15" s="23">
        <v>14957</v>
      </c>
      <c r="J15" s="23">
        <v>0</v>
      </c>
      <c r="K15" s="23">
        <v>17464</v>
      </c>
      <c r="L15" s="23" t="s">
        <v>204</v>
      </c>
      <c r="M15" s="23">
        <f t="shared" si="0"/>
        <v>980.00000000000011</v>
      </c>
      <c r="N15" s="24" t="str">
        <f t="array" ref="N15">INDEX('MATCH INFO'!O:O, INT((ROW()-2)/10)+2 + 124)</f>
        <v>260703_O2_ROZE_S2</v>
      </c>
    </row>
    <row r="16" spans="1:14">
      <c r="A16" s="23" t="s">
        <v>20</v>
      </c>
      <c r="B16" s="23" t="s">
        <v>103</v>
      </c>
      <c r="C16" s="23" t="s">
        <v>104</v>
      </c>
      <c r="D16" s="23" t="s">
        <v>37</v>
      </c>
      <c r="E16" s="23" t="s">
        <v>196</v>
      </c>
      <c r="F16" s="23">
        <v>26</v>
      </c>
      <c r="G16" s="23">
        <v>12</v>
      </c>
      <c r="H16" s="23">
        <v>4</v>
      </c>
      <c r="I16" s="23">
        <v>14122</v>
      </c>
      <c r="J16" s="23">
        <v>213</v>
      </c>
      <c r="K16" s="23">
        <v>1085</v>
      </c>
      <c r="L16" s="23" t="s">
        <v>204</v>
      </c>
      <c r="M16" s="23">
        <f t="shared" si="0"/>
        <v>980.00000000000011</v>
      </c>
      <c r="N16" s="24" t="str">
        <f t="array" ref="N16">INDEX('MATCH INFO'!O:O, INT((ROW()-2)/10)+2 + 124)</f>
        <v>260703_O2_ROZE_S2</v>
      </c>
    </row>
    <row r="17" spans="1:14">
      <c r="A17" s="23" t="s">
        <v>21</v>
      </c>
      <c r="B17" s="23" t="s">
        <v>117</v>
      </c>
      <c r="C17" s="23" t="s">
        <v>104</v>
      </c>
      <c r="D17" s="23" t="s">
        <v>37</v>
      </c>
      <c r="E17" s="23" t="s">
        <v>196</v>
      </c>
      <c r="F17" s="23">
        <v>33</v>
      </c>
      <c r="G17" s="23">
        <v>10</v>
      </c>
      <c r="H17" s="23">
        <v>2</v>
      </c>
      <c r="I17" s="23">
        <v>9404</v>
      </c>
      <c r="J17" s="23">
        <v>1856</v>
      </c>
      <c r="K17" s="23">
        <v>4929</v>
      </c>
      <c r="L17" s="23" t="s">
        <v>204</v>
      </c>
      <c r="M17" s="23">
        <f t="shared" si="0"/>
        <v>980.00000000000011</v>
      </c>
      <c r="N17" s="24" t="str">
        <f t="array" ref="N17">INDEX('MATCH INFO'!O:O, INT((ROW()-2)/10)+2 + 124)</f>
        <v>260703_O2_ROZE_S2</v>
      </c>
    </row>
    <row r="18" spans="1:14">
      <c r="A18" s="23" t="s">
        <v>21</v>
      </c>
      <c r="B18" s="23" t="s">
        <v>116</v>
      </c>
      <c r="C18" s="23" t="s">
        <v>101</v>
      </c>
      <c r="D18" s="23" t="s">
        <v>37</v>
      </c>
      <c r="E18" s="23" t="s">
        <v>196</v>
      </c>
      <c r="F18" s="23">
        <v>29</v>
      </c>
      <c r="G18" s="23">
        <v>10</v>
      </c>
      <c r="H18" s="23">
        <v>17</v>
      </c>
      <c r="I18" s="23">
        <v>13668</v>
      </c>
      <c r="J18" s="23">
        <v>1064</v>
      </c>
      <c r="K18" s="23">
        <v>25602</v>
      </c>
      <c r="L18" s="23" t="s">
        <v>204</v>
      </c>
      <c r="M18" s="23">
        <f t="shared" si="0"/>
        <v>980.00000000000011</v>
      </c>
      <c r="N18" s="24" t="str">
        <f t="array" ref="N18">INDEX('MATCH INFO'!O:O, INT((ROW()-2)/10)+2 + 124)</f>
        <v>260703_O2_ROZE_S2</v>
      </c>
    </row>
    <row r="19" spans="1:14">
      <c r="A19" s="23" t="s">
        <v>21</v>
      </c>
      <c r="B19" s="23" t="s">
        <v>122</v>
      </c>
      <c r="C19" s="23" t="s">
        <v>109</v>
      </c>
      <c r="D19" s="23" t="s">
        <v>37</v>
      </c>
      <c r="E19" s="23" t="s">
        <v>196</v>
      </c>
      <c r="F19" s="23">
        <v>20</v>
      </c>
      <c r="G19" s="23">
        <v>8</v>
      </c>
      <c r="H19" s="23">
        <v>38</v>
      </c>
      <c r="I19" s="23">
        <v>4804</v>
      </c>
      <c r="J19" s="23">
        <v>18757</v>
      </c>
      <c r="K19" s="23">
        <v>0</v>
      </c>
      <c r="L19" s="23" t="s">
        <v>204</v>
      </c>
      <c r="M19" s="23">
        <f t="shared" si="0"/>
        <v>980.00000000000011</v>
      </c>
      <c r="N19" s="24" t="str">
        <f t="array" ref="N19">INDEX('MATCH INFO'!O:O, INT((ROW()-2)/10)+2 + 124)</f>
        <v>260703_O2_ROZE_S2</v>
      </c>
    </row>
    <row r="20" spans="1:14">
      <c r="A20" s="23" t="s">
        <v>21</v>
      </c>
      <c r="B20" s="23" t="s">
        <v>120</v>
      </c>
      <c r="C20" s="23" t="s">
        <v>109</v>
      </c>
      <c r="D20" s="23" t="s">
        <v>37</v>
      </c>
      <c r="E20" s="23" t="s">
        <v>196</v>
      </c>
      <c r="F20" s="23">
        <v>29</v>
      </c>
      <c r="G20" s="23">
        <v>9</v>
      </c>
      <c r="H20" s="23">
        <v>17</v>
      </c>
      <c r="I20" s="23">
        <v>5930</v>
      </c>
      <c r="J20" s="23">
        <v>12748</v>
      </c>
      <c r="K20" s="23">
        <v>0</v>
      </c>
      <c r="L20" s="23" t="s">
        <v>204</v>
      </c>
      <c r="M20" s="23">
        <f t="shared" si="0"/>
        <v>980.00000000000011</v>
      </c>
      <c r="N20" s="24" t="str">
        <f t="array" ref="N20">INDEX('MATCH INFO'!O:O, INT((ROW()-2)/10)+2 + 124)</f>
        <v>260703_O2_ROZE_S2</v>
      </c>
    </row>
    <row r="21" spans="1:14">
      <c r="A21" s="23" t="s">
        <v>21</v>
      </c>
      <c r="B21" s="23" t="s">
        <v>119</v>
      </c>
      <c r="C21" s="23" t="s">
        <v>104</v>
      </c>
      <c r="D21" s="23" t="s">
        <v>37</v>
      </c>
      <c r="E21" s="23" t="s">
        <v>196</v>
      </c>
      <c r="F21" s="23">
        <v>39</v>
      </c>
      <c r="G21" s="23">
        <v>6</v>
      </c>
      <c r="H21" s="23">
        <v>3</v>
      </c>
      <c r="I21" s="23">
        <v>15029</v>
      </c>
      <c r="J21" s="23">
        <v>213</v>
      </c>
      <c r="K21" s="23">
        <v>637</v>
      </c>
      <c r="L21" s="23" t="s">
        <v>204</v>
      </c>
      <c r="M21" s="23">
        <f t="shared" si="0"/>
        <v>980.00000000000011</v>
      </c>
      <c r="N21" s="24" t="str">
        <f t="array" ref="N21">INDEX('MATCH INFO'!O:O, INT((ROW()-2)/10)+2 + 124)</f>
        <v>260703_O2_ROZE_S2</v>
      </c>
    </row>
    <row r="22" spans="1:14">
      <c r="A22" s="23" t="s">
        <v>20</v>
      </c>
      <c r="B22" s="23" t="s">
        <v>108</v>
      </c>
      <c r="C22" s="23" t="s">
        <v>109</v>
      </c>
      <c r="D22" s="23" t="s">
        <v>69</v>
      </c>
      <c r="E22" s="23" t="s">
        <v>201</v>
      </c>
      <c r="F22" s="23">
        <v>21</v>
      </c>
      <c r="G22" s="23">
        <v>10</v>
      </c>
      <c r="H22" s="23">
        <v>17</v>
      </c>
      <c r="I22" s="23">
        <v>4570</v>
      </c>
      <c r="J22" s="23">
        <v>14286</v>
      </c>
      <c r="K22" s="23">
        <v>0</v>
      </c>
      <c r="L22" s="23" t="s">
        <v>313</v>
      </c>
      <c r="M22" s="23">
        <f t="shared" si="0"/>
        <v>1010</v>
      </c>
      <c r="N22" s="24" t="str">
        <f t="array" ref="N22">INDEX('MATCH INFO'!O:O, INT((ROW()-2)/10)+2 + 124)</f>
        <v>260703_O2_ROZE_S3</v>
      </c>
    </row>
    <row r="23" spans="1:14">
      <c r="A23" s="23" t="s">
        <v>20</v>
      </c>
      <c r="B23" s="23" t="s">
        <v>113</v>
      </c>
      <c r="C23" s="23" t="s">
        <v>109</v>
      </c>
      <c r="D23" s="23" t="s">
        <v>69</v>
      </c>
      <c r="E23" s="23" t="s">
        <v>201</v>
      </c>
      <c r="F23" s="23">
        <v>24</v>
      </c>
      <c r="G23" s="23">
        <v>12</v>
      </c>
      <c r="H23" s="23">
        <v>30</v>
      </c>
      <c r="I23" s="23">
        <v>7682</v>
      </c>
      <c r="J23" s="23">
        <v>20175</v>
      </c>
      <c r="K23" s="23">
        <v>0</v>
      </c>
      <c r="L23" s="23" t="s">
        <v>313</v>
      </c>
      <c r="M23" s="23">
        <f t="shared" si="0"/>
        <v>1010</v>
      </c>
      <c r="N23" s="24" t="str">
        <f t="array" ref="N23">INDEX('MATCH INFO'!O:O, INT((ROW()-2)/10)+2 + 124)</f>
        <v>260703_O2_ROZE_S3</v>
      </c>
    </row>
    <row r="24" spans="1:14">
      <c r="A24" s="23" t="s">
        <v>20</v>
      </c>
      <c r="B24" s="23" t="s">
        <v>106</v>
      </c>
      <c r="C24" s="23" t="s">
        <v>104</v>
      </c>
      <c r="D24" s="23" t="s">
        <v>69</v>
      </c>
      <c r="E24" s="23" t="s">
        <v>201</v>
      </c>
      <c r="F24" s="23">
        <v>34</v>
      </c>
      <c r="G24" s="23">
        <v>12</v>
      </c>
      <c r="H24" s="23">
        <v>2</v>
      </c>
      <c r="I24" s="23">
        <v>16840</v>
      </c>
      <c r="J24" s="23">
        <v>1196</v>
      </c>
      <c r="K24" s="23">
        <v>2267</v>
      </c>
      <c r="L24" s="23" t="s">
        <v>313</v>
      </c>
      <c r="M24" s="23">
        <f t="shared" si="0"/>
        <v>1010</v>
      </c>
      <c r="N24" s="24" t="str">
        <f t="array" ref="N24">INDEX('MATCH INFO'!O:O, INT((ROW()-2)/10)+2 + 124)</f>
        <v>260703_O2_ROZE_S3</v>
      </c>
    </row>
    <row r="25" spans="1:14">
      <c r="A25" s="23" t="s">
        <v>20</v>
      </c>
      <c r="B25" s="23" t="s">
        <v>102</v>
      </c>
      <c r="C25" s="23" t="s">
        <v>101</v>
      </c>
      <c r="D25" s="23" t="s">
        <v>69</v>
      </c>
      <c r="E25" s="23" t="s">
        <v>201</v>
      </c>
      <c r="F25" s="23">
        <v>32</v>
      </c>
      <c r="G25" s="23">
        <v>10</v>
      </c>
      <c r="H25" s="23">
        <v>10</v>
      </c>
      <c r="I25" s="23">
        <v>19287</v>
      </c>
      <c r="J25" s="23">
        <v>86</v>
      </c>
      <c r="K25" s="23">
        <v>32844</v>
      </c>
      <c r="L25" s="23" t="s">
        <v>313</v>
      </c>
      <c r="M25" s="23">
        <f t="shared" si="0"/>
        <v>1010</v>
      </c>
      <c r="N25" s="24" t="str">
        <f t="array" ref="N25">INDEX('MATCH INFO'!O:O, INT((ROW()-2)/10)+2 + 124)</f>
        <v>260703_O2_ROZE_S3</v>
      </c>
    </row>
    <row r="26" spans="1:14">
      <c r="A26" s="23" t="s">
        <v>20</v>
      </c>
      <c r="B26" s="23" t="s">
        <v>103</v>
      </c>
      <c r="C26" s="23" t="s">
        <v>104</v>
      </c>
      <c r="D26" s="23" t="s">
        <v>69</v>
      </c>
      <c r="E26" s="23" t="s">
        <v>201</v>
      </c>
      <c r="F26" s="23">
        <v>28</v>
      </c>
      <c r="G26" s="23">
        <v>11</v>
      </c>
      <c r="H26" s="23">
        <v>16</v>
      </c>
      <c r="I26" s="23">
        <v>10424</v>
      </c>
      <c r="J26" s="23">
        <v>4066</v>
      </c>
      <c r="K26" s="23">
        <v>9427</v>
      </c>
      <c r="L26" s="23" t="s">
        <v>313</v>
      </c>
      <c r="M26" s="23">
        <f t="shared" si="0"/>
        <v>1010</v>
      </c>
      <c r="N26" s="24" t="str">
        <f t="array" ref="N26">INDEX('MATCH INFO'!O:O, INT((ROW()-2)/10)+2 + 124)</f>
        <v>260703_O2_ROZE_S3</v>
      </c>
    </row>
    <row r="27" spans="1:14">
      <c r="A27" s="23" t="s">
        <v>21</v>
      </c>
      <c r="B27" s="23" t="s">
        <v>117</v>
      </c>
      <c r="C27" s="23" t="s">
        <v>104</v>
      </c>
      <c r="D27" s="23" t="s">
        <v>69</v>
      </c>
      <c r="E27" s="23" t="s">
        <v>201</v>
      </c>
      <c r="F27" s="23">
        <v>32</v>
      </c>
      <c r="G27" s="23">
        <v>10</v>
      </c>
      <c r="H27" s="23">
        <v>16</v>
      </c>
      <c r="I27" s="23">
        <v>12955</v>
      </c>
      <c r="J27" s="23">
        <v>2145</v>
      </c>
      <c r="K27" s="23">
        <v>7820</v>
      </c>
      <c r="L27" s="23" t="s">
        <v>313</v>
      </c>
      <c r="M27" s="23">
        <f t="shared" si="0"/>
        <v>1010</v>
      </c>
      <c r="N27" s="24" t="str">
        <f t="array" ref="N27">INDEX('MATCH INFO'!O:O, INT((ROW()-2)/10)+2 + 124)</f>
        <v>260703_O2_ROZE_S3</v>
      </c>
    </row>
    <row r="28" spans="1:14">
      <c r="A28" s="23" t="s">
        <v>21</v>
      </c>
      <c r="B28" s="23" t="s">
        <v>116</v>
      </c>
      <c r="C28" s="23" t="s">
        <v>101</v>
      </c>
      <c r="D28" s="23" t="s">
        <v>69</v>
      </c>
      <c r="E28" s="23" t="s">
        <v>201</v>
      </c>
      <c r="F28" s="23">
        <v>25</v>
      </c>
      <c r="G28" s="23">
        <v>11</v>
      </c>
      <c r="H28" s="23">
        <v>8</v>
      </c>
      <c r="I28" s="23">
        <v>19986</v>
      </c>
      <c r="J28" s="23">
        <v>40</v>
      </c>
      <c r="K28" s="23">
        <v>28381</v>
      </c>
      <c r="L28" s="23" t="s">
        <v>313</v>
      </c>
      <c r="M28" s="23">
        <f t="shared" si="0"/>
        <v>1010</v>
      </c>
      <c r="N28" s="24" t="str">
        <f t="array" ref="N28">INDEX('MATCH INFO'!O:O, INT((ROW()-2)/10)+2 + 124)</f>
        <v>260703_O2_ROZE_S3</v>
      </c>
    </row>
    <row r="29" spans="1:14">
      <c r="A29" s="23" t="s">
        <v>21</v>
      </c>
      <c r="B29" s="23" t="s">
        <v>122</v>
      </c>
      <c r="C29" s="23" t="s">
        <v>109</v>
      </c>
      <c r="D29" s="23" t="s">
        <v>69</v>
      </c>
      <c r="E29" s="23" t="s">
        <v>201</v>
      </c>
      <c r="F29" s="23">
        <v>27</v>
      </c>
      <c r="G29" s="23">
        <v>8</v>
      </c>
      <c r="H29" s="23">
        <v>23</v>
      </c>
      <c r="I29" s="23">
        <v>8281</v>
      </c>
      <c r="J29" s="23">
        <v>19250</v>
      </c>
      <c r="K29" s="23">
        <v>0</v>
      </c>
      <c r="L29" s="23" t="s">
        <v>313</v>
      </c>
      <c r="M29" s="23">
        <f t="shared" si="0"/>
        <v>1010</v>
      </c>
      <c r="N29" s="24" t="str">
        <f t="array" ref="N29">INDEX('MATCH INFO'!O:O, INT((ROW()-2)/10)+2 + 124)</f>
        <v>260703_O2_ROZE_S3</v>
      </c>
    </row>
    <row r="30" spans="1:14">
      <c r="A30" s="23" t="s">
        <v>21</v>
      </c>
      <c r="B30" s="23" t="s">
        <v>120</v>
      </c>
      <c r="C30" s="23" t="s">
        <v>109</v>
      </c>
      <c r="D30" s="23" t="s">
        <v>69</v>
      </c>
      <c r="E30" s="23" t="s">
        <v>201</v>
      </c>
      <c r="F30" s="23">
        <v>32</v>
      </c>
      <c r="G30" s="23">
        <v>7</v>
      </c>
      <c r="H30" s="23">
        <v>24</v>
      </c>
      <c r="I30" s="23">
        <v>5920</v>
      </c>
      <c r="J30" s="23">
        <v>13956</v>
      </c>
      <c r="K30" s="23">
        <v>0</v>
      </c>
      <c r="L30" s="23" t="s">
        <v>313</v>
      </c>
      <c r="M30" s="23">
        <f t="shared" si="0"/>
        <v>1010</v>
      </c>
      <c r="N30" s="24" t="str">
        <f t="array" ref="N30">INDEX('MATCH INFO'!O:O, INT((ROW()-2)/10)+2 + 124)</f>
        <v>260703_O2_ROZE_S3</v>
      </c>
    </row>
    <row r="31" spans="1:14">
      <c r="A31" s="23" t="s">
        <v>21</v>
      </c>
      <c r="B31" s="23" t="s">
        <v>119</v>
      </c>
      <c r="C31" s="23" t="s">
        <v>104</v>
      </c>
      <c r="D31" s="23" t="s">
        <v>69</v>
      </c>
      <c r="E31" s="23" t="s">
        <v>201</v>
      </c>
      <c r="F31" s="23">
        <v>37</v>
      </c>
      <c r="G31" s="23">
        <v>10</v>
      </c>
      <c r="H31" s="23">
        <v>3</v>
      </c>
      <c r="I31" s="23">
        <v>20197</v>
      </c>
      <c r="J31" s="23">
        <v>561</v>
      </c>
      <c r="K31" s="23">
        <v>1913</v>
      </c>
      <c r="L31" s="23" t="s">
        <v>313</v>
      </c>
      <c r="M31" s="23">
        <f t="shared" si="0"/>
        <v>1010</v>
      </c>
      <c r="N31" s="24" t="str">
        <f t="array" ref="N31">INDEX('MATCH INFO'!O:O, INT((ROW()-2)/10)+2 + 124)</f>
        <v>260703_O2_ROZE_S3</v>
      </c>
    </row>
    <row r="32" spans="1:14">
      <c r="A32" s="23" t="s">
        <v>31</v>
      </c>
      <c r="B32" s="23" t="s">
        <v>163</v>
      </c>
      <c r="C32" s="23" t="s">
        <v>104</v>
      </c>
      <c r="D32" s="23" t="s">
        <v>33</v>
      </c>
      <c r="E32" s="23" t="s">
        <v>188</v>
      </c>
      <c r="F32" s="23">
        <v>29</v>
      </c>
      <c r="G32" s="23">
        <v>4</v>
      </c>
      <c r="H32" s="23">
        <v>4</v>
      </c>
      <c r="I32" s="23">
        <v>9204</v>
      </c>
      <c r="J32" s="23">
        <v>694</v>
      </c>
      <c r="K32" s="23">
        <v>3439</v>
      </c>
      <c r="L32" s="23" t="s">
        <v>222</v>
      </c>
      <c r="M32" s="23">
        <f t="shared" si="0"/>
        <v>538</v>
      </c>
      <c r="N32" s="24" t="str">
        <f t="array" ref="N32">INDEX('MATCH INFO'!O:O, INT((ROW()-2)/10)+2 + 124)</f>
        <v>260703_CR_FLC_S1</v>
      </c>
    </row>
    <row r="33" spans="1:14">
      <c r="A33" s="23" t="s">
        <v>31</v>
      </c>
      <c r="B33" s="23" t="s">
        <v>165</v>
      </c>
      <c r="C33" s="23" t="s">
        <v>109</v>
      </c>
      <c r="D33" s="23" t="s">
        <v>33</v>
      </c>
      <c r="E33" s="23" t="s">
        <v>188</v>
      </c>
      <c r="F33" s="23">
        <v>21</v>
      </c>
      <c r="G33" s="23">
        <v>3</v>
      </c>
      <c r="H33" s="23">
        <v>15</v>
      </c>
      <c r="I33" s="23">
        <v>4535</v>
      </c>
      <c r="J33" s="23">
        <v>8013</v>
      </c>
      <c r="K33" s="23">
        <v>0</v>
      </c>
      <c r="L33" s="23" t="s">
        <v>222</v>
      </c>
      <c r="M33" s="23">
        <f t="shared" si="0"/>
        <v>538</v>
      </c>
      <c r="N33" s="24" t="str">
        <f t="array" ref="N33">INDEX('MATCH INFO'!O:O, INT((ROW()-2)/10)+2 + 124)</f>
        <v>260703_CR_FLC_S1</v>
      </c>
    </row>
    <row r="34" spans="1:14">
      <c r="A34" s="23" t="s">
        <v>31</v>
      </c>
      <c r="B34" s="23" t="s">
        <v>166</v>
      </c>
      <c r="C34" s="23" t="s">
        <v>109</v>
      </c>
      <c r="D34" s="23" t="s">
        <v>33</v>
      </c>
      <c r="E34" s="23" t="s">
        <v>188</v>
      </c>
      <c r="F34" s="23">
        <v>13</v>
      </c>
      <c r="G34" s="23">
        <v>4</v>
      </c>
      <c r="H34" s="23">
        <v>28</v>
      </c>
      <c r="I34" s="23">
        <v>6167</v>
      </c>
      <c r="J34" s="23">
        <v>13104</v>
      </c>
      <c r="K34" s="23">
        <v>0</v>
      </c>
      <c r="L34" s="23" t="s">
        <v>222</v>
      </c>
      <c r="M34" s="23">
        <f t="shared" si="0"/>
        <v>538</v>
      </c>
      <c r="N34" s="24" t="str">
        <f t="array" ref="N34">INDEX('MATCH INFO'!O:O, INT((ROW()-2)/10)+2 + 124)</f>
        <v>260703_CR_FLC_S1</v>
      </c>
    </row>
    <row r="35" spans="1:14">
      <c r="A35" s="23" t="s">
        <v>31</v>
      </c>
      <c r="B35" s="23" t="s">
        <v>161</v>
      </c>
      <c r="C35" s="23" t="s">
        <v>101</v>
      </c>
      <c r="D35" s="23" t="s">
        <v>33</v>
      </c>
      <c r="E35" s="23" t="s">
        <v>188</v>
      </c>
      <c r="F35" s="23">
        <v>28</v>
      </c>
      <c r="G35" s="23">
        <v>3</v>
      </c>
      <c r="H35" s="23">
        <v>13</v>
      </c>
      <c r="I35" s="23">
        <v>7432</v>
      </c>
      <c r="J35" s="23">
        <v>822</v>
      </c>
      <c r="K35" s="23">
        <v>13259</v>
      </c>
      <c r="L35" s="23" t="s">
        <v>222</v>
      </c>
      <c r="M35" s="23">
        <f t="shared" si="0"/>
        <v>538</v>
      </c>
      <c r="N35" s="24" t="str">
        <f t="array" ref="N35">INDEX('MATCH INFO'!O:O, INT((ROW()-2)/10)+2 + 124)</f>
        <v>260703_CR_FLC_S1</v>
      </c>
    </row>
    <row r="36" spans="1:14">
      <c r="A36" s="23" t="s">
        <v>31</v>
      </c>
      <c r="B36" s="23" t="s">
        <v>162</v>
      </c>
      <c r="C36" s="23" t="s">
        <v>104</v>
      </c>
      <c r="D36" s="23" t="s">
        <v>33</v>
      </c>
      <c r="E36" s="23" t="s">
        <v>188</v>
      </c>
      <c r="F36" s="23">
        <v>25</v>
      </c>
      <c r="G36" s="23">
        <v>4</v>
      </c>
      <c r="H36" s="23">
        <v>3</v>
      </c>
      <c r="I36" s="23">
        <v>10469</v>
      </c>
      <c r="J36" s="23">
        <v>0</v>
      </c>
      <c r="K36" s="23">
        <v>311</v>
      </c>
      <c r="L36" s="23" t="s">
        <v>222</v>
      </c>
      <c r="M36" s="23">
        <f t="shared" si="0"/>
        <v>538</v>
      </c>
      <c r="N36" s="24" t="str">
        <f t="array" ref="N36">INDEX('MATCH INFO'!O:O, INT((ROW()-2)/10)+2 + 124)</f>
        <v>260703_CR_FLC_S1</v>
      </c>
    </row>
    <row r="37" spans="1:14">
      <c r="A37" s="23" t="s">
        <v>32</v>
      </c>
      <c r="B37" s="23" t="s">
        <v>150</v>
      </c>
      <c r="C37" s="23" t="s">
        <v>109</v>
      </c>
      <c r="D37" s="23" t="s">
        <v>33</v>
      </c>
      <c r="E37" s="23" t="s">
        <v>188</v>
      </c>
      <c r="F37" s="23">
        <v>11</v>
      </c>
      <c r="G37" s="23">
        <v>6</v>
      </c>
      <c r="H37" s="23">
        <v>7</v>
      </c>
      <c r="I37" s="23">
        <v>4775</v>
      </c>
      <c r="J37" s="23">
        <v>6702</v>
      </c>
      <c r="K37" s="23">
        <v>597</v>
      </c>
      <c r="L37" s="23" t="s">
        <v>222</v>
      </c>
      <c r="M37" s="23">
        <f t="shared" si="0"/>
        <v>538</v>
      </c>
      <c r="N37" s="24" t="str">
        <f t="array" ref="N37">INDEX('MATCH INFO'!O:O, INT((ROW()-2)/10)+2 + 124)</f>
        <v>260703_CR_FLC_S1</v>
      </c>
    </row>
    <row r="38" spans="1:14">
      <c r="A38" s="23" t="s">
        <v>32</v>
      </c>
      <c r="B38" s="23" t="s">
        <v>147</v>
      </c>
      <c r="C38" s="23" t="s">
        <v>104</v>
      </c>
      <c r="D38" s="23" t="s">
        <v>33</v>
      </c>
      <c r="E38" s="23" t="s">
        <v>188</v>
      </c>
      <c r="F38" s="23">
        <v>4</v>
      </c>
      <c r="G38" s="23">
        <v>11</v>
      </c>
      <c r="H38" s="23">
        <v>0</v>
      </c>
      <c r="I38" s="23">
        <v>5934</v>
      </c>
      <c r="J38" s="23">
        <v>337</v>
      </c>
      <c r="K38" s="23">
        <v>4053</v>
      </c>
      <c r="L38" s="23" t="s">
        <v>222</v>
      </c>
      <c r="M38" s="23">
        <f t="shared" si="0"/>
        <v>538</v>
      </c>
      <c r="N38" s="24" t="str">
        <f t="array" ref="N38">INDEX('MATCH INFO'!O:O, INT((ROW()-2)/10)+2 + 124)</f>
        <v>260703_CR_FLC_S1</v>
      </c>
    </row>
    <row r="39" spans="1:14">
      <c r="A39" s="23" t="s">
        <v>32</v>
      </c>
      <c r="B39" s="23" t="s">
        <v>146</v>
      </c>
      <c r="C39" s="23" t="s">
        <v>101</v>
      </c>
      <c r="D39" s="23" t="s">
        <v>33</v>
      </c>
      <c r="E39" s="23" t="s">
        <v>188</v>
      </c>
      <c r="F39" s="23">
        <v>10</v>
      </c>
      <c r="G39" s="23">
        <v>8</v>
      </c>
      <c r="H39" s="23">
        <v>7</v>
      </c>
      <c r="I39" s="23">
        <v>6695</v>
      </c>
      <c r="J39" s="23">
        <v>1537</v>
      </c>
      <c r="K39" s="23">
        <v>8526</v>
      </c>
      <c r="L39" s="23" t="s">
        <v>222</v>
      </c>
      <c r="M39" s="23">
        <f t="shared" si="0"/>
        <v>538</v>
      </c>
      <c r="N39" s="24" t="str">
        <f t="array" ref="N39">INDEX('MATCH INFO'!O:O, INT((ROW()-2)/10)+2 + 124)</f>
        <v>260703_CR_FLC_S1</v>
      </c>
    </row>
    <row r="40" spans="1:14">
      <c r="A40" s="23" t="s">
        <v>32</v>
      </c>
      <c r="B40" s="23" t="s">
        <v>149</v>
      </c>
      <c r="C40" s="23" t="s">
        <v>104</v>
      </c>
      <c r="D40" s="23" t="s">
        <v>33</v>
      </c>
      <c r="E40" s="23" t="s">
        <v>188</v>
      </c>
      <c r="F40" s="23">
        <v>11</v>
      </c>
      <c r="G40" s="23">
        <v>6</v>
      </c>
      <c r="H40" s="23">
        <v>2</v>
      </c>
      <c r="I40" s="23">
        <v>10619</v>
      </c>
      <c r="J40" s="23">
        <v>75</v>
      </c>
      <c r="K40" s="23">
        <v>488</v>
      </c>
      <c r="L40" s="23" t="s">
        <v>222</v>
      </c>
      <c r="M40" s="23">
        <f t="shared" si="0"/>
        <v>538</v>
      </c>
      <c r="N40" s="24" t="str">
        <f t="array" ref="N40">INDEX('MATCH INFO'!O:O, INT((ROW()-2)/10)+2 + 124)</f>
        <v>260703_CR_FLC_S1</v>
      </c>
    </row>
    <row r="41" spans="1:14">
      <c r="A41" s="23" t="s">
        <v>32</v>
      </c>
      <c r="B41" s="23" t="s">
        <v>151</v>
      </c>
      <c r="C41" s="23" t="s">
        <v>109</v>
      </c>
      <c r="D41" s="23" t="s">
        <v>33</v>
      </c>
      <c r="E41" s="23" t="s">
        <v>188</v>
      </c>
      <c r="F41" s="23">
        <v>6</v>
      </c>
      <c r="G41" s="23">
        <v>8</v>
      </c>
      <c r="H41" s="23">
        <v>7</v>
      </c>
      <c r="I41" s="23">
        <v>3404</v>
      </c>
      <c r="J41" s="23">
        <v>10405</v>
      </c>
      <c r="K41" s="23">
        <v>0</v>
      </c>
      <c r="L41" s="23" t="s">
        <v>222</v>
      </c>
      <c r="M41" s="23">
        <f t="shared" si="0"/>
        <v>538</v>
      </c>
      <c r="N41" s="24" t="str">
        <f t="array" ref="N41">INDEX('MATCH INFO'!O:O, INT((ROW()-2)/10)+2 + 124)</f>
        <v>260703_CR_FLC_S1</v>
      </c>
    </row>
    <row r="42" spans="1:14">
      <c r="A42" s="23" t="s">
        <v>31</v>
      </c>
      <c r="B42" s="23" t="s">
        <v>163</v>
      </c>
      <c r="C42" s="23" t="s">
        <v>104</v>
      </c>
      <c r="D42" s="23" t="s">
        <v>69</v>
      </c>
      <c r="E42" s="23" t="s">
        <v>201</v>
      </c>
      <c r="F42" s="23">
        <v>5</v>
      </c>
      <c r="G42" s="23">
        <v>9</v>
      </c>
      <c r="H42" s="23">
        <v>2</v>
      </c>
      <c r="I42" s="23">
        <v>8596</v>
      </c>
      <c r="J42" s="23">
        <v>1152</v>
      </c>
      <c r="K42" s="23">
        <v>7962</v>
      </c>
      <c r="L42" s="23" t="s">
        <v>314</v>
      </c>
      <c r="M42" s="23">
        <f t="shared" si="0"/>
        <v>752</v>
      </c>
      <c r="N42" s="24" t="str">
        <f t="array" ref="N42">INDEX('MATCH INFO'!O:O, INT((ROW()-2)/10)+2 + 124)</f>
        <v>260703_CR_FLC_S2</v>
      </c>
    </row>
    <row r="43" spans="1:14">
      <c r="A43" s="23" t="s">
        <v>31</v>
      </c>
      <c r="B43" s="23" t="s">
        <v>165</v>
      </c>
      <c r="C43" s="23" t="s">
        <v>109</v>
      </c>
      <c r="D43" s="23" t="s">
        <v>69</v>
      </c>
      <c r="E43" s="23" t="s">
        <v>201</v>
      </c>
      <c r="F43" s="23">
        <v>7</v>
      </c>
      <c r="G43" s="23">
        <v>9</v>
      </c>
      <c r="H43" s="23">
        <v>3</v>
      </c>
      <c r="I43" s="23">
        <v>5574</v>
      </c>
      <c r="J43" s="23">
        <v>11988</v>
      </c>
      <c r="K43" s="23">
        <v>768</v>
      </c>
      <c r="L43" s="23" t="s">
        <v>314</v>
      </c>
      <c r="M43" s="23">
        <f t="shared" si="0"/>
        <v>752</v>
      </c>
      <c r="N43" s="24" t="str">
        <f t="array" ref="N43">INDEX('MATCH INFO'!O:O, INT((ROW()-2)/10)+2 + 124)</f>
        <v>260703_CR_FLC_S2</v>
      </c>
    </row>
    <row r="44" spans="1:14">
      <c r="A44" s="23" t="s">
        <v>31</v>
      </c>
      <c r="B44" s="23" t="s">
        <v>166</v>
      </c>
      <c r="C44" s="23" t="s">
        <v>109</v>
      </c>
      <c r="D44" s="23" t="s">
        <v>69</v>
      </c>
      <c r="E44" s="23" t="s">
        <v>201</v>
      </c>
      <c r="F44" s="23">
        <v>4</v>
      </c>
      <c r="G44" s="23">
        <v>9</v>
      </c>
      <c r="H44" s="23">
        <v>8</v>
      </c>
      <c r="I44" s="23">
        <v>3663</v>
      </c>
      <c r="J44" s="23">
        <v>18880</v>
      </c>
      <c r="K44" s="23">
        <v>0</v>
      </c>
      <c r="L44" s="23" t="s">
        <v>314</v>
      </c>
      <c r="M44" s="23">
        <f t="shared" si="0"/>
        <v>752</v>
      </c>
      <c r="N44" s="24" t="str">
        <f t="array" ref="N44">INDEX('MATCH INFO'!O:O, INT((ROW()-2)/10)+2 + 124)</f>
        <v>260703_CR_FLC_S2</v>
      </c>
    </row>
    <row r="45" spans="1:14">
      <c r="A45" s="23" t="s">
        <v>31</v>
      </c>
      <c r="B45" s="23" t="s">
        <v>160</v>
      </c>
      <c r="C45" s="23" t="s">
        <v>101</v>
      </c>
      <c r="D45" s="23" t="s">
        <v>69</v>
      </c>
      <c r="E45" s="23" t="s">
        <v>201</v>
      </c>
      <c r="F45" s="23">
        <v>9</v>
      </c>
      <c r="G45" s="23">
        <v>10</v>
      </c>
      <c r="H45" s="23">
        <v>1</v>
      </c>
      <c r="I45" s="23">
        <v>13294</v>
      </c>
      <c r="J45" s="23">
        <v>50</v>
      </c>
      <c r="K45" s="23">
        <v>22800</v>
      </c>
      <c r="L45" s="23" t="s">
        <v>314</v>
      </c>
      <c r="M45" s="23">
        <f t="shared" si="0"/>
        <v>752</v>
      </c>
      <c r="N45" s="24" t="str">
        <f t="array" ref="N45">INDEX('MATCH INFO'!O:O, INT((ROW()-2)/10)+2 + 124)</f>
        <v>260703_CR_FLC_S2</v>
      </c>
    </row>
    <row r="46" spans="1:14">
      <c r="A46" s="23" t="s">
        <v>31</v>
      </c>
      <c r="B46" s="23" t="s">
        <v>162</v>
      </c>
      <c r="C46" s="23" t="s">
        <v>104</v>
      </c>
      <c r="D46" s="23" t="s">
        <v>69</v>
      </c>
      <c r="E46" s="23" t="s">
        <v>201</v>
      </c>
      <c r="F46" s="23">
        <v>8</v>
      </c>
      <c r="G46" s="23">
        <v>11</v>
      </c>
      <c r="H46" s="23">
        <v>0</v>
      </c>
      <c r="I46" s="23">
        <v>10748</v>
      </c>
      <c r="J46" s="23">
        <v>439</v>
      </c>
      <c r="K46" s="23">
        <v>3214</v>
      </c>
      <c r="L46" s="23" t="s">
        <v>314</v>
      </c>
      <c r="M46" s="23">
        <f t="shared" si="0"/>
        <v>752</v>
      </c>
      <c r="N46" s="24" t="str">
        <f t="array" ref="N46">INDEX('MATCH INFO'!O:O, INT((ROW()-2)/10)+2 + 124)</f>
        <v>260703_CR_FLC_S2</v>
      </c>
    </row>
    <row r="47" spans="1:14">
      <c r="A47" s="23" t="s">
        <v>32</v>
      </c>
      <c r="B47" s="23" t="s">
        <v>150</v>
      </c>
      <c r="C47" s="23" t="s">
        <v>109</v>
      </c>
      <c r="D47" s="23" t="s">
        <v>69</v>
      </c>
      <c r="E47" s="23" t="s">
        <v>201</v>
      </c>
      <c r="F47" s="23">
        <v>24</v>
      </c>
      <c r="G47" s="23">
        <v>2</v>
      </c>
      <c r="H47" s="23">
        <v>33</v>
      </c>
      <c r="I47" s="23">
        <v>7561</v>
      </c>
      <c r="J47" s="23">
        <v>16137</v>
      </c>
      <c r="K47" s="23">
        <v>2083</v>
      </c>
      <c r="L47" s="23" t="s">
        <v>314</v>
      </c>
      <c r="M47" s="23">
        <f t="shared" si="0"/>
        <v>752</v>
      </c>
      <c r="N47" s="24" t="str">
        <f t="array" ref="N47">INDEX('MATCH INFO'!O:O, INT((ROW()-2)/10)+2 + 124)</f>
        <v>260703_CR_FLC_S2</v>
      </c>
    </row>
    <row r="48" spans="1:14">
      <c r="A48" s="23" t="s">
        <v>32</v>
      </c>
      <c r="B48" s="23" t="s">
        <v>147</v>
      </c>
      <c r="C48" s="23" t="s">
        <v>104</v>
      </c>
      <c r="D48" s="23" t="s">
        <v>69</v>
      </c>
      <c r="E48" s="23" t="s">
        <v>201</v>
      </c>
      <c r="F48" s="23">
        <v>40</v>
      </c>
      <c r="G48" s="23">
        <v>1</v>
      </c>
      <c r="H48" s="23">
        <v>10</v>
      </c>
      <c r="I48" s="23">
        <v>12506</v>
      </c>
      <c r="J48" s="23">
        <v>1179</v>
      </c>
      <c r="K48" s="23">
        <v>7769</v>
      </c>
      <c r="L48" s="23" t="s">
        <v>314</v>
      </c>
      <c r="M48" s="23">
        <f t="shared" si="0"/>
        <v>752</v>
      </c>
      <c r="N48" s="24" t="str">
        <f t="array" ref="N48">INDEX('MATCH INFO'!O:O, INT((ROW()-2)/10)+2 + 124)</f>
        <v>260703_CR_FLC_S2</v>
      </c>
    </row>
    <row r="49" spans="1:14">
      <c r="A49" s="23" t="s">
        <v>32</v>
      </c>
      <c r="B49" s="23" t="s">
        <v>146</v>
      </c>
      <c r="C49" s="23" t="s">
        <v>101</v>
      </c>
      <c r="D49" s="23" t="s">
        <v>69</v>
      </c>
      <c r="E49" s="23" t="s">
        <v>201</v>
      </c>
      <c r="F49" s="23">
        <v>29</v>
      </c>
      <c r="G49" s="23">
        <v>2</v>
      </c>
      <c r="H49" s="23">
        <v>4</v>
      </c>
      <c r="I49" s="23">
        <v>18274</v>
      </c>
      <c r="J49" s="23">
        <v>0</v>
      </c>
      <c r="K49" s="23">
        <v>24962</v>
      </c>
      <c r="L49" s="23" t="s">
        <v>314</v>
      </c>
      <c r="M49" s="23">
        <f t="shared" si="0"/>
        <v>752</v>
      </c>
      <c r="N49" s="24" t="str">
        <f t="array" ref="N49">INDEX('MATCH INFO'!O:O, INT((ROW()-2)/10)+2 + 124)</f>
        <v>260703_CR_FLC_S2</v>
      </c>
    </row>
    <row r="50" spans="1:14">
      <c r="A50" s="23" t="s">
        <v>32</v>
      </c>
      <c r="B50" s="23" t="s">
        <v>149</v>
      </c>
      <c r="C50" s="23" t="s">
        <v>104</v>
      </c>
      <c r="D50" s="23" t="s">
        <v>69</v>
      </c>
      <c r="E50" s="23" t="s">
        <v>201</v>
      </c>
      <c r="F50" s="23">
        <v>28</v>
      </c>
      <c r="G50" s="23">
        <v>3</v>
      </c>
      <c r="H50" s="23">
        <v>6</v>
      </c>
      <c r="I50" s="23">
        <v>11373</v>
      </c>
      <c r="J50" s="23">
        <v>503</v>
      </c>
      <c r="K50" s="23">
        <v>4903</v>
      </c>
      <c r="L50" s="23" t="s">
        <v>314</v>
      </c>
      <c r="M50" s="23">
        <f t="shared" si="0"/>
        <v>752</v>
      </c>
      <c r="N50" s="24" t="str">
        <f t="array" ref="N50">INDEX('MATCH INFO'!O:O, INT((ROW()-2)/10)+2 + 124)</f>
        <v>260703_CR_FLC_S2</v>
      </c>
    </row>
    <row r="51" spans="1:14">
      <c r="A51" s="23" t="s">
        <v>32</v>
      </c>
      <c r="B51" s="23" t="s">
        <v>151</v>
      </c>
      <c r="C51" s="23" t="s">
        <v>109</v>
      </c>
      <c r="D51" s="23" t="s">
        <v>69</v>
      </c>
      <c r="E51" s="23" t="s">
        <v>201</v>
      </c>
      <c r="F51" s="23">
        <v>27</v>
      </c>
      <c r="G51" s="23">
        <v>3</v>
      </c>
      <c r="H51" s="23">
        <v>35</v>
      </c>
      <c r="I51" s="23">
        <v>5361</v>
      </c>
      <c r="J51" s="23">
        <v>15436</v>
      </c>
      <c r="K51" s="23">
        <v>0</v>
      </c>
      <c r="L51" s="23" t="s">
        <v>314</v>
      </c>
      <c r="M51" s="23">
        <f t="shared" si="0"/>
        <v>752</v>
      </c>
      <c r="N51" s="24" t="str">
        <f t="array" ref="N51">INDEX('MATCH INFO'!O:O, INT((ROW()-2)/10)+2 + 124)</f>
        <v>260703_CR_FLC_S2</v>
      </c>
    </row>
    <row r="52" spans="1:14">
      <c r="A52" s="23" t="s">
        <v>31</v>
      </c>
      <c r="B52" s="23" t="s">
        <v>163</v>
      </c>
      <c r="C52" s="23" t="s">
        <v>104</v>
      </c>
      <c r="D52" s="23" t="s">
        <v>44</v>
      </c>
      <c r="E52" s="23" t="s">
        <v>190</v>
      </c>
      <c r="F52" s="23">
        <v>21</v>
      </c>
      <c r="G52" s="23">
        <v>11</v>
      </c>
      <c r="H52" s="23">
        <v>5</v>
      </c>
      <c r="I52" s="23">
        <v>9354</v>
      </c>
      <c r="J52" s="23">
        <v>608</v>
      </c>
      <c r="K52" s="23">
        <v>786</v>
      </c>
      <c r="L52" s="23" t="s">
        <v>315</v>
      </c>
      <c r="M52" s="23">
        <f t="shared" si="0"/>
        <v>733</v>
      </c>
      <c r="N52" s="24" t="str">
        <f t="array" ref="N52">INDEX('MATCH INFO'!O:O, INT((ROW()-2)/10)+2 + 124)</f>
        <v>260703_CR_FLC_S3</v>
      </c>
    </row>
    <row r="53" spans="1:14">
      <c r="A53" s="23" t="s">
        <v>31</v>
      </c>
      <c r="B53" s="23" t="s">
        <v>165</v>
      </c>
      <c r="C53" s="23" t="s">
        <v>109</v>
      </c>
      <c r="D53" s="23" t="s">
        <v>44</v>
      </c>
      <c r="E53" s="23" t="s">
        <v>190</v>
      </c>
      <c r="F53" s="23">
        <v>15</v>
      </c>
      <c r="G53" s="23">
        <v>8</v>
      </c>
      <c r="H53" s="23">
        <v>12</v>
      </c>
      <c r="I53" s="23">
        <v>4676</v>
      </c>
      <c r="J53" s="23">
        <v>7737</v>
      </c>
      <c r="K53" s="23">
        <v>0</v>
      </c>
      <c r="L53" s="23" t="s">
        <v>315</v>
      </c>
      <c r="M53" s="23">
        <f t="shared" si="0"/>
        <v>733</v>
      </c>
      <c r="N53" s="24" t="str">
        <f t="array" ref="N53">INDEX('MATCH INFO'!O:O, INT((ROW()-2)/10)+2 + 124)</f>
        <v>260703_CR_FLC_S3</v>
      </c>
    </row>
    <row r="54" spans="1:14">
      <c r="A54" s="23" t="s">
        <v>31</v>
      </c>
      <c r="B54" s="23" t="s">
        <v>166</v>
      </c>
      <c r="C54" s="23" t="s">
        <v>109</v>
      </c>
      <c r="D54" s="23" t="s">
        <v>44</v>
      </c>
      <c r="E54" s="23" t="s">
        <v>190</v>
      </c>
      <c r="F54" s="23">
        <v>11</v>
      </c>
      <c r="G54" s="23">
        <v>10</v>
      </c>
      <c r="H54" s="23">
        <v>17</v>
      </c>
      <c r="I54" s="23">
        <v>5848</v>
      </c>
      <c r="J54" s="23">
        <v>11192</v>
      </c>
      <c r="K54" s="23">
        <v>0</v>
      </c>
      <c r="L54" s="23" t="s">
        <v>315</v>
      </c>
      <c r="M54" s="23">
        <f t="shared" si="0"/>
        <v>733</v>
      </c>
      <c r="N54" s="24" t="str">
        <f t="array" ref="N54">INDEX('MATCH INFO'!O:O, INT((ROW()-2)/10)+2 + 124)</f>
        <v>260703_CR_FLC_S3</v>
      </c>
    </row>
    <row r="55" spans="1:14">
      <c r="A55" s="23" t="s">
        <v>31</v>
      </c>
      <c r="B55" s="23" t="s">
        <v>161</v>
      </c>
      <c r="C55" s="23" t="s">
        <v>101</v>
      </c>
      <c r="D55" s="23" t="s">
        <v>44</v>
      </c>
      <c r="E55" s="23" t="s">
        <v>190</v>
      </c>
      <c r="F55" s="23">
        <v>15</v>
      </c>
      <c r="G55" s="23">
        <v>9</v>
      </c>
      <c r="H55" s="23">
        <v>4</v>
      </c>
      <c r="I55" s="23">
        <v>6452</v>
      </c>
      <c r="J55" s="23">
        <v>1358</v>
      </c>
      <c r="K55" s="23">
        <v>16164</v>
      </c>
      <c r="L55" s="23" t="s">
        <v>315</v>
      </c>
      <c r="M55" s="23">
        <f t="shared" si="0"/>
        <v>733</v>
      </c>
      <c r="N55" s="24" t="str">
        <f t="array" ref="N55">INDEX('MATCH INFO'!O:O, INT((ROW()-2)/10)+2 + 124)</f>
        <v>260703_CR_FLC_S3</v>
      </c>
    </row>
    <row r="56" spans="1:14">
      <c r="A56" s="23" t="s">
        <v>31</v>
      </c>
      <c r="B56" s="23" t="s">
        <v>162</v>
      </c>
      <c r="C56" s="23" t="s">
        <v>104</v>
      </c>
      <c r="D56" s="23" t="s">
        <v>44</v>
      </c>
      <c r="E56" s="23" t="s">
        <v>190</v>
      </c>
      <c r="F56" s="23">
        <v>16</v>
      </c>
      <c r="G56" s="23">
        <v>11</v>
      </c>
      <c r="H56" s="23">
        <v>3</v>
      </c>
      <c r="I56" s="23">
        <v>9971</v>
      </c>
      <c r="J56" s="23">
        <v>104</v>
      </c>
      <c r="K56" s="23">
        <v>435</v>
      </c>
      <c r="L56" s="23" t="s">
        <v>315</v>
      </c>
      <c r="M56" s="23">
        <f t="shared" si="0"/>
        <v>733</v>
      </c>
      <c r="N56" s="24" t="str">
        <f t="array" ref="N56">INDEX('MATCH INFO'!O:O, INT((ROW()-2)/10)+2 + 124)</f>
        <v>260703_CR_FLC_S3</v>
      </c>
    </row>
    <row r="57" spans="1:14">
      <c r="A57" s="23" t="s">
        <v>32</v>
      </c>
      <c r="B57" s="23" t="s">
        <v>150</v>
      </c>
      <c r="C57" s="23" t="s">
        <v>109</v>
      </c>
      <c r="D57" s="23" t="s">
        <v>44</v>
      </c>
      <c r="E57" s="23" t="s">
        <v>190</v>
      </c>
      <c r="F57" s="23">
        <v>27</v>
      </c>
      <c r="G57" s="23">
        <v>6</v>
      </c>
      <c r="H57" s="23">
        <v>11</v>
      </c>
      <c r="I57" s="23">
        <v>6127</v>
      </c>
      <c r="J57" s="23">
        <v>6884</v>
      </c>
      <c r="K57" s="23">
        <v>367</v>
      </c>
      <c r="L57" s="23" t="s">
        <v>315</v>
      </c>
      <c r="M57" s="23">
        <f t="shared" si="0"/>
        <v>733</v>
      </c>
      <c r="N57" s="24" t="str">
        <f t="array" ref="N57">INDEX('MATCH INFO'!O:O, INT((ROW()-2)/10)+2 + 124)</f>
        <v>260703_CR_FLC_S3</v>
      </c>
    </row>
    <row r="58" spans="1:14">
      <c r="A58" s="23" t="s">
        <v>32</v>
      </c>
      <c r="B58" s="23" t="s">
        <v>147</v>
      </c>
      <c r="C58" s="23" t="s">
        <v>104</v>
      </c>
      <c r="D58" s="23" t="s">
        <v>44</v>
      </c>
      <c r="E58" s="23" t="s">
        <v>190</v>
      </c>
      <c r="F58" s="23">
        <v>28</v>
      </c>
      <c r="G58" s="23">
        <v>4</v>
      </c>
      <c r="H58" s="23">
        <v>0</v>
      </c>
      <c r="I58" s="23">
        <v>8218</v>
      </c>
      <c r="J58" s="23">
        <v>139</v>
      </c>
      <c r="K58" s="23">
        <v>69</v>
      </c>
      <c r="L58" s="23" t="s">
        <v>315</v>
      </c>
      <c r="M58" s="23">
        <f t="shared" si="0"/>
        <v>733</v>
      </c>
      <c r="N58" s="24" t="str">
        <f t="array" ref="N58">INDEX('MATCH INFO'!O:O, INT((ROW()-2)/10)+2 + 124)</f>
        <v>260703_CR_FLC_S3</v>
      </c>
    </row>
    <row r="59" spans="1:14">
      <c r="A59" s="23" t="s">
        <v>32</v>
      </c>
      <c r="B59" s="23" t="s">
        <v>146</v>
      </c>
      <c r="C59" s="23" t="s">
        <v>101</v>
      </c>
      <c r="D59" s="23" t="s">
        <v>44</v>
      </c>
      <c r="E59" s="23" t="s">
        <v>190</v>
      </c>
      <c r="F59" s="23">
        <v>27</v>
      </c>
      <c r="G59" s="23">
        <v>6</v>
      </c>
      <c r="H59" s="23">
        <v>16</v>
      </c>
      <c r="I59" s="23">
        <v>9270</v>
      </c>
      <c r="J59" s="23">
        <v>1855</v>
      </c>
      <c r="K59" s="23">
        <v>8027</v>
      </c>
      <c r="L59" s="23" t="s">
        <v>315</v>
      </c>
      <c r="M59" s="23">
        <f t="shared" si="0"/>
        <v>733</v>
      </c>
      <c r="N59" s="24" t="str">
        <f t="array" ref="N59">INDEX('MATCH INFO'!O:O, INT((ROW()-2)/10)+2 + 124)</f>
        <v>260703_CR_FLC_S3</v>
      </c>
    </row>
    <row r="60" spans="1:14">
      <c r="A60" s="23" t="s">
        <v>32</v>
      </c>
      <c r="B60" s="23" t="s">
        <v>149</v>
      </c>
      <c r="C60" s="23" t="s">
        <v>104</v>
      </c>
      <c r="D60" s="23" t="s">
        <v>44</v>
      </c>
      <c r="E60" s="23" t="s">
        <v>190</v>
      </c>
      <c r="F60" s="23">
        <v>29</v>
      </c>
      <c r="G60" s="23">
        <v>7</v>
      </c>
      <c r="H60" s="23">
        <v>1</v>
      </c>
      <c r="I60" s="23">
        <v>10907</v>
      </c>
      <c r="J60" s="23">
        <v>151</v>
      </c>
      <c r="K60" s="23">
        <v>770</v>
      </c>
      <c r="L60" s="23" t="s">
        <v>315</v>
      </c>
      <c r="M60" s="23">
        <f t="shared" si="0"/>
        <v>733</v>
      </c>
      <c r="N60" s="24" t="str">
        <f t="array" ref="N60">INDEX('MATCH INFO'!O:O, INT((ROW()-2)/10)+2 + 124)</f>
        <v>260703_CR_FLC_S3</v>
      </c>
    </row>
    <row r="61" spans="1:14">
      <c r="A61" s="23" t="s">
        <v>32</v>
      </c>
      <c r="B61" s="23" t="s">
        <v>151</v>
      </c>
      <c r="C61" s="23" t="s">
        <v>109</v>
      </c>
      <c r="D61" s="23" t="s">
        <v>44</v>
      </c>
      <c r="E61" s="23" t="s">
        <v>190</v>
      </c>
      <c r="F61" s="23">
        <v>20</v>
      </c>
      <c r="G61" s="23">
        <v>5</v>
      </c>
      <c r="H61" s="23">
        <v>25</v>
      </c>
      <c r="I61" s="23">
        <v>6555</v>
      </c>
      <c r="J61" s="23">
        <v>10092</v>
      </c>
      <c r="K61" s="23">
        <v>0</v>
      </c>
      <c r="L61" s="23" t="s">
        <v>315</v>
      </c>
      <c r="M61" s="23">
        <f t="shared" si="0"/>
        <v>733</v>
      </c>
      <c r="N61" s="24" t="str">
        <f t="array" ref="N61">INDEX('MATCH INFO'!O:O, INT((ROW()-2)/10)+2 + 124)</f>
        <v>260703_CR_FLC_S3</v>
      </c>
    </row>
    <row r="62" spans="1:14">
      <c r="A62" s="23" t="s">
        <v>32</v>
      </c>
      <c r="B62" s="23" t="s">
        <v>150</v>
      </c>
      <c r="C62" s="23" t="s">
        <v>109</v>
      </c>
      <c r="D62" s="23" t="s">
        <v>37</v>
      </c>
      <c r="E62" s="23" t="s">
        <v>196</v>
      </c>
      <c r="F62" s="23">
        <v>25</v>
      </c>
      <c r="G62" s="23">
        <v>7</v>
      </c>
      <c r="H62" s="23">
        <v>23</v>
      </c>
      <c r="I62" s="23">
        <v>6340</v>
      </c>
      <c r="J62" s="23">
        <v>9113</v>
      </c>
      <c r="K62" s="23">
        <v>2202</v>
      </c>
      <c r="L62" s="23" t="s">
        <v>316</v>
      </c>
      <c r="M62" s="23">
        <f t="shared" si="0"/>
        <v>810.99999999999989</v>
      </c>
      <c r="N62" s="24" t="str">
        <f t="array" ref="N62">INDEX('MATCH INFO'!O:O, INT((ROW()-2)/10)+2 + 124)</f>
        <v>260703_CR_FLC_S4</v>
      </c>
    </row>
    <row r="63" spans="1:14">
      <c r="A63" s="23" t="s">
        <v>32</v>
      </c>
      <c r="B63" s="23" t="s">
        <v>147</v>
      </c>
      <c r="C63" s="23" t="s">
        <v>104</v>
      </c>
      <c r="D63" s="23" t="s">
        <v>37</v>
      </c>
      <c r="E63" s="23" t="s">
        <v>196</v>
      </c>
      <c r="F63" s="23">
        <v>24</v>
      </c>
      <c r="G63" s="23">
        <v>6</v>
      </c>
      <c r="H63" s="23">
        <v>5</v>
      </c>
      <c r="I63" s="23">
        <v>14030</v>
      </c>
      <c r="J63" s="23">
        <v>536</v>
      </c>
      <c r="K63" s="23">
        <v>1726</v>
      </c>
      <c r="L63" s="23" t="s">
        <v>316</v>
      </c>
      <c r="M63" s="23">
        <f t="shared" si="0"/>
        <v>810.99999999999989</v>
      </c>
      <c r="N63" s="24" t="str">
        <f t="array" ref="N63">INDEX('MATCH INFO'!O:O, INT((ROW()-2)/10)+2 + 124)</f>
        <v>260703_CR_FLC_S4</v>
      </c>
    </row>
    <row r="64" spans="1:14">
      <c r="A64" s="23" t="s">
        <v>32</v>
      </c>
      <c r="B64" s="23" t="s">
        <v>146</v>
      </c>
      <c r="C64" s="23" t="s">
        <v>101</v>
      </c>
      <c r="D64" s="23" t="s">
        <v>37</v>
      </c>
      <c r="E64" s="23" t="s">
        <v>196</v>
      </c>
      <c r="F64" s="23">
        <v>23</v>
      </c>
      <c r="G64" s="23">
        <v>6</v>
      </c>
      <c r="H64" s="23">
        <v>9</v>
      </c>
      <c r="I64" s="23">
        <v>12022</v>
      </c>
      <c r="J64" s="23">
        <v>352</v>
      </c>
      <c r="K64" s="23">
        <v>24743</v>
      </c>
      <c r="L64" s="23" t="s">
        <v>316</v>
      </c>
      <c r="M64" s="23">
        <f t="shared" si="0"/>
        <v>810.99999999999989</v>
      </c>
      <c r="N64" s="24" t="str">
        <f t="array" ref="N64">INDEX('MATCH INFO'!O:O, INT((ROW()-2)/10)+2 + 124)</f>
        <v>260703_CR_FLC_S4</v>
      </c>
    </row>
    <row r="65" spans="1:14">
      <c r="A65" s="23" t="s">
        <v>32</v>
      </c>
      <c r="B65" s="23" t="s">
        <v>149</v>
      </c>
      <c r="C65" s="23" t="s">
        <v>104</v>
      </c>
      <c r="D65" s="23" t="s">
        <v>37</v>
      </c>
      <c r="E65" s="23" t="s">
        <v>196</v>
      </c>
      <c r="F65" s="23">
        <v>23</v>
      </c>
      <c r="G65" s="23">
        <v>7</v>
      </c>
      <c r="H65" s="23">
        <v>1</v>
      </c>
      <c r="I65" s="23">
        <v>12461</v>
      </c>
      <c r="J65" s="23">
        <v>1213</v>
      </c>
      <c r="K65" s="23">
        <v>4503</v>
      </c>
      <c r="L65" s="23" t="s">
        <v>316</v>
      </c>
      <c r="M65" s="23">
        <f t="shared" si="0"/>
        <v>810.99999999999989</v>
      </c>
      <c r="N65" s="24" t="str">
        <f t="array" ref="N65">INDEX('MATCH INFO'!O:O, INT((ROW()-2)/10)+2 + 124)</f>
        <v>260703_CR_FLC_S4</v>
      </c>
    </row>
    <row r="66" spans="1:14">
      <c r="A66" s="23" t="s">
        <v>32</v>
      </c>
      <c r="B66" s="23" t="s">
        <v>151</v>
      </c>
      <c r="C66" s="23" t="s">
        <v>109</v>
      </c>
      <c r="D66" s="23" t="s">
        <v>37</v>
      </c>
      <c r="E66" s="23" t="s">
        <v>196</v>
      </c>
      <c r="F66" s="23">
        <v>15</v>
      </c>
      <c r="G66" s="23">
        <v>3</v>
      </c>
      <c r="H66" s="23">
        <v>28</v>
      </c>
      <c r="I66" s="23">
        <v>4999</v>
      </c>
      <c r="J66" s="23">
        <v>22366</v>
      </c>
      <c r="K66" s="23">
        <v>328</v>
      </c>
      <c r="L66" s="23" t="s">
        <v>316</v>
      </c>
      <c r="M66" s="23">
        <f t="shared" ref="M66:M129" si="1">L66*86400</f>
        <v>810.99999999999989</v>
      </c>
      <c r="N66" s="24" t="str">
        <f t="array" ref="N66">INDEX('MATCH INFO'!O:O, INT((ROW()-2)/10)+2 + 124)</f>
        <v>260703_CR_FLC_S4</v>
      </c>
    </row>
    <row r="67" spans="1:14">
      <c r="A67" s="23" t="s">
        <v>31</v>
      </c>
      <c r="B67" s="23" t="s">
        <v>163</v>
      </c>
      <c r="C67" s="23" t="s">
        <v>104</v>
      </c>
      <c r="D67" s="23" t="s">
        <v>37</v>
      </c>
      <c r="E67" s="23" t="s">
        <v>196</v>
      </c>
      <c r="F67" s="23">
        <v>16</v>
      </c>
      <c r="G67" s="23">
        <v>8</v>
      </c>
      <c r="H67" s="23">
        <v>6</v>
      </c>
      <c r="I67" s="23">
        <v>12364</v>
      </c>
      <c r="J67" s="23">
        <v>883</v>
      </c>
      <c r="K67" s="23">
        <v>5767</v>
      </c>
      <c r="L67" s="23" t="s">
        <v>316</v>
      </c>
      <c r="M67" s="23">
        <f t="shared" si="1"/>
        <v>810.99999999999989</v>
      </c>
      <c r="N67" s="24" t="str">
        <f t="array" ref="N67">INDEX('MATCH INFO'!O:O, INT((ROW()-2)/10)+2 + 124)</f>
        <v>260703_CR_FLC_S4</v>
      </c>
    </row>
    <row r="68" spans="1:14">
      <c r="A68" s="23" t="s">
        <v>31</v>
      </c>
      <c r="B68" s="23" t="s">
        <v>165</v>
      </c>
      <c r="C68" s="23" t="s">
        <v>109</v>
      </c>
      <c r="D68" s="23" t="s">
        <v>37</v>
      </c>
      <c r="E68" s="23" t="s">
        <v>196</v>
      </c>
      <c r="F68" s="23">
        <v>14</v>
      </c>
      <c r="G68" s="23">
        <v>7</v>
      </c>
      <c r="H68" s="23">
        <v>17</v>
      </c>
      <c r="I68" s="23">
        <v>7905</v>
      </c>
      <c r="J68" s="23">
        <v>9283</v>
      </c>
      <c r="K68" s="23">
        <v>1336</v>
      </c>
      <c r="L68" s="23" t="s">
        <v>316</v>
      </c>
      <c r="M68" s="23">
        <f t="shared" si="1"/>
        <v>810.99999999999989</v>
      </c>
      <c r="N68" s="24" t="str">
        <f t="array" ref="N68">INDEX('MATCH INFO'!O:O, INT((ROW()-2)/10)+2 + 124)</f>
        <v>260703_CR_FLC_S4</v>
      </c>
    </row>
    <row r="69" spans="1:14">
      <c r="A69" s="23" t="s">
        <v>31</v>
      </c>
      <c r="B69" s="23" t="s">
        <v>166</v>
      </c>
      <c r="C69" s="23" t="s">
        <v>109</v>
      </c>
      <c r="D69" s="23" t="s">
        <v>37</v>
      </c>
      <c r="E69" s="23" t="s">
        <v>196</v>
      </c>
      <c r="F69" s="23">
        <v>11</v>
      </c>
      <c r="G69" s="23">
        <v>8</v>
      </c>
      <c r="H69" s="23">
        <v>17</v>
      </c>
      <c r="I69" s="23">
        <v>5299</v>
      </c>
      <c r="J69" s="23">
        <v>17512</v>
      </c>
      <c r="K69" s="23">
        <v>0</v>
      </c>
      <c r="L69" s="23" t="s">
        <v>316</v>
      </c>
      <c r="M69" s="23">
        <f t="shared" si="1"/>
        <v>810.99999999999989</v>
      </c>
      <c r="N69" s="24" t="str">
        <f t="array" ref="N69">INDEX('MATCH INFO'!O:O, INT((ROW()-2)/10)+2 + 124)</f>
        <v>260703_CR_FLC_S4</v>
      </c>
    </row>
    <row r="70" spans="1:14">
      <c r="A70" s="23" t="s">
        <v>31</v>
      </c>
      <c r="B70" s="23" t="s">
        <v>160</v>
      </c>
      <c r="C70" s="23" t="s">
        <v>101</v>
      </c>
      <c r="D70" s="23" t="s">
        <v>37</v>
      </c>
      <c r="E70" s="23" t="s">
        <v>196</v>
      </c>
      <c r="F70" s="23">
        <v>20</v>
      </c>
      <c r="G70" s="23">
        <v>8</v>
      </c>
      <c r="H70" s="23">
        <v>5</v>
      </c>
      <c r="I70" s="23">
        <v>13718</v>
      </c>
      <c r="J70" s="23">
        <v>275</v>
      </c>
      <c r="K70" s="23">
        <v>20811</v>
      </c>
      <c r="L70" s="23" t="s">
        <v>316</v>
      </c>
      <c r="M70" s="23">
        <f t="shared" si="1"/>
        <v>810.99999999999989</v>
      </c>
      <c r="N70" s="24" t="str">
        <f t="array" ref="N70">INDEX('MATCH INFO'!O:O, INT((ROW()-2)/10)+2 + 124)</f>
        <v>260703_CR_FLC_S4</v>
      </c>
    </row>
    <row r="71" spans="1:14">
      <c r="A71" s="23" t="s">
        <v>31</v>
      </c>
      <c r="B71" s="23" t="s">
        <v>162</v>
      </c>
      <c r="C71" s="23" t="s">
        <v>104</v>
      </c>
      <c r="D71" s="23" t="s">
        <v>37</v>
      </c>
      <c r="E71" s="23" t="s">
        <v>196</v>
      </c>
      <c r="F71" s="23">
        <v>18</v>
      </c>
      <c r="G71" s="23">
        <v>9</v>
      </c>
      <c r="H71" s="23">
        <v>2</v>
      </c>
      <c r="I71" s="23">
        <v>11012</v>
      </c>
      <c r="J71" s="23">
        <v>372</v>
      </c>
      <c r="K71" s="23">
        <v>1016</v>
      </c>
      <c r="L71" s="23" t="s">
        <v>316</v>
      </c>
      <c r="M71" s="23">
        <f t="shared" si="1"/>
        <v>810.99999999999989</v>
      </c>
      <c r="N71" s="24" t="str">
        <f t="array" ref="N71">INDEX('MATCH INFO'!O:O, INT((ROW()-2)/10)+2 + 124)</f>
        <v>260703_CR_FLC_S4</v>
      </c>
    </row>
    <row r="72" spans="1:14">
      <c r="A72" s="23" t="s">
        <v>41</v>
      </c>
      <c r="B72" s="23" t="s">
        <v>157</v>
      </c>
      <c r="C72" s="23" t="s">
        <v>109</v>
      </c>
      <c r="D72" s="23" t="s">
        <v>87</v>
      </c>
      <c r="E72" s="23" t="s">
        <v>188</v>
      </c>
      <c r="F72" s="23">
        <v>31</v>
      </c>
      <c r="G72" s="23">
        <v>11</v>
      </c>
      <c r="H72" s="23">
        <v>26</v>
      </c>
      <c r="I72" s="23">
        <v>6525</v>
      </c>
      <c r="J72" s="23">
        <v>12518</v>
      </c>
      <c r="K72" s="23">
        <v>0</v>
      </c>
      <c r="L72" s="23" t="s">
        <v>317</v>
      </c>
      <c r="M72" s="23">
        <f t="shared" si="1"/>
        <v>758.99999999999989</v>
      </c>
      <c r="N72" s="24" t="str">
        <f t="array" ref="N72">INDEX('MATCH INFO'!O:O, INT((ROW()-2)/10)+2 + 124)</f>
        <v>260703_ZETA_T1_S1</v>
      </c>
    </row>
    <row r="73" spans="1:14">
      <c r="A73" s="23" t="s">
        <v>41</v>
      </c>
      <c r="B73" s="23" t="s">
        <v>152</v>
      </c>
      <c r="C73" s="23" t="s">
        <v>101</v>
      </c>
      <c r="D73" s="23" t="s">
        <v>87</v>
      </c>
      <c r="E73" s="23" t="s">
        <v>188</v>
      </c>
      <c r="F73" s="23">
        <v>33</v>
      </c>
      <c r="G73" s="23">
        <v>7</v>
      </c>
      <c r="H73" s="23">
        <v>17</v>
      </c>
      <c r="I73" s="23">
        <v>20322</v>
      </c>
      <c r="J73" s="23">
        <v>5222</v>
      </c>
      <c r="K73" s="23">
        <v>8509</v>
      </c>
      <c r="L73" s="23" t="s">
        <v>317</v>
      </c>
      <c r="M73" s="23">
        <f t="shared" si="1"/>
        <v>758.99999999999989</v>
      </c>
      <c r="N73" s="24" t="str">
        <f t="array" ref="N73">INDEX('MATCH INFO'!O:O, INT((ROW()-2)/10)+2 + 124)</f>
        <v>260703_ZETA_T1_S1</v>
      </c>
    </row>
    <row r="74" spans="1:14">
      <c r="A74" s="23" t="s">
        <v>41</v>
      </c>
      <c r="B74" s="23" t="s">
        <v>155</v>
      </c>
      <c r="C74" s="23" t="s">
        <v>104</v>
      </c>
      <c r="D74" s="23" t="s">
        <v>87</v>
      </c>
      <c r="E74" s="23" t="s">
        <v>188</v>
      </c>
      <c r="F74" s="23">
        <v>23</v>
      </c>
      <c r="G74" s="23">
        <v>12</v>
      </c>
      <c r="H74" s="23">
        <v>5</v>
      </c>
      <c r="I74" s="23">
        <v>15008</v>
      </c>
      <c r="J74" s="23">
        <v>0</v>
      </c>
      <c r="K74" s="23">
        <v>701</v>
      </c>
      <c r="L74" s="23" t="s">
        <v>317</v>
      </c>
      <c r="M74" s="23">
        <f t="shared" si="1"/>
        <v>758.99999999999989</v>
      </c>
      <c r="N74" s="24" t="str">
        <f t="array" ref="N74">INDEX('MATCH INFO'!O:O, INT((ROW()-2)/10)+2 + 124)</f>
        <v>260703_ZETA_T1_S1</v>
      </c>
    </row>
    <row r="75" spans="1:14">
      <c r="A75" s="23" t="s">
        <v>41</v>
      </c>
      <c r="B75" s="23" t="s">
        <v>158</v>
      </c>
      <c r="C75" s="23" t="s">
        <v>109</v>
      </c>
      <c r="D75" s="23" t="s">
        <v>87</v>
      </c>
      <c r="E75" s="23" t="s">
        <v>188</v>
      </c>
      <c r="F75" s="23">
        <v>15</v>
      </c>
      <c r="G75" s="23">
        <v>8</v>
      </c>
      <c r="H75" s="23">
        <v>38</v>
      </c>
      <c r="I75" s="23">
        <v>7174</v>
      </c>
      <c r="J75" s="23">
        <v>16969</v>
      </c>
      <c r="K75" s="23">
        <v>0</v>
      </c>
      <c r="L75" s="23" t="s">
        <v>317</v>
      </c>
      <c r="M75" s="23">
        <f t="shared" si="1"/>
        <v>758.99999999999989</v>
      </c>
      <c r="N75" s="24" t="str">
        <f t="array" ref="N75">INDEX('MATCH INFO'!O:O, INT((ROW()-2)/10)+2 + 124)</f>
        <v>260703_ZETA_T1_S1</v>
      </c>
    </row>
    <row r="76" spans="1:14">
      <c r="A76" s="23" t="s">
        <v>41</v>
      </c>
      <c r="B76" s="23" t="s">
        <v>154</v>
      </c>
      <c r="C76" s="23" t="s">
        <v>104</v>
      </c>
      <c r="D76" s="23" t="s">
        <v>87</v>
      </c>
      <c r="E76" s="23" t="s">
        <v>188</v>
      </c>
      <c r="F76" s="23">
        <v>30</v>
      </c>
      <c r="G76" s="23">
        <v>9</v>
      </c>
      <c r="H76" s="23">
        <v>0</v>
      </c>
      <c r="I76" s="23">
        <v>15141</v>
      </c>
      <c r="J76" s="23">
        <v>2636</v>
      </c>
      <c r="K76" s="23">
        <v>0</v>
      </c>
      <c r="L76" s="23" t="s">
        <v>317</v>
      </c>
      <c r="M76" s="23">
        <f t="shared" si="1"/>
        <v>758.99999999999989</v>
      </c>
      <c r="N76" s="24" t="str">
        <f t="array" ref="N76">INDEX('MATCH INFO'!O:O, INT((ROW()-2)/10)+2 + 124)</f>
        <v>260703_ZETA_T1_S1</v>
      </c>
    </row>
    <row r="77" spans="1:14">
      <c r="A77" s="23" t="s">
        <v>42</v>
      </c>
      <c r="B77" s="23" t="s">
        <v>139</v>
      </c>
      <c r="C77" s="23" t="s">
        <v>101</v>
      </c>
      <c r="D77" s="23" t="s">
        <v>87</v>
      </c>
      <c r="E77" s="23" t="s">
        <v>188</v>
      </c>
      <c r="F77" s="23">
        <v>33</v>
      </c>
      <c r="G77" s="23">
        <v>10</v>
      </c>
      <c r="H77" s="23">
        <v>26</v>
      </c>
      <c r="I77" s="23">
        <v>19278</v>
      </c>
      <c r="J77" s="23">
        <v>5035</v>
      </c>
      <c r="K77" s="23">
        <v>9145</v>
      </c>
      <c r="L77" s="23" t="s">
        <v>317</v>
      </c>
      <c r="M77" s="23">
        <f t="shared" si="1"/>
        <v>758.99999999999989</v>
      </c>
      <c r="N77" s="24" t="str">
        <f t="array" ref="N77">INDEX('MATCH INFO'!O:O, INT((ROW()-2)/10)+2 + 124)</f>
        <v>260703_ZETA_T1_S1</v>
      </c>
    </row>
    <row r="78" spans="1:14">
      <c r="A78" s="23" t="s">
        <v>42</v>
      </c>
      <c r="B78" s="23" t="s">
        <v>141</v>
      </c>
      <c r="C78" s="23" t="s">
        <v>104</v>
      </c>
      <c r="D78" s="23" t="s">
        <v>87</v>
      </c>
      <c r="E78" s="23" t="s">
        <v>188</v>
      </c>
      <c r="F78" s="23">
        <v>33</v>
      </c>
      <c r="G78" s="23">
        <v>10</v>
      </c>
      <c r="H78" s="23">
        <v>0</v>
      </c>
      <c r="I78" s="23">
        <v>15469</v>
      </c>
      <c r="J78" s="23">
        <v>2597</v>
      </c>
      <c r="K78" s="23">
        <v>0</v>
      </c>
      <c r="L78" s="23" t="s">
        <v>317</v>
      </c>
      <c r="M78" s="23">
        <f t="shared" si="1"/>
        <v>758.99999999999989</v>
      </c>
      <c r="N78" s="24" t="str">
        <f t="array" ref="N78">INDEX('MATCH INFO'!O:O, INT((ROW()-2)/10)+2 + 124)</f>
        <v>260703_ZETA_T1_S1</v>
      </c>
    </row>
    <row r="79" spans="1:14">
      <c r="A79" s="23" t="s">
        <v>42</v>
      </c>
      <c r="B79" s="23" t="s">
        <v>140</v>
      </c>
      <c r="C79" s="23" t="s">
        <v>104</v>
      </c>
      <c r="D79" s="23" t="s">
        <v>87</v>
      </c>
      <c r="E79" s="23" t="s">
        <v>188</v>
      </c>
      <c r="F79" s="23">
        <v>25</v>
      </c>
      <c r="G79" s="23">
        <v>10</v>
      </c>
      <c r="H79" s="23">
        <v>7</v>
      </c>
      <c r="I79" s="23">
        <v>14749</v>
      </c>
      <c r="J79" s="23">
        <v>90</v>
      </c>
      <c r="K79" s="23">
        <v>955</v>
      </c>
      <c r="L79" s="23" t="s">
        <v>317</v>
      </c>
      <c r="M79" s="23">
        <f t="shared" si="1"/>
        <v>758.99999999999989</v>
      </c>
      <c r="N79" s="24" t="str">
        <f t="array" ref="N79">INDEX('MATCH INFO'!O:O, INT((ROW()-2)/10)+2 + 124)</f>
        <v>260703_ZETA_T1_S1</v>
      </c>
    </row>
    <row r="80" spans="1:14">
      <c r="A80" s="23" t="s">
        <v>42</v>
      </c>
      <c r="B80" s="23" t="s">
        <v>143</v>
      </c>
      <c r="C80" s="23" t="s">
        <v>109</v>
      </c>
      <c r="D80" s="23" t="s">
        <v>87</v>
      </c>
      <c r="E80" s="23" t="s">
        <v>188</v>
      </c>
      <c r="F80" s="23">
        <v>15</v>
      </c>
      <c r="G80" s="23">
        <v>10</v>
      </c>
      <c r="H80" s="23">
        <v>33</v>
      </c>
      <c r="I80" s="23">
        <v>4964</v>
      </c>
      <c r="J80" s="23">
        <v>15982</v>
      </c>
      <c r="K80" s="23">
        <v>0</v>
      </c>
      <c r="L80" s="23" t="s">
        <v>317</v>
      </c>
      <c r="M80" s="23">
        <f t="shared" si="1"/>
        <v>758.99999999999989</v>
      </c>
      <c r="N80" s="24" t="str">
        <f t="array" ref="N80">INDEX('MATCH INFO'!O:O, INT((ROW()-2)/10)+2 + 124)</f>
        <v>260703_ZETA_T1_S1</v>
      </c>
    </row>
    <row r="81" spans="1:14">
      <c r="A81" s="23" t="s">
        <v>42</v>
      </c>
      <c r="B81" s="23" t="s">
        <v>142</v>
      </c>
      <c r="C81" s="23" t="s">
        <v>109</v>
      </c>
      <c r="D81" s="23" t="s">
        <v>87</v>
      </c>
      <c r="E81" s="23" t="s">
        <v>188</v>
      </c>
      <c r="F81" s="23">
        <v>28</v>
      </c>
      <c r="G81" s="23">
        <v>9</v>
      </c>
      <c r="H81" s="23">
        <v>24</v>
      </c>
      <c r="I81" s="23">
        <v>7986</v>
      </c>
      <c r="J81" s="23">
        <v>12261</v>
      </c>
      <c r="K81" s="23">
        <v>0</v>
      </c>
      <c r="L81" s="23" t="s">
        <v>317</v>
      </c>
      <c r="M81" s="23">
        <f t="shared" si="1"/>
        <v>758.99999999999989</v>
      </c>
      <c r="N81" s="24" t="str">
        <f t="array" ref="N81">INDEX('MATCH INFO'!O:O, INT((ROW()-2)/10)+2 + 124)</f>
        <v>260703_ZETA_T1_S1</v>
      </c>
    </row>
    <row r="82" spans="1:14">
      <c r="A82" s="23" t="s">
        <v>41</v>
      </c>
      <c r="B82" s="23" t="s">
        <v>157</v>
      </c>
      <c r="C82" s="23" t="s">
        <v>109</v>
      </c>
      <c r="D82" s="23" t="s">
        <v>44</v>
      </c>
      <c r="E82" s="23" t="s">
        <v>190</v>
      </c>
      <c r="F82" s="23">
        <v>28</v>
      </c>
      <c r="G82" s="23">
        <v>13</v>
      </c>
      <c r="H82" s="23">
        <v>35</v>
      </c>
      <c r="I82" s="23">
        <v>6343</v>
      </c>
      <c r="J82" s="23">
        <v>9946</v>
      </c>
      <c r="K82" s="23">
        <v>3889</v>
      </c>
      <c r="L82" s="23" t="s">
        <v>318</v>
      </c>
      <c r="M82" s="23">
        <f t="shared" si="1"/>
        <v>858</v>
      </c>
      <c r="N82" s="24" t="str">
        <f t="array" ref="N82">INDEX('MATCH INFO'!O:O, INT((ROW()-2)/10)+2 + 124)</f>
        <v>260703_ZETA_T1_S2</v>
      </c>
    </row>
    <row r="83" spans="1:14">
      <c r="A83" s="23" t="s">
        <v>41</v>
      </c>
      <c r="B83" s="23" t="s">
        <v>152</v>
      </c>
      <c r="C83" s="23" t="s">
        <v>101</v>
      </c>
      <c r="D83" s="23" t="s">
        <v>44</v>
      </c>
      <c r="E83" s="23" t="s">
        <v>190</v>
      </c>
      <c r="F83" s="23">
        <v>43</v>
      </c>
      <c r="G83" s="23">
        <v>12</v>
      </c>
      <c r="H83" s="23">
        <v>32</v>
      </c>
      <c r="I83" s="23">
        <v>20698</v>
      </c>
      <c r="J83" s="23">
        <v>5900</v>
      </c>
      <c r="K83" s="23">
        <v>11163</v>
      </c>
      <c r="L83" s="23" t="s">
        <v>318</v>
      </c>
      <c r="M83" s="23">
        <f t="shared" si="1"/>
        <v>858</v>
      </c>
      <c r="N83" s="24" t="str">
        <f t="array" ref="N83">INDEX('MATCH INFO'!O:O, INT((ROW()-2)/10)+2 + 124)</f>
        <v>260703_ZETA_T1_S2</v>
      </c>
    </row>
    <row r="84" spans="1:14">
      <c r="A84" s="23" t="s">
        <v>41</v>
      </c>
      <c r="B84" s="23" t="s">
        <v>155</v>
      </c>
      <c r="C84" s="23" t="s">
        <v>104</v>
      </c>
      <c r="D84" s="23" t="s">
        <v>44</v>
      </c>
      <c r="E84" s="23" t="s">
        <v>190</v>
      </c>
      <c r="F84" s="23">
        <v>43</v>
      </c>
      <c r="G84" s="23">
        <v>12</v>
      </c>
      <c r="H84" s="23">
        <v>5</v>
      </c>
      <c r="I84" s="23">
        <v>16689</v>
      </c>
      <c r="J84" s="23">
        <v>35</v>
      </c>
      <c r="K84" s="23">
        <v>565</v>
      </c>
      <c r="L84" s="23" t="s">
        <v>318</v>
      </c>
      <c r="M84" s="23">
        <f t="shared" si="1"/>
        <v>858</v>
      </c>
      <c r="N84" s="24" t="str">
        <f t="array" ref="N84">INDEX('MATCH INFO'!O:O, INT((ROW()-2)/10)+2 + 124)</f>
        <v>260703_ZETA_T1_S2</v>
      </c>
    </row>
    <row r="85" spans="1:14">
      <c r="A85" s="23" t="s">
        <v>41</v>
      </c>
      <c r="B85" s="23" t="s">
        <v>158</v>
      </c>
      <c r="C85" s="23" t="s">
        <v>109</v>
      </c>
      <c r="D85" s="23" t="s">
        <v>44</v>
      </c>
      <c r="E85" s="23" t="s">
        <v>190</v>
      </c>
      <c r="F85" s="23">
        <v>27</v>
      </c>
      <c r="G85" s="23">
        <v>9</v>
      </c>
      <c r="H85" s="23">
        <v>43</v>
      </c>
      <c r="I85" s="23">
        <v>8746</v>
      </c>
      <c r="J85" s="23">
        <v>19386</v>
      </c>
      <c r="K85" s="23">
        <v>0</v>
      </c>
      <c r="L85" s="23" t="s">
        <v>318</v>
      </c>
      <c r="M85" s="23">
        <f t="shared" si="1"/>
        <v>858</v>
      </c>
      <c r="N85" s="24" t="str">
        <f t="array" ref="N85">INDEX('MATCH INFO'!O:O, INT((ROW()-2)/10)+2 + 124)</f>
        <v>260703_ZETA_T1_S2</v>
      </c>
    </row>
    <row r="86" spans="1:14">
      <c r="A86" s="23" t="s">
        <v>41</v>
      </c>
      <c r="B86" s="23" t="s">
        <v>154</v>
      </c>
      <c r="C86" s="23" t="s">
        <v>104</v>
      </c>
      <c r="D86" s="23" t="s">
        <v>44</v>
      </c>
      <c r="E86" s="23" t="s">
        <v>190</v>
      </c>
      <c r="F86" s="23">
        <v>42</v>
      </c>
      <c r="G86" s="23">
        <v>12</v>
      </c>
      <c r="H86" s="23">
        <v>0</v>
      </c>
      <c r="I86" s="23">
        <v>15618</v>
      </c>
      <c r="J86" s="23">
        <v>2469</v>
      </c>
      <c r="K86" s="23">
        <v>0</v>
      </c>
      <c r="L86" s="23" t="s">
        <v>318</v>
      </c>
      <c r="M86" s="23">
        <f t="shared" si="1"/>
        <v>858</v>
      </c>
      <c r="N86" s="24" t="str">
        <f t="array" ref="N86">INDEX('MATCH INFO'!O:O, INT((ROW()-2)/10)+2 + 124)</f>
        <v>260703_ZETA_T1_S2</v>
      </c>
    </row>
    <row r="87" spans="1:14">
      <c r="A87" s="23" t="s">
        <v>42</v>
      </c>
      <c r="B87" s="23" t="s">
        <v>139</v>
      </c>
      <c r="C87" s="23" t="s">
        <v>101</v>
      </c>
      <c r="D87" s="23" t="s">
        <v>44</v>
      </c>
      <c r="E87" s="23" t="s">
        <v>190</v>
      </c>
      <c r="F87" s="23">
        <v>44</v>
      </c>
      <c r="G87" s="23">
        <v>12</v>
      </c>
      <c r="H87" s="23">
        <v>31</v>
      </c>
      <c r="I87" s="23">
        <v>19575</v>
      </c>
      <c r="J87" s="23">
        <v>5463</v>
      </c>
      <c r="K87" s="23">
        <v>12012</v>
      </c>
      <c r="L87" s="23" t="s">
        <v>318</v>
      </c>
      <c r="M87" s="23">
        <f t="shared" si="1"/>
        <v>858</v>
      </c>
      <c r="N87" s="24" t="str">
        <f t="array" ref="N87">INDEX('MATCH INFO'!O:O, INT((ROW()-2)/10)+2 + 124)</f>
        <v>260703_ZETA_T1_S2</v>
      </c>
    </row>
    <row r="88" spans="1:14">
      <c r="A88" s="23" t="s">
        <v>42</v>
      </c>
      <c r="B88" s="23" t="s">
        <v>141</v>
      </c>
      <c r="C88" s="23" t="s">
        <v>104</v>
      </c>
      <c r="D88" s="23" t="s">
        <v>44</v>
      </c>
      <c r="E88" s="23" t="s">
        <v>190</v>
      </c>
      <c r="F88" s="23">
        <v>42</v>
      </c>
      <c r="G88" s="23">
        <v>11</v>
      </c>
      <c r="H88" s="23">
        <v>0</v>
      </c>
      <c r="I88" s="23">
        <v>17586</v>
      </c>
      <c r="J88" s="23">
        <v>2491</v>
      </c>
      <c r="K88" s="23">
        <v>0</v>
      </c>
      <c r="L88" s="23" t="s">
        <v>318</v>
      </c>
      <c r="M88" s="23">
        <f t="shared" si="1"/>
        <v>858</v>
      </c>
      <c r="N88" s="24" t="str">
        <f t="array" ref="N88">INDEX('MATCH INFO'!O:O, INT((ROW()-2)/10)+2 + 124)</f>
        <v>260703_ZETA_T1_S2</v>
      </c>
    </row>
    <row r="89" spans="1:14">
      <c r="A89" s="23" t="s">
        <v>42</v>
      </c>
      <c r="B89" s="23" t="s">
        <v>140</v>
      </c>
      <c r="C89" s="23" t="s">
        <v>104</v>
      </c>
      <c r="D89" s="23" t="s">
        <v>44</v>
      </c>
      <c r="E89" s="23" t="s">
        <v>190</v>
      </c>
      <c r="F89" s="23">
        <v>37</v>
      </c>
      <c r="G89" s="23">
        <v>13</v>
      </c>
      <c r="H89" s="23">
        <v>3</v>
      </c>
      <c r="I89" s="23">
        <v>17049</v>
      </c>
      <c r="J89" s="23">
        <v>75</v>
      </c>
      <c r="K89" s="23">
        <v>981</v>
      </c>
      <c r="L89" s="23" t="s">
        <v>318</v>
      </c>
      <c r="M89" s="23">
        <f t="shared" si="1"/>
        <v>858</v>
      </c>
      <c r="N89" s="24" t="str">
        <f t="array" ref="N89">INDEX('MATCH INFO'!O:O, INT((ROW()-2)/10)+2 + 124)</f>
        <v>260703_ZETA_T1_S2</v>
      </c>
    </row>
    <row r="90" spans="1:14">
      <c r="A90" s="23" t="s">
        <v>42</v>
      </c>
      <c r="B90" s="23" t="s">
        <v>143</v>
      </c>
      <c r="C90" s="23" t="s">
        <v>109</v>
      </c>
      <c r="D90" s="23" t="s">
        <v>44</v>
      </c>
      <c r="E90" s="23" t="s">
        <v>190</v>
      </c>
      <c r="F90" s="23">
        <v>27</v>
      </c>
      <c r="G90" s="23">
        <v>15</v>
      </c>
      <c r="H90" s="23">
        <v>46</v>
      </c>
      <c r="I90" s="23">
        <v>7467</v>
      </c>
      <c r="J90" s="23">
        <v>15115</v>
      </c>
      <c r="K90" s="23">
        <v>0</v>
      </c>
      <c r="L90" s="23" t="s">
        <v>318</v>
      </c>
      <c r="M90" s="23">
        <f t="shared" si="1"/>
        <v>858</v>
      </c>
      <c r="N90" s="24" t="str">
        <f t="array" ref="N90">INDEX('MATCH INFO'!O:O, INT((ROW()-2)/10)+2 + 124)</f>
        <v>260703_ZETA_T1_S2</v>
      </c>
    </row>
    <row r="91" spans="1:14">
      <c r="A91" s="23" t="s">
        <v>42</v>
      </c>
      <c r="B91" s="23" t="s">
        <v>142</v>
      </c>
      <c r="C91" s="23" t="s">
        <v>109</v>
      </c>
      <c r="D91" s="23" t="s">
        <v>44</v>
      </c>
      <c r="E91" s="23" t="s">
        <v>190</v>
      </c>
      <c r="F91" s="23">
        <v>35</v>
      </c>
      <c r="G91" s="23">
        <v>12</v>
      </c>
      <c r="H91" s="23">
        <v>38</v>
      </c>
      <c r="I91" s="23">
        <v>9309</v>
      </c>
      <c r="J91" s="23">
        <v>11807</v>
      </c>
      <c r="K91" s="23">
        <v>3211</v>
      </c>
      <c r="L91" s="23" t="s">
        <v>318</v>
      </c>
      <c r="M91" s="23">
        <f t="shared" si="1"/>
        <v>858</v>
      </c>
      <c r="N91" s="24" t="str">
        <f t="array" ref="N91">INDEX('MATCH INFO'!O:O, INT((ROW()-2)/10)+2 + 124)</f>
        <v>260703_ZETA_T1_S2</v>
      </c>
    </row>
    <row r="92" spans="1:14">
      <c r="A92" s="23" t="s">
        <v>41</v>
      </c>
      <c r="B92" s="23" t="s">
        <v>157</v>
      </c>
      <c r="C92" s="23" t="s">
        <v>109</v>
      </c>
      <c r="D92" s="23" t="s">
        <v>69</v>
      </c>
      <c r="E92" s="23" t="s">
        <v>201</v>
      </c>
      <c r="F92" s="23">
        <v>28</v>
      </c>
      <c r="G92" s="23">
        <v>7</v>
      </c>
      <c r="H92" s="23">
        <v>41</v>
      </c>
      <c r="I92" s="23">
        <v>8677</v>
      </c>
      <c r="J92" s="23">
        <v>16568</v>
      </c>
      <c r="K92" s="23">
        <v>3690</v>
      </c>
      <c r="L92" s="23" t="s">
        <v>319</v>
      </c>
      <c r="M92" s="23">
        <f t="shared" si="1"/>
        <v>860</v>
      </c>
      <c r="N92" s="24" t="str">
        <f t="array" ref="N92">INDEX('MATCH INFO'!O:O, INT((ROW()-2)/10)+2 + 124)</f>
        <v>260703_ZETA_T1_S3</v>
      </c>
    </row>
    <row r="93" spans="1:14">
      <c r="A93" s="23" t="s">
        <v>41</v>
      </c>
      <c r="B93" s="23" t="s">
        <v>153</v>
      </c>
      <c r="C93" s="23" t="s">
        <v>101</v>
      </c>
      <c r="D93" s="23" t="s">
        <v>69</v>
      </c>
      <c r="E93" s="23" t="s">
        <v>201</v>
      </c>
      <c r="F93" s="23">
        <v>36</v>
      </c>
      <c r="G93" s="23">
        <v>6</v>
      </c>
      <c r="H93" s="23">
        <v>4</v>
      </c>
      <c r="I93" s="23">
        <v>16019</v>
      </c>
      <c r="J93" s="23">
        <v>0</v>
      </c>
      <c r="K93" s="23">
        <v>25934</v>
      </c>
      <c r="L93" s="23" t="s">
        <v>319</v>
      </c>
      <c r="M93" s="23">
        <f t="shared" si="1"/>
        <v>860</v>
      </c>
      <c r="N93" s="24" t="str">
        <f t="array" ref="N93">INDEX('MATCH INFO'!O:O, INT((ROW()-2)/10)+2 + 124)</f>
        <v>260703_ZETA_T1_S3</v>
      </c>
    </row>
    <row r="94" spans="1:14">
      <c r="A94" s="23" t="s">
        <v>41</v>
      </c>
      <c r="B94" s="23" t="s">
        <v>155</v>
      </c>
      <c r="C94" s="23" t="s">
        <v>104</v>
      </c>
      <c r="D94" s="23" t="s">
        <v>69</v>
      </c>
      <c r="E94" s="23" t="s">
        <v>201</v>
      </c>
      <c r="F94" s="23">
        <v>46</v>
      </c>
      <c r="G94" s="23">
        <v>9</v>
      </c>
      <c r="H94" s="23">
        <v>11</v>
      </c>
      <c r="I94" s="23">
        <v>13363</v>
      </c>
      <c r="J94" s="23">
        <v>984</v>
      </c>
      <c r="K94" s="23">
        <v>6350</v>
      </c>
      <c r="L94" s="23" t="s">
        <v>319</v>
      </c>
      <c r="M94" s="23">
        <f t="shared" si="1"/>
        <v>860</v>
      </c>
      <c r="N94" s="24" t="str">
        <f t="array" ref="N94">INDEX('MATCH INFO'!O:O, INT((ROW()-2)/10)+2 + 124)</f>
        <v>260703_ZETA_T1_S3</v>
      </c>
    </row>
    <row r="95" spans="1:14">
      <c r="A95" s="23" t="s">
        <v>41</v>
      </c>
      <c r="B95" s="23" t="s">
        <v>158</v>
      </c>
      <c r="C95" s="23" t="s">
        <v>109</v>
      </c>
      <c r="D95" s="23" t="s">
        <v>69</v>
      </c>
      <c r="E95" s="23" t="s">
        <v>201</v>
      </c>
      <c r="F95" s="23">
        <v>33</v>
      </c>
      <c r="G95" s="23">
        <v>5</v>
      </c>
      <c r="H95" s="23">
        <v>27</v>
      </c>
      <c r="I95" s="23">
        <v>6971</v>
      </c>
      <c r="J95" s="23">
        <v>15336</v>
      </c>
      <c r="K95" s="23">
        <v>0</v>
      </c>
      <c r="L95" s="23" t="s">
        <v>319</v>
      </c>
      <c r="M95" s="23">
        <f t="shared" si="1"/>
        <v>860</v>
      </c>
      <c r="N95" s="24" t="str">
        <f t="array" ref="N95">INDEX('MATCH INFO'!O:O, INT((ROW()-2)/10)+2 + 124)</f>
        <v>260703_ZETA_T1_S3</v>
      </c>
    </row>
    <row r="96" spans="1:14">
      <c r="A96" s="23" t="s">
        <v>41</v>
      </c>
      <c r="B96" s="23" t="s">
        <v>154</v>
      </c>
      <c r="C96" s="23" t="s">
        <v>104</v>
      </c>
      <c r="D96" s="23" t="s">
        <v>69</v>
      </c>
      <c r="E96" s="23" t="s">
        <v>201</v>
      </c>
      <c r="F96" s="23">
        <v>38</v>
      </c>
      <c r="G96" s="23">
        <v>7</v>
      </c>
      <c r="H96" s="23">
        <v>13</v>
      </c>
      <c r="I96" s="23">
        <v>12350</v>
      </c>
      <c r="J96" s="23">
        <v>2322</v>
      </c>
      <c r="K96" s="23">
        <v>7323</v>
      </c>
      <c r="L96" s="23" t="s">
        <v>319</v>
      </c>
      <c r="M96" s="23">
        <f t="shared" si="1"/>
        <v>860</v>
      </c>
      <c r="N96" s="24" t="str">
        <f t="array" ref="N96">INDEX('MATCH INFO'!O:O, INT((ROW()-2)/10)+2 + 124)</f>
        <v>260703_ZETA_T1_S3</v>
      </c>
    </row>
    <row r="97" spans="1:14">
      <c r="A97" s="23" t="s">
        <v>42</v>
      </c>
      <c r="B97" s="23" t="s">
        <v>139</v>
      </c>
      <c r="C97" s="23" t="s">
        <v>101</v>
      </c>
      <c r="D97" s="23" t="s">
        <v>69</v>
      </c>
      <c r="E97" s="23" t="s">
        <v>201</v>
      </c>
      <c r="F97" s="23">
        <v>21</v>
      </c>
      <c r="G97" s="23">
        <v>14</v>
      </c>
      <c r="H97" s="23">
        <v>7</v>
      </c>
      <c r="I97" s="23">
        <v>14808</v>
      </c>
      <c r="J97" s="23">
        <v>0</v>
      </c>
      <c r="K97" s="23">
        <v>25631</v>
      </c>
      <c r="L97" s="23" t="s">
        <v>319</v>
      </c>
      <c r="M97" s="23">
        <f t="shared" si="1"/>
        <v>860</v>
      </c>
      <c r="N97" s="24" t="str">
        <f t="array" ref="N97">INDEX('MATCH INFO'!O:O, INT((ROW()-2)/10)+2 + 124)</f>
        <v>260703_ZETA_T1_S3</v>
      </c>
    </row>
    <row r="98" spans="1:14">
      <c r="A98" s="23" t="s">
        <v>42</v>
      </c>
      <c r="B98" s="23" t="s">
        <v>141</v>
      </c>
      <c r="C98" s="23" t="s">
        <v>104</v>
      </c>
      <c r="D98" s="23" t="s">
        <v>69</v>
      </c>
      <c r="E98" s="23" t="s">
        <v>201</v>
      </c>
      <c r="F98" s="23">
        <v>18</v>
      </c>
      <c r="G98" s="23">
        <v>12</v>
      </c>
      <c r="H98" s="23">
        <v>7</v>
      </c>
      <c r="I98" s="23">
        <v>11139</v>
      </c>
      <c r="J98" s="23">
        <v>1020</v>
      </c>
      <c r="K98" s="23">
        <v>5449</v>
      </c>
      <c r="L98" s="23" t="s">
        <v>319</v>
      </c>
      <c r="M98" s="23">
        <f t="shared" si="1"/>
        <v>860</v>
      </c>
      <c r="N98" s="24" t="str">
        <f t="array" ref="N98">INDEX('MATCH INFO'!O:O, INT((ROW()-2)/10)+2 + 124)</f>
        <v>260703_ZETA_T1_S3</v>
      </c>
    </row>
    <row r="99" spans="1:14">
      <c r="A99" s="23" t="s">
        <v>42</v>
      </c>
      <c r="B99" s="23" t="s">
        <v>140</v>
      </c>
      <c r="C99" s="23" t="s">
        <v>104</v>
      </c>
      <c r="D99" s="23" t="s">
        <v>69</v>
      </c>
      <c r="E99" s="23" t="s">
        <v>201</v>
      </c>
      <c r="F99" s="23">
        <v>25</v>
      </c>
      <c r="G99" s="23">
        <v>12</v>
      </c>
      <c r="H99" s="23">
        <v>11</v>
      </c>
      <c r="I99" s="23">
        <v>12019</v>
      </c>
      <c r="J99" s="23">
        <v>2016</v>
      </c>
      <c r="K99" s="23">
        <v>7339</v>
      </c>
      <c r="L99" s="23" t="s">
        <v>319</v>
      </c>
      <c r="M99" s="23">
        <f t="shared" si="1"/>
        <v>860</v>
      </c>
      <c r="N99" s="24" t="str">
        <f t="array" ref="N99">INDEX('MATCH INFO'!O:O, INT((ROW()-2)/10)+2 + 124)</f>
        <v>260703_ZETA_T1_S3</v>
      </c>
    </row>
    <row r="100" spans="1:14">
      <c r="A100" s="23" t="s">
        <v>42</v>
      </c>
      <c r="B100" s="23" t="s">
        <v>143</v>
      </c>
      <c r="C100" s="23" t="s">
        <v>109</v>
      </c>
      <c r="D100" s="23" t="s">
        <v>69</v>
      </c>
      <c r="E100" s="23" t="s">
        <v>201</v>
      </c>
      <c r="F100" s="23">
        <v>19</v>
      </c>
      <c r="G100" s="23">
        <v>12</v>
      </c>
      <c r="H100" s="23">
        <v>19</v>
      </c>
      <c r="I100" s="23">
        <v>7783</v>
      </c>
      <c r="J100" s="23">
        <v>14287</v>
      </c>
      <c r="K100" s="23">
        <v>3314</v>
      </c>
      <c r="L100" s="23" t="s">
        <v>319</v>
      </c>
      <c r="M100" s="23">
        <f t="shared" si="1"/>
        <v>860</v>
      </c>
      <c r="N100" s="24" t="str">
        <f t="array" ref="N100">INDEX('MATCH INFO'!O:O, INT((ROW()-2)/10)+2 + 124)</f>
        <v>260703_ZETA_T1_S3</v>
      </c>
    </row>
    <row r="101" spans="1:14">
      <c r="A101" s="23" t="s">
        <v>42</v>
      </c>
      <c r="B101" s="23" t="s">
        <v>142</v>
      </c>
      <c r="C101" s="23" t="s">
        <v>109</v>
      </c>
      <c r="D101" s="23" t="s">
        <v>69</v>
      </c>
      <c r="E101" s="23" t="s">
        <v>201</v>
      </c>
      <c r="F101" s="23">
        <v>19</v>
      </c>
      <c r="G101" s="23">
        <v>11</v>
      </c>
      <c r="H101" s="23">
        <v>21</v>
      </c>
      <c r="I101" s="23">
        <v>5458</v>
      </c>
      <c r="J101" s="23">
        <v>14039</v>
      </c>
      <c r="K101" s="23">
        <v>0</v>
      </c>
      <c r="L101" s="23" t="s">
        <v>319</v>
      </c>
      <c r="M101" s="23">
        <f t="shared" si="1"/>
        <v>860</v>
      </c>
      <c r="N101" s="24" t="str">
        <f t="array" ref="N101">INDEX('MATCH INFO'!O:O, INT((ROW()-2)/10)+2 + 124)</f>
        <v>260703_ZETA_T1_S3</v>
      </c>
    </row>
    <row r="102" spans="1:14">
      <c r="A102" s="23" t="s">
        <v>51</v>
      </c>
      <c r="B102" s="23" t="s">
        <v>126</v>
      </c>
      <c r="C102" s="23" t="s">
        <v>104</v>
      </c>
      <c r="D102" s="23" t="s">
        <v>87</v>
      </c>
      <c r="E102" s="23" t="s">
        <v>188</v>
      </c>
      <c r="F102" s="23">
        <v>29</v>
      </c>
      <c r="G102" s="23">
        <v>4</v>
      </c>
      <c r="H102" s="23">
        <v>0</v>
      </c>
      <c r="I102" s="23">
        <v>11302</v>
      </c>
      <c r="J102" s="23">
        <v>1698</v>
      </c>
      <c r="K102" s="23">
        <v>0</v>
      </c>
      <c r="L102" s="23" t="s">
        <v>320</v>
      </c>
      <c r="M102" s="23">
        <f t="shared" si="1"/>
        <v>521</v>
      </c>
      <c r="N102" s="24" t="str">
        <f t="array" ref="N102">INDEX('MATCH INFO'!O:O, INT((ROW()-2)/10)+2 + 124)</f>
        <v>260704_CB_SB_S1</v>
      </c>
    </row>
    <row r="103" spans="1:14">
      <c r="A103" s="23" t="s">
        <v>51</v>
      </c>
      <c r="B103" s="23" t="s">
        <v>125</v>
      </c>
      <c r="C103" s="23" t="s">
        <v>101</v>
      </c>
      <c r="D103" s="23" t="s">
        <v>87</v>
      </c>
      <c r="E103" s="23" t="s">
        <v>188</v>
      </c>
      <c r="F103" s="23">
        <v>27</v>
      </c>
      <c r="G103" s="23">
        <v>4</v>
      </c>
      <c r="H103" s="23">
        <v>19</v>
      </c>
      <c r="I103" s="23">
        <v>12112</v>
      </c>
      <c r="J103" s="23">
        <v>3757</v>
      </c>
      <c r="K103" s="23">
        <v>5500</v>
      </c>
      <c r="L103" s="23" t="s">
        <v>320</v>
      </c>
      <c r="M103" s="23">
        <f t="shared" si="1"/>
        <v>521</v>
      </c>
      <c r="N103" s="24" t="str">
        <f t="array" ref="N103">INDEX('MATCH INFO'!O:O, INT((ROW()-2)/10)+2 + 124)</f>
        <v>260704_CB_SB_S1</v>
      </c>
    </row>
    <row r="104" spans="1:14">
      <c r="A104" s="23" t="s">
        <v>51</v>
      </c>
      <c r="B104" s="23" t="s">
        <v>127</v>
      </c>
      <c r="C104" s="23" t="s">
        <v>104</v>
      </c>
      <c r="D104" s="23" t="s">
        <v>87</v>
      </c>
      <c r="E104" s="23" t="s">
        <v>188</v>
      </c>
      <c r="F104" s="23">
        <v>24</v>
      </c>
      <c r="G104" s="23">
        <v>5</v>
      </c>
      <c r="H104" s="23">
        <v>1</v>
      </c>
      <c r="I104" s="23">
        <v>10085</v>
      </c>
      <c r="J104" s="23">
        <v>0</v>
      </c>
      <c r="K104" s="23">
        <v>562</v>
      </c>
      <c r="L104" s="23" t="s">
        <v>320</v>
      </c>
      <c r="M104" s="23">
        <f t="shared" si="1"/>
        <v>521</v>
      </c>
      <c r="N104" s="24" t="str">
        <f t="array" ref="N104">INDEX('MATCH INFO'!O:O, INT((ROW()-2)/10)+2 + 124)</f>
        <v>260704_CB_SB_S1</v>
      </c>
    </row>
    <row r="105" spans="1:14">
      <c r="A105" s="23" t="s">
        <v>51</v>
      </c>
      <c r="B105" s="23" t="s">
        <v>128</v>
      </c>
      <c r="C105" s="23" t="s">
        <v>109</v>
      </c>
      <c r="D105" s="23" t="s">
        <v>87</v>
      </c>
      <c r="E105" s="23" t="s">
        <v>188</v>
      </c>
      <c r="F105" s="23">
        <v>26</v>
      </c>
      <c r="G105" s="23">
        <v>5</v>
      </c>
      <c r="H105" s="23">
        <v>12</v>
      </c>
      <c r="I105" s="23">
        <v>7385</v>
      </c>
      <c r="J105" s="23">
        <v>7296</v>
      </c>
      <c r="K105" s="23">
        <v>0</v>
      </c>
      <c r="L105" s="23" t="s">
        <v>320</v>
      </c>
      <c r="M105" s="23">
        <f t="shared" si="1"/>
        <v>521</v>
      </c>
      <c r="N105" s="24" t="str">
        <f t="array" ref="N105">INDEX('MATCH INFO'!O:O, INT((ROW()-2)/10)+2 + 124)</f>
        <v>260704_CB_SB_S1</v>
      </c>
    </row>
    <row r="106" spans="1:14">
      <c r="A106" s="23" t="s">
        <v>51</v>
      </c>
      <c r="B106" s="23" t="s">
        <v>129</v>
      </c>
      <c r="C106" s="23" t="s">
        <v>109</v>
      </c>
      <c r="D106" s="23" t="s">
        <v>87</v>
      </c>
      <c r="E106" s="23" t="s">
        <v>188</v>
      </c>
      <c r="F106" s="23">
        <v>13</v>
      </c>
      <c r="G106" s="23">
        <v>6</v>
      </c>
      <c r="H106" s="23">
        <v>32</v>
      </c>
      <c r="I106" s="23">
        <v>4070</v>
      </c>
      <c r="J106" s="23">
        <v>12209</v>
      </c>
      <c r="K106" s="23">
        <v>0</v>
      </c>
      <c r="L106" s="23" t="s">
        <v>320</v>
      </c>
      <c r="M106" s="23">
        <f t="shared" si="1"/>
        <v>521</v>
      </c>
      <c r="N106" s="24" t="str">
        <f t="array" ref="N106">INDEX('MATCH INFO'!O:O, INT((ROW()-2)/10)+2 + 124)</f>
        <v>260704_CB_SB_S1</v>
      </c>
    </row>
    <row r="107" spans="1:14">
      <c r="A107" s="23" t="s">
        <v>53</v>
      </c>
      <c r="B107" s="23" t="s">
        <v>170</v>
      </c>
      <c r="C107" s="23" t="s">
        <v>104</v>
      </c>
      <c r="D107" s="23" t="s">
        <v>87</v>
      </c>
      <c r="E107" s="23" t="s">
        <v>188</v>
      </c>
      <c r="F107" s="23">
        <v>20</v>
      </c>
      <c r="G107" s="23">
        <v>9</v>
      </c>
      <c r="H107" s="23">
        <v>0</v>
      </c>
      <c r="I107" s="23">
        <v>10826</v>
      </c>
      <c r="J107" s="23">
        <v>1688</v>
      </c>
      <c r="K107" s="23">
        <v>0</v>
      </c>
      <c r="L107" s="23" t="s">
        <v>320</v>
      </c>
      <c r="M107" s="23">
        <f t="shared" si="1"/>
        <v>521</v>
      </c>
      <c r="N107" s="24" t="str">
        <f t="array" ref="N107">INDEX('MATCH INFO'!O:O, INT((ROW()-2)/10)+2 + 124)</f>
        <v>260704_CB_SB_S1</v>
      </c>
    </row>
    <row r="108" spans="1:14">
      <c r="A108" s="23" t="s">
        <v>53</v>
      </c>
      <c r="B108" s="23" t="s">
        <v>168</v>
      </c>
      <c r="C108" s="23" t="s">
        <v>101</v>
      </c>
      <c r="D108" s="23" t="s">
        <v>87</v>
      </c>
      <c r="E108" s="23" t="s">
        <v>188</v>
      </c>
      <c r="F108" s="23">
        <v>17</v>
      </c>
      <c r="G108" s="23">
        <v>8</v>
      </c>
      <c r="H108" s="23">
        <v>20</v>
      </c>
      <c r="I108" s="23">
        <v>11206</v>
      </c>
      <c r="J108" s="23">
        <v>2678</v>
      </c>
      <c r="K108" s="23">
        <v>6569</v>
      </c>
      <c r="L108" s="23" t="s">
        <v>320</v>
      </c>
      <c r="M108" s="23">
        <f t="shared" si="1"/>
        <v>521</v>
      </c>
      <c r="N108" s="24" t="str">
        <f t="array" ref="N108">INDEX('MATCH INFO'!O:O, INT((ROW()-2)/10)+2 + 124)</f>
        <v>260704_CB_SB_S1</v>
      </c>
    </row>
    <row r="109" spans="1:14">
      <c r="A109" s="23" t="s">
        <v>53</v>
      </c>
      <c r="B109" s="23" t="s">
        <v>172</v>
      </c>
      <c r="C109" s="23" t="s">
        <v>109</v>
      </c>
      <c r="D109" s="23" t="s">
        <v>87</v>
      </c>
      <c r="E109" s="23" t="s">
        <v>188</v>
      </c>
      <c r="F109" s="23">
        <v>14</v>
      </c>
      <c r="G109" s="23">
        <v>7</v>
      </c>
      <c r="H109" s="23">
        <v>10</v>
      </c>
      <c r="I109" s="23">
        <v>5858</v>
      </c>
      <c r="J109" s="23">
        <v>8183</v>
      </c>
      <c r="K109" s="23">
        <v>0</v>
      </c>
      <c r="L109" s="23" t="s">
        <v>320</v>
      </c>
      <c r="M109" s="23">
        <f t="shared" si="1"/>
        <v>521</v>
      </c>
      <c r="N109" s="24" t="str">
        <f t="array" ref="N109">INDEX('MATCH INFO'!O:O, INT((ROW()-2)/10)+2 + 124)</f>
        <v>260704_CB_SB_S1</v>
      </c>
    </row>
    <row r="110" spans="1:14">
      <c r="A110" s="23" t="s">
        <v>53</v>
      </c>
      <c r="B110" s="23" t="s">
        <v>171</v>
      </c>
      <c r="C110" s="23" t="s">
        <v>104</v>
      </c>
      <c r="D110" s="23" t="s">
        <v>87</v>
      </c>
      <c r="E110" s="23" t="s">
        <v>188</v>
      </c>
      <c r="F110" s="23">
        <v>10</v>
      </c>
      <c r="G110" s="23">
        <v>9</v>
      </c>
      <c r="H110" s="23">
        <v>4</v>
      </c>
      <c r="I110" s="23">
        <v>7689</v>
      </c>
      <c r="J110" s="23">
        <v>120</v>
      </c>
      <c r="K110" s="23">
        <v>482</v>
      </c>
      <c r="L110" s="23" t="s">
        <v>320</v>
      </c>
      <c r="M110" s="23">
        <f t="shared" si="1"/>
        <v>521</v>
      </c>
      <c r="N110" s="24" t="str">
        <f t="array" ref="N110">INDEX('MATCH INFO'!O:O, INT((ROW()-2)/10)+2 + 124)</f>
        <v>260704_CB_SB_S1</v>
      </c>
    </row>
    <row r="111" spans="1:14">
      <c r="A111" s="23" t="s">
        <v>53</v>
      </c>
      <c r="B111" s="23" t="s">
        <v>174</v>
      </c>
      <c r="C111" s="23" t="s">
        <v>109</v>
      </c>
      <c r="D111" s="23" t="s">
        <v>87</v>
      </c>
      <c r="E111" s="23" t="s">
        <v>188</v>
      </c>
      <c r="F111" s="23">
        <v>9</v>
      </c>
      <c r="G111" s="23">
        <v>8</v>
      </c>
      <c r="H111" s="23">
        <v>14</v>
      </c>
      <c r="I111" s="23">
        <v>3680</v>
      </c>
      <c r="J111" s="23">
        <v>12059</v>
      </c>
      <c r="K111" s="23">
        <v>0</v>
      </c>
      <c r="L111" s="23" t="s">
        <v>320</v>
      </c>
      <c r="M111" s="23">
        <f t="shared" si="1"/>
        <v>521</v>
      </c>
      <c r="N111" s="24" t="str">
        <f t="array" ref="N111">INDEX('MATCH INFO'!O:O, INT((ROW()-2)/10)+2 + 124)</f>
        <v>260704_CB_SB_S1</v>
      </c>
    </row>
    <row r="112" spans="1:14">
      <c r="A112" s="23" t="s">
        <v>53</v>
      </c>
      <c r="B112" s="23" t="s">
        <v>170</v>
      </c>
      <c r="C112" s="23" t="s">
        <v>104</v>
      </c>
      <c r="D112" s="23" t="s">
        <v>88</v>
      </c>
      <c r="E112" s="23" t="s">
        <v>188</v>
      </c>
      <c r="F112" s="23">
        <v>24</v>
      </c>
      <c r="G112" s="23">
        <v>13</v>
      </c>
      <c r="H112" s="23">
        <v>0</v>
      </c>
      <c r="I112" s="23">
        <v>16322</v>
      </c>
      <c r="J112" s="23">
        <v>2715</v>
      </c>
      <c r="K112" s="23">
        <v>0</v>
      </c>
      <c r="L112" s="23" t="s">
        <v>321</v>
      </c>
      <c r="M112" s="23">
        <f t="shared" si="1"/>
        <v>857</v>
      </c>
      <c r="N112" s="24" t="str">
        <f t="array" ref="N112">INDEX('MATCH INFO'!O:O, INT((ROW()-2)/10)+2 + 124)</f>
        <v>260704_CB_SB_S2</v>
      </c>
    </row>
    <row r="113" spans="1:14">
      <c r="A113" s="23" t="s">
        <v>53</v>
      </c>
      <c r="B113" s="23" t="s">
        <v>168</v>
      </c>
      <c r="C113" s="23" t="s">
        <v>101</v>
      </c>
      <c r="D113" s="23" t="s">
        <v>88</v>
      </c>
      <c r="E113" s="23" t="s">
        <v>188</v>
      </c>
      <c r="F113" s="23">
        <v>24</v>
      </c>
      <c r="G113" s="23">
        <v>12</v>
      </c>
      <c r="H113" s="23">
        <v>13</v>
      </c>
      <c r="I113" s="23">
        <v>18664</v>
      </c>
      <c r="J113" s="23">
        <v>5209</v>
      </c>
      <c r="K113" s="23">
        <v>10148</v>
      </c>
      <c r="L113" s="23" t="s">
        <v>321</v>
      </c>
      <c r="M113" s="23">
        <f t="shared" si="1"/>
        <v>857</v>
      </c>
      <c r="N113" s="24" t="str">
        <f t="array" ref="N113">INDEX('MATCH INFO'!O:O, INT((ROW()-2)/10)+2 + 124)</f>
        <v>260704_CB_SB_S2</v>
      </c>
    </row>
    <row r="114" spans="1:14">
      <c r="A114" s="23" t="s">
        <v>53</v>
      </c>
      <c r="B114" s="23" t="s">
        <v>172</v>
      </c>
      <c r="C114" s="23" t="s">
        <v>109</v>
      </c>
      <c r="D114" s="23" t="s">
        <v>88</v>
      </c>
      <c r="E114" s="23" t="s">
        <v>188</v>
      </c>
      <c r="F114" s="23">
        <v>18</v>
      </c>
      <c r="G114" s="23">
        <v>11</v>
      </c>
      <c r="H114" s="23">
        <v>15</v>
      </c>
      <c r="I114" s="23">
        <v>4522</v>
      </c>
      <c r="J114" s="23">
        <v>13498</v>
      </c>
      <c r="K114" s="23">
        <v>0</v>
      </c>
      <c r="L114" s="23" t="s">
        <v>321</v>
      </c>
      <c r="M114" s="23">
        <f t="shared" si="1"/>
        <v>857</v>
      </c>
      <c r="N114" s="24" t="str">
        <f t="array" ref="N114">INDEX('MATCH INFO'!O:O, INT((ROW()-2)/10)+2 + 124)</f>
        <v>260704_CB_SB_S2</v>
      </c>
    </row>
    <row r="115" spans="1:14">
      <c r="A115" s="23" t="s">
        <v>53</v>
      </c>
      <c r="B115" s="23" t="s">
        <v>171</v>
      </c>
      <c r="C115" s="23" t="s">
        <v>104</v>
      </c>
      <c r="D115" s="23" t="s">
        <v>88</v>
      </c>
      <c r="E115" s="23" t="s">
        <v>188</v>
      </c>
      <c r="F115" s="23">
        <v>20</v>
      </c>
      <c r="G115" s="23">
        <v>14</v>
      </c>
      <c r="H115" s="23">
        <v>0</v>
      </c>
      <c r="I115" s="23">
        <v>13167</v>
      </c>
      <c r="J115" s="23">
        <v>0</v>
      </c>
      <c r="K115" s="23">
        <v>0</v>
      </c>
      <c r="L115" s="23" t="s">
        <v>321</v>
      </c>
      <c r="M115" s="23">
        <f t="shared" si="1"/>
        <v>857</v>
      </c>
      <c r="N115" s="24" t="str">
        <f t="array" ref="N115">INDEX('MATCH INFO'!O:O, INT((ROW()-2)/10)+2 + 124)</f>
        <v>260704_CB_SB_S2</v>
      </c>
    </row>
    <row r="116" spans="1:14">
      <c r="A116" s="23" t="s">
        <v>53</v>
      </c>
      <c r="B116" s="23" t="s">
        <v>174</v>
      </c>
      <c r="C116" s="23" t="s">
        <v>109</v>
      </c>
      <c r="D116" s="23" t="s">
        <v>88</v>
      </c>
      <c r="E116" s="23" t="s">
        <v>188</v>
      </c>
      <c r="F116" s="23">
        <v>17</v>
      </c>
      <c r="G116" s="23">
        <v>11</v>
      </c>
      <c r="H116" s="23">
        <v>26</v>
      </c>
      <c r="I116" s="23">
        <v>6543</v>
      </c>
      <c r="J116" s="23">
        <v>17218</v>
      </c>
      <c r="K116" s="23">
        <v>0</v>
      </c>
      <c r="L116" s="23" t="s">
        <v>321</v>
      </c>
      <c r="M116" s="23">
        <f t="shared" si="1"/>
        <v>857</v>
      </c>
      <c r="N116" s="24" t="str">
        <f t="array" ref="N116">INDEX('MATCH INFO'!O:O, INT((ROW()-2)/10)+2 + 124)</f>
        <v>260704_CB_SB_S2</v>
      </c>
    </row>
    <row r="117" spans="1:14">
      <c r="A117" s="23" t="s">
        <v>51</v>
      </c>
      <c r="B117" s="23" t="s">
        <v>126</v>
      </c>
      <c r="C117" s="23" t="s">
        <v>104</v>
      </c>
      <c r="D117" s="23" t="s">
        <v>88</v>
      </c>
      <c r="E117" s="23" t="s">
        <v>188</v>
      </c>
      <c r="F117" s="23">
        <v>44</v>
      </c>
      <c r="G117" s="23">
        <v>7</v>
      </c>
      <c r="H117" s="23">
        <v>0</v>
      </c>
      <c r="I117" s="23">
        <v>16883</v>
      </c>
      <c r="J117" s="23">
        <v>2366</v>
      </c>
      <c r="K117" s="23">
        <v>0</v>
      </c>
      <c r="L117" s="23" t="s">
        <v>321</v>
      </c>
      <c r="M117" s="23">
        <f t="shared" si="1"/>
        <v>857</v>
      </c>
      <c r="N117" s="24" t="str">
        <f t="array" ref="N117">INDEX('MATCH INFO'!O:O, INT((ROW()-2)/10)+2 + 124)</f>
        <v>260704_CB_SB_S2</v>
      </c>
    </row>
    <row r="118" spans="1:14">
      <c r="A118" s="23" t="s">
        <v>51</v>
      </c>
      <c r="B118" s="23" t="s">
        <v>124</v>
      </c>
      <c r="C118" s="23" t="s">
        <v>101</v>
      </c>
      <c r="D118" s="23" t="s">
        <v>88</v>
      </c>
      <c r="E118" s="23" t="s">
        <v>188</v>
      </c>
      <c r="F118" s="23">
        <v>44</v>
      </c>
      <c r="G118" s="23">
        <v>8</v>
      </c>
      <c r="H118" s="23">
        <v>30</v>
      </c>
      <c r="I118" s="23">
        <v>20549</v>
      </c>
      <c r="J118" s="23">
        <v>5551</v>
      </c>
      <c r="K118" s="23">
        <v>11616</v>
      </c>
      <c r="L118" s="23" t="s">
        <v>321</v>
      </c>
      <c r="M118" s="23">
        <f t="shared" si="1"/>
        <v>857</v>
      </c>
      <c r="N118" s="24" t="str">
        <f t="array" ref="N118">INDEX('MATCH INFO'!O:O, INT((ROW()-2)/10)+2 + 124)</f>
        <v>260704_CB_SB_S2</v>
      </c>
    </row>
    <row r="119" spans="1:14">
      <c r="A119" s="23" t="s">
        <v>51</v>
      </c>
      <c r="B119" s="23" t="s">
        <v>127</v>
      </c>
      <c r="C119" s="23" t="s">
        <v>104</v>
      </c>
      <c r="D119" s="23" t="s">
        <v>88</v>
      </c>
      <c r="E119" s="23" t="s">
        <v>188</v>
      </c>
      <c r="F119" s="23">
        <v>36</v>
      </c>
      <c r="G119" s="23">
        <v>8</v>
      </c>
      <c r="H119" s="23">
        <v>0</v>
      </c>
      <c r="I119" s="23">
        <v>12581</v>
      </c>
      <c r="J119" s="23">
        <v>0</v>
      </c>
      <c r="K119" s="23">
        <v>0</v>
      </c>
      <c r="L119" s="23" t="s">
        <v>321</v>
      </c>
      <c r="M119" s="23">
        <f t="shared" si="1"/>
        <v>857</v>
      </c>
      <c r="N119" s="24" t="str">
        <f t="array" ref="N119">INDEX('MATCH INFO'!O:O, INT((ROW()-2)/10)+2 + 124)</f>
        <v>260704_CB_SB_S2</v>
      </c>
    </row>
    <row r="120" spans="1:14">
      <c r="A120" s="23" t="s">
        <v>51</v>
      </c>
      <c r="B120" s="23" t="s">
        <v>128</v>
      </c>
      <c r="C120" s="23" t="s">
        <v>109</v>
      </c>
      <c r="D120" s="23" t="s">
        <v>88</v>
      </c>
      <c r="E120" s="23" t="s">
        <v>188</v>
      </c>
      <c r="F120" s="23">
        <v>36</v>
      </c>
      <c r="G120" s="23">
        <v>5</v>
      </c>
      <c r="H120" s="23">
        <v>24</v>
      </c>
      <c r="I120" s="23">
        <v>9755</v>
      </c>
      <c r="J120" s="23">
        <v>10972</v>
      </c>
      <c r="K120" s="23">
        <v>0</v>
      </c>
      <c r="L120" s="23" t="s">
        <v>321</v>
      </c>
      <c r="M120" s="23">
        <f t="shared" si="1"/>
        <v>857</v>
      </c>
      <c r="N120" s="24" t="str">
        <f t="array" ref="N120">INDEX('MATCH INFO'!O:O, INT((ROW()-2)/10)+2 + 124)</f>
        <v>260704_CB_SB_S2</v>
      </c>
    </row>
    <row r="121" spans="1:14">
      <c r="A121" s="23" t="s">
        <v>51</v>
      </c>
      <c r="B121" s="23" t="s">
        <v>129</v>
      </c>
      <c r="C121" s="23" t="s">
        <v>109</v>
      </c>
      <c r="D121" s="23" t="s">
        <v>88</v>
      </c>
      <c r="E121" s="23" t="s">
        <v>188</v>
      </c>
      <c r="F121" s="23">
        <v>22</v>
      </c>
      <c r="G121" s="23">
        <v>6</v>
      </c>
      <c r="H121" s="23">
        <v>45</v>
      </c>
      <c r="I121" s="23">
        <v>7581</v>
      </c>
      <c r="J121" s="23">
        <v>18944</v>
      </c>
      <c r="K121" s="23">
        <v>0</v>
      </c>
      <c r="L121" s="23" t="s">
        <v>321</v>
      </c>
      <c r="M121" s="23">
        <f t="shared" si="1"/>
        <v>857</v>
      </c>
      <c r="N121" s="24" t="str">
        <f t="array" ref="N121">INDEX('MATCH INFO'!O:O, INT((ROW()-2)/10)+2 + 124)</f>
        <v>260704_CB_SB_S2</v>
      </c>
    </row>
    <row r="122" spans="1:14">
      <c r="A122" s="23" t="s">
        <v>53</v>
      </c>
      <c r="B122" s="23" t="s">
        <v>170</v>
      </c>
      <c r="C122" s="23" t="s">
        <v>104</v>
      </c>
      <c r="D122" s="23" t="s">
        <v>89</v>
      </c>
      <c r="E122" s="23" t="s">
        <v>196</v>
      </c>
      <c r="F122" s="23">
        <v>19</v>
      </c>
      <c r="G122" s="23">
        <v>13</v>
      </c>
      <c r="H122" s="23">
        <v>9</v>
      </c>
      <c r="I122" s="23">
        <v>11037</v>
      </c>
      <c r="J122" s="23">
        <v>1187</v>
      </c>
      <c r="K122" s="23">
        <v>2148</v>
      </c>
      <c r="L122" s="23" t="s">
        <v>322</v>
      </c>
      <c r="M122" s="23">
        <f t="shared" si="1"/>
        <v>838</v>
      </c>
      <c r="N122" s="24" t="str">
        <f t="array" ref="N122">INDEX('MATCH INFO'!O:O, INT((ROW()-2)/10)+2 + 124)</f>
        <v>260704_CB_SB_S3</v>
      </c>
    </row>
    <row r="123" spans="1:14">
      <c r="A123" s="23" t="s">
        <v>53</v>
      </c>
      <c r="B123" s="23" t="s">
        <v>169</v>
      </c>
      <c r="C123" s="23" t="s">
        <v>101</v>
      </c>
      <c r="D123" s="23" t="s">
        <v>89</v>
      </c>
      <c r="E123" s="23" t="s">
        <v>196</v>
      </c>
      <c r="F123" s="23">
        <v>21</v>
      </c>
      <c r="G123" s="23">
        <v>11</v>
      </c>
      <c r="H123" s="23">
        <v>5</v>
      </c>
      <c r="I123" s="23">
        <v>12887</v>
      </c>
      <c r="J123" s="23">
        <v>1094</v>
      </c>
      <c r="K123" s="23">
        <v>25175</v>
      </c>
      <c r="L123" s="23" t="s">
        <v>322</v>
      </c>
      <c r="M123" s="23">
        <f t="shared" si="1"/>
        <v>838</v>
      </c>
      <c r="N123" s="24" t="str">
        <f t="array" ref="N123">INDEX('MATCH INFO'!O:O, INT((ROW()-2)/10)+2 + 124)</f>
        <v>260704_CB_SB_S3</v>
      </c>
    </row>
    <row r="124" spans="1:14">
      <c r="A124" s="23" t="s">
        <v>53</v>
      </c>
      <c r="B124" s="23" t="s">
        <v>172</v>
      </c>
      <c r="C124" s="23" t="s">
        <v>109</v>
      </c>
      <c r="D124" s="23" t="s">
        <v>89</v>
      </c>
      <c r="E124" s="23" t="s">
        <v>196</v>
      </c>
      <c r="F124" s="23">
        <v>12</v>
      </c>
      <c r="G124" s="23">
        <v>9</v>
      </c>
      <c r="H124" s="23">
        <v>9</v>
      </c>
      <c r="I124" s="23">
        <v>5663</v>
      </c>
      <c r="J124" s="23">
        <v>9826</v>
      </c>
      <c r="K124" s="23">
        <v>0</v>
      </c>
      <c r="L124" s="23" t="s">
        <v>322</v>
      </c>
      <c r="M124" s="23">
        <f t="shared" si="1"/>
        <v>838</v>
      </c>
      <c r="N124" s="24" t="str">
        <f t="array" ref="N124">INDEX('MATCH INFO'!O:O, INT((ROW()-2)/10)+2 + 124)</f>
        <v>260704_CB_SB_S3</v>
      </c>
    </row>
    <row r="125" spans="1:14">
      <c r="A125" s="23" t="s">
        <v>53</v>
      </c>
      <c r="B125" s="23" t="s">
        <v>171</v>
      </c>
      <c r="C125" s="23" t="s">
        <v>104</v>
      </c>
      <c r="D125" s="23" t="s">
        <v>89</v>
      </c>
      <c r="E125" s="23" t="s">
        <v>196</v>
      </c>
      <c r="F125" s="23">
        <v>28</v>
      </c>
      <c r="G125" s="23">
        <v>12</v>
      </c>
      <c r="H125" s="23">
        <v>3</v>
      </c>
      <c r="I125" s="23">
        <v>12994</v>
      </c>
      <c r="J125" s="23">
        <v>225</v>
      </c>
      <c r="K125" s="23">
        <v>702</v>
      </c>
      <c r="L125" s="23" t="s">
        <v>322</v>
      </c>
      <c r="M125" s="23">
        <f t="shared" si="1"/>
        <v>838</v>
      </c>
      <c r="N125" s="24" t="str">
        <f t="array" ref="N125">INDEX('MATCH INFO'!O:O, INT((ROW()-2)/10)+2 + 124)</f>
        <v>260704_CB_SB_S3</v>
      </c>
    </row>
    <row r="126" spans="1:14">
      <c r="A126" s="23" t="s">
        <v>53</v>
      </c>
      <c r="B126" s="23" t="s">
        <v>174</v>
      </c>
      <c r="C126" s="23" t="s">
        <v>109</v>
      </c>
      <c r="D126" s="23" t="s">
        <v>89</v>
      </c>
      <c r="E126" s="23" t="s">
        <v>196</v>
      </c>
      <c r="F126" s="23">
        <v>9</v>
      </c>
      <c r="G126" s="23">
        <v>13</v>
      </c>
      <c r="H126" s="23">
        <v>16</v>
      </c>
      <c r="I126" s="23">
        <v>4851</v>
      </c>
      <c r="J126" s="23">
        <v>14594</v>
      </c>
      <c r="K126" s="23">
        <v>0</v>
      </c>
      <c r="L126" s="23" t="s">
        <v>322</v>
      </c>
      <c r="M126" s="23">
        <f t="shared" si="1"/>
        <v>838</v>
      </c>
      <c r="N126" s="24" t="str">
        <f t="array" ref="N126">INDEX('MATCH INFO'!O:O, INT((ROW()-2)/10)+2 + 124)</f>
        <v>260704_CB_SB_S3</v>
      </c>
    </row>
    <row r="127" spans="1:14">
      <c r="A127" s="23" t="s">
        <v>51</v>
      </c>
      <c r="B127" s="23" t="s">
        <v>126</v>
      </c>
      <c r="C127" s="23" t="s">
        <v>104</v>
      </c>
      <c r="D127" s="23" t="s">
        <v>89</v>
      </c>
      <c r="E127" s="23" t="s">
        <v>196</v>
      </c>
      <c r="F127" s="23">
        <v>26</v>
      </c>
      <c r="G127" s="23">
        <v>8</v>
      </c>
      <c r="H127" s="23">
        <v>12</v>
      </c>
      <c r="I127" s="23">
        <v>11455</v>
      </c>
      <c r="J127" s="23">
        <v>2573</v>
      </c>
      <c r="K127" s="23">
        <v>4711</v>
      </c>
      <c r="L127" s="23" t="s">
        <v>322</v>
      </c>
      <c r="M127" s="23">
        <f t="shared" si="1"/>
        <v>838</v>
      </c>
      <c r="N127" s="24" t="str">
        <f t="array" ref="N127">INDEX('MATCH INFO'!O:O, INT((ROW()-2)/10)+2 + 124)</f>
        <v>260704_CB_SB_S3</v>
      </c>
    </row>
    <row r="128" spans="1:14">
      <c r="A128" s="23" t="s">
        <v>51</v>
      </c>
      <c r="B128" s="23" t="s">
        <v>125</v>
      </c>
      <c r="C128" s="23" t="s">
        <v>101</v>
      </c>
      <c r="D128" s="23" t="s">
        <v>89</v>
      </c>
      <c r="E128" s="23" t="s">
        <v>196</v>
      </c>
      <c r="F128" s="23">
        <v>29</v>
      </c>
      <c r="G128" s="23">
        <v>7</v>
      </c>
      <c r="H128" s="23">
        <v>1</v>
      </c>
      <c r="I128" s="23">
        <v>15733</v>
      </c>
      <c r="J128" s="23">
        <v>0</v>
      </c>
      <c r="K128" s="23">
        <v>21024</v>
      </c>
      <c r="L128" s="23" t="s">
        <v>322</v>
      </c>
      <c r="M128" s="23">
        <f t="shared" si="1"/>
        <v>838</v>
      </c>
      <c r="N128" s="24" t="str">
        <f t="array" ref="N128">INDEX('MATCH INFO'!O:O, INT((ROW()-2)/10)+2 + 124)</f>
        <v>260704_CB_SB_S3</v>
      </c>
    </row>
    <row r="129" spans="1:14">
      <c r="A129" s="23" t="s">
        <v>51</v>
      </c>
      <c r="B129" s="23" t="s">
        <v>127</v>
      </c>
      <c r="C129" s="23" t="s">
        <v>104</v>
      </c>
      <c r="D129" s="23" t="s">
        <v>89</v>
      </c>
      <c r="E129" s="23" t="s">
        <v>196</v>
      </c>
      <c r="F129" s="23">
        <v>35</v>
      </c>
      <c r="G129" s="23">
        <v>8</v>
      </c>
      <c r="H129" s="23">
        <v>2</v>
      </c>
      <c r="I129" s="23">
        <v>11763</v>
      </c>
      <c r="J129" s="23">
        <v>316</v>
      </c>
      <c r="K129" s="23">
        <v>681</v>
      </c>
      <c r="L129" s="23" t="s">
        <v>322</v>
      </c>
      <c r="M129" s="23">
        <f t="shared" si="1"/>
        <v>838</v>
      </c>
      <c r="N129" s="24" t="str">
        <f t="array" ref="N129">INDEX('MATCH INFO'!O:O, INT((ROW()-2)/10)+2 + 124)</f>
        <v>260704_CB_SB_S3</v>
      </c>
    </row>
    <row r="130" spans="1:14">
      <c r="A130" s="23" t="s">
        <v>51</v>
      </c>
      <c r="B130" s="23" t="s">
        <v>128</v>
      </c>
      <c r="C130" s="23" t="s">
        <v>109</v>
      </c>
      <c r="D130" s="23" t="s">
        <v>89</v>
      </c>
      <c r="E130" s="23" t="s">
        <v>196</v>
      </c>
      <c r="F130" s="23">
        <v>38</v>
      </c>
      <c r="G130" s="23">
        <v>7</v>
      </c>
      <c r="H130" s="23">
        <v>19</v>
      </c>
      <c r="I130" s="23">
        <v>8024</v>
      </c>
      <c r="J130" s="23">
        <v>12240</v>
      </c>
      <c r="K130" s="23">
        <v>0</v>
      </c>
      <c r="L130" s="23" t="s">
        <v>322</v>
      </c>
      <c r="M130" s="23">
        <f t="shared" ref="M130:M193" si="2">L130*86400</f>
        <v>838</v>
      </c>
      <c r="N130" s="24" t="str">
        <f t="array" ref="N130">INDEX('MATCH INFO'!O:O, INT((ROW()-2)/10)+2 + 124)</f>
        <v>260704_CB_SB_S3</v>
      </c>
    </row>
    <row r="131" spans="1:14">
      <c r="A131" s="23" t="s">
        <v>51</v>
      </c>
      <c r="B131" s="23" t="s">
        <v>129</v>
      </c>
      <c r="C131" s="23" t="s">
        <v>109</v>
      </c>
      <c r="D131" s="23" t="s">
        <v>89</v>
      </c>
      <c r="E131" s="23" t="s">
        <v>196</v>
      </c>
      <c r="F131" s="23">
        <v>20</v>
      </c>
      <c r="G131" s="23">
        <v>5</v>
      </c>
      <c r="H131" s="23">
        <v>36</v>
      </c>
      <c r="I131" s="23">
        <v>5892</v>
      </c>
      <c r="J131" s="23">
        <v>15388</v>
      </c>
      <c r="K131" s="23">
        <v>0</v>
      </c>
      <c r="L131" s="23" t="s">
        <v>322</v>
      </c>
      <c r="M131" s="23">
        <f t="shared" si="2"/>
        <v>838</v>
      </c>
      <c r="N131" s="24" t="str">
        <f t="array" ref="N131">INDEX('MATCH INFO'!O:O, INT((ROW()-2)/10)+2 + 124)</f>
        <v>260704_CB_SB_S3</v>
      </c>
    </row>
    <row r="132" spans="1:14">
      <c r="A132" s="23" t="s">
        <v>41</v>
      </c>
      <c r="B132" s="23" t="s">
        <v>157</v>
      </c>
      <c r="C132" s="23" t="s">
        <v>109</v>
      </c>
      <c r="D132" s="23" t="s">
        <v>33</v>
      </c>
      <c r="E132" s="23" t="s">
        <v>188</v>
      </c>
      <c r="F132" s="23">
        <v>26</v>
      </c>
      <c r="G132" s="23">
        <v>4</v>
      </c>
      <c r="H132" s="23">
        <v>31</v>
      </c>
      <c r="I132" s="23">
        <v>4910</v>
      </c>
      <c r="J132" s="23">
        <v>9029</v>
      </c>
      <c r="K132" s="23">
        <v>2789</v>
      </c>
      <c r="L132" s="23" t="s">
        <v>260</v>
      </c>
      <c r="M132" s="23">
        <f t="shared" si="2"/>
        <v>540</v>
      </c>
      <c r="N132" s="24" t="str">
        <f t="array" ref="N132">INDEX('MATCH INFO'!O:O, INT((ROW()-2)/10)+2 + 124)</f>
        <v>260704_CR_T1_S1</v>
      </c>
    </row>
    <row r="133" spans="1:14">
      <c r="A133" s="23" t="s">
        <v>41</v>
      </c>
      <c r="B133" s="23" t="s">
        <v>152</v>
      </c>
      <c r="C133" s="23" t="s">
        <v>101</v>
      </c>
      <c r="D133" s="23" t="s">
        <v>33</v>
      </c>
      <c r="E133" s="23" t="s">
        <v>188</v>
      </c>
      <c r="F133" s="23">
        <v>26</v>
      </c>
      <c r="G133" s="23">
        <v>6</v>
      </c>
      <c r="H133" s="23">
        <v>17</v>
      </c>
      <c r="I133" s="23">
        <v>14709</v>
      </c>
      <c r="J133" s="23">
        <v>4104</v>
      </c>
      <c r="K133" s="23">
        <v>7408</v>
      </c>
      <c r="L133" s="23" t="s">
        <v>260</v>
      </c>
      <c r="M133" s="23">
        <f t="shared" si="2"/>
        <v>540</v>
      </c>
      <c r="N133" s="24" t="str">
        <f t="array" ref="N133">INDEX('MATCH INFO'!O:O, INT((ROW()-2)/10)+2 + 124)</f>
        <v>260704_CR_T1_S1</v>
      </c>
    </row>
    <row r="134" spans="1:14">
      <c r="A134" s="23" t="s">
        <v>41</v>
      </c>
      <c r="B134" s="23" t="s">
        <v>155</v>
      </c>
      <c r="C134" s="23" t="s">
        <v>104</v>
      </c>
      <c r="D134" s="23" t="s">
        <v>33</v>
      </c>
      <c r="E134" s="23" t="s">
        <v>188</v>
      </c>
      <c r="F134" s="23">
        <v>30</v>
      </c>
      <c r="G134" s="23">
        <v>6</v>
      </c>
      <c r="H134" s="23">
        <v>5</v>
      </c>
      <c r="I134" s="23">
        <v>13033</v>
      </c>
      <c r="J134" s="23">
        <v>75</v>
      </c>
      <c r="K134" s="23">
        <v>635</v>
      </c>
      <c r="L134" s="23" t="s">
        <v>260</v>
      </c>
      <c r="M134" s="23">
        <f t="shared" si="2"/>
        <v>540</v>
      </c>
      <c r="N134" s="24" t="str">
        <f t="array" ref="N134">INDEX('MATCH INFO'!O:O, INT((ROW()-2)/10)+2 + 124)</f>
        <v>260704_CR_T1_S1</v>
      </c>
    </row>
    <row r="135" spans="1:14">
      <c r="A135" s="23" t="s">
        <v>41</v>
      </c>
      <c r="B135" s="23" t="s">
        <v>158</v>
      </c>
      <c r="C135" s="23" t="s">
        <v>109</v>
      </c>
      <c r="D135" s="23" t="s">
        <v>33</v>
      </c>
      <c r="E135" s="23" t="s">
        <v>188</v>
      </c>
      <c r="F135" s="23">
        <v>17</v>
      </c>
      <c r="G135" s="23">
        <v>5</v>
      </c>
      <c r="H135" s="23">
        <v>33</v>
      </c>
      <c r="I135" s="23">
        <v>5711</v>
      </c>
      <c r="J135" s="23">
        <v>13878</v>
      </c>
      <c r="K135" s="23">
        <v>0</v>
      </c>
      <c r="L135" s="23" t="s">
        <v>260</v>
      </c>
      <c r="M135" s="23">
        <f t="shared" si="2"/>
        <v>540</v>
      </c>
      <c r="N135" s="24" t="str">
        <f t="array" ref="N135">INDEX('MATCH INFO'!O:O, INT((ROW()-2)/10)+2 + 124)</f>
        <v>260704_CR_T1_S1</v>
      </c>
    </row>
    <row r="136" spans="1:14">
      <c r="A136" s="23" t="s">
        <v>41</v>
      </c>
      <c r="B136" s="23" t="s">
        <v>154</v>
      </c>
      <c r="C136" s="23" t="s">
        <v>104</v>
      </c>
      <c r="D136" s="23" t="s">
        <v>33</v>
      </c>
      <c r="E136" s="23" t="s">
        <v>188</v>
      </c>
      <c r="F136" s="23">
        <v>23</v>
      </c>
      <c r="G136" s="23">
        <v>7</v>
      </c>
      <c r="H136" s="23">
        <v>5</v>
      </c>
      <c r="I136" s="23">
        <v>10214</v>
      </c>
      <c r="J136" s="23">
        <v>255</v>
      </c>
      <c r="K136" s="23">
        <v>289</v>
      </c>
      <c r="L136" s="23" t="s">
        <v>260</v>
      </c>
      <c r="M136" s="23">
        <f t="shared" si="2"/>
        <v>540</v>
      </c>
      <c r="N136" s="24" t="str">
        <f t="array" ref="N136">INDEX('MATCH INFO'!O:O, INT((ROW()-2)/10)+2 + 124)</f>
        <v>260704_CR_T1_S1</v>
      </c>
    </row>
    <row r="137" spans="1:14">
      <c r="A137" s="23" t="s">
        <v>32</v>
      </c>
      <c r="B137" s="23" t="s">
        <v>150</v>
      </c>
      <c r="C137" s="23" t="s">
        <v>109</v>
      </c>
      <c r="D137" s="23" t="s">
        <v>33</v>
      </c>
      <c r="E137" s="23" t="s">
        <v>188</v>
      </c>
      <c r="F137" s="23">
        <v>18</v>
      </c>
      <c r="G137" s="23">
        <v>8</v>
      </c>
      <c r="H137" s="23">
        <v>18</v>
      </c>
      <c r="I137" s="23">
        <v>4823</v>
      </c>
      <c r="J137" s="23">
        <v>7482</v>
      </c>
      <c r="K137" s="23">
        <v>2498</v>
      </c>
      <c r="L137" s="23" t="s">
        <v>260</v>
      </c>
      <c r="M137" s="23">
        <f t="shared" si="2"/>
        <v>540</v>
      </c>
      <c r="N137" s="24" t="str">
        <f t="array" ref="N137">INDEX('MATCH INFO'!O:O, INT((ROW()-2)/10)+2 + 124)</f>
        <v>260704_CR_T1_S1</v>
      </c>
    </row>
    <row r="138" spans="1:14">
      <c r="A138" s="23" t="s">
        <v>32</v>
      </c>
      <c r="B138" s="23" t="s">
        <v>147</v>
      </c>
      <c r="C138" s="23" t="s">
        <v>104</v>
      </c>
      <c r="D138" s="23" t="s">
        <v>33</v>
      </c>
      <c r="E138" s="23" t="s">
        <v>188</v>
      </c>
      <c r="F138" s="23">
        <v>18</v>
      </c>
      <c r="G138" s="23">
        <v>9</v>
      </c>
      <c r="H138" s="23">
        <v>0</v>
      </c>
      <c r="I138" s="23">
        <v>10644</v>
      </c>
      <c r="J138" s="23">
        <v>1309</v>
      </c>
      <c r="K138" s="23">
        <v>0</v>
      </c>
      <c r="L138" s="23" t="s">
        <v>260</v>
      </c>
      <c r="M138" s="23">
        <f t="shared" si="2"/>
        <v>540</v>
      </c>
      <c r="N138" s="24" t="str">
        <f t="array" ref="N138">INDEX('MATCH INFO'!O:O, INT((ROW()-2)/10)+2 + 124)</f>
        <v>260704_CR_T1_S1</v>
      </c>
    </row>
    <row r="139" spans="1:14">
      <c r="A139" s="23" t="s">
        <v>32</v>
      </c>
      <c r="B139" s="23" t="s">
        <v>146</v>
      </c>
      <c r="C139" s="23" t="s">
        <v>101</v>
      </c>
      <c r="D139" s="23" t="s">
        <v>33</v>
      </c>
      <c r="E139" s="23" t="s">
        <v>188</v>
      </c>
      <c r="F139" s="23">
        <v>21</v>
      </c>
      <c r="G139" s="23">
        <v>6</v>
      </c>
      <c r="H139" s="23">
        <v>19</v>
      </c>
      <c r="I139" s="23">
        <v>15156</v>
      </c>
      <c r="J139" s="23">
        <v>3727</v>
      </c>
      <c r="K139" s="23">
        <v>5689</v>
      </c>
      <c r="L139" s="23" t="s">
        <v>260</v>
      </c>
      <c r="M139" s="23">
        <f t="shared" si="2"/>
        <v>540</v>
      </c>
      <c r="N139" s="24" t="str">
        <f t="array" ref="N139">INDEX('MATCH INFO'!O:O, INT((ROW()-2)/10)+2 + 124)</f>
        <v>260704_CR_T1_S1</v>
      </c>
    </row>
    <row r="140" spans="1:14">
      <c r="A140" s="23" t="s">
        <v>32</v>
      </c>
      <c r="B140" s="23" t="s">
        <v>149</v>
      </c>
      <c r="C140" s="23" t="s">
        <v>104</v>
      </c>
      <c r="D140" s="23" t="s">
        <v>33</v>
      </c>
      <c r="E140" s="23" t="s">
        <v>188</v>
      </c>
      <c r="F140" s="23">
        <v>19</v>
      </c>
      <c r="G140" s="23">
        <v>9</v>
      </c>
      <c r="H140" s="23">
        <v>2</v>
      </c>
      <c r="I140" s="23">
        <v>11246</v>
      </c>
      <c r="J140" s="23">
        <v>0</v>
      </c>
      <c r="K140" s="23">
        <v>705</v>
      </c>
      <c r="L140" s="23" t="s">
        <v>260</v>
      </c>
      <c r="M140" s="23">
        <f t="shared" si="2"/>
        <v>540</v>
      </c>
      <c r="N140" s="24" t="str">
        <f t="array" ref="N140">INDEX('MATCH INFO'!O:O, INT((ROW()-2)/10)+2 + 124)</f>
        <v>260704_CR_T1_S1</v>
      </c>
    </row>
    <row r="141" spans="1:14">
      <c r="A141" s="23" t="s">
        <v>32</v>
      </c>
      <c r="B141" s="23" t="s">
        <v>151</v>
      </c>
      <c r="C141" s="23" t="s">
        <v>109</v>
      </c>
      <c r="D141" s="23" t="s">
        <v>33</v>
      </c>
      <c r="E141" s="23" t="s">
        <v>188</v>
      </c>
      <c r="F141" s="23">
        <v>10</v>
      </c>
      <c r="G141" s="23">
        <v>10</v>
      </c>
      <c r="H141" s="23">
        <v>18</v>
      </c>
      <c r="I141" s="23">
        <v>4198</v>
      </c>
      <c r="J141" s="23">
        <v>12223</v>
      </c>
      <c r="K141" s="23">
        <v>0</v>
      </c>
      <c r="L141" s="23" t="s">
        <v>260</v>
      </c>
      <c r="M141" s="23">
        <f t="shared" si="2"/>
        <v>540</v>
      </c>
      <c r="N141" s="24" t="str">
        <f t="array" ref="N141">INDEX('MATCH INFO'!O:O, INT((ROW()-2)/10)+2 + 124)</f>
        <v>260704_CR_T1_S1</v>
      </c>
    </row>
    <row r="142" spans="1:14">
      <c r="A142" s="23" t="s">
        <v>41</v>
      </c>
      <c r="B142" s="23" t="s">
        <v>157</v>
      </c>
      <c r="C142" s="23" t="s">
        <v>109</v>
      </c>
      <c r="D142" s="23" t="s">
        <v>69</v>
      </c>
      <c r="E142" s="23" t="s">
        <v>201</v>
      </c>
      <c r="F142" s="23">
        <v>24</v>
      </c>
      <c r="G142" s="23">
        <v>10</v>
      </c>
      <c r="H142" s="23">
        <v>28</v>
      </c>
      <c r="I142" s="23">
        <v>7722</v>
      </c>
      <c r="J142" s="23">
        <v>12800</v>
      </c>
      <c r="K142" s="23">
        <v>2078</v>
      </c>
      <c r="L142" s="23" t="s">
        <v>323</v>
      </c>
      <c r="M142" s="23">
        <f t="shared" si="2"/>
        <v>856.00000000000011</v>
      </c>
      <c r="N142" s="24" t="str">
        <f t="array" ref="N142">INDEX('MATCH INFO'!O:O, INT((ROW()-2)/10)+2 + 124)</f>
        <v>260704_CR_T1_S2</v>
      </c>
    </row>
    <row r="143" spans="1:14">
      <c r="A143" s="23" t="s">
        <v>41</v>
      </c>
      <c r="B143" s="23" t="s">
        <v>153</v>
      </c>
      <c r="C143" s="23" t="s">
        <v>101</v>
      </c>
      <c r="D143" s="23" t="s">
        <v>69</v>
      </c>
      <c r="E143" s="23" t="s">
        <v>201</v>
      </c>
      <c r="F143" s="23">
        <v>15</v>
      </c>
      <c r="G143" s="23">
        <v>12</v>
      </c>
      <c r="H143" s="23">
        <v>5</v>
      </c>
      <c r="I143" s="23">
        <v>11949</v>
      </c>
      <c r="J143" s="23">
        <v>50</v>
      </c>
      <c r="K143" s="23">
        <v>23512</v>
      </c>
      <c r="L143" s="23" t="s">
        <v>323</v>
      </c>
      <c r="M143" s="23">
        <f t="shared" si="2"/>
        <v>856.00000000000011</v>
      </c>
      <c r="N143" s="24" t="str">
        <f t="array" ref="N143">INDEX('MATCH INFO'!O:O, INT((ROW()-2)/10)+2 + 124)</f>
        <v>260704_CR_T1_S2</v>
      </c>
    </row>
    <row r="144" spans="1:14">
      <c r="A144" s="23" t="s">
        <v>41</v>
      </c>
      <c r="B144" s="23" t="s">
        <v>155</v>
      </c>
      <c r="C144" s="23" t="s">
        <v>104</v>
      </c>
      <c r="D144" s="23" t="s">
        <v>69</v>
      </c>
      <c r="E144" s="23" t="s">
        <v>201</v>
      </c>
      <c r="F144" s="23">
        <v>27</v>
      </c>
      <c r="G144" s="23">
        <v>11</v>
      </c>
      <c r="H144" s="23">
        <v>2</v>
      </c>
      <c r="I144" s="23">
        <v>12140</v>
      </c>
      <c r="J144" s="23">
        <v>172</v>
      </c>
      <c r="K144" s="23">
        <v>2912</v>
      </c>
      <c r="L144" s="23" t="s">
        <v>323</v>
      </c>
      <c r="M144" s="23">
        <f t="shared" si="2"/>
        <v>856.00000000000011</v>
      </c>
      <c r="N144" s="24" t="str">
        <f t="array" ref="N144">INDEX('MATCH INFO'!O:O, INT((ROW()-2)/10)+2 + 124)</f>
        <v>260704_CR_T1_S2</v>
      </c>
    </row>
    <row r="145" spans="1:14">
      <c r="A145" s="23" t="s">
        <v>41</v>
      </c>
      <c r="B145" s="23" t="s">
        <v>158</v>
      </c>
      <c r="C145" s="23" t="s">
        <v>109</v>
      </c>
      <c r="D145" s="23" t="s">
        <v>69</v>
      </c>
      <c r="E145" s="23" t="s">
        <v>201</v>
      </c>
      <c r="F145" s="23">
        <v>19</v>
      </c>
      <c r="G145" s="23">
        <v>8</v>
      </c>
      <c r="H145" s="23">
        <v>26</v>
      </c>
      <c r="I145" s="23">
        <v>7830</v>
      </c>
      <c r="J145" s="23">
        <v>17297</v>
      </c>
      <c r="K145" s="23">
        <v>44</v>
      </c>
      <c r="L145" s="23" t="s">
        <v>323</v>
      </c>
      <c r="M145" s="23">
        <f t="shared" si="2"/>
        <v>856.00000000000011</v>
      </c>
      <c r="N145" s="24" t="str">
        <f t="array" ref="N145">INDEX('MATCH INFO'!O:O, INT((ROW()-2)/10)+2 + 124)</f>
        <v>260704_CR_T1_S2</v>
      </c>
    </row>
    <row r="146" spans="1:14">
      <c r="A146" s="23" t="s">
        <v>41</v>
      </c>
      <c r="B146" s="23" t="s">
        <v>154</v>
      </c>
      <c r="C146" s="23" t="s">
        <v>104</v>
      </c>
      <c r="D146" s="23" t="s">
        <v>69</v>
      </c>
      <c r="E146" s="23" t="s">
        <v>201</v>
      </c>
      <c r="F146" s="23">
        <v>25</v>
      </c>
      <c r="G146" s="23">
        <v>10</v>
      </c>
      <c r="H146" s="23">
        <v>8</v>
      </c>
      <c r="I146" s="23">
        <v>12818</v>
      </c>
      <c r="J146" s="23">
        <v>1728</v>
      </c>
      <c r="K146" s="23">
        <v>6977</v>
      </c>
      <c r="L146" s="23" t="s">
        <v>323</v>
      </c>
      <c r="M146" s="23">
        <f t="shared" si="2"/>
        <v>856.00000000000011</v>
      </c>
      <c r="N146" s="24" t="str">
        <f t="array" ref="N146">INDEX('MATCH INFO'!O:O, INT((ROW()-2)/10)+2 + 124)</f>
        <v>260704_CR_T1_S2</v>
      </c>
    </row>
    <row r="147" spans="1:14">
      <c r="A147" s="23" t="s">
        <v>32</v>
      </c>
      <c r="B147" s="23" t="s">
        <v>150</v>
      </c>
      <c r="C147" s="23" t="s">
        <v>109</v>
      </c>
      <c r="D147" s="23" t="s">
        <v>69</v>
      </c>
      <c r="E147" s="23" t="s">
        <v>201</v>
      </c>
      <c r="F147" s="23">
        <v>32</v>
      </c>
      <c r="G147" s="23">
        <v>8</v>
      </c>
      <c r="H147" s="23">
        <v>33</v>
      </c>
      <c r="I147" s="23">
        <v>8214</v>
      </c>
      <c r="J147" s="23">
        <v>15787</v>
      </c>
      <c r="K147" s="23">
        <v>2765</v>
      </c>
      <c r="L147" s="23" t="s">
        <v>323</v>
      </c>
      <c r="M147" s="23">
        <f t="shared" si="2"/>
        <v>856.00000000000011</v>
      </c>
      <c r="N147" s="24" t="str">
        <f t="array" ref="N147">INDEX('MATCH INFO'!O:O, INT((ROW()-2)/10)+2 + 124)</f>
        <v>260704_CR_T1_S2</v>
      </c>
    </row>
    <row r="148" spans="1:14">
      <c r="A148" s="23" t="s">
        <v>32</v>
      </c>
      <c r="B148" s="23" t="s">
        <v>147</v>
      </c>
      <c r="C148" s="23" t="s">
        <v>104</v>
      </c>
      <c r="D148" s="23" t="s">
        <v>69</v>
      </c>
      <c r="E148" s="23" t="s">
        <v>201</v>
      </c>
      <c r="F148" s="23">
        <v>33</v>
      </c>
      <c r="G148" s="23">
        <v>9</v>
      </c>
      <c r="H148" s="23">
        <v>9</v>
      </c>
      <c r="I148" s="23">
        <v>13827</v>
      </c>
      <c r="J148" s="23">
        <v>346</v>
      </c>
      <c r="K148" s="23">
        <v>3427</v>
      </c>
      <c r="L148" s="23" t="s">
        <v>323</v>
      </c>
      <c r="M148" s="23">
        <f t="shared" si="2"/>
        <v>856.00000000000011</v>
      </c>
      <c r="N148" s="24" t="str">
        <f t="array" ref="N148">INDEX('MATCH INFO'!O:O, INT((ROW()-2)/10)+2 + 124)</f>
        <v>260704_CR_T1_S2</v>
      </c>
    </row>
    <row r="149" spans="1:14">
      <c r="A149" s="23" t="s">
        <v>32</v>
      </c>
      <c r="B149" s="23" t="s">
        <v>146</v>
      </c>
      <c r="C149" s="23" t="s">
        <v>101</v>
      </c>
      <c r="D149" s="23" t="s">
        <v>69</v>
      </c>
      <c r="E149" s="23" t="s">
        <v>201</v>
      </c>
      <c r="F149" s="23">
        <v>32</v>
      </c>
      <c r="G149" s="23">
        <v>9</v>
      </c>
      <c r="H149" s="23">
        <v>4</v>
      </c>
      <c r="I149" s="23">
        <v>15878</v>
      </c>
      <c r="J149" s="23">
        <v>0</v>
      </c>
      <c r="K149" s="23">
        <v>24241</v>
      </c>
      <c r="L149" s="23" t="s">
        <v>323</v>
      </c>
      <c r="M149" s="23">
        <f t="shared" si="2"/>
        <v>856.00000000000011</v>
      </c>
      <c r="N149" s="24" t="str">
        <f t="array" ref="N149">INDEX('MATCH INFO'!O:O, INT((ROW()-2)/10)+2 + 124)</f>
        <v>260704_CR_T1_S2</v>
      </c>
    </row>
    <row r="150" spans="1:14">
      <c r="A150" s="23" t="s">
        <v>32</v>
      </c>
      <c r="B150" s="23" t="s">
        <v>149</v>
      </c>
      <c r="C150" s="23" t="s">
        <v>104</v>
      </c>
      <c r="D150" s="23" t="s">
        <v>69</v>
      </c>
      <c r="E150" s="23" t="s">
        <v>201</v>
      </c>
      <c r="F150" s="23">
        <v>32</v>
      </c>
      <c r="G150" s="23">
        <v>10</v>
      </c>
      <c r="H150" s="23">
        <v>13</v>
      </c>
      <c r="I150" s="23">
        <v>11013</v>
      </c>
      <c r="J150" s="23">
        <v>2303</v>
      </c>
      <c r="K150" s="23">
        <v>5672</v>
      </c>
      <c r="L150" s="23" t="s">
        <v>323</v>
      </c>
      <c r="M150" s="23">
        <f t="shared" si="2"/>
        <v>856.00000000000011</v>
      </c>
      <c r="N150" s="24" t="str">
        <f t="array" ref="N150">INDEX('MATCH INFO'!O:O, INT((ROW()-2)/10)+2 + 124)</f>
        <v>260704_CR_T1_S2</v>
      </c>
    </row>
    <row r="151" spans="1:14">
      <c r="A151" s="23" t="s">
        <v>32</v>
      </c>
      <c r="B151" s="23" t="s">
        <v>151</v>
      </c>
      <c r="C151" s="23" t="s">
        <v>109</v>
      </c>
      <c r="D151" s="23" t="s">
        <v>69</v>
      </c>
      <c r="E151" s="23" t="s">
        <v>201</v>
      </c>
      <c r="F151" s="23">
        <v>22</v>
      </c>
      <c r="G151" s="23">
        <v>5</v>
      </c>
      <c r="H151" s="23">
        <v>29</v>
      </c>
      <c r="I151" s="23">
        <v>6045</v>
      </c>
      <c r="J151" s="23">
        <v>15148</v>
      </c>
      <c r="K151" s="23">
        <v>0</v>
      </c>
      <c r="L151" s="23" t="s">
        <v>323</v>
      </c>
      <c r="M151" s="23">
        <f t="shared" si="2"/>
        <v>856.00000000000011</v>
      </c>
      <c r="N151" s="24" t="str">
        <f t="array" ref="N151">INDEX('MATCH INFO'!O:O, INT((ROW()-2)/10)+2 + 124)</f>
        <v>260704_CR_T1_S2</v>
      </c>
    </row>
    <row r="152" spans="1:14">
      <c r="A152" s="23" t="s">
        <v>41</v>
      </c>
      <c r="B152" s="23" t="s">
        <v>157</v>
      </c>
      <c r="C152" s="23" t="s">
        <v>109</v>
      </c>
      <c r="D152" s="23" t="s">
        <v>44</v>
      </c>
      <c r="E152" s="23" t="s">
        <v>190</v>
      </c>
      <c r="F152" s="23">
        <v>24</v>
      </c>
      <c r="G152" s="23">
        <v>10</v>
      </c>
      <c r="H152" s="23">
        <v>28</v>
      </c>
      <c r="I152" s="23">
        <v>4788</v>
      </c>
      <c r="J152" s="23">
        <v>12094</v>
      </c>
      <c r="K152" s="23">
        <v>735</v>
      </c>
      <c r="L152" s="23" t="s">
        <v>318</v>
      </c>
      <c r="M152" s="23">
        <f t="shared" si="2"/>
        <v>858</v>
      </c>
      <c r="N152" s="24" t="str">
        <f t="array" ref="N152">INDEX('MATCH INFO'!O:O, INT((ROW()-2)/10)+2 + 124)</f>
        <v>260704_CR_T1_S3</v>
      </c>
    </row>
    <row r="153" spans="1:14">
      <c r="A153" s="23" t="s">
        <v>41</v>
      </c>
      <c r="B153" s="23" t="s">
        <v>152</v>
      </c>
      <c r="C153" s="23" t="s">
        <v>101</v>
      </c>
      <c r="D153" s="23" t="s">
        <v>44</v>
      </c>
      <c r="E153" s="23" t="s">
        <v>190</v>
      </c>
      <c r="F153" s="23">
        <v>28</v>
      </c>
      <c r="G153" s="23">
        <v>8</v>
      </c>
      <c r="H153" s="23">
        <v>18</v>
      </c>
      <c r="I153" s="23">
        <v>17412</v>
      </c>
      <c r="J153" s="23">
        <v>4573</v>
      </c>
      <c r="K153" s="23">
        <v>6963</v>
      </c>
      <c r="L153" s="23" t="s">
        <v>318</v>
      </c>
      <c r="M153" s="23">
        <f t="shared" si="2"/>
        <v>858</v>
      </c>
      <c r="N153" s="24" t="str">
        <f t="array" ref="N153">INDEX('MATCH INFO'!O:O, INT((ROW()-2)/10)+2 + 124)</f>
        <v>260704_CR_T1_S3</v>
      </c>
    </row>
    <row r="154" spans="1:14">
      <c r="A154" s="23" t="s">
        <v>41</v>
      </c>
      <c r="B154" s="23" t="s">
        <v>155</v>
      </c>
      <c r="C154" s="23" t="s">
        <v>104</v>
      </c>
      <c r="D154" s="23" t="s">
        <v>44</v>
      </c>
      <c r="E154" s="23" t="s">
        <v>190</v>
      </c>
      <c r="F154" s="23">
        <v>36</v>
      </c>
      <c r="G154" s="23">
        <v>9</v>
      </c>
      <c r="H154" s="23">
        <v>4</v>
      </c>
      <c r="I154" s="23">
        <v>15448</v>
      </c>
      <c r="J154" s="23">
        <v>50</v>
      </c>
      <c r="K154" s="23">
        <v>751</v>
      </c>
      <c r="L154" s="23" t="s">
        <v>318</v>
      </c>
      <c r="M154" s="23">
        <f t="shared" si="2"/>
        <v>858</v>
      </c>
      <c r="N154" s="24" t="str">
        <f t="array" ref="N154">INDEX('MATCH INFO'!O:O, INT((ROW()-2)/10)+2 + 124)</f>
        <v>260704_CR_T1_S3</v>
      </c>
    </row>
    <row r="155" spans="1:14">
      <c r="A155" s="23" t="s">
        <v>41</v>
      </c>
      <c r="B155" s="23" t="s">
        <v>158</v>
      </c>
      <c r="C155" s="23" t="s">
        <v>109</v>
      </c>
      <c r="D155" s="23" t="s">
        <v>44</v>
      </c>
      <c r="E155" s="23" t="s">
        <v>190</v>
      </c>
      <c r="F155" s="23">
        <v>15</v>
      </c>
      <c r="G155" s="23">
        <v>12</v>
      </c>
      <c r="H155" s="23">
        <v>30</v>
      </c>
      <c r="I155" s="23">
        <v>5685</v>
      </c>
      <c r="J155" s="23">
        <v>14885</v>
      </c>
      <c r="K155" s="23">
        <v>0</v>
      </c>
      <c r="L155" s="23" t="s">
        <v>318</v>
      </c>
      <c r="M155" s="23">
        <f t="shared" si="2"/>
        <v>858</v>
      </c>
      <c r="N155" s="24" t="str">
        <f t="array" ref="N155">INDEX('MATCH INFO'!O:O, INT((ROW()-2)/10)+2 + 124)</f>
        <v>260704_CR_T1_S3</v>
      </c>
    </row>
    <row r="156" spans="1:14">
      <c r="A156" s="23" t="s">
        <v>41</v>
      </c>
      <c r="B156" s="23" t="s">
        <v>154</v>
      </c>
      <c r="C156" s="23" t="s">
        <v>104</v>
      </c>
      <c r="D156" s="23" t="s">
        <v>44</v>
      </c>
      <c r="E156" s="23" t="s">
        <v>190</v>
      </c>
      <c r="F156" s="23">
        <v>31</v>
      </c>
      <c r="G156" s="23">
        <v>11</v>
      </c>
      <c r="H156" s="23">
        <v>0</v>
      </c>
      <c r="I156" s="23">
        <v>10928</v>
      </c>
      <c r="J156" s="23">
        <v>1139</v>
      </c>
      <c r="K156" s="23">
        <v>836</v>
      </c>
      <c r="L156" s="23" t="s">
        <v>318</v>
      </c>
      <c r="M156" s="23">
        <f t="shared" si="2"/>
        <v>858</v>
      </c>
      <c r="N156" s="24" t="str">
        <f t="array" ref="N156">INDEX('MATCH INFO'!O:O, INT((ROW()-2)/10)+2 + 124)</f>
        <v>260704_CR_T1_S3</v>
      </c>
    </row>
    <row r="157" spans="1:14">
      <c r="A157" s="23" t="s">
        <v>32</v>
      </c>
      <c r="B157" s="23" t="s">
        <v>150</v>
      </c>
      <c r="C157" s="23" t="s">
        <v>109</v>
      </c>
      <c r="D157" s="23" t="s">
        <v>44</v>
      </c>
      <c r="E157" s="23" t="s">
        <v>190</v>
      </c>
      <c r="F157" s="23">
        <v>32</v>
      </c>
      <c r="G157" s="23">
        <v>9</v>
      </c>
      <c r="H157" s="23">
        <v>29</v>
      </c>
      <c r="I157" s="23">
        <v>5211</v>
      </c>
      <c r="J157" s="23">
        <v>8536</v>
      </c>
      <c r="K157" s="23">
        <v>0</v>
      </c>
      <c r="L157" s="23" t="s">
        <v>318</v>
      </c>
      <c r="M157" s="23">
        <f t="shared" si="2"/>
        <v>858</v>
      </c>
      <c r="N157" s="24" t="str">
        <f t="array" ref="N157">INDEX('MATCH INFO'!O:O, INT((ROW()-2)/10)+2 + 124)</f>
        <v>260704_CR_T1_S3</v>
      </c>
    </row>
    <row r="158" spans="1:14">
      <c r="A158" s="23" t="s">
        <v>32</v>
      </c>
      <c r="B158" s="23" t="s">
        <v>147</v>
      </c>
      <c r="C158" s="23" t="s">
        <v>104</v>
      </c>
      <c r="D158" s="23" t="s">
        <v>44</v>
      </c>
      <c r="E158" s="23" t="s">
        <v>190</v>
      </c>
      <c r="F158" s="23">
        <v>38</v>
      </c>
      <c r="G158" s="23">
        <v>6</v>
      </c>
      <c r="H158" s="23">
        <v>0</v>
      </c>
      <c r="I158" s="23">
        <v>14059</v>
      </c>
      <c r="J158" s="23">
        <v>986</v>
      </c>
      <c r="K158" s="23">
        <v>0</v>
      </c>
      <c r="L158" s="23" t="s">
        <v>318</v>
      </c>
      <c r="M158" s="23">
        <f t="shared" si="2"/>
        <v>858</v>
      </c>
      <c r="N158" s="24" t="str">
        <f t="array" ref="N158">INDEX('MATCH INFO'!O:O, INT((ROW()-2)/10)+2 + 124)</f>
        <v>260704_CR_T1_S3</v>
      </c>
    </row>
    <row r="159" spans="1:14">
      <c r="A159" s="23" t="s">
        <v>32</v>
      </c>
      <c r="B159" s="23" t="s">
        <v>146</v>
      </c>
      <c r="C159" s="23" t="s">
        <v>101</v>
      </c>
      <c r="D159" s="23" t="s">
        <v>44</v>
      </c>
      <c r="E159" s="23" t="s">
        <v>190</v>
      </c>
      <c r="F159" s="23">
        <v>34</v>
      </c>
      <c r="G159" s="23">
        <v>10</v>
      </c>
      <c r="H159" s="23">
        <v>30</v>
      </c>
      <c r="I159" s="23">
        <v>15628</v>
      </c>
      <c r="J159" s="23">
        <v>4101</v>
      </c>
      <c r="K159" s="23">
        <v>8865</v>
      </c>
      <c r="L159" s="23" t="s">
        <v>318</v>
      </c>
      <c r="M159" s="23">
        <f t="shared" si="2"/>
        <v>858</v>
      </c>
      <c r="N159" s="24" t="str">
        <f t="array" ref="N159">INDEX('MATCH INFO'!O:O, INT((ROW()-2)/10)+2 + 124)</f>
        <v>260704_CR_T1_S3</v>
      </c>
    </row>
    <row r="160" spans="1:14">
      <c r="A160" s="23" t="s">
        <v>32</v>
      </c>
      <c r="B160" s="23" t="s">
        <v>149</v>
      </c>
      <c r="C160" s="23" t="s">
        <v>104</v>
      </c>
      <c r="D160" s="23" t="s">
        <v>44</v>
      </c>
      <c r="E160" s="23" t="s">
        <v>190</v>
      </c>
      <c r="F160" s="23">
        <v>40</v>
      </c>
      <c r="G160" s="23">
        <v>12</v>
      </c>
      <c r="H160" s="23">
        <v>3</v>
      </c>
      <c r="I160" s="23">
        <v>15037</v>
      </c>
      <c r="J160" s="23">
        <v>230</v>
      </c>
      <c r="K160" s="23">
        <v>1011</v>
      </c>
      <c r="L160" s="23" t="s">
        <v>318</v>
      </c>
      <c r="M160" s="23">
        <f t="shared" si="2"/>
        <v>858</v>
      </c>
      <c r="N160" s="24" t="str">
        <f t="array" ref="N160">INDEX('MATCH INFO'!O:O, INT((ROW()-2)/10)+2 + 124)</f>
        <v>260704_CR_T1_S3</v>
      </c>
    </row>
    <row r="161" spans="1:14">
      <c r="A161" s="23" t="s">
        <v>32</v>
      </c>
      <c r="B161" s="23" t="s">
        <v>151</v>
      </c>
      <c r="C161" s="23" t="s">
        <v>109</v>
      </c>
      <c r="D161" s="23" t="s">
        <v>44</v>
      </c>
      <c r="E161" s="23" t="s">
        <v>190</v>
      </c>
      <c r="F161" s="23">
        <v>24</v>
      </c>
      <c r="G161" s="23">
        <v>10</v>
      </c>
      <c r="H161" s="23">
        <v>34</v>
      </c>
      <c r="I161" s="23">
        <v>8677</v>
      </c>
      <c r="J161" s="23">
        <v>14523</v>
      </c>
      <c r="K161" s="23">
        <v>0</v>
      </c>
      <c r="L161" s="23" t="s">
        <v>318</v>
      </c>
      <c r="M161" s="23">
        <f t="shared" si="2"/>
        <v>858</v>
      </c>
      <c r="N161" s="24" t="str">
        <f t="array" ref="N161">INDEX('MATCH INFO'!O:O, INT((ROW()-2)/10)+2 + 124)</f>
        <v>260704_CR_T1_S3</v>
      </c>
    </row>
    <row r="162" spans="1:14">
      <c r="A162" s="23" t="s">
        <v>41</v>
      </c>
      <c r="B162" s="23" t="s">
        <v>157</v>
      </c>
      <c r="C162" s="23" t="s">
        <v>109</v>
      </c>
      <c r="D162" s="23" t="s">
        <v>61</v>
      </c>
      <c r="E162" s="23" t="s">
        <v>196</v>
      </c>
      <c r="F162" s="23">
        <v>16</v>
      </c>
      <c r="G162" s="23">
        <v>11</v>
      </c>
      <c r="H162" s="23">
        <v>16</v>
      </c>
      <c r="I162" s="23">
        <v>5432</v>
      </c>
      <c r="J162" s="23">
        <v>12015</v>
      </c>
      <c r="K162" s="23">
        <v>2778</v>
      </c>
      <c r="L162" s="23" t="s">
        <v>324</v>
      </c>
      <c r="M162" s="23">
        <f t="shared" si="2"/>
        <v>956.00000000000011</v>
      </c>
      <c r="N162" s="24" t="str">
        <f t="array" ref="N162">INDEX('MATCH INFO'!O:O, INT((ROW()-2)/10)+2 + 124)</f>
        <v>260704_CR_T1_S4</v>
      </c>
    </row>
    <row r="163" spans="1:14">
      <c r="A163" s="23" t="s">
        <v>41</v>
      </c>
      <c r="B163" s="23" t="s">
        <v>152</v>
      </c>
      <c r="C163" s="23" t="s">
        <v>101</v>
      </c>
      <c r="D163" s="23" t="s">
        <v>61</v>
      </c>
      <c r="E163" s="23" t="s">
        <v>196</v>
      </c>
      <c r="F163" s="23">
        <v>22</v>
      </c>
      <c r="G163" s="23">
        <v>9</v>
      </c>
      <c r="H163" s="23">
        <v>6</v>
      </c>
      <c r="I163" s="23">
        <v>12497</v>
      </c>
      <c r="J163" s="23">
        <v>850</v>
      </c>
      <c r="K163" s="23">
        <v>13678</v>
      </c>
      <c r="L163" s="23" t="s">
        <v>324</v>
      </c>
      <c r="M163" s="23">
        <f t="shared" si="2"/>
        <v>956.00000000000011</v>
      </c>
      <c r="N163" s="24" t="str">
        <f t="array" ref="N163">INDEX('MATCH INFO'!O:O, INT((ROW()-2)/10)+2 + 124)</f>
        <v>260704_CR_T1_S4</v>
      </c>
    </row>
    <row r="164" spans="1:14">
      <c r="A164" s="23" t="s">
        <v>41</v>
      </c>
      <c r="B164" s="23" t="s">
        <v>155</v>
      </c>
      <c r="C164" s="23" t="s">
        <v>104</v>
      </c>
      <c r="D164" s="23" t="s">
        <v>61</v>
      </c>
      <c r="E164" s="23" t="s">
        <v>196</v>
      </c>
      <c r="F164" s="23">
        <v>22</v>
      </c>
      <c r="G164" s="23">
        <v>12</v>
      </c>
      <c r="H164" s="23">
        <v>0</v>
      </c>
      <c r="I164" s="23">
        <v>15970</v>
      </c>
      <c r="J164" s="23">
        <v>72</v>
      </c>
      <c r="K164" s="23">
        <v>358</v>
      </c>
      <c r="L164" s="23" t="s">
        <v>324</v>
      </c>
      <c r="M164" s="23">
        <f t="shared" si="2"/>
        <v>956.00000000000011</v>
      </c>
      <c r="N164" s="24" t="str">
        <f t="array" ref="N164">INDEX('MATCH INFO'!O:O, INT((ROW()-2)/10)+2 + 124)</f>
        <v>260704_CR_T1_S4</v>
      </c>
    </row>
    <row r="165" spans="1:14">
      <c r="A165" s="23" t="s">
        <v>41</v>
      </c>
      <c r="B165" s="23" t="s">
        <v>158</v>
      </c>
      <c r="C165" s="23" t="s">
        <v>109</v>
      </c>
      <c r="D165" s="23" t="s">
        <v>61</v>
      </c>
      <c r="E165" s="23" t="s">
        <v>196</v>
      </c>
      <c r="F165" s="23">
        <v>8</v>
      </c>
      <c r="G165" s="23">
        <v>8</v>
      </c>
      <c r="H165" s="23">
        <v>18</v>
      </c>
      <c r="I165" s="23">
        <v>5260</v>
      </c>
      <c r="J165" s="23">
        <v>18677</v>
      </c>
      <c r="K165" s="23">
        <v>0</v>
      </c>
      <c r="L165" s="23" t="s">
        <v>324</v>
      </c>
      <c r="M165" s="23">
        <f t="shared" si="2"/>
        <v>956.00000000000011</v>
      </c>
      <c r="N165" s="24" t="str">
        <f t="array" ref="N165">INDEX('MATCH INFO'!O:O, INT((ROW()-2)/10)+2 + 124)</f>
        <v>260704_CR_T1_S4</v>
      </c>
    </row>
    <row r="166" spans="1:14">
      <c r="A166" s="23" t="s">
        <v>41</v>
      </c>
      <c r="B166" s="23" t="s">
        <v>154</v>
      </c>
      <c r="C166" s="23" t="s">
        <v>104</v>
      </c>
      <c r="D166" s="23" t="s">
        <v>61</v>
      </c>
      <c r="E166" s="23" t="s">
        <v>196</v>
      </c>
      <c r="F166" s="23">
        <v>16</v>
      </c>
      <c r="G166" s="23">
        <v>11</v>
      </c>
      <c r="H166" s="23">
        <v>4</v>
      </c>
      <c r="I166" s="23">
        <v>9429</v>
      </c>
      <c r="J166" s="23">
        <v>922</v>
      </c>
      <c r="K166" s="23">
        <v>1799</v>
      </c>
      <c r="L166" s="23" t="s">
        <v>324</v>
      </c>
      <c r="M166" s="23">
        <f t="shared" si="2"/>
        <v>956.00000000000011</v>
      </c>
      <c r="N166" s="24" t="str">
        <f t="array" ref="N166">INDEX('MATCH INFO'!O:O, INT((ROW()-2)/10)+2 + 124)</f>
        <v>260704_CR_T1_S4</v>
      </c>
    </row>
    <row r="167" spans="1:14">
      <c r="A167" s="23" t="s">
        <v>32</v>
      </c>
      <c r="B167" s="23" t="s">
        <v>150</v>
      </c>
      <c r="C167" s="23" t="s">
        <v>109</v>
      </c>
      <c r="D167" s="23" t="s">
        <v>61</v>
      </c>
      <c r="E167" s="23" t="s">
        <v>196</v>
      </c>
      <c r="F167" s="23">
        <v>33</v>
      </c>
      <c r="G167" s="23">
        <v>7</v>
      </c>
      <c r="H167" s="23">
        <v>33</v>
      </c>
      <c r="I167" s="23">
        <v>7808</v>
      </c>
      <c r="J167" s="23">
        <v>13274</v>
      </c>
      <c r="K167" s="23">
        <v>800</v>
      </c>
      <c r="L167" s="23" t="s">
        <v>324</v>
      </c>
      <c r="M167" s="23">
        <f t="shared" si="2"/>
        <v>956.00000000000011</v>
      </c>
      <c r="N167" s="24" t="str">
        <f t="array" ref="N167">INDEX('MATCH INFO'!O:O, INT((ROW()-2)/10)+2 + 124)</f>
        <v>260704_CR_T1_S4</v>
      </c>
    </row>
    <row r="168" spans="1:14">
      <c r="A168" s="23" t="s">
        <v>32</v>
      </c>
      <c r="B168" s="23" t="s">
        <v>147</v>
      </c>
      <c r="C168" s="23" t="s">
        <v>104</v>
      </c>
      <c r="D168" s="23" t="s">
        <v>61</v>
      </c>
      <c r="E168" s="23" t="s">
        <v>196</v>
      </c>
      <c r="F168" s="23">
        <v>30</v>
      </c>
      <c r="G168" s="23">
        <v>7</v>
      </c>
      <c r="H168" s="23">
        <v>5</v>
      </c>
      <c r="I168" s="23">
        <v>14961</v>
      </c>
      <c r="J168" s="23">
        <v>632</v>
      </c>
      <c r="K168" s="23">
        <v>5173</v>
      </c>
      <c r="L168" s="23" t="s">
        <v>324</v>
      </c>
      <c r="M168" s="23">
        <f t="shared" si="2"/>
        <v>956.00000000000011</v>
      </c>
      <c r="N168" s="24" t="str">
        <f t="array" ref="N168">INDEX('MATCH INFO'!O:O, INT((ROW()-2)/10)+2 + 124)</f>
        <v>260704_CR_T1_S4</v>
      </c>
    </row>
    <row r="169" spans="1:14">
      <c r="A169" s="23" t="s">
        <v>32</v>
      </c>
      <c r="B169" s="23" t="s">
        <v>146</v>
      </c>
      <c r="C169" s="23" t="s">
        <v>101</v>
      </c>
      <c r="D169" s="23" t="s">
        <v>61</v>
      </c>
      <c r="E169" s="23" t="s">
        <v>196</v>
      </c>
      <c r="F169" s="23">
        <v>36</v>
      </c>
      <c r="G169" s="23">
        <v>4</v>
      </c>
      <c r="H169" s="23">
        <v>8</v>
      </c>
      <c r="I169" s="23">
        <v>14664</v>
      </c>
      <c r="J169" s="23">
        <v>941</v>
      </c>
      <c r="K169" s="23">
        <v>22700</v>
      </c>
      <c r="L169" s="23" t="s">
        <v>324</v>
      </c>
      <c r="M169" s="23">
        <f t="shared" si="2"/>
        <v>956.00000000000011</v>
      </c>
      <c r="N169" s="24" t="str">
        <f t="array" ref="N169">INDEX('MATCH INFO'!O:O, INT((ROW()-2)/10)+2 + 124)</f>
        <v>260704_CR_T1_S4</v>
      </c>
    </row>
    <row r="170" spans="1:14">
      <c r="A170" s="23" t="s">
        <v>32</v>
      </c>
      <c r="B170" s="23" t="s">
        <v>149</v>
      </c>
      <c r="C170" s="23" t="s">
        <v>104</v>
      </c>
      <c r="D170" s="23" t="s">
        <v>61</v>
      </c>
      <c r="E170" s="23" t="s">
        <v>196</v>
      </c>
      <c r="F170" s="23">
        <v>32</v>
      </c>
      <c r="G170" s="23">
        <v>7</v>
      </c>
      <c r="H170" s="23">
        <v>0</v>
      </c>
      <c r="I170" s="23">
        <v>15459</v>
      </c>
      <c r="J170" s="23">
        <v>0</v>
      </c>
      <c r="K170" s="23">
        <v>326</v>
      </c>
      <c r="L170" s="23" t="s">
        <v>324</v>
      </c>
      <c r="M170" s="23">
        <f t="shared" si="2"/>
        <v>956.00000000000011</v>
      </c>
      <c r="N170" s="24" t="str">
        <f t="array" ref="N170">INDEX('MATCH INFO'!O:O, INT((ROW()-2)/10)+2 + 124)</f>
        <v>260704_CR_T1_S4</v>
      </c>
    </row>
    <row r="171" spans="1:14">
      <c r="A171" s="23" t="s">
        <v>32</v>
      </c>
      <c r="B171" s="23" t="s">
        <v>151</v>
      </c>
      <c r="C171" s="23" t="s">
        <v>109</v>
      </c>
      <c r="D171" s="23" t="s">
        <v>61</v>
      </c>
      <c r="E171" s="23" t="s">
        <v>196</v>
      </c>
      <c r="F171" s="23">
        <v>18</v>
      </c>
      <c r="G171" s="23">
        <v>5</v>
      </c>
      <c r="H171" s="23">
        <v>43</v>
      </c>
      <c r="I171" s="23">
        <v>6864</v>
      </c>
      <c r="J171" s="23">
        <v>19577</v>
      </c>
      <c r="K171" s="23">
        <v>0</v>
      </c>
      <c r="L171" s="23" t="s">
        <v>324</v>
      </c>
      <c r="M171" s="23">
        <f t="shared" si="2"/>
        <v>956.00000000000011</v>
      </c>
      <c r="N171" s="24" t="str">
        <f t="array" ref="N171">INDEX('MATCH INFO'!O:O, INT((ROW()-2)/10)+2 + 124)</f>
        <v>260704_CR_T1_S4</v>
      </c>
    </row>
    <row r="172" spans="1:14">
      <c r="A172" s="23" t="s">
        <v>31</v>
      </c>
      <c r="B172" s="23" t="s">
        <v>163</v>
      </c>
      <c r="C172" s="23" t="s">
        <v>104</v>
      </c>
      <c r="D172" s="23" t="s">
        <v>22</v>
      </c>
      <c r="E172" s="23" t="s">
        <v>188</v>
      </c>
      <c r="F172" s="23">
        <v>14</v>
      </c>
      <c r="G172" s="23">
        <v>10</v>
      </c>
      <c r="H172" s="23">
        <v>0</v>
      </c>
      <c r="I172" s="23">
        <v>8822</v>
      </c>
      <c r="J172" s="23">
        <v>1309</v>
      </c>
      <c r="K172" s="23">
        <v>0</v>
      </c>
      <c r="L172" s="23" t="s">
        <v>325</v>
      </c>
      <c r="M172" s="23">
        <f t="shared" si="2"/>
        <v>681</v>
      </c>
      <c r="N172" s="24" t="str">
        <f t="array" ref="N172">INDEX('MATCH INFO'!O:O, INT((ROW()-2)/10)+2 + 124)</f>
        <v>260704_ZETA_FLC_S1</v>
      </c>
    </row>
    <row r="173" spans="1:14">
      <c r="A173" s="23" t="s">
        <v>31</v>
      </c>
      <c r="B173" s="23" t="s">
        <v>165</v>
      </c>
      <c r="C173" s="23" t="s">
        <v>109</v>
      </c>
      <c r="D173" s="23" t="s">
        <v>22</v>
      </c>
      <c r="E173" s="23" t="s">
        <v>188</v>
      </c>
      <c r="F173" s="23">
        <v>23</v>
      </c>
      <c r="G173" s="23">
        <v>7</v>
      </c>
      <c r="H173" s="23">
        <v>12</v>
      </c>
      <c r="I173" s="23">
        <v>7457</v>
      </c>
      <c r="J173" s="23">
        <v>10324</v>
      </c>
      <c r="K173" s="23">
        <v>0</v>
      </c>
      <c r="L173" s="23" t="s">
        <v>325</v>
      </c>
      <c r="M173" s="23">
        <f t="shared" si="2"/>
        <v>681</v>
      </c>
      <c r="N173" s="24" t="str">
        <f t="array" ref="N173">INDEX('MATCH INFO'!O:O, INT((ROW()-2)/10)+2 + 124)</f>
        <v>260704_ZETA_FLC_S1</v>
      </c>
    </row>
    <row r="174" spans="1:14">
      <c r="A174" s="23" t="s">
        <v>31</v>
      </c>
      <c r="B174" s="23" t="s">
        <v>166</v>
      </c>
      <c r="C174" s="23" t="s">
        <v>109</v>
      </c>
      <c r="D174" s="23" t="s">
        <v>22</v>
      </c>
      <c r="E174" s="23" t="s">
        <v>188</v>
      </c>
      <c r="F174" s="23">
        <v>21</v>
      </c>
      <c r="G174" s="23">
        <v>6</v>
      </c>
      <c r="H174" s="23">
        <v>32</v>
      </c>
      <c r="I174" s="23">
        <v>6314</v>
      </c>
      <c r="J174" s="23">
        <v>10576</v>
      </c>
      <c r="K174" s="23">
        <v>0</v>
      </c>
      <c r="L174" s="23" t="s">
        <v>325</v>
      </c>
      <c r="M174" s="23">
        <f t="shared" si="2"/>
        <v>681</v>
      </c>
      <c r="N174" s="24" t="str">
        <f t="array" ref="N174">INDEX('MATCH INFO'!O:O, INT((ROW()-2)/10)+2 + 124)</f>
        <v>260704_ZETA_FLC_S1</v>
      </c>
    </row>
    <row r="175" spans="1:14">
      <c r="A175" s="23" t="s">
        <v>31</v>
      </c>
      <c r="B175" s="23" t="s">
        <v>161</v>
      </c>
      <c r="C175" s="23" t="s">
        <v>101</v>
      </c>
      <c r="D175" s="23" t="s">
        <v>22</v>
      </c>
      <c r="E175" s="23" t="s">
        <v>188</v>
      </c>
      <c r="F175" s="23">
        <v>29</v>
      </c>
      <c r="G175" s="23">
        <v>9</v>
      </c>
      <c r="H175" s="23">
        <v>25</v>
      </c>
      <c r="I175" s="23">
        <v>14821</v>
      </c>
      <c r="J175" s="23">
        <v>4091</v>
      </c>
      <c r="K175" s="23">
        <v>6886</v>
      </c>
      <c r="L175" s="23" t="s">
        <v>325</v>
      </c>
      <c r="M175" s="23">
        <f t="shared" si="2"/>
        <v>681</v>
      </c>
      <c r="N175" s="24" t="str">
        <f t="array" ref="N175">INDEX('MATCH INFO'!O:O, INT((ROW()-2)/10)+2 + 124)</f>
        <v>260704_ZETA_FLC_S1</v>
      </c>
    </row>
    <row r="176" spans="1:14">
      <c r="A176" s="23" t="s">
        <v>31</v>
      </c>
      <c r="B176" s="23" t="s">
        <v>162</v>
      </c>
      <c r="C176" s="23" t="s">
        <v>104</v>
      </c>
      <c r="D176" s="23" t="s">
        <v>22</v>
      </c>
      <c r="E176" s="23" t="s">
        <v>188</v>
      </c>
      <c r="F176" s="23">
        <v>31</v>
      </c>
      <c r="G176" s="23">
        <v>10</v>
      </c>
      <c r="H176" s="23">
        <v>4</v>
      </c>
      <c r="I176" s="23">
        <v>13348</v>
      </c>
      <c r="J176" s="23">
        <v>284</v>
      </c>
      <c r="K176" s="23">
        <v>522</v>
      </c>
      <c r="L176" s="23" t="s">
        <v>325</v>
      </c>
      <c r="M176" s="23">
        <f t="shared" si="2"/>
        <v>681</v>
      </c>
      <c r="N176" s="24" t="str">
        <f t="array" ref="N176">INDEX('MATCH INFO'!O:O, INT((ROW()-2)/10)+2 + 124)</f>
        <v>260704_ZETA_FLC_S1</v>
      </c>
    </row>
    <row r="177" spans="1:14">
      <c r="A177" s="23" t="s">
        <v>42</v>
      </c>
      <c r="B177" s="23" t="s">
        <v>139</v>
      </c>
      <c r="C177" s="23" t="s">
        <v>101</v>
      </c>
      <c r="D177" s="23" t="s">
        <v>22</v>
      </c>
      <c r="E177" s="23" t="s">
        <v>188</v>
      </c>
      <c r="F177" s="23">
        <v>24</v>
      </c>
      <c r="G177" s="23">
        <v>9</v>
      </c>
      <c r="H177" s="23">
        <v>17</v>
      </c>
      <c r="I177" s="23">
        <v>15215</v>
      </c>
      <c r="J177" s="23">
        <v>2479</v>
      </c>
      <c r="K177" s="23">
        <v>7155</v>
      </c>
      <c r="L177" s="23" t="s">
        <v>325</v>
      </c>
      <c r="M177" s="23">
        <f t="shared" si="2"/>
        <v>681</v>
      </c>
      <c r="N177" s="24" t="str">
        <f t="array" ref="N177">INDEX('MATCH INFO'!O:O, INT((ROW()-2)/10)+2 + 124)</f>
        <v>260704_ZETA_FLC_S1</v>
      </c>
    </row>
    <row r="178" spans="1:14">
      <c r="A178" s="23" t="s">
        <v>42</v>
      </c>
      <c r="B178" s="23" t="s">
        <v>141</v>
      </c>
      <c r="C178" s="23" t="s">
        <v>104</v>
      </c>
      <c r="D178" s="23" t="s">
        <v>22</v>
      </c>
      <c r="E178" s="23" t="s">
        <v>188</v>
      </c>
      <c r="F178" s="23">
        <v>18</v>
      </c>
      <c r="G178" s="23">
        <v>11</v>
      </c>
      <c r="H178" s="23">
        <v>0</v>
      </c>
      <c r="I178" s="23">
        <v>9425</v>
      </c>
      <c r="J178" s="23">
        <v>1302</v>
      </c>
      <c r="K178" s="23">
        <v>0</v>
      </c>
      <c r="L178" s="23" t="s">
        <v>325</v>
      </c>
      <c r="M178" s="23">
        <f t="shared" si="2"/>
        <v>681</v>
      </c>
      <c r="N178" s="24" t="str">
        <f t="array" ref="N178">INDEX('MATCH INFO'!O:O, INT((ROW()-2)/10)+2 + 124)</f>
        <v>260704_ZETA_FLC_S1</v>
      </c>
    </row>
    <row r="179" spans="1:14">
      <c r="A179" s="23" t="s">
        <v>42</v>
      </c>
      <c r="B179" s="23" t="s">
        <v>140</v>
      </c>
      <c r="C179" s="23" t="s">
        <v>104</v>
      </c>
      <c r="D179" s="23" t="s">
        <v>22</v>
      </c>
      <c r="E179" s="23" t="s">
        <v>188</v>
      </c>
      <c r="F179" s="23">
        <v>29</v>
      </c>
      <c r="G179" s="23">
        <v>7</v>
      </c>
      <c r="H179" s="23">
        <v>3</v>
      </c>
      <c r="I179" s="23">
        <v>13973</v>
      </c>
      <c r="J179" s="23">
        <v>221</v>
      </c>
      <c r="K179" s="23">
        <v>617</v>
      </c>
      <c r="L179" s="23" t="s">
        <v>325</v>
      </c>
      <c r="M179" s="23">
        <f t="shared" si="2"/>
        <v>681</v>
      </c>
      <c r="N179" s="24" t="str">
        <f t="array" ref="N179">INDEX('MATCH INFO'!O:O, INT((ROW()-2)/10)+2 + 124)</f>
        <v>260704_ZETA_FLC_S1</v>
      </c>
    </row>
    <row r="180" spans="1:14">
      <c r="A180" s="23" t="s">
        <v>42</v>
      </c>
      <c r="B180" s="23" t="s">
        <v>143</v>
      </c>
      <c r="C180" s="23" t="s">
        <v>109</v>
      </c>
      <c r="D180" s="23" t="s">
        <v>22</v>
      </c>
      <c r="E180" s="23" t="s">
        <v>188</v>
      </c>
      <c r="F180" s="23">
        <v>17</v>
      </c>
      <c r="G180" s="23">
        <v>8</v>
      </c>
      <c r="H180" s="23">
        <v>30</v>
      </c>
      <c r="I180" s="23">
        <v>4778</v>
      </c>
      <c r="J180" s="23">
        <v>13458</v>
      </c>
      <c r="K180" s="23">
        <v>0</v>
      </c>
      <c r="L180" s="23" t="s">
        <v>325</v>
      </c>
      <c r="M180" s="23">
        <f t="shared" si="2"/>
        <v>681</v>
      </c>
      <c r="N180" s="24" t="str">
        <f t="array" ref="N180">INDEX('MATCH INFO'!O:O, INT((ROW()-2)/10)+2 + 124)</f>
        <v>260704_ZETA_FLC_S1</v>
      </c>
    </row>
    <row r="181" spans="1:14">
      <c r="A181" s="23" t="s">
        <v>42</v>
      </c>
      <c r="B181" s="23" t="s">
        <v>142</v>
      </c>
      <c r="C181" s="23" t="s">
        <v>109</v>
      </c>
      <c r="D181" s="23" t="s">
        <v>22</v>
      </c>
      <c r="E181" s="23" t="s">
        <v>188</v>
      </c>
      <c r="F181" s="23">
        <v>24</v>
      </c>
      <c r="G181" s="23">
        <v>10</v>
      </c>
      <c r="H181" s="23">
        <v>18</v>
      </c>
      <c r="I181" s="23">
        <v>6626</v>
      </c>
      <c r="J181" s="23">
        <v>9734</v>
      </c>
      <c r="K181" s="23">
        <v>0</v>
      </c>
      <c r="L181" s="23" t="s">
        <v>325</v>
      </c>
      <c r="M181" s="23">
        <f t="shared" si="2"/>
        <v>681</v>
      </c>
      <c r="N181" s="24" t="str">
        <f t="array" ref="N181">INDEX('MATCH INFO'!O:O, INT((ROW()-2)/10)+2 + 124)</f>
        <v>260704_ZETA_FLC_S1</v>
      </c>
    </row>
    <row r="182" spans="1:14">
      <c r="A182" s="23" t="s">
        <v>31</v>
      </c>
      <c r="B182" s="23" t="s">
        <v>163</v>
      </c>
      <c r="C182" s="23" t="s">
        <v>104</v>
      </c>
      <c r="D182" s="23" t="s">
        <v>37</v>
      </c>
      <c r="E182" s="23" t="s">
        <v>196</v>
      </c>
      <c r="F182" s="23">
        <v>26</v>
      </c>
      <c r="G182" s="23">
        <v>13</v>
      </c>
      <c r="H182" s="23">
        <v>2</v>
      </c>
      <c r="I182" s="23">
        <v>12828</v>
      </c>
      <c r="J182" s="23">
        <v>1781</v>
      </c>
      <c r="K182" s="23">
        <v>568</v>
      </c>
      <c r="L182" s="23" t="s">
        <v>326</v>
      </c>
      <c r="M182" s="23">
        <f t="shared" si="2"/>
        <v>820</v>
      </c>
      <c r="N182" s="24" t="str">
        <f t="array" ref="N182">INDEX('MATCH INFO'!O:O, INT((ROW()-2)/10)+2 + 124)</f>
        <v>260704_ZETA_FLC_S2</v>
      </c>
    </row>
    <row r="183" spans="1:14">
      <c r="A183" s="23" t="s">
        <v>31</v>
      </c>
      <c r="B183" s="23" t="s">
        <v>165</v>
      </c>
      <c r="C183" s="23" t="s">
        <v>109</v>
      </c>
      <c r="D183" s="23" t="s">
        <v>37</v>
      </c>
      <c r="E183" s="23" t="s">
        <v>196</v>
      </c>
      <c r="F183" s="23">
        <v>21</v>
      </c>
      <c r="G183" s="23">
        <v>16</v>
      </c>
      <c r="H183" s="23">
        <v>20</v>
      </c>
      <c r="I183" s="23">
        <v>6612</v>
      </c>
      <c r="J183" s="23">
        <v>10869</v>
      </c>
      <c r="K183" s="23">
        <v>2673</v>
      </c>
      <c r="L183" s="23" t="s">
        <v>326</v>
      </c>
      <c r="M183" s="23">
        <f t="shared" si="2"/>
        <v>820</v>
      </c>
      <c r="N183" s="24" t="str">
        <f t="array" ref="N183">INDEX('MATCH INFO'!O:O, INT((ROW()-2)/10)+2 + 124)</f>
        <v>260704_ZETA_FLC_S2</v>
      </c>
    </row>
    <row r="184" spans="1:14">
      <c r="A184" s="23" t="s">
        <v>31</v>
      </c>
      <c r="B184" s="23" t="s">
        <v>166</v>
      </c>
      <c r="C184" s="23" t="s">
        <v>109</v>
      </c>
      <c r="D184" s="23" t="s">
        <v>37</v>
      </c>
      <c r="E184" s="23" t="s">
        <v>196</v>
      </c>
      <c r="F184" s="23">
        <v>18</v>
      </c>
      <c r="G184" s="23">
        <v>11</v>
      </c>
      <c r="H184" s="23">
        <v>31</v>
      </c>
      <c r="I184" s="23">
        <v>6189</v>
      </c>
      <c r="J184" s="23">
        <v>19429</v>
      </c>
      <c r="K184" s="23">
        <v>0</v>
      </c>
      <c r="L184" s="23" t="s">
        <v>326</v>
      </c>
      <c r="M184" s="23">
        <f t="shared" si="2"/>
        <v>820</v>
      </c>
      <c r="N184" s="24" t="str">
        <f t="array" ref="N184">INDEX('MATCH INFO'!O:O, INT((ROW()-2)/10)+2 + 124)</f>
        <v>260704_ZETA_FLC_S2</v>
      </c>
    </row>
    <row r="185" spans="1:14">
      <c r="A185" s="23" t="s">
        <v>31</v>
      </c>
      <c r="B185" s="23" t="s">
        <v>160</v>
      </c>
      <c r="C185" s="23" t="s">
        <v>101</v>
      </c>
      <c r="D185" s="23" t="s">
        <v>37</v>
      </c>
      <c r="E185" s="23" t="s">
        <v>196</v>
      </c>
      <c r="F185" s="23">
        <v>32</v>
      </c>
      <c r="G185" s="23">
        <v>7</v>
      </c>
      <c r="H185" s="23">
        <v>2</v>
      </c>
      <c r="I185" s="23">
        <v>17978</v>
      </c>
      <c r="J185" s="23">
        <v>798</v>
      </c>
      <c r="K185" s="23">
        <v>27210</v>
      </c>
      <c r="L185" s="23" t="s">
        <v>326</v>
      </c>
      <c r="M185" s="23">
        <f t="shared" si="2"/>
        <v>820</v>
      </c>
      <c r="N185" s="24" t="str">
        <f t="array" ref="N185">INDEX('MATCH INFO'!O:O, INT((ROW()-2)/10)+2 + 124)</f>
        <v>260704_ZETA_FLC_S2</v>
      </c>
    </row>
    <row r="186" spans="1:14">
      <c r="A186" s="23" t="s">
        <v>31</v>
      </c>
      <c r="B186" s="23" t="s">
        <v>162</v>
      </c>
      <c r="C186" s="23" t="s">
        <v>104</v>
      </c>
      <c r="D186" s="23" t="s">
        <v>37</v>
      </c>
      <c r="E186" s="23" t="s">
        <v>196</v>
      </c>
      <c r="F186" s="23">
        <v>19</v>
      </c>
      <c r="G186" s="23">
        <v>16</v>
      </c>
      <c r="H186" s="23">
        <v>5</v>
      </c>
      <c r="I186" s="23">
        <v>11113</v>
      </c>
      <c r="J186" s="23">
        <v>0</v>
      </c>
      <c r="K186" s="23">
        <v>1034</v>
      </c>
      <c r="L186" s="23" t="s">
        <v>326</v>
      </c>
      <c r="M186" s="23">
        <f t="shared" si="2"/>
        <v>820</v>
      </c>
      <c r="N186" s="24" t="str">
        <f t="array" ref="N186">INDEX('MATCH INFO'!O:O, INT((ROW()-2)/10)+2 + 124)</f>
        <v>260704_ZETA_FLC_S2</v>
      </c>
    </row>
    <row r="187" spans="1:14">
      <c r="A187" s="23" t="s">
        <v>42</v>
      </c>
      <c r="B187" s="23" t="s">
        <v>139</v>
      </c>
      <c r="C187" s="23" t="s">
        <v>101</v>
      </c>
      <c r="D187" s="23" t="s">
        <v>37</v>
      </c>
      <c r="E187" s="23" t="s">
        <v>196</v>
      </c>
      <c r="F187" s="23">
        <v>36</v>
      </c>
      <c r="G187" s="23">
        <v>9</v>
      </c>
      <c r="H187" s="23">
        <v>19</v>
      </c>
      <c r="I187" s="23">
        <v>15738</v>
      </c>
      <c r="J187" s="23">
        <v>1664</v>
      </c>
      <c r="K187" s="23">
        <v>7439</v>
      </c>
      <c r="L187" s="23" t="s">
        <v>326</v>
      </c>
      <c r="M187" s="23">
        <f t="shared" si="2"/>
        <v>820</v>
      </c>
      <c r="N187" s="24" t="str">
        <f t="array" ref="N187">INDEX('MATCH INFO'!O:O, INT((ROW()-2)/10)+2 + 124)</f>
        <v>260704_ZETA_FLC_S2</v>
      </c>
    </row>
    <row r="188" spans="1:14">
      <c r="A188" s="23" t="s">
        <v>42</v>
      </c>
      <c r="B188" s="23" t="s">
        <v>141</v>
      </c>
      <c r="C188" s="23" t="s">
        <v>104</v>
      </c>
      <c r="D188" s="23" t="s">
        <v>37</v>
      </c>
      <c r="E188" s="23" t="s">
        <v>196</v>
      </c>
      <c r="F188" s="23">
        <v>46</v>
      </c>
      <c r="G188" s="23">
        <v>6</v>
      </c>
      <c r="H188" s="23">
        <v>0</v>
      </c>
      <c r="I188" s="23">
        <v>15708</v>
      </c>
      <c r="J188" s="23">
        <v>1847</v>
      </c>
      <c r="K188" s="23">
        <v>0</v>
      </c>
      <c r="L188" s="23" t="s">
        <v>326</v>
      </c>
      <c r="M188" s="23">
        <f t="shared" si="2"/>
        <v>820</v>
      </c>
      <c r="N188" s="24" t="str">
        <f t="array" ref="N188">INDEX('MATCH INFO'!O:O, INT((ROW()-2)/10)+2 + 124)</f>
        <v>260704_ZETA_FLC_S2</v>
      </c>
    </row>
    <row r="189" spans="1:14">
      <c r="A189" s="23" t="s">
        <v>42</v>
      </c>
      <c r="B189" s="23" t="s">
        <v>140</v>
      </c>
      <c r="C189" s="23" t="s">
        <v>104</v>
      </c>
      <c r="D189" s="23" t="s">
        <v>37</v>
      </c>
      <c r="E189" s="23" t="s">
        <v>196</v>
      </c>
      <c r="F189" s="23">
        <v>37</v>
      </c>
      <c r="G189" s="23">
        <v>10</v>
      </c>
      <c r="H189" s="23">
        <v>5</v>
      </c>
      <c r="I189" s="23">
        <v>15442</v>
      </c>
      <c r="J189" s="23">
        <v>0</v>
      </c>
      <c r="K189" s="23">
        <v>909</v>
      </c>
      <c r="L189" s="23" t="s">
        <v>326</v>
      </c>
      <c r="M189" s="23">
        <f t="shared" si="2"/>
        <v>820</v>
      </c>
      <c r="N189" s="24" t="str">
        <f t="array" ref="N189">INDEX('MATCH INFO'!O:O, INT((ROW()-2)/10)+2 + 124)</f>
        <v>260704_ZETA_FLC_S2</v>
      </c>
    </row>
    <row r="190" spans="1:14">
      <c r="A190" s="23" t="s">
        <v>42</v>
      </c>
      <c r="B190" s="23" t="s">
        <v>143</v>
      </c>
      <c r="C190" s="23" t="s">
        <v>109</v>
      </c>
      <c r="D190" s="23" t="s">
        <v>37</v>
      </c>
      <c r="E190" s="23" t="s">
        <v>196</v>
      </c>
      <c r="F190" s="23">
        <v>22</v>
      </c>
      <c r="G190" s="23">
        <v>8</v>
      </c>
      <c r="H190" s="23">
        <v>41</v>
      </c>
      <c r="I190" s="23">
        <v>5510</v>
      </c>
      <c r="J190" s="23">
        <v>14654</v>
      </c>
      <c r="K190" s="23">
        <v>0</v>
      </c>
      <c r="L190" s="23" t="s">
        <v>326</v>
      </c>
      <c r="M190" s="23">
        <f t="shared" si="2"/>
        <v>820</v>
      </c>
      <c r="N190" s="24" t="str">
        <f t="array" ref="N190">INDEX('MATCH INFO'!O:O, INT((ROW()-2)/10)+2 + 124)</f>
        <v>260704_ZETA_FLC_S2</v>
      </c>
    </row>
    <row r="191" spans="1:14">
      <c r="A191" s="23" t="s">
        <v>42</v>
      </c>
      <c r="B191" s="23" t="s">
        <v>142</v>
      </c>
      <c r="C191" s="23" t="s">
        <v>109</v>
      </c>
      <c r="D191" s="23" t="s">
        <v>37</v>
      </c>
      <c r="E191" s="23" t="s">
        <v>196</v>
      </c>
      <c r="F191" s="23">
        <v>37</v>
      </c>
      <c r="G191" s="23">
        <v>7</v>
      </c>
      <c r="H191" s="23">
        <v>30</v>
      </c>
      <c r="I191" s="23">
        <v>9589</v>
      </c>
      <c r="J191" s="23">
        <v>12699</v>
      </c>
      <c r="K191" s="23">
        <v>0</v>
      </c>
      <c r="L191" s="23" t="s">
        <v>326</v>
      </c>
      <c r="M191" s="23">
        <f t="shared" si="2"/>
        <v>820</v>
      </c>
      <c r="N191" s="24" t="str">
        <f t="array" ref="N191">INDEX('MATCH INFO'!O:O, INT((ROW()-2)/10)+2 + 124)</f>
        <v>260704_ZETA_FLC_S2</v>
      </c>
    </row>
    <row r="192" spans="1:14">
      <c r="A192" s="23" t="s">
        <v>31</v>
      </c>
      <c r="B192" s="23" t="s">
        <v>163</v>
      </c>
      <c r="C192" s="23" t="s">
        <v>104</v>
      </c>
      <c r="D192" s="23" t="s">
        <v>90</v>
      </c>
      <c r="E192" s="23" t="s">
        <v>192</v>
      </c>
      <c r="F192" s="23">
        <v>26</v>
      </c>
      <c r="G192" s="23">
        <v>9</v>
      </c>
      <c r="H192" s="23">
        <v>0</v>
      </c>
      <c r="I192" s="23">
        <v>8632</v>
      </c>
      <c r="J192" s="23">
        <v>1531</v>
      </c>
      <c r="K192" s="23">
        <v>0</v>
      </c>
      <c r="L192" s="23" t="s">
        <v>244</v>
      </c>
      <c r="M192" s="23">
        <f t="shared" si="2"/>
        <v>632</v>
      </c>
      <c r="N192" s="24" t="str">
        <f t="array" ref="N192">INDEX('MATCH INFO'!O:O, INT((ROW()-2)/10)+2 + 124)</f>
        <v>260704_ZETA_FLC_S3</v>
      </c>
    </row>
    <row r="193" spans="1:14">
      <c r="A193" s="23" t="s">
        <v>31</v>
      </c>
      <c r="B193" s="23" t="s">
        <v>165</v>
      </c>
      <c r="C193" s="23" t="s">
        <v>109</v>
      </c>
      <c r="D193" s="23" t="s">
        <v>90</v>
      </c>
      <c r="E193" s="23" t="s">
        <v>192</v>
      </c>
      <c r="F193" s="23">
        <v>22</v>
      </c>
      <c r="G193" s="23">
        <v>8</v>
      </c>
      <c r="H193" s="23">
        <v>21</v>
      </c>
      <c r="I193" s="23">
        <v>5940</v>
      </c>
      <c r="J193" s="23">
        <v>9598</v>
      </c>
      <c r="K193" s="23">
        <v>2338</v>
      </c>
      <c r="L193" s="23" t="s">
        <v>244</v>
      </c>
      <c r="M193" s="23">
        <f t="shared" si="2"/>
        <v>632</v>
      </c>
      <c r="N193" s="24" t="str">
        <f t="array" ref="N193">INDEX('MATCH INFO'!O:O, INT((ROW()-2)/10)+2 + 124)</f>
        <v>260704_ZETA_FLC_S3</v>
      </c>
    </row>
    <row r="194" spans="1:14">
      <c r="A194" s="23" t="s">
        <v>31</v>
      </c>
      <c r="B194" s="23" t="s">
        <v>166</v>
      </c>
      <c r="C194" s="23" t="s">
        <v>109</v>
      </c>
      <c r="D194" s="23" t="s">
        <v>90</v>
      </c>
      <c r="E194" s="23" t="s">
        <v>192</v>
      </c>
      <c r="F194" s="23">
        <v>18</v>
      </c>
      <c r="G194" s="23">
        <v>10</v>
      </c>
      <c r="H194" s="23">
        <v>24</v>
      </c>
      <c r="I194" s="23">
        <v>4522</v>
      </c>
      <c r="J194" s="23">
        <v>13953</v>
      </c>
      <c r="K194" s="23">
        <v>0</v>
      </c>
      <c r="L194" s="23" t="s">
        <v>244</v>
      </c>
      <c r="M194" s="23">
        <f t="shared" ref="M194:M257" si="3">L194*86400</f>
        <v>632</v>
      </c>
      <c r="N194" s="24" t="str">
        <f t="array" ref="N194">INDEX('MATCH INFO'!O:O, INT((ROW()-2)/10)+2 + 124)</f>
        <v>260704_ZETA_FLC_S3</v>
      </c>
    </row>
    <row r="195" spans="1:14">
      <c r="A195" s="23" t="s">
        <v>31</v>
      </c>
      <c r="B195" s="23" t="s">
        <v>160</v>
      </c>
      <c r="C195" s="23" t="s">
        <v>101</v>
      </c>
      <c r="D195" s="23" t="s">
        <v>90</v>
      </c>
      <c r="E195" s="23" t="s">
        <v>192</v>
      </c>
      <c r="F195" s="23">
        <v>31</v>
      </c>
      <c r="G195" s="23">
        <v>7</v>
      </c>
      <c r="H195" s="23">
        <v>5</v>
      </c>
      <c r="I195" s="23">
        <v>15819</v>
      </c>
      <c r="J195" s="23">
        <v>0</v>
      </c>
      <c r="K195" s="23">
        <v>24736</v>
      </c>
      <c r="L195" s="23" t="s">
        <v>244</v>
      </c>
      <c r="M195" s="23">
        <f t="shared" si="3"/>
        <v>632</v>
      </c>
      <c r="N195" s="24" t="str">
        <f t="array" ref="N195">INDEX('MATCH INFO'!O:O, INT((ROW()-2)/10)+2 + 124)</f>
        <v>260704_ZETA_FLC_S3</v>
      </c>
    </row>
    <row r="196" spans="1:14">
      <c r="A196" s="23" t="s">
        <v>31</v>
      </c>
      <c r="B196" s="23" t="s">
        <v>162</v>
      </c>
      <c r="C196" s="23" t="s">
        <v>104</v>
      </c>
      <c r="D196" s="23" t="s">
        <v>90</v>
      </c>
      <c r="E196" s="23" t="s">
        <v>192</v>
      </c>
      <c r="F196" s="23">
        <v>25</v>
      </c>
      <c r="G196" s="23">
        <v>10</v>
      </c>
      <c r="H196" s="23">
        <v>2</v>
      </c>
      <c r="I196" s="23">
        <v>11864</v>
      </c>
      <c r="J196" s="23">
        <v>75</v>
      </c>
      <c r="K196" s="23">
        <v>824</v>
      </c>
      <c r="L196" s="23" t="s">
        <v>244</v>
      </c>
      <c r="M196" s="23">
        <f t="shared" si="3"/>
        <v>632</v>
      </c>
      <c r="N196" s="24" t="str">
        <f t="array" ref="N196">INDEX('MATCH INFO'!O:O, INT((ROW()-2)/10)+2 + 124)</f>
        <v>260704_ZETA_FLC_S3</v>
      </c>
    </row>
    <row r="197" spans="1:14">
      <c r="A197" s="23" t="s">
        <v>42</v>
      </c>
      <c r="B197" s="23" t="s">
        <v>139</v>
      </c>
      <c r="C197" s="23" t="s">
        <v>101</v>
      </c>
      <c r="D197" s="23" t="s">
        <v>90</v>
      </c>
      <c r="E197" s="23" t="s">
        <v>192</v>
      </c>
      <c r="F197" s="23">
        <v>36</v>
      </c>
      <c r="G197" s="23">
        <v>7</v>
      </c>
      <c r="H197" s="23">
        <v>22</v>
      </c>
      <c r="I197" s="23">
        <v>12513</v>
      </c>
      <c r="J197" s="23">
        <v>2557</v>
      </c>
      <c r="K197" s="23">
        <v>4752</v>
      </c>
      <c r="L197" s="23" t="s">
        <v>244</v>
      </c>
      <c r="M197" s="23">
        <f t="shared" si="3"/>
        <v>632</v>
      </c>
      <c r="N197" s="24" t="str">
        <f t="array" ref="N197">INDEX('MATCH INFO'!O:O, INT((ROW()-2)/10)+2 + 124)</f>
        <v>260704_ZETA_FLC_S3</v>
      </c>
    </row>
    <row r="198" spans="1:14">
      <c r="A198" s="23" t="s">
        <v>42</v>
      </c>
      <c r="B198" s="23" t="s">
        <v>141</v>
      </c>
      <c r="C198" s="23" t="s">
        <v>104</v>
      </c>
      <c r="D198" s="23" t="s">
        <v>90</v>
      </c>
      <c r="E198" s="23" t="s">
        <v>192</v>
      </c>
      <c r="F198" s="23">
        <v>36</v>
      </c>
      <c r="G198" s="23">
        <v>7</v>
      </c>
      <c r="H198" s="23">
        <v>0</v>
      </c>
      <c r="I198" s="23">
        <v>15191</v>
      </c>
      <c r="J198" s="23">
        <v>940</v>
      </c>
      <c r="K198" s="23">
        <v>873</v>
      </c>
      <c r="L198" s="23" t="s">
        <v>244</v>
      </c>
      <c r="M198" s="23">
        <f t="shared" si="3"/>
        <v>632</v>
      </c>
      <c r="N198" s="24" t="str">
        <f t="array" ref="N198">INDEX('MATCH INFO'!O:O, INT((ROW()-2)/10)+2 + 124)</f>
        <v>260704_ZETA_FLC_S3</v>
      </c>
    </row>
    <row r="199" spans="1:14">
      <c r="A199" s="23" t="s">
        <v>42</v>
      </c>
      <c r="B199" s="23" t="s">
        <v>140</v>
      </c>
      <c r="C199" s="23" t="s">
        <v>104</v>
      </c>
      <c r="D199" s="23" t="s">
        <v>90</v>
      </c>
      <c r="E199" s="23" t="s">
        <v>192</v>
      </c>
      <c r="F199" s="23">
        <v>26</v>
      </c>
      <c r="G199" s="23">
        <v>11</v>
      </c>
      <c r="H199" s="23">
        <v>3</v>
      </c>
      <c r="I199" s="23">
        <v>10407</v>
      </c>
      <c r="J199" s="23">
        <v>22</v>
      </c>
      <c r="K199" s="23">
        <v>501</v>
      </c>
      <c r="L199" s="23" t="s">
        <v>244</v>
      </c>
      <c r="M199" s="23">
        <f t="shared" si="3"/>
        <v>632</v>
      </c>
      <c r="N199" s="24" t="str">
        <f t="array" ref="N199">INDEX('MATCH INFO'!O:O, INT((ROW()-2)/10)+2 + 124)</f>
        <v>260704_ZETA_FLC_S3</v>
      </c>
    </row>
    <row r="200" spans="1:14">
      <c r="A200" s="23" t="s">
        <v>42</v>
      </c>
      <c r="B200" s="23" t="s">
        <v>143</v>
      </c>
      <c r="C200" s="23" t="s">
        <v>109</v>
      </c>
      <c r="D200" s="23" t="s">
        <v>90</v>
      </c>
      <c r="E200" s="23" t="s">
        <v>192</v>
      </c>
      <c r="F200" s="23">
        <v>10</v>
      </c>
      <c r="G200" s="23">
        <v>8</v>
      </c>
      <c r="H200" s="23">
        <v>30</v>
      </c>
      <c r="I200" s="23">
        <v>4377</v>
      </c>
      <c r="J200" s="23">
        <v>13060</v>
      </c>
      <c r="K200" s="23">
        <v>0</v>
      </c>
      <c r="L200" s="23" t="s">
        <v>244</v>
      </c>
      <c r="M200" s="23">
        <f t="shared" si="3"/>
        <v>632</v>
      </c>
      <c r="N200" s="24" t="str">
        <f t="array" ref="N200">INDEX('MATCH INFO'!O:O, INT((ROW()-2)/10)+2 + 124)</f>
        <v>260704_ZETA_FLC_S3</v>
      </c>
    </row>
    <row r="201" spans="1:14">
      <c r="A201" s="23" t="s">
        <v>42</v>
      </c>
      <c r="B201" s="23" t="s">
        <v>142</v>
      </c>
      <c r="C201" s="23" t="s">
        <v>109</v>
      </c>
      <c r="D201" s="23" t="s">
        <v>90</v>
      </c>
      <c r="E201" s="23" t="s">
        <v>192</v>
      </c>
      <c r="F201" s="23">
        <v>20</v>
      </c>
      <c r="G201" s="23">
        <v>7</v>
      </c>
      <c r="H201" s="23">
        <v>21</v>
      </c>
      <c r="I201" s="23">
        <v>4722</v>
      </c>
      <c r="J201" s="23">
        <v>10114</v>
      </c>
      <c r="K201" s="23">
        <v>0</v>
      </c>
      <c r="L201" s="23" t="s">
        <v>244</v>
      </c>
      <c r="M201" s="23">
        <f t="shared" si="3"/>
        <v>632</v>
      </c>
      <c r="N201" s="24" t="str">
        <f t="array" ref="N201">INDEX('MATCH INFO'!O:O, INT((ROW()-2)/10)+2 + 124)</f>
        <v>260704_ZETA_FLC_S3</v>
      </c>
    </row>
    <row r="202" spans="1:14">
      <c r="A202" s="23" t="s">
        <v>31</v>
      </c>
      <c r="B202" s="23" t="s">
        <v>163</v>
      </c>
      <c r="C202" s="23" t="s">
        <v>104</v>
      </c>
      <c r="D202" s="23" t="s">
        <v>69</v>
      </c>
      <c r="E202" s="23" t="s">
        <v>201</v>
      </c>
      <c r="F202" s="23">
        <v>33</v>
      </c>
      <c r="G202" s="23">
        <v>8</v>
      </c>
      <c r="H202" s="23">
        <v>3</v>
      </c>
      <c r="I202" s="23">
        <v>14320</v>
      </c>
      <c r="J202" s="23">
        <v>1403</v>
      </c>
      <c r="K202" s="23">
        <v>9323</v>
      </c>
      <c r="L202" s="23" t="s">
        <v>327</v>
      </c>
      <c r="M202" s="23">
        <f t="shared" si="3"/>
        <v>861</v>
      </c>
      <c r="N202" s="24" t="str">
        <f t="array" ref="N202">INDEX('MATCH INFO'!O:O, INT((ROW()-2)/10)+2 + 124)</f>
        <v>260704_ZETA_FLC_S4</v>
      </c>
    </row>
    <row r="203" spans="1:14">
      <c r="A203" s="23" t="s">
        <v>31</v>
      </c>
      <c r="B203" s="23" t="s">
        <v>165</v>
      </c>
      <c r="C203" s="23" t="s">
        <v>109</v>
      </c>
      <c r="D203" s="23" t="s">
        <v>69</v>
      </c>
      <c r="E203" s="23" t="s">
        <v>201</v>
      </c>
      <c r="F203" s="23">
        <v>36</v>
      </c>
      <c r="G203" s="23">
        <v>8</v>
      </c>
      <c r="H203" s="23">
        <v>41</v>
      </c>
      <c r="I203" s="23">
        <v>6376</v>
      </c>
      <c r="J203" s="23">
        <v>16308</v>
      </c>
      <c r="K203" s="23">
        <v>0</v>
      </c>
      <c r="L203" s="23" t="s">
        <v>327</v>
      </c>
      <c r="M203" s="23">
        <f t="shared" si="3"/>
        <v>861</v>
      </c>
      <c r="N203" s="24" t="str">
        <f t="array" ref="N203">INDEX('MATCH INFO'!O:O, INT((ROW()-2)/10)+2 + 124)</f>
        <v>260704_ZETA_FLC_S4</v>
      </c>
    </row>
    <row r="204" spans="1:14">
      <c r="A204" s="23" t="s">
        <v>31</v>
      </c>
      <c r="B204" s="23" t="s">
        <v>166</v>
      </c>
      <c r="C204" s="23" t="s">
        <v>109</v>
      </c>
      <c r="D204" s="23" t="s">
        <v>69</v>
      </c>
      <c r="E204" s="23" t="s">
        <v>201</v>
      </c>
      <c r="F204" s="23">
        <v>24</v>
      </c>
      <c r="G204" s="23">
        <v>5</v>
      </c>
      <c r="H204" s="23">
        <v>45</v>
      </c>
      <c r="I204" s="23">
        <v>6949</v>
      </c>
      <c r="J204" s="23">
        <v>18370</v>
      </c>
      <c r="K204" s="23">
        <v>0</v>
      </c>
      <c r="L204" s="23" t="s">
        <v>327</v>
      </c>
      <c r="M204" s="23">
        <f t="shared" si="3"/>
        <v>861</v>
      </c>
      <c r="N204" s="24" t="str">
        <f t="array" ref="N204">INDEX('MATCH INFO'!O:O, INT((ROW()-2)/10)+2 + 124)</f>
        <v>260704_ZETA_FLC_S4</v>
      </c>
    </row>
    <row r="205" spans="1:14">
      <c r="A205" s="23" t="s">
        <v>31</v>
      </c>
      <c r="B205" s="23" t="s">
        <v>160</v>
      </c>
      <c r="C205" s="23" t="s">
        <v>101</v>
      </c>
      <c r="D205" s="23" t="s">
        <v>69</v>
      </c>
      <c r="E205" s="23" t="s">
        <v>201</v>
      </c>
      <c r="F205" s="23">
        <v>43</v>
      </c>
      <c r="G205" s="23">
        <v>7</v>
      </c>
      <c r="H205" s="23">
        <v>12</v>
      </c>
      <c r="I205" s="23">
        <v>20633</v>
      </c>
      <c r="J205" s="23">
        <v>1505</v>
      </c>
      <c r="K205" s="23">
        <v>19325</v>
      </c>
      <c r="L205" s="23" t="s">
        <v>327</v>
      </c>
      <c r="M205" s="23">
        <f t="shared" si="3"/>
        <v>861</v>
      </c>
      <c r="N205" s="24" t="str">
        <f t="array" ref="N205">INDEX('MATCH INFO'!O:O, INT((ROW()-2)/10)+2 + 124)</f>
        <v>260704_ZETA_FLC_S4</v>
      </c>
    </row>
    <row r="206" spans="1:14">
      <c r="A206" s="23" t="s">
        <v>31</v>
      </c>
      <c r="B206" s="23" t="s">
        <v>162</v>
      </c>
      <c r="C206" s="23" t="s">
        <v>104</v>
      </c>
      <c r="D206" s="23" t="s">
        <v>69</v>
      </c>
      <c r="E206" s="23" t="s">
        <v>201</v>
      </c>
      <c r="F206" s="23">
        <v>30</v>
      </c>
      <c r="G206" s="23">
        <v>10</v>
      </c>
      <c r="H206" s="23">
        <v>5</v>
      </c>
      <c r="I206" s="23">
        <v>13415</v>
      </c>
      <c r="J206" s="23">
        <v>75</v>
      </c>
      <c r="K206" s="23">
        <v>0</v>
      </c>
      <c r="L206" s="23" t="s">
        <v>327</v>
      </c>
      <c r="M206" s="23">
        <f t="shared" si="3"/>
        <v>861</v>
      </c>
      <c r="N206" s="24" t="str">
        <f t="array" ref="N206">INDEX('MATCH INFO'!O:O, INT((ROW()-2)/10)+2 + 124)</f>
        <v>260704_ZETA_FLC_S4</v>
      </c>
    </row>
    <row r="207" spans="1:14">
      <c r="A207" s="23" t="s">
        <v>42</v>
      </c>
      <c r="B207" s="23" t="s">
        <v>139</v>
      </c>
      <c r="C207" s="23" t="s">
        <v>101</v>
      </c>
      <c r="D207" s="23" t="s">
        <v>69</v>
      </c>
      <c r="E207" s="23" t="s">
        <v>201</v>
      </c>
      <c r="F207" s="23">
        <v>32</v>
      </c>
      <c r="G207" s="23">
        <v>12</v>
      </c>
      <c r="H207" s="23">
        <v>11</v>
      </c>
      <c r="I207" s="23">
        <v>17459</v>
      </c>
      <c r="J207" s="23">
        <v>1035</v>
      </c>
      <c r="K207" s="23">
        <v>24902</v>
      </c>
      <c r="L207" s="23" t="s">
        <v>327</v>
      </c>
      <c r="M207" s="23">
        <f t="shared" si="3"/>
        <v>861</v>
      </c>
      <c r="N207" s="24" t="str">
        <f t="array" ref="N207">INDEX('MATCH INFO'!O:O, INT((ROW()-2)/10)+2 + 124)</f>
        <v>260704_ZETA_FLC_S4</v>
      </c>
    </row>
    <row r="208" spans="1:14">
      <c r="A208" s="23" t="s">
        <v>42</v>
      </c>
      <c r="B208" s="23" t="s">
        <v>141</v>
      </c>
      <c r="C208" s="23" t="s">
        <v>104</v>
      </c>
      <c r="D208" s="23" t="s">
        <v>69</v>
      </c>
      <c r="E208" s="23" t="s">
        <v>201</v>
      </c>
      <c r="F208" s="23">
        <v>24</v>
      </c>
      <c r="G208" s="23">
        <v>15</v>
      </c>
      <c r="H208" s="23">
        <v>0</v>
      </c>
      <c r="I208" s="23">
        <v>13546</v>
      </c>
      <c r="J208" s="23">
        <v>591</v>
      </c>
      <c r="K208" s="23">
        <v>307</v>
      </c>
      <c r="L208" s="23" t="s">
        <v>327</v>
      </c>
      <c r="M208" s="23">
        <f t="shared" si="3"/>
        <v>861</v>
      </c>
      <c r="N208" s="24" t="str">
        <f t="array" ref="N208">INDEX('MATCH INFO'!O:O, INT((ROW()-2)/10)+2 + 124)</f>
        <v>260704_ZETA_FLC_S4</v>
      </c>
    </row>
    <row r="209" spans="1:14">
      <c r="A209" s="23" t="s">
        <v>42</v>
      </c>
      <c r="B209" s="23" t="s">
        <v>140</v>
      </c>
      <c r="C209" s="23" t="s">
        <v>104</v>
      </c>
      <c r="D209" s="23" t="s">
        <v>69</v>
      </c>
      <c r="E209" s="23" t="s">
        <v>201</v>
      </c>
      <c r="F209" s="23">
        <v>27</v>
      </c>
      <c r="G209" s="23">
        <v>11</v>
      </c>
      <c r="H209" s="23">
        <v>4</v>
      </c>
      <c r="I209" s="23">
        <v>13296</v>
      </c>
      <c r="J209" s="23">
        <v>1436</v>
      </c>
      <c r="K209" s="23">
        <v>8286</v>
      </c>
      <c r="L209" s="23" t="s">
        <v>327</v>
      </c>
      <c r="M209" s="23">
        <f t="shared" si="3"/>
        <v>861</v>
      </c>
      <c r="N209" s="24" t="str">
        <f t="array" ref="N209">INDEX('MATCH INFO'!O:O, INT((ROW()-2)/10)+2 + 124)</f>
        <v>260704_ZETA_FLC_S4</v>
      </c>
    </row>
    <row r="210" spans="1:14">
      <c r="A210" s="23" t="s">
        <v>42</v>
      </c>
      <c r="B210" s="23" t="s">
        <v>143</v>
      </c>
      <c r="C210" s="23" t="s">
        <v>109</v>
      </c>
      <c r="D210" s="23" t="s">
        <v>69</v>
      </c>
      <c r="E210" s="23" t="s">
        <v>201</v>
      </c>
      <c r="F210" s="23">
        <v>10</v>
      </c>
      <c r="G210" s="23">
        <v>11</v>
      </c>
      <c r="H210" s="23">
        <v>26</v>
      </c>
      <c r="I210" s="23">
        <v>6268</v>
      </c>
      <c r="J210" s="23">
        <v>18188</v>
      </c>
      <c r="K210" s="23">
        <v>0</v>
      </c>
      <c r="L210" s="23" t="s">
        <v>327</v>
      </c>
      <c r="M210" s="23">
        <f t="shared" si="3"/>
        <v>861</v>
      </c>
      <c r="N210" s="24" t="str">
        <f t="array" ref="N210">INDEX('MATCH INFO'!O:O, INT((ROW()-2)/10)+2 + 124)</f>
        <v>260704_ZETA_FLC_S4</v>
      </c>
    </row>
    <row r="211" spans="1:14">
      <c r="A211" s="23" t="s">
        <v>42</v>
      </c>
      <c r="B211" s="23" t="s">
        <v>142</v>
      </c>
      <c r="C211" s="23" t="s">
        <v>109</v>
      </c>
      <c r="D211" s="23" t="s">
        <v>69</v>
      </c>
      <c r="E211" s="23" t="s">
        <v>201</v>
      </c>
      <c r="F211" s="23">
        <v>16</v>
      </c>
      <c r="G211" s="23">
        <v>12</v>
      </c>
      <c r="H211" s="23">
        <v>22</v>
      </c>
      <c r="I211" s="23">
        <v>7712</v>
      </c>
      <c r="J211" s="23">
        <v>11928</v>
      </c>
      <c r="K211" s="23">
        <v>194</v>
      </c>
      <c r="L211" s="23" t="s">
        <v>327</v>
      </c>
      <c r="M211" s="23">
        <f t="shared" si="3"/>
        <v>861</v>
      </c>
      <c r="N211" s="24" t="str">
        <f t="array" ref="N211">INDEX('MATCH INFO'!O:O, INT((ROW()-2)/10)+2 + 124)</f>
        <v>260704_ZETA_FLC_S4</v>
      </c>
    </row>
    <row r="212" spans="1:14">
      <c r="A212" s="23" t="s">
        <v>31</v>
      </c>
      <c r="B212" s="23" t="s">
        <v>163</v>
      </c>
      <c r="C212" s="23" t="s">
        <v>104</v>
      </c>
      <c r="D212" s="23" t="s">
        <v>44</v>
      </c>
      <c r="E212" s="23" t="s">
        <v>190</v>
      </c>
      <c r="F212" s="23">
        <v>13</v>
      </c>
      <c r="G212" s="23">
        <v>9</v>
      </c>
      <c r="H212" s="23">
        <v>0</v>
      </c>
      <c r="I212" s="23">
        <v>8209</v>
      </c>
      <c r="J212" s="23">
        <v>1120</v>
      </c>
      <c r="K212" s="23">
        <v>566</v>
      </c>
      <c r="L212" s="23" t="s">
        <v>328</v>
      </c>
      <c r="M212" s="23">
        <f t="shared" si="3"/>
        <v>482.99999999999994</v>
      </c>
      <c r="N212" s="24" t="str">
        <f t="array" ref="N212">INDEX('MATCH INFO'!O:O, INT((ROW()-2)/10)+2 + 124)</f>
        <v>260704_ZETA_FLC_S5</v>
      </c>
    </row>
    <row r="213" spans="1:14">
      <c r="A213" s="23" t="s">
        <v>31</v>
      </c>
      <c r="B213" s="23" t="s">
        <v>165</v>
      </c>
      <c r="C213" s="23" t="s">
        <v>109</v>
      </c>
      <c r="D213" s="23" t="s">
        <v>44</v>
      </c>
      <c r="E213" s="23" t="s">
        <v>190</v>
      </c>
      <c r="F213" s="23">
        <v>12</v>
      </c>
      <c r="G213" s="23">
        <v>6</v>
      </c>
      <c r="H213" s="23">
        <v>8</v>
      </c>
      <c r="I213" s="23">
        <v>3436</v>
      </c>
      <c r="J213" s="23">
        <v>7377</v>
      </c>
      <c r="K213" s="23">
        <v>0</v>
      </c>
      <c r="L213" s="23" t="s">
        <v>328</v>
      </c>
      <c r="M213" s="23">
        <f t="shared" si="3"/>
        <v>482.99999999999994</v>
      </c>
      <c r="N213" s="24" t="str">
        <f t="array" ref="N213">INDEX('MATCH INFO'!O:O, INT((ROW()-2)/10)+2 + 124)</f>
        <v>260704_ZETA_FLC_S5</v>
      </c>
    </row>
    <row r="214" spans="1:14">
      <c r="A214" s="23" t="s">
        <v>31</v>
      </c>
      <c r="B214" s="23" t="s">
        <v>166</v>
      </c>
      <c r="C214" s="23" t="s">
        <v>109</v>
      </c>
      <c r="D214" s="23" t="s">
        <v>44</v>
      </c>
      <c r="E214" s="23" t="s">
        <v>190</v>
      </c>
      <c r="F214" s="23">
        <v>9</v>
      </c>
      <c r="G214" s="23">
        <v>11</v>
      </c>
      <c r="H214" s="23">
        <v>18</v>
      </c>
      <c r="I214" s="23">
        <v>4091</v>
      </c>
      <c r="J214" s="23">
        <v>7762</v>
      </c>
      <c r="K214" s="23">
        <v>0</v>
      </c>
      <c r="L214" s="23" t="s">
        <v>328</v>
      </c>
      <c r="M214" s="23">
        <f t="shared" si="3"/>
        <v>482.99999999999994</v>
      </c>
      <c r="N214" s="24" t="str">
        <f t="array" ref="N214">INDEX('MATCH INFO'!O:O, INT((ROW()-2)/10)+2 + 124)</f>
        <v>260704_ZETA_FLC_S5</v>
      </c>
    </row>
    <row r="215" spans="1:14">
      <c r="A215" s="23" t="s">
        <v>31</v>
      </c>
      <c r="B215" s="23" t="s">
        <v>161</v>
      </c>
      <c r="C215" s="23" t="s">
        <v>101</v>
      </c>
      <c r="D215" s="23" t="s">
        <v>44</v>
      </c>
      <c r="E215" s="23" t="s">
        <v>190</v>
      </c>
      <c r="F215" s="23">
        <v>11</v>
      </c>
      <c r="G215" s="23">
        <v>10</v>
      </c>
      <c r="H215" s="23">
        <v>11</v>
      </c>
      <c r="I215" s="23">
        <v>8283</v>
      </c>
      <c r="J215" s="23">
        <v>2750</v>
      </c>
      <c r="K215" s="23">
        <v>4501</v>
      </c>
      <c r="L215" s="23" t="s">
        <v>328</v>
      </c>
      <c r="M215" s="23">
        <f t="shared" si="3"/>
        <v>482.99999999999994</v>
      </c>
      <c r="N215" s="24" t="str">
        <f t="array" ref="N215">INDEX('MATCH INFO'!O:O, INT((ROW()-2)/10)+2 + 124)</f>
        <v>260704_ZETA_FLC_S5</v>
      </c>
    </row>
    <row r="216" spans="1:14">
      <c r="A216" s="23" t="s">
        <v>31</v>
      </c>
      <c r="B216" s="23" t="s">
        <v>162</v>
      </c>
      <c r="C216" s="23" t="s">
        <v>104</v>
      </c>
      <c r="D216" s="23" t="s">
        <v>44</v>
      </c>
      <c r="E216" s="23" t="s">
        <v>190</v>
      </c>
      <c r="F216" s="23">
        <v>11</v>
      </c>
      <c r="G216" s="23">
        <v>10</v>
      </c>
      <c r="H216" s="23">
        <v>1</v>
      </c>
      <c r="I216" s="23">
        <v>8137</v>
      </c>
      <c r="J216" s="23">
        <v>0</v>
      </c>
      <c r="K216" s="23">
        <v>605</v>
      </c>
      <c r="L216" s="23" t="s">
        <v>328</v>
      </c>
      <c r="M216" s="23">
        <f t="shared" si="3"/>
        <v>482.99999999999994</v>
      </c>
      <c r="N216" s="24" t="str">
        <f t="array" ref="N216">INDEX('MATCH INFO'!O:O, INT((ROW()-2)/10)+2 + 124)</f>
        <v>260704_ZETA_FLC_S5</v>
      </c>
    </row>
    <row r="217" spans="1:14">
      <c r="A217" s="23" t="s">
        <v>42</v>
      </c>
      <c r="B217" s="23" t="s">
        <v>139</v>
      </c>
      <c r="C217" s="23" t="s">
        <v>101</v>
      </c>
      <c r="D217" s="23" t="s">
        <v>44</v>
      </c>
      <c r="E217" s="23" t="s">
        <v>190</v>
      </c>
      <c r="F217" s="23">
        <v>31</v>
      </c>
      <c r="G217" s="23">
        <v>4</v>
      </c>
      <c r="H217" s="23">
        <v>22</v>
      </c>
      <c r="I217" s="23">
        <v>10564</v>
      </c>
      <c r="J217" s="23">
        <v>2276</v>
      </c>
      <c r="K217" s="23">
        <v>3136</v>
      </c>
      <c r="L217" s="23" t="s">
        <v>328</v>
      </c>
      <c r="M217" s="23">
        <f t="shared" si="3"/>
        <v>482.99999999999994</v>
      </c>
      <c r="N217" s="24" t="str">
        <f t="array" ref="N217">INDEX('MATCH INFO'!O:O, INT((ROW()-2)/10)+2 + 124)</f>
        <v>260704_ZETA_FLC_S5</v>
      </c>
    </row>
    <row r="218" spans="1:14">
      <c r="A218" s="23" t="s">
        <v>42</v>
      </c>
      <c r="B218" s="23" t="s">
        <v>141</v>
      </c>
      <c r="C218" s="23" t="s">
        <v>104</v>
      </c>
      <c r="D218" s="23" t="s">
        <v>44</v>
      </c>
      <c r="E218" s="23" t="s">
        <v>190</v>
      </c>
      <c r="F218" s="23">
        <v>22</v>
      </c>
      <c r="G218" s="23">
        <v>6</v>
      </c>
      <c r="H218" s="23">
        <v>2</v>
      </c>
      <c r="I218" s="23">
        <v>7876</v>
      </c>
      <c r="J218" s="23">
        <v>893</v>
      </c>
      <c r="K218" s="23">
        <v>282</v>
      </c>
      <c r="L218" s="23" t="s">
        <v>328</v>
      </c>
      <c r="M218" s="23">
        <f t="shared" si="3"/>
        <v>482.99999999999994</v>
      </c>
      <c r="N218" s="24" t="str">
        <f t="array" ref="N218">INDEX('MATCH INFO'!O:O, INT((ROW()-2)/10)+2 + 124)</f>
        <v>260704_ZETA_FLC_S5</v>
      </c>
    </row>
    <row r="219" spans="1:14">
      <c r="A219" s="23" t="s">
        <v>42</v>
      </c>
      <c r="B219" s="23" t="s">
        <v>140</v>
      </c>
      <c r="C219" s="23" t="s">
        <v>104</v>
      </c>
      <c r="D219" s="23" t="s">
        <v>44</v>
      </c>
      <c r="E219" s="23" t="s">
        <v>190</v>
      </c>
      <c r="F219" s="23">
        <v>28</v>
      </c>
      <c r="G219" s="23">
        <v>3</v>
      </c>
      <c r="H219" s="23">
        <v>2</v>
      </c>
      <c r="I219" s="23">
        <v>10775</v>
      </c>
      <c r="J219" s="23">
        <v>0</v>
      </c>
      <c r="K219" s="23">
        <v>610</v>
      </c>
      <c r="L219" s="23" t="s">
        <v>328</v>
      </c>
      <c r="M219" s="23">
        <f t="shared" si="3"/>
        <v>482.99999999999994</v>
      </c>
      <c r="N219" s="24" t="str">
        <f t="array" ref="N219">INDEX('MATCH INFO'!O:O, INT((ROW()-2)/10)+2 + 124)</f>
        <v>260704_ZETA_FLC_S5</v>
      </c>
    </row>
    <row r="220" spans="1:14">
      <c r="A220" s="23" t="s">
        <v>42</v>
      </c>
      <c r="B220" s="23" t="s">
        <v>143</v>
      </c>
      <c r="C220" s="23" t="s">
        <v>109</v>
      </c>
      <c r="D220" s="23" t="s">
        <v>44</v>
      </c>
      <c r="E220" s="23" t="s">
        <v>190</v>
      </c>
      <c r="F220" s="23">
        <v>19</v>
      </c>
      <c r="G220" s="23">
        <v>4</v>
      </c>
      <c r="H220" s="23">
        <v>34</v>
      </c>
      <c r="I220" s="23">
        <v>5290</v>
      </c>
      <c r="J220" s="23">
        <v>9514</v>
      </c>
      <c r="K220" s="23">
        <v>0</v>
      </c>
      <c r="L220" s="23" t="s">
        <v>328</v>
      </c>
      <c r="M220" s="23">
        <f t="shared" si="3"/>
        <v>482.99999999999994</v>
      </c>
      <c r="N220" s="24" t="str">
        <f t="array" ref="N220">INDEX('MATCH INFO'!O:O, INT((ROW()-2)/10)+2 + 124)</f>
        <v>260704_ZETA_FLC_S5</v>
      </c>
    </row>
    <row r="221" spans="1:14">
      <c r="A221" s="23" t="s">
        <v>42</v>
      </c>
      <c r="B221" s="23" t="s">
        <v>142</v>
      </c>
      <c r="C221" s="23" t="s">
        <v>109</v>
      </c>
      <c r="D221" s="23" t="s">
        <v>44</v>
      </c>
      <c r="E221" s="23" t="s">
        <v>190</v>
      </c>
      <c r="F221" s="23">
        <v>29</v>
      </c>
      <c r="G221" s="23">
        <v>3</v>
      </c>
      <c r="H221" s="23">
        <v>16</v>
      </c>
      <c r="I221" s="23">
        <v>5026</v>
      </c>
      <c r="J221" s="23">
        <v>6801</v>
      </c>
      <c r="K221" s="23">
        <v>0</v>
      </c>
      <c r="L221" s="23" t="s">
        <v>328</v>
      </c>
      <c r="M221" s="23">
        <f t="shared" si="3"/>
        <v>482.99999999999994</v>
      </c>
      <c r="N221" s="24" t="str">
        <f t="array" ref="N221">INDEX('MATCH INFO'!O:O, INT((ROW()-2)/10)+2 + 124)</f>
        <v>260704_ZETA_FLC_S5</v>
      </c>
    </row>
    <row r="222" spans="1:14">
      <c r="A222" s="23" t="s">
        <v>20</v>
      </c>
      <c r="B222" s="23" t="s">
        <v>108</v>
      </c>
      <c r="C222" s="23" t="s">
        <v>109</v>
      </c>
      <c r="D222" s="23" t="s">
        <v>33</v>
      </c>
      <c r="E222" s="23" t="s">
        <v>188</v>
      </c>
      <c r="F222" s="23">
        <v>34</v>
      </c>
      <c r="G222" s="23">
        <v>7</v>
      </c>
      <c r="H222" s="23">
        <v>28</v>
      </c>
      <c r="I222" s="23">
        <v>6944</v>
      </c>
      <c r="J222" s="23">
        <v>12738</v>
      </c>
      <c r="K222" s="23">
        <v>0</v>
      </c>
      <c r="L222" s="23" t="s">
        <v>317</v>
      </c>
      <c r="M222" s="23">
        <f t="shared" si="3"/>
        <v>758.99999999999989</v>
      </c>
      <c r="N222" s="24" t="str">
        <f t="array" ref="N222">INDEX('MATCH INFO'!O:O, INT((ROW()-2)/10)+2 + 124)</f>
        <v>260705_O2_CB_S1</v>
      </c>
    </row>
    <row r="223" spans="1:14">
      <c r="A223" s="23" t="s">
        <v>20</v>
      </c>
      <c r="B223" s="23" t="s">
        <v>100</v>
      </c>
      <c r="C223" s="23" t="s">
        <v>101</v>
      </c>
      <c r="D223" s="23" t="s">
        <v>33</v>
      </c>
      <c r="E223" s="23" t="s">
        <v>188</v>
      </c>
      <c r="F223" s="23">
        <v>36</v>
      </c>
      <c r="G223" s="23">
        <v>10</v>
      </c>
      <c r="H223" s="23">
        <v>30</v>
      </c>
      <c r="I223" s="23">
        <v>17048</v>
      </c>
      <c r="J223" s="23">
        <v>4467</v>
      </c>
      <c r="K223" s="23">
        <v>6758</v>
      </c>
      <c r="L223" s="23" t="s">
        <v>317</v>
      </c>
      <c r="M223" s="23">
        <f t="shared" si="3"/>
        <v>758.99999999999989</v>
      </c>
      <c r="N223" s="24" t="str">
        <f t="array" ref="N223">INDEX('MATCH INFO'!O:O, INT((ROW()-2)/10)+2 + 124)</f>
        <v>260705_O2_CB_S1</v>
      </c>
    </row>
    <row r="224" spans="1:14">
      <c r="A224" s="23" t="s">
        <v>20</v>
      </c>
      <c r="B224" s="23" t="s">
        <v>111</v>
      </c>
      <c r="C224" s="23" t="s">
        <v>109</v>
      </c>
      <c r="D224" s="23" t="s">
        <v>33</v>
      </c>
      <c r="E224" s="23" t="s">
        <v>188</v>
      </c>
      <c r="F224" s="23">
        <v>25</v>
      </c>
      <c r="G224" s="23">
        <v>9</v>
      </c>
      <c r="H224" s="23">
        <v>35</v>
      </c>
      <c r="I224" s="23">
        <v>6890</v>
      </c>
      <c r="J224" s="23">
        <v>17042</v>
      </c>
      <c r="K224" s="23">
        <v>0</v>
      </c>
      <c r="L224" s="23" t="s">
        <v>317</v>
      </c>
      <c r="M224" s="23">
        <f t="shared" si="3"/>
        <v>758.99999999999989</v>
      </c>
      <c r="N224" s="24" t="str">
        <f t="array" ref="N224">INDEX('MATCH INFO'!O:O, INT((ROW()-2)/10)+2 + 124)</f>
        <v>260705_O2_CB_S1</v>
      </c>
    </row>
    <row r="225" spans="1:14">
      <c r="A225" s="23" t="s">
        <v>20</v>
      </c>
      <c r="B225" s="23" t="s">
        <v>106</v>
      </c>
      <c r="C225" s="23" t="s">
        <v>104</v>
      </c>
      <c r="D225" s="23" t="s">
        <v>33</v>
      </c>
      <c r="E225" s="23" t="s">
        <v>188</v>
      </c>
      <c r="F225" s="23">
        <v>36</v>
      </c>
      <c r="G225" s="23">
        <v>8</v>
      </c>
      <c r="H225" s="23">
        <v>9</v>
      </c>
      <c r="I225" s="23">
        <v>13838</v>
      </c>
      <c r="J225" s="23">
        <v>0</v>
      </c>
      <c r="K225" s="23">
        <v>460</v>
      </c>
      <c r="L225" s="23" t="s">
        <v>317</v>
      </c>
      <c r="M225" s="23">
        <f t="shared" si="3"/>
        <v>758.99999999999989</v>
      </c>
      <c r="N225" s="24" t="str">
        <f t="array" ref="N225">INDEX('MATCH INFO'!O:O, INT((ROW()-2)/10)+2 + 124)</f>
        <v>260705_O2_CB_S1</v>
      </c>
    </row>
    <row r="226" spans="1:14">
      <c r="A226" s="23" t="s">
        <v>20</v>
      </c>
      <c r="B226" s="23" t="s">
        <v>103</v>
      </c>
      <c r="C226" s="23" t="s">
        <v>104</v>
      </c>
      <c r="D226" s="23" t="s">
        <v>33</v>
      </c>
      <c r="E226" s="23" t="s">
        <v>188</v>
      </c>
      <c r="F226" s="23">
        <v>32</v>
      </c>
      <c r="G226" s="23">
        <v>10</v>
      </c>
      <c r="H226" s="23">
        <v>0</v>
      </c>
      <c r="I226" s="23">
        <v>14477</v>
      </c>
      <c r="J226" s="23">
        <v>2299</v>
      </c>
      <c r="K226" s="23">
        <v>0</v>
      </c>
      <c r="L226" s="23" t="s">
        <v>317</v>
      </c>
      <c r="M226" s="23">
        <f t="shared" si="3"/>
        <v>758.99999999999989</v>
      </c>
      <c r="N226" s="24" t="str">
        <f t="array" ref="N226">INDEX('MATCH INFO'!O:O, INT((ROW()-2)/10)+2 + 124)</f>
        <v>260705_O2_CB_S1</v>
      </c>
    </row>
    <row r="227" spans="1:14">
      <c r="A227" s="23" t="s">
        <v>51</v>
      </c>
      <c r="B227" s="23" t="s">
        <v>126</v>
      </c>
      <c r="C227" s="23" t="s">
        <v>104</v>
      </c>
      <c r="D227" s="23" t="s">
        <v>33</v>
      </c>
      <c r="E227" s="23" t="s">
        <v>188</v>
      </c>
      <c r="F227" s="23">
        <v>33</v>
      </c>
      <c r="G227" s="23">
        <v>9</v>
      </c>
      <c r="H227" s="23">
        <v>0</v>
      </c>
      <c r="I227" s="23">
        <v>14694</v>
      </c>
      <c r="J227" s="23">
        <v>2242</v>
      </c>
      <c r="K227" s="23">
        <v>0</v>
      </c>
      <c r="L227" s="23" t="s">
        <v>317</v>
      </c>
      <c r="M227" s="23">
        <f t="shared" si="3"/>
        <v>758.99999999999989</v>
      </c>
      <c r="N227" s="24" t="str">
        <f t="array" ref="N227">INDEX('MATCH INFO'!O:O, INT((ROW()-2)/10)+2 + 124)</f>
        <v>260705_O2_CB_S1</v>
      </c>
    </row>
    <row r="228" spans="1:14">
      <c r="A228" s="23" t="s">
        <v>51</v>
      </c>
      <c r="B228" s="23" t="s">
        <v>125</v>
      </c>
      <c r="C228" s="23" t="s">
        <v>101</v>
      </c>
      <c r="D228" s="23" t="s">
        <v>33</v>
      </c>
      <c r="E228" s="23" t="s">
        <v>188</v>
      </c>
      <c r="F228" s="23">
        <v>29</v>
      </c>
      <c r="G228" s="23">
        <v>13</v>
      </c>
      <c r="H228" s="23">
        <v>23</v>
      </c>
      <c r="I228" s="23">
        <v>15634</v>
      </c>
      <c r="J228" s="23">
        <v>4614</v>
      </c>
      <c r="K228" s="23">
        <v>9857</v>
      </c>
      <c r="L228" s="23" t="s">
        <v>317</v>
      </c>
      <c r="M228" s="23">
        <f t="shared" si="3"/>
        <v>758.99999999999989</v>
      </c>
      <c r="N228" s="24" t="str">
        <f t="array" ref="N228">INDEX('MATCH INFO'!O:O, INT((ROW()-2)/10)+2 + 124)</f>
        <v>260705_O2_CB_S1</v>
      </c>
    </row>
    <row r="229" spans="1:14">
      <c r="A229" s="23" t="s">
        <v>51</v>
      </c>
      <c r="B229" s="23" t="s">
        <v>127</v>
      </c>
      <c r="C229" s="23" t="s">
        <v>104</v>
      </c>
      <c r="D229" s="23" t="s">
        <v>33</v>
      </c>
      <c r="E229" s="23" t="s">
        <v>188</v>
      </c>
      <c r="F229" s="23">
        <v>26</v>
      </c>
      <c r="G229" s="23">
        <v>12</v>
      </c>
      <c r="H229" s="23">
        <v>3</v>
      </c>
      <c r="I229" s="23">
        <v>13451</v>
      </c>
      <c r="J229" s="23">
        <v>0</v>
      </c>
      <c r="K229" s="23">
        <v>553</v>
      </c>
      <c r="L229" s="23" t="s">
        <v>317</v>
      </c>
      <c r="M229" s="23">
        <f t="shared" si="3"/>
        <v>758.99999999999989</v>
      </c>
      <c r="N229" s="24" t="str">
        <f t="array" ref="N229">INDEX('MATCH INFO'!O:O, INT((ROW()-2)/10)+2 + 124)</f>
        <v>260705_O2_CB_S1</v>
      </c>
    </row>
    <row r="230" spans="1:14">
      <c r="A230" s="23" t="s">
        <v>51</v>
      </c>
      <c r="B230" s="23" t="s">
        <v>128</v>
      </c>
      <c r="C230" s="23" t="s">
        <v>109</v>
      </c>
      <c r="D230" s="23" t="s">
        <v>33</v>
      </c>
      <c r="E230" s="23" t="s">
        <v>188</v>
      </c>
      <c r="F230" s="23">
        <v>26</v>
      </c>
      <c r="G230" s="23">
        <v>6</v>
      </c>
      <c r="H230" s="23">
        <v>21</v>
      </c>
      <c r="I230" s="23">
        <v>7775</v>
      </c>
      <c r="J230" s="23">
        <v>11184</v>
      </c>
      <c r="K230" s="23">
        <v>0</v>
      </c>
      <c r="L230" s="23" t="s">
        <v>317</v>
      </c>
      <c r="M230" s="23">
        <f t="shared" si="3"/>
        <v>758.99999999999989</v>
      </c>
      <c r="N230" s="24" t="str">
        <f t="array" ref="N230">INDEX('MATCH INFO'!O:O, INT((ROW()-2)/10)+2 + 124)</f>
        <v>260705_O2_CB_S1</v>
      </c>
    </row>
    <row r="231" spans="1:14">
      <c r="A231" s="23" t="s">
        <v>51</v>
      </c>
      <c r="B231" s="23" t="s">
        <v>129</v>
      </c>
      <c r="C231" s="23" t="s">
        <v>109</v>
      </c>
      <c r="D231" s="23" t="s">
        <v>33</v>
      </c>
      <c r="E231" s="23" t="s">
        <v>188</v>
      </c>
      <c r="F231" s="23">
        <v>22</v>
      </c>
      <c r="G231" s="23">
        <v>11</v>
      </c>
      <c r="H231" s="23">
        <v>28</v>
      </c>
      <c r="I231" s="23">
        <v>8723</v>
      </c>
      <c r="J231" s="23">
        <v>13958</v>
      </c>
      <c r="K231" s="23">
        <v>0</v>
      </c>
      <c r="L231" s="23" t="s">
        <v>317</v>
      </c>
      <c r="M231" s="23">
        <f t="shared" si="3"/>
        <v>758.99999999999989</v>
      </c>
      <c r="N231" s="24" t="str">
        <f t="array" ref="N231">INDEX('MATCH INFO'!O:O, INT((ROW()-2)/10)+2 + 124)</f>
        <v>260705_O2_CB_S1</v>
      </c>
    </row>
    <row r="232" spans="1:14">
      <c r="A232" s="23" t="s">
        <v>51</v>
      </c>
      <c r="B232" s="23" t="s">
        <v>126</v>
      </c>
      <c r="C232" s="23" t="s">
        <v>104</v>
      </c>
      <c r="D232" s="23" t="s">
        <v>89</v>
      </c>
      <c r="E232" s="23" t="s">
        <v>196</v>
      </c>
      <c r="F232" s="23">
        <v>17</v>
      </c>
      <c r="G232" s="23">
        <v>5</v>
      </c>
      <c r="H232" s="23">
        <v>13</v>
      </c>
      <c r="I232" s="23">
        <v>8103</v>
      </c>
      <c r="J232" s="23">
        <v>1827</v>
      </c>
      <c r="K232" s="23">
        <v>2394</v>
      </c>
      <c r="L232" s="23" t="s">
        <v>286</v>
      </c>
      <c r="M232" s="23">
        <f t="shared" si="3"/>
        <v>678</v>
      </c>
      <c r="N232" s="24" t="str">
        <f t="array" ref="N232">INDEX('MATCH INFO'!O:O, INT((ROW()-2)/10)+2 + 124)</f>
        <v>260705_O2_CB_S2</v>
      </c>
    </row>
    <row r="233" spans="1:14">
      <c r="A233" s="23" t="s">
        <v>51</v>
      </c>
      <c r="B233" s="23" t="s">
        <v>125</v>
      </c>
      <c r="C233" s="23" t="s">
        <v>101</v>
      </c>
      <c r="D233" s="23" t="s">
        <v>89</v>
      </c>
      <c r="E233" s="23" t="s">
        <v>196</v>
      </c>
      <c r="F233" s="23">
        <v>24</v>
      </c>
      <c r="G233" s="23">
        <v>5</v>
      </c>
      <c r="H233" s="23">
        <v>7</v>
      </c>
      <c r="I233" s="23">
        <v>12520</v>
      </c>
      <c r="J233" s="23">
        <v>0</v>
      </c>
      <c r="K233" s="23">
        <v>17974</v>
      </c>
      <c r="L233" s="23" t="s">
        <v>286</v>
      </c>
      <c r="M233" s="23">
        <f t="shared" si="3"/>
        <v>678</v>
      </c>
      <c r="N233" s="24" t="str">
        <f t="array" ref="N233">INDEX('MATCH INFO'!O:O, INT((ROW()-2)/10)+2 + 124)</f>
        <v>260705_O2_CB_S2</v>
      </c>
    </row>
    <row r="234" spans="1:14">
      <c r="A234" s="23" t="s">
        <v>51</v>
      </c>
      <c r="B234" s="23" t="s">
        <v>127</v>
      </c>
      <c r="C234" s="23" t="s">
        <v>104</v>
      </c>
      <c r="D234" s="23" t="s">
        <v>89</v>
      </c>
      <c r="E234" s="23" t="s">
        <v>196</v>
      </c>
      <c r="F234" s="23">
        <v>22</v>
      </c>
      <c r="G234" s="23">
        <v>6</v>
      </c>
      <c r="H234" s="23">
        <v>6</v>
      </c>
      <c r="I234" s="23">
        <v>11307</v>
      </c>
      <c r="J234" s="23">
        <v>43</v>
      </c>
      <c r="K234" s="23">
        <v>372</v>
      </c>
      <c r="L234" s="23" t="s">
        <v>286</v>
      </c>
      <c r="M234" s="23">
        <f t="shared" si="3"/>
        <v>678</v>
      </c>
      <c r="N234" s="24" t="str">
        <f t="array" ref="N234">INDEX('MATCH INFO'!O:O, INT((ROW()-2)/10)+2 + 124)</f>
        <v>260705_O2_CB_S2</v>
      </c>
    </row>
    <row r="235" spans="1:14">
      <c r="A235" s="23" t="s">
        <v>51</v>
      </c>
      <c r="B235" s="23" t="s">
        <v>128</v>
      </c>
      <c r="C235" s="23" t="s">
        <v>109</v>
      </c>
      <c r="D235" s="23" t="s">
        <v>89</v>
      </c>
      <c r="E235" s="23" t="s">
        <v>196</v>
      </c>
      <c r="F235" s="23">
        <v>21</v>
      </c>
      <c r="G235" s="23">
        <v>1</v>
      </c>
      <c r="H235" s="23">
        <v>16</v>
      </c>
      <c r="I235" s="23">
        <v>4664</v>
      </c>
      <c r="J235" s="23">
        <v>10847</v>
      </c>
      <c r="K235" s="23">
        <v>0</v>
      </c>
      <c r="L235" s="23" t="s">
        <v>286</v>
      </c>
      <c r="M235" s="23">
        <f t="shared" si="3"/>
        <v>678</v>
      </c>
      <c r="N235" s="24" t="str">
        <f t="array" ref="N235">INDEX('MATCH INFO'!O:O, INT((ROW()-2)/10)+2 + 124)</f>
        <v>260705_O2_CB_S2</v>
      </c>
    </row>
    <row r="236" spans="1:14">
      <c r="A236" s="23" t="s">
        <v>51</v>
      </c>
      <c r="B236" s="23" t="s">
        <v>129</v>
      </c>
      <c r="C236" s="23" t="s">
        <v>109</v>
      </c>
      <c r="D236" s="23" t="s">
        <v>89</v>
      </c>
      <c r="E236" s="23" t="s">
        <v>196</v>
      </c>
      <c r="F236" s="23">
        <v>14</v>
      </c>
      <c r="G236" s="23">
        <v>4</v>
      </c>
      <c r="H236" s="23">
        <v>26</v>
      </c>
      <c r="I236" s="23">
        <v>4044</v>
      </c>
      <c r="J236" s="23">
        <v>13128</v>
      </c>
      <c r="K236" s="23">
        <v>0</v>
      </c>
      <c r="L236" s="23" t="s">
        <v>286</v>
      </c>
      <c r="M236" s="23">
        <f t="shared" si="3"/>
        <v>678</v>
      </c>
      <c r="N236" s="24" t="str">
        <f t="array" ref="N236">INDEX('MATCH INFO'!O:O, INT((ROW()-2)/10)+2 + 124)</f>
        <v>260705_O2_CB_S2</v>
      </c>
    </row>
    <row r="237" spans="1:14">
      <c r="A237" s="23" t="s">
        <v>20</v>
      </c>
      <c r="B237" s="23" t="s">
        <v>108</v>
      </c>
      <c r="C237" s="23" t="s">
        <v>109</v>
      </c>
      <c r="D237" s="23" t="s">
        <v>89</v>
      </c>
      <c r="E237" s="23" t="s">
        <v>196</v>
      </c>
      <c r="F237" s="23">
        <v>9</v>
      </c>
      <c r="G237" s="23">
        <v>6</v>
      </c>
      <c r="H237" s="23">
        <v>10</v>
      </c>
      <c r="I237" s="23">
        <v>1801</v>
      </c>
      <c r="J237" s="23">
        <v>8967</v>
      </c>
      <c r="K237" s="23">
        <v>0</v>
      </c>
      <c r="L237" s="23" t="s">
        <v>286</v>
      </c>
      <c r="M237" s="23">
        <f t="shared" si="3"/>
        <v>678</v>
      </c>
      <c r="N237" s="24" t="str">
        <f t="array" ref="N237">INDEX('MATCH INFO'!O:O, INT((ROW()-2)/10)+2 + 124)</f>
        <v>260705_O2_CB_S2</v>
      </c>
    </row>
    <row r="238" spans="1:14">
      <c r="A238" s="23" t="s">
        <v>20</v>
      </c>
      <c r="B238" s="23" t="s">
        <v>111</v>
      </c>
      <c r="C238" s="23" t="s">
        <v>109</v>
      </c>
      <c r="D238" s="23" t="s">
        <v>89</v>
      </c>
      <c r="E238" s="23" t="s">
        <v>196</v>
      </c>
      <c r="F238" s="23">
        <v>7</v>
      </c>
      <c r="G238" s="23">
        <v>7</v>
      </c>
      <c r="H238" s="23">
        <v>10</v>
      </c>
      <c r="I238" s="23">
        <v>3624</v>
      </c>
      <c r="J238" s="23">
        <v>13986</v>
      </c>
      <c r="K238" s="23">
        <v>0</v>
      </c>
      <c r="L238" s="23" t="s">
        <v>286</v>
      </c>
      <c r="M238" s="23">
        <f t="shared" si="3"/>
        <v>678</v>
      </c>
      <c r="N238" s="24" t="str">
        <f t="array" ref="N238">INDEX('MATCH INFO'!O:O, INT((ROW()-2)/10)+2 + 124)</f>
        <v>260705_O2_CB_S2</v>
      </c>
    </row>
    <row r="239" spans="1:14">
      <c r="A239" s="23" t="s">
        <v>20</v>
      </c>
      <c r="B239" s="23" t="s">
        <v>106</v>
      </c>
      <c r="C239" s="23" t="s">
        <v>104</v>
      </c>
      <c r="D239" s="23" t="s">
        <v>89</v>
      </c>
      <c r="E239" s="23" t="s">
        <v>196</v>
      </c>
      <c r="F239" s="23">
        <v>11</v>
      </c>
      <c r="G239" s="23">
        <v>8</v>
      </c>
      <c r="H239" s="23">
        <v>3</v>
      </c>
      <c r="I239" s="23">
        <v>10445</v>
      </c>
      <c r="J239" s="23">
        <v>0</v>
      </c>
      <c r="K239" s="23">
        <v>906</v>
      </c>
      <c r="L239" s="23" t="s">
        <v>286</v>
      </c>
      <c r="M239" s="23">
        <f t="shared" si="3"/>
        <v>678</v>
      </c>
      <c r="N239" s="24" t="str">
        <f t="array" ref="N239">INDEX('MATCH INFO'!O:O, INT((ROW()-2)/10)+2 + 124)</f>
        <v>260705_O2_CB_S2</v>
      </c>
    </row>
    <row r="240" spans="1:14">
      <c r="A240" s="23" t="s">
        <v>20</v>
      </c>
      <c r="B240" s="23" t="s">
        <v>102</v>
      </c>
      <c r="C240" s="23" t="s">
        <v>101</v>
      </c>
      <c r="D240" s="23" t="s">
        <v>89</v>
      </c>
      <c r="E240" s="23" t="s">
        <v>196</v>
      </c>
      <c r="F240" s="23">
        <v>16</v>
      </c>
      <c r="G240" s="23">
        <v>6</v>
      </c>
      <c r="H240" s="23">
        <v>4</v>
      </c>
      <c r="I240" s="23">
        <v>12150</v>
      </c>
      <c r="J240" s="23">
        <v>0</v>
      </c>
      <c r="K240" s="23">
        <v>23086</v>
      </c>
      <c r="L240" s="23" t="s">
        <v>286</v>
      </c>
      <c r="M240" s="23">
        <f t="shared" si="3"/>
        <v>678</v>
      </c>
      <c r="N240" s="24" t="str">
        <f t="array" ref="N240">INDEX('MATCH INFO'!O:O, INT((ROW()-2)/10)+2 + 124)</f>
        <v>260705_O2_CB_S2</v>
      </c>
    </row>
    <row r="241" spans="1:14">
      <c r="A241" s="23" t="s">
        <v>20</v>
      </c>
      <c r="B241" s="23" t="s">
        <v>103</v>
      </c>
      <c r="C241" s="23" t="s">
        <v>104</v>
      </c>
      <c r="D241" s="23" t="s">
        <v>89</v>
      </c>
      <c r="E241" s="23" t="s">
        <v>196</v>
      </c>
      <c r="F241" s="23">
        <v>15</v>
      </c>
      <c r="G241" s="23">
        <v>8</v>
      </c>
      <c r="H241" s="23">
        <v>5</v>
      </c>
      <c r="I241" s="23">
        <v>7955</v>
      </c>
      <c r="J241" s="23">
        <v>1410</v>
      </c>
      <c r="K241" s="23">
        <v>3409</v>
      </c>
      <c r="L241" s="23" t="s">
        <v>286</v>
      </c>
      <c r="M241" s="23">
        <f t="shared" si="3"/>
        <v>678</v>
      </c>
      <c r="N241" s="24" t="str">
        <f t="array" ref="N241">INDEX('MATCH INFO'!O:O, INT((ROW()-2)/10)+2 + 124)</f>
        <v>260705_O2_CB_S2</v>
      </c>
    </row>
    <row r="242" spans="1:14">
      <c r="A242" s="23" t="s">
        <v>20</v>
      </c>
      <c r="B242" s="23" t="s">
        <v>108</v>
      </c>
      <c r="C242" s="23" t="s">
        <v>109</v>
      </c>
      <c r="D242" s="23" t="s">
        <v>44</v>
      </c>
      <c r="E242" s="23" t="s">
        <v>190</v>
      </c>
      <c r="F242" s="23">
        <v>13</v>
      </c>
      <c r="G242" s="23">
        <v>4</v>
      </c>
      <c r="H242" s="23">
        <v>5</v>
      </c>
      <c r="I242" s="23">
        <v>3162</v>
      </c>
      <c r="J242" s="23">
        <v>8528</v>
      </c>
      <c r="K242" s="23">
        <v>0</v>
      </c>
      <c r="L242" s="23" t="s">
        <v>329</v>
      </c>
      <c r="M242" s="23">
        <f t="shared" si="3"/>
        <v>560</v>
      </c>
      <c r="N242" s="24" t="str">
        <f t="array" ref="N242">INDEX('MATCH INFO'!O:O, INT((ROW()-2)/10)+2 + 124)</f>
        <v>260705_O2_CB_S3</v>
      </c>
    </row>
    <row r="243" spans="1:14">
      <c r="A243" s="23" t="s">
        <v>20</v>
      </c>
      <c r="B243" s="23" t="s">
        <v>100</v>
      </c>
      <c r="C243" s="23" t="s">
        <v>101</v>
      </c>
      <c r="D243" s="23" t="s">
        <v>44</v>
      </c>
      <c r="E243" s="23" t="s">
        <v>190</v>
      </c>
      <c r="F243" s="23">
        <v>19</v>
      </c>
      <c r="G243" s="23">
        <v>3</v>
      </c>
      <c r="H243" s="23">
        <v>5</v>
      </c>
      <c r="I243" s="23">
        <v>8440</v>
      </c>
      <c r="J243" s="23">
        <v>1331</v>
      </c>
      <c r="K243" s="23">
        <v>7458</v>
      </c>
      <c r="L243" s="23" t="s">
        <v>329</v>
      </c>
      <c r="M243" s="23">
        <f t="shared" si="3"/>
        <v>560</v>
      </c>
      <c r="N243" s="24" t="str">
        <f t="array" ref="N243">INDEX('MATCH INFO'!O:O, INT((ROW()-2)/10)+2 + 124)</f>
        <v>260705_O2_CB_S3</v>
      </c>
    </row>
    <row r="244" spans="1:14">
      <c r="A244" s="23" t="s">
        <v>20</v>
      </c>
      <c r="B244" s="23" t="s">
        <v>111</v>
      </c>
      <c r="C244" s="23" t="s">
        <v>109</v>
      </c>
      <c r="D244" s="23" t="s">
        <v>44</v>
      </c>
      <c r="E244" s="23" t="s">
        <v>190</v>
      </c>
      <c r="F244" s="23">
        <v>12</v>
      </c>
      <c r="G244" s="23">
        <v>4</v>
      </c>
      <c r="H244" s="23">
        <v>13</v>
      </c>
      <c r="I244" s="23">
        <v>3441</v>
      </c>
      <c r="J244" s="23">
        <v>9946</v>
      </c>
      <c r="K244" s="23">
        <v>0</v>
      </c>
      <c r="L244" s="23" t="s">
        <v>329</v>
      </c>
      <c r="M244" s="23">
        <f t="shared" si="3"/>
        <v>560</v>
      </c>
      <c r="N244" s="24" t="str">
        <f t="array" ref="N244">INDEX('MATCH INFO'!O:O, INT((ROW()-2)/10)+2 + 124)</f>
        <v>260705_O2_CB_S3</v>
      </c>
    </row>
    <row r="245" spans="1:14">
      <c r="A245" s="23" t="s">
        <v>20</v>
      </c>
      <c r="B245" s="23" t="s">
        <v>106</v>
      </c>
      <c r="C245" s="23" t="s">
        <v>104</v>
      </c>
      <c r="D245" s="23" t="s">
        <v>44</v>
      </c>
      <c r="E245" s="23" t="s">
        <v>190</v>
      </c>
      <c r="F245" s="23">
        <v>19</v>
      </c>
      <c r="G245" s="23">
        <v>5</v>
      </c>
      <c r="H245" s="23">
        <v>2</v>
      </c>
      <c r="I245" s="23">
        <v>7775</v>
      </c>
      <c r="J245" s="23">
        <v>75</v>
      </c>
      <c r="K245" s="23">
        <v>623</v>
      </c>
      <c r="L245" s="23" t="s">
        <v>329</v>
      </c>
      <c r="M245" s="23">
        <f t="shared" si="3"/>
        <v>560</v>
      </c>
      <c r="N245" s="24" t="str">
        <f t="array" ref="N245">INDEX('MATCH INFO'!O:O, INT((ROW()-2)/10)+2 + 124)</f>
        <v>260705_O2_CB_S3</v>
      </c>
    </row>
    <row r="246" spans="1:14">
      <c r="A246" s="23" t="s">
        <v>20</v>
      </c>
      <c r="B246" s="23" t="s">
        <v>103</v>
      </c>
      <c r="C246" s="23" t="s">
        <v>104</v>
      </c>
      <c r="D246" s="23" t="s">
        <v>44</v>
      </c>
      <c r="E246" s="23" t="s">
        <v>190</v>
      </c>
      <c r="F246" s="23">
        <v>14</v>
      </c>
      <c r="G246" s="23">
        <v>1</v>
      </c>
      <c r="H246" s="23">
        <v>0</v>
      </c>
      <c r="I246" s="23">
        <v>7443</v>
      </c>
      <c r="J246" s="23">
        <v>274</v>
      </c>
      <c r="K246" s="23">
        <v>0</v>
      </c>
      <c r="L246" s="23" t="s">
        <v>329</v>
      </c>
      <c r="M246" s="23">
        <f t="shared" si="3"/>
        <v>560</v>
      </c>
      <c r="N246" s="24" t="str">
        <f t="array" ref="N246">INDEX('MATCH INFO'!O:O, INT((ROW()-2)/10)+2 + 124)</f>
        <v>260705_O2_CB_S3</v>
      </c>
    </row>
    <row r="247" spans="1:14">
      <c r="A247" s="23" t="s">
        <v>51</v>
      </c>
      <c r="B247" s="23" t="s">
        <v>126</v>
      </c>
      <c r="C247" s="23" t="s">
        <v>104</v>
      </c>
      <c r="D247" s="23" t="s">
        <v>44</v>
      </c>
      <c r="E247" s="23" t="s">
        <v>190</v>
      </c>
      <c r="F247" s="23">
        <v>11</v>
      </c>
      <c r="G247" s="23">
        <v>6</v>
      </c>
      <c r="H247" s="23">
        <v>0</v>
      </c>
      <c r="I247" s="23">
        <v>6604</v>
      </c>
      <c r="J247" s="23">
        <v>379</v>
      </c>
      <c r="K247" s="23">
        <v>71</v>
      </c>
      <c r="L247" s="23" t="s">
        <v>329</v>
      </c>
      <c r="M247" s="23">
        <f t="shared" si="3"/>
        <v>560</v>
      </c>
      <c r="N247" s="24" t="str">
        <f t="array" ref="N247">INDEX('MATCH INFO'!O:O, INT((ROW()-2)/10)+2 + 124)</f>
        <v>260705_O2_CB_S3</v>
      </c>
    </row>
    <row r="248" spans="1:14">
      <c r="A248" s="23" t="s">
        <v>51</v>
      </c>
      <c r="B248" s="23" t="s">
        <v>124</v>
      </c>
      <c r="C248" s="23" t="s">
        <v>101</v>
      </c>
      <c r="D248" s="23" t="s">
        <v>44</v>
      </c>
      <c r="E248" s="23" t="s">
        <v>190</v>
      </c>
      <c r="F248" s="23">
        <v>12</v>
      </c>
      <c r="G248" s="23">
        <v>4</v>
      </c>
      <c r="H248" s="23">
        <v>5</v>
      </c>
      <c r="I248" s="23">
        <v>7611</v>
      </c>
      <c r="J248" s="23">
        <v>1534</v>
      </c>
      <c r="K248" s="23">
        <v>5263</v>
      </c>
      <c r="L248" s="23" t="s">
        <v>329</v>
      </c>
      <c r="M248" s="23">
        <f t="shared" si="3"/>
        <v>560</v>
      </c>
      <c r="N248" s="24" t="str">
        <f t="array" ref="N248">INDEX('MATCH INFO'!O:O, INT((ROW()-2)/10)+2 + 124)</f>
        <v>260705_O2_CB_S3</v>
      </c>
    </row>
    <row r="249" spans="1:14">
      <c r="A249" s="23" t="s">
        <v>51</v>
      </c>
      <c r="B249" s="23" t="s">
        <v>127</v>
      </c>
      <c r="C249" s="23" t="s">
        <v>104</v>
      </c>
      <c r="D249" s="23" t="s">
        <v>44</v>
      </c>
      <c r="E249" s="23" t="s">
        <v>190</v>
      </c>
      <c r="F249" s="23">
        <v>10</v>
      </c>
      <c r="G249" s="23">
        <v>6</v>
      </c>
      <c r="H249" s="23">
        <v>3</v>
      </c>
      <c r="I249" s="23">
        <v>10032</v>
      </c>
      <c r="J249" s="23">
        <v>0</v>
      </c>
      <c r="K249" s="23">
        <v>897</v>
      </c>
      <c r="L249" s="23" t="s">
        <v>329</v>
      </c>
      <c r="M249" s="23">
        <f t="shared" si="3"/>
        <v>560</v>
      </c>
      <c r="N249" s="24" t="str">
        <f t="array" ref="N249">INDEX('MATCH INFO'!O:O, INT((ROW()-2)/10)+2 + 124)</f>
        <v>260705_O2_CB_S3</v>
      </c>
    </row>
    <row r="250" spans="1:14">
      <c r="A250" s="23" t="s">
        <v>51</v>
      </c>
      <c r="B250" s="23" t="s">
        <v>128</v>
      </c>
      <c r="C250" s="23" t="s">
        <v>109</v>
      </c>
      <c r="D250" s="23" t="s">
        <v>44</v>
      </c>
      <c r="E250" s="23" t="s">
        <v>190</v>
      </c>
      <c r="F250" s="23">
        <v>8</v>
      </c>
      <c r="G250" s="23">
        <v>2</v>
      </c>
      <c r="H250" s="23">
        <v>12</v>
      </c>
      <c r="I250" s="23">
        <v>2979</v>
      </c>
      <c r="J250" s="23">
        <v>8361</v>
      </c>
      <c r="K250" s="23">
        <v>0</v>
      </c>
      <c r="L250" s="23" t="s">
        <v>329</v>
      </c>
      <c r="M250" s="23">
        <f t="shared" si="3"/>
        <v>560</v>
      </c>
      <c r="N250" s="24" t="str">
        <f t="array" ref="N250">INDEX('MATCH INFO'!O:O, INT((ROW()-2)/10)+2 + 124)</f>
        <v>260705_O2_CB_S3</v>
      </c>
    </row>
    <row r="251" spans="1:14">
      <c r="A251" s="23" t="s">
        <v>51</v>
      </c>
      <c r="B251" s="23" t="s">
        <v>129</v>
      </c>
      <c r="C251" s="23" t="s">
        <v>109</v>
      </c>
      <c r="D251" s="23" t="s">
        <v>44</v>
      </c>
      <c r="E251" s="23" t="s">
        <v>190</v>
      </c>
      <c r="F251" s="23">
        <v>7</v>
      </c>
      <c r="G251" s="23">
        <v>7</v>
      </c>
      <c r="H251" s="23">
        <v>8</v>
      </c>
      <c r="I251" s="23">
        <v>4222</v>
      </c>
      <c r="J251" s="23">
        <v>6955</v>
      </c>
      <c r="K251" s="23">
        <v>0</v>
      </c>
      <c r="L251" s="23" t="s">
        <v>329</v>
      </c>
      <c r="M251" s="23">
        <f t="shared" si="3"/>
        <v>560</v>
      </c>
      <c r="N251" s="24" t="str">
        <f t="array" ref="N251">INDEX('MATCH INFO'!O:O, INT((ROW()-2)/10)+2 + 124)</f>
        <v>260705_O2_CB_S3</v>
      </c>
    </row>
    <row r="252" spans="1:14">
      <c r="A252" s="23" t="s">
        <v>51</v>
      </c>
      <c r="B252" s="23" t="s">
        <v>126</v>
      </c>
      <c r="C252" s="23" t="s">
        <v>104</v>
      </c>
      <c r="D252" s="23" t="s">
        <v>90</v>
      </c>
      <c r="E252" s="23" t="s">
        <v>192</v>
      </c>
      <c r="F252" s="23">
        <v>23</v>
      </c>
      <c r="G252" s="23">
        <v>6</v>
      </c>
      <c r="H252" s="23">
        <v>0</v>
      </c>
      <c r="I252" s="23">
        <v>12993</v>
      </c>
      <c r="J252" s="23">
        <v>1991</v>
      </c>
      <c r="K252" s="23">
        <v>0</v>
      </c>
      <c r="L252" s="23" t="s">
        <v>330</v>
      </c>
      <c r="M252" s="23">
        <f t="shared" si="3"/>
        <v>663</v>
      </c>
      <c r="N252" s="24" t="str">
        <f t="array" ref="N252">INDEX('MATCH INFO'!O:O, INT((ROW()-2)/10)+2 + 124)</f>
        <v>260705_O2_CB_S4</v>
      </c>
    </row>
    <row r="253" spans="1:14">
      <c r="A253" s="23" t="s">
        <v>51</v>
      </c>
      <c r="B253" s="23" t="s">
        <v>125</v>
      </c>
      <c r="C253" s="23" t="s">
        <v>101</v>
      </c>
      <c r="D253" s="23" t="s">
        <v>90</v>
      </c>
      <c r="E253" s="23" t="s">
        <v>192</v>
      </c>
      <c r="F253" s="23">
        <v>22</v>
      </c>
      <c r="G253" s="23">
        <v>7</v>
      </c>
      <c r="H253" s="23">
        <v>19</v>
      </c>
      <c r="I253" s="23">
        <v>16473</v>
      </c>
      <c r="J253" s="23">
        <v>3517</v>
      </c>
      <c r="K253" s="23">
        <v>9381</v>
      </c>
      <c r="L253" s="23" t="s">
        <v>330</v>
      </c>
      <c r="M253" s="23">
        <f t="shared" si="3"/>
        <v>663</v>
      </c>
      <c r="N253" s="24" t="str">
        <f t="array" ref="N253">INDEX('MATCH INFO'!O:O, INT((ROW()-2)/10)+2 + 124)</f>
        <v>260705_O2_CB_S4</v>
      </c>
    </row>
    <row r="254" spans="1:14">
      <c r="A254" s="23" t="s">
        <v>51</v>
      </c>
      <c r="B254" s="23" t="s">
        <v>127</v>
      </c>
      <c r="C254" s="23" t="s">
        <v>104</v>
      </c>
      <c r="D254" s="23" t="s">
        <v>90</v>
      </c>
      <c r="E254" s="23" t="s">
        <v>192</v>
      </c>
      <c r="F254" s="23">
        <v>20</v>
      </c>
      <c r="G254" s="23">
        <v>10</v>
      </c>
      <c r="H254" s="23">
        <v>1</v>
      </c>
      <c r="I254" s="23">
        <v>11348</v>
      </c>
      <c r="J254" s="23">
        <v>150</v>
      </c>
      <c r="K254" s="23">
        <v>319</v>
      </c>
      <c r="L254" s="23" t="s">
        <v>330</v>
      </c>
      <c r="M254" s="23">
        <f t="shared" si="3"/>
        <v>663</v>
      </c>
      <c r="N254" s="24" t="str">
        <f t="array" ref="N254">INDEX('MATCH INFO'!O:O, INT((ROW()-2)/10)+2 + 124)</f>
        <v>260705_O2_CB_S4</v>
      </c>
    </row>
    <row r="255" spans="1:14">
      <c r="A255" s="23" t="s">
        <v>51</v>
      </c>
      <c r="B255" s="23" t="s">
        <v>128</v>
      </c>
      <c r="C255" s="23" t="s">
        <v>109</v>
      </c>
      <c r="D255" s="23" t="s">
        <v>90</v>
      </c>
      <c r="E255" s="23" t="s">
        <v>192</v>
      </c>
      <c r="F255" s="23">
        <v>16</v>
      </c>
      <c r="G255" s="23">
        <v>7</v>
      </c>
      <c r="H255" s="23">
        <v>16</v>
      </c>
      <c r="I255" s="23">
        <v>4588</v>
      </c>
      <c r="J255" s="23">
        <v>11163</v>
      </c>
      <c r="K255" s="23">
        <v>0</v>
      </c>
      <c r="L255" s="23" t="s">
        <v>330</v>
      </c>
      <c r="M255" s="23">
        <f t="shared" si="3"/>
        <v>663</v>
      </c>
      <c r="N255" s="24" t="str">
        <f t="array" ref="N255">INDEX('MATCH INFO'!O:O, INT((ROW()-2)/10)+2 + 124)</f>
        <v>260705_O2_CB_S4</v>
      </c>
    </row>
    <row r="256" spans="1:14">
      <c r="A256" s="23" t="s">
        <v>51</v>
      </c>
      <c r="B256" s="23" t="s">
        <v>129</v>
      </c>
      <c r="C256" s="23" t="s">
        <v>109</v>
      </c>
      <c r="D256" s="23" t="s">
        <v>90</v>
      </c>
      <c r="E256" s="23" t="s">
        <v>192</v>
      </c>
      <c r="F256" s="23">
        <v>16</v>
      </c>
      <c r="G256" s="23">
        <v>12</v>
      </c>
      <c r="H256" s="23">
        <v>25</v>
      </c>
      <c r="I256" s="23">
        <v>5783</v>
      </c>
      <c r="J256" s="23">
        <v>12941</v>
      </c>
      <c r="K256" s="23">
        <v>0</v>
      </c>
      <c r="L256" s="23" t="s">
        <v>330</v>
      </c>
      <c r="M256" s="23">
        <f t="shared" si="3"/>
        <v>663</v>
      </c>
      <c r="N256" s="24" t="str">
        <f t="array" ref="N256">INDEX('MATCH INFO'!O:O, INT((ROW()-2)/10)+2 + 124)</f>
        <v>260705_O2_CB_S4</v>
      </c>
    </row>
    <row r="257" spans="1:14">
      <c r="A257" s="23" t="s">
        <v>20</v>
      </c>
      <c r="B257" s="23" t="s">
        <v>108</v>
      </c>
      <c r="C257" s="23" t="s">
        <v>109</v>
      </c>
      <c r="D257" s="23" t="s">
        <v>90</v>
      </c>
      <c r="E257" s="23" t="s">
        <v>192</v>
      </c>
      <c r="F257" s="23">
        <v>23</v>
      </c>
      <c r="G257" s="23">
        <v>3</v>
      </c>
      <c r="H257" s="23">
        <v>25</v>
      </c>
      <c r="I257" s="23">
        <v>5508</v>
      </c>
      <c r="J257" s="23">
        <v>10744</v>
      </c>
      <c r="K257" s="23">
        <v>0</v>
      </c>
      <c r="L257" s="23" t="s">
        <v>330</v>
      </c>
      <c r="M257" s="23">
        <f t="shared" si="3"/>
        <v>663</v>
      </c>
      <c r="N257" s="24" t="str">
        <f t="array" ref="N257">INDEX('MATCH INFO'!O:O, INT((ROW()-2)/10)+2 + 124)</f>
        <v>260705_O2_CB_S4</v>
      </c>
    </row>
    <row r="258" spans="1:14">
      <c r="A258" s="23" t="s">
        <v>20</v>
      </c>
      <c r="B258" s="23" t="s">
        <v>100</v>
      </c>
      <c r="C258" s="23" t="s">
        <v>101</v>
      </c>
      <c r="D258" s="23" t="s">
        <v>90</v>
      </c>
      <c r="E258" s="23" t="s">
        <v>192</v>
      </c>
      <c r="F258" s="23">
        <v>33</v>
      </c>
      <c r="G258" s="23">
        <v>7</v>
      </c>
      <c r="H258" s="23">
        <v>22</v>
      </c>
      <c r="I258" s="23">
        <v>16653</v>
      </c>
      <c r="J258" s="23">
        <v>3668</v>
      </c>
      <c r="K258" s="23">
        <v>8401</v>
      </c>
      <c r="L258" s="23" t="s">
        <v>330</v>
      </c>
      <c r="M258" s="23">
        <f t="shared" ref="M258:M321" si="4">L258*86400</f>
        <v>663</v>
      </c>
      <c r="N258" s="24" t="str">
        <f t="array" ref="N258">INDEX('MATCH INFO'!O:O, INT((ROW()-2)/10)+2 + 124)</f>
        <v>260705_O2_CB_S4</v>
      </c>
    </row>
    <row r="259" spans="1:14">
      <c r="A259" s="23" t="s">
        <v>20</v>
      </c>
      <c r="B259" s="23" t="s">
        <v>111</v>
      </c>
      <c r="C259" s="23" t="s">
        <v>109</v>
      </c>
      <c r="D259" s="23" t="s">
        <v>90</v>
      </c>
      <c r="E259" s="23" t="s">
        <v>192</v>
      </c>
      <c r="F259" s="23">
        <v>15</v>
      </c>
      <c r="G259" s="23">
        <v>7</v>
      </c>
      <c r="H259" s="23">
        <v>33</v>
      </c>
      <c r="I259" s="23">
        <v>5625</v>
      </c>
      <c r="J259" s="23">
        <v>15302</v>
      </c>
      <c r="K259" s="23">
        <v>0</v>
      </c>
      <c r="L259" s="23" t="s">
        <v>330</v>
      </c>
      <c r="M259" s="23">
        <f t="shared" si="4"/>
        <v>663</v>
      </c>
      <c r="N259" s="24" t="str">
        <f t="array" ref="N259">INDEX('MATCH INFO'!O:O, INT((ROW()-2)/10)+2 + 124)</f>
        <v>260705_O2_CB_S4</v>
      </c>
    </row>
    <row r="260" spans="1:14">
      <c r="A260" s="23" t="s">
        <v>20</v>
      </c>
      <c r="B260" s="23" t="s">
        <v>106</v>
      </c>
      <c r="C260" s="23" t="s">
        <v>104</v>
      </c>
      <c r="D260" s="23" t="s">
        <v>90</v>
      </c>
      <c r="E260" s="23" t="s">
        <v>192</v>
      </c>
      <c r="F260" s="23">
        <v>21</v>
      </c>
      <c r="G260" s="23">
        <v>8</v>
      </c>
      <c r="H260" s="23">
        <v>3</v>
      </c>
      <c r="I260" s="23">
        <v>11526</v>
      </c>
      <c r="J260" s="23">
        <v>0</v>
      </c>
      <c r="K260" s="23">
        <v>658</v>
      </c>
      <c r="L260" s="23" t="s">
        <v>330</v>
      </c>
      <c r="M260" s="23">
        <f t="shared" si="4"/>
        <v>663</v>
      </c>
      <c r="N260" s="24" t="str">
        <f t="array" ref="N260">INDEX('MATCH INFO'!O:O, INT((ROW()-2)/10)+2 + 124)</f>
        <v>260705_O2_CB_S4</v>
      </c>
    </row>
    <row r="261" spans="1:14">
      <c r="A261" s="23" t="s">
        <v>20</v>
      </c>
      <c r="B261" s="23" t="s">
        <v>103</v>
      </c>
      <c r="C261" s="23" t="s">
        <v>104</v>
      </c>
      <c r="D261" s="23" t="s">
        <v>90</v>
      </c>
      <c r="E261" s="23" t="s">
        <v>192</v>
      </c>
      <c r="F261" s="23">
        <v>28</v>
      </c>
      <c r="G261" s="23">
        <v>7</v>
      </c>
      <c r="H261" s="23">
        <v>0</v>
      </c>
      <c r="I261" s="23">
        <v>13083</v>
      </c>
      <c r="J261" s="23">
        <v>2185</v>
      </c>
      <c r="K261" s="23">
        <v>0</v>
      </c>
      <c r="L261" s="23" t="s">
        <v>330</v>
      </c>
      <c r="M261" s="23">
        <f t="shared" si="4"/>
        <v>663</v>
      </c>
      <c r="N261" s="24" t="str">
        <f t="array" ref="N261">INDEX('MATCH INFO'!O:O, INT((ROW()-2)/10)+2 + 124)</f>
        <v>260705_O2_CB_S4</v>
      </c>
    </row>
    <row r="262" spans="1:14">
      <c r="A262" s="23" t="s">
        <v>32</v>
      </c>
      <c r="B262" s="23" t="s">
        <v>150</v>
      </c>
      <c r="C262" s="23" t="s">
        <v>109</v>
      </c>
      <c r="D262" s="23" t="s">
        <v>33</v>
      </c>
      <c r="E262" s="23" t="s">
        <v>188</v>
      </c>
      <c r="F262" s="23">
        <v>27</v>
      </c>
      <c r="G262" s="23">
        <v>12</v>
      </c>
      <c r="H262" s="23">
        <v>31</v>
      </c>
      <c r="I262" s="23">
        <v>8361</v>
      </c>
      <c r="J262" s="23">
        <v>12488</v>
      </c>
      <c r="K262" s="23">
        <v>3285</v>
      </c>
      <c r="L262" s="23" t="s">
        <v>331</v>
      </c>
      <c r="M262" s="23">
        <f t="shared" si="4"/>
        <v>850</v>
      </c>
      <c r="N262" s="24" t="str">
        <f t="array" ref="N262">INDEX('MATCH INFO'!O:O, INT((ROW()-2)/10)+2 + 124)</f>
        <v>260705_CR_ZETA_S1</v>
      </c>
    </row>
    <row r="263" spans="1:14">
      <c r="A263" s="23" t="s">
        <v>32</v>
      </c>
      <c r="B263" s="23" t="s">
        <v>147</v>
      </c>
      <c r="C263" s="23" t="s">
        <v>104</v>
      </c>
      <c r="D263" s="23" t="s">
        <v>33</v>
      </c>
      <c r="E263" s="23" t="s">
        <v>188</v>
      </c>
      <c r="F263" s="23">
        <v>32</v>
      </c>
      <c r="G263" s="23">
        <v>14</v>
      </c>
      <c r="H263" s="23">
        <v>0</v>
      </c>
      <c r="I263" s="23">
        <v>13825</v>
      </c>
      <c r="J263" s="23">
        <v>2200</v>
      </c>
      <c r="K263" s="23">
        <v>0</v>
      </c>
      <c r="L263" s="23" t="s">
        <v>331</v>
      </c>
      <c r="M263" s="23">
        <f t="shared" si="4"/>
        <v>850</v>
      </c>
      <c r="N263" s="24" t="str">
        <f t="array" ref="N263">INDEX('MATCH INFO'!O:O, INT((ROW()-2)/10)+2 + 124)</f>
        <v>260705_CR_ZETA_S1</v>
      </c>
    </row>
    <row r="264" spans="1:14">
      <c r="A264" s="23" t="s">
        <v>32</v>
      </c>
      <c r="B264" s="23" t="s">
        <v>146</v>
      </c>
      <c r="C264" s="23" t="s">
        <v>101</v>
      </c>
      <c r="D264" s="23" t="s">
        <v>33</v>
      </c>
      <c r="E264" s="23" t="s">
        <v>188</v>
      </c>
      <c r="F264" s="23">
        <v>35</v>
      </c>
      <c r="G264" s="23">
        <v>10</v>
      </c>
      <c r="H264" s="23">
        <v>25</v>
      </c>
      <c r="I264" s="23">
        <v>21759</v>
      </c>
      <c r="J264" s="23">
        <v>4054</v>
      </c>
      <c r="K264" s="23">
        <v>9041</v>
      </c>
      <c r="L264" s="23" t="s">
        <v>331</v>
      </c>
      <c r="M264" s="23">
        <f t="shared" si="4"/>
        <v>850</v>
      </c>
      <c r="N264" s="24" t="str">
        <f t="array" ref="N264">INDEX('MATCH INFO'!O:O, INT((ROW()-2)/10)+2 + 124)</f>
        <v>260705_CR_ZETA_S1</v>
      </c>
    </row>
    <row r="265" spans="1:14">
      <c r="A265" s="23" t="s">
        <v>32</v>
      </c>
      <c r="B265" s="23" t="s">
        <v>149</v>
      </c>
      <c r="C265" s="23" t="s">
        <v>104</v>
      </c>
      <c r="D265" s="23" t="s">
        <v>33</v>
      </c>
      <c r="E265" s="23" t="s">
        <v>188</v>
      </c>
      <c r="F265" s="23">
        <v>35</v>
      </c>
      <c r="G265" s="23">
        <v>11</v>
      </c>
      <c r="H265" s="23">
        <v>5</v>
      </c>
      <c r="I265" s="23">
        <v>19766</v>
      </c>
      <c r="J265" s="23">
        <v>0</v>
      </c>
      <c r="K265" s="23">
        <v>655</v>
      </c>
      <c r="L265" s="23" t="s">
        <v>331</v>
      </c>
      <c r="M265" s="23">
        <f t="shared" si="4"/>
        <v>850</v>
      </c>
      <c r="N265" s="24" t="str">
        <f t="array" ref="N265">INDEX('MATCH INFO'!O:O, INT((ROW()-2)/10)+2 + 124)</f>
        <v>260705_CR_ZETA_S1</v>
      </c>
    </row>
    <row r="266" spans="1:14">
      <c r="A266" s="23" t="s">
        <v>32</v>
      </c>
      <c r="B266" s="23" t="s">
        <v>151</v>
      </c>
      <c r="C266" s="23" t="s">
        <v>109</v>
      </c>
      <c r="D266" s="23" t="s">
        <v>33</v>
      </c>
      <c r="E266" s="23" t="s">
        <v>188</v>
      </c>
      <c r="F266" s="23">
        <v>17</v>
      </c>
      <c r="G266" s="23">
        <v>9</v>
      </c>
      <c r="H266" s="23">
        <v>36</v>
      </c>
      <c r="I266" s="23">
        <v>8688</v>
      </c>
      <c r="J266" s="23">
        <v>20937</v>
      </c>
      <c r="K266" s="23">
        <v>0</v>
      </c>
      <c r="L266" s="23" t="s">
        <v>331</v>
      </c>
      <c r="M266" s="23">
        <f t="shared" si="4"/>
        <v>850</v>
      </c>
      <c r="N266" s="24" t="str">
        <f t="array" ref="N266">INDEX('MATCH INFO'!O:O, INT((ROW()-2)/10)+2 + 124)</f>
        <v>260705_CR_ZETA_S1</v>
      </c>
    </row>
    <row r="267" spans="1:14">
      <c r="A267" s="23" t="s">
        <v>42</v>
      </c>
      <c r="B267" s="23" t="s">
        <v>139</v>
      </c>
      <c r="C267" s="23" t="s">
        <v>101</v>
      </c>
      <c r="D267" s="23" t="s">
        <v>33</v>
      </c>
      <c r="E267" s="23" t="s">
        <v>188</v>
      </c>
      <c r="F267" s="23">
        <v>45</v>
      </c>
      <c r="G267" s="23">
        <v>9</v>
      </c>
      <c r="H267" s="23">
        <v>37</v>
      </c>
      <c r="I267" s="23">
        <v>20500</v>
      </c>
      <c r="J267" s="23">
        <v>5335</v>
      </c>
      <c r="K267" s="23">
        <v>9867</v>
      </c>
      <c r="L267" s="23" t="s">
        <v>331</v>
      </c>
      <c r="M267" s="23">
        <f t="shared" si="4"/>
        <v>850</v>
      </c>
      <c r="N267" s="24" t="str">
        <f t="array" ref="N267">INDEX('MATCH INFO'!O:O, INT((ROW()-2)/10)+2 + 124)</f>
        <v>260705_CR_ZETA_S1</v>
      </c>
    </row>
    <row r="268" spans="1:14">
      <c r="A268" s="23" t="s">
        <v>42</v>
      </c>
      <c r="B268" s="23" t="s">
        <v>141</v>
      </c>
      <c r="C268" s="23" t="s">
        <v>104</v>
      </c>
      <c r="D268" s="23" t="s">
        <v>33</v>
      </c>
      <c r="E268" s="23" t="s">
        <v>188</v>
      </c>
      <c r="F268" s="23">
        <v>35</v>
      </c>
      <c r="G268" s="23">
        <v>11</v>
      </c>
      <c r="H268" s="23">
        <v>0</v>
      </c>
      <c r="I268" s="23">
        <v>13915</v>
      </c>
      <c r="J268" s="23">
        <v>2259</v>
      </c>
      <c r="K268" s="23">
        <v>0</v>
      </c>
      <c r="L268" s="23" t="s">
        <v>331</v>
      </c>
      <c r="M268" s="23">
        <f t="shared" si="4"/>
        <v>850</v>
      </c>
      <c r="N268" s="24" t="str">
        <f t="array" ref="N268">INDEX('MATCH INFO'!O:O, INT((ROW()-2)/10)+2 + 124)</f>
        <v>260705_CR_ZETA_S1</v>
      </c>
    </row>
    <row r="269" spans="1:14">
      <c r="A269" s="23" t="s">
        <v>42</v>
      </c>
      <c r="B269" s="23" t="s">
        <v>140</v>
      </c>
      <c r="C269" s="23" t="s">
        <v>104</v>
      </c>
      <c r="D269" s="23" t="s">
        <v>33</v>
      </c>
      <c r="E269" s="23" t="s">
        <v>188</v>
      </c>
      <c r="F269" s="23">
        <v>45</v>
      </c>
      <c r="G269" s="23">
        <v>11</v>
      </c>
      <c r="H269" s="23">
        <v>7</v>
      </c>
      <c r="I269" s="23">
        <v>21886</v>
      </c>
      <c r="J269" s="23">
        <v>0</v>
      </c>
      <c r="K269" s="23">
        <v>675</v>
      </c>
      <c r="L269" s="23" t="s">
        <v>331</v>
      </c>
      <c r="M269" s="23">
        <f t="shared" si="4"/>
        <v>850</v>
      </c>
      <c r="N269" s="24" t="str">
        <f t="array" ref="N269">INDEX('MATCH INFO'!O:O, INT((ROW()-2)/10)+2 + 124)</f>
        <v>260705_CR_ZETA_S1</v>
      </c>
    </row>
    <row r="270" spans="1:14">
      <c r="A270" s="23" t="s">
        <v>42</v>
      </c>
      <c r="B270" s="23" t="s">
        <v>143</v>
      </c>
      <c r="C270" s="23" t="s">
        <v>109</v>
      </c>
      <c r="D270" s="23" t="s">
        <v>33</v>
      </c>
      <c r="E270" s="23" t="s">
        <v>188</v>
      </c>
      <c r="F270" s="23">
        <v>24</v>
      </c>
      <c r="G270" s="23">
        <v>9</v>
      </c>
      <c r="H270" s="23">
        <v>43</v>
      </c>
      <c r="I270" s="23">
        <v>7637</v>
      </c>
      <c r="J270" s="23">
        <v>20495</v>
      </c>
      <c r="K270" s="23">
        <v>0</v>
      </c>
      <c r="L270" s="23" t="s">
        <v>331</v>
      </c>
      <c r="M270" s="23">
        <f t="shared" si="4"/>
        <v>850</v>
      </c>
      <c r="N270" s="24" t="str">
        <f t="array" ref="N270">INDEX('MATCH INFO'!O:O, INT((ROW()-2)/10)+2 + 124)</f>
        <v>260705_CR_ZETA_S1</v>
      </c>
    </row>
    <row r="271" spans="1:14">
      <c r="A271" s="23" t="s">
        <v>42</v>
      </c>
      <c r="B271" s="23" t="s">
        <v>142</v>
      </c>
      <c r="C271" s="23" t="s">
        <v>109</v>
      </c>
      <c r="D271" s="23" t="s">
        <v>33</v>
      </c>
      <c r="E271" s="23" t="s">
        <v>188</v>
      </c>
      <c r="F271" s="23">
        <v>29</v>
      </c>
      <c r="G271" s="23">
        <v>7</v>
      </c>
      <c r="H271" s="23">
        <v>33</v>
      </c>
      <c r="I271" s="23">
        <v>8867</v>
      </c>
      <c r="J271" s="23">
        <v>14414</v>
      </c>
      <c r="K271" s="23">
        <v>4588</v>
      </c>
      <c r="L271" s="23" t="s">
        <v>331</v>
      </c>
      <c r="M271" s="23">
        <f t="shared" si="4"/>
        <v>850</v>
      </c>
      <c r="N271" s="24" t="str">
        <f t="array" ref="N271">INDEX('MATCH INFO'!O:O, INT((ROW()-2)/10)+2 + 124)</f>
        <v>260705_CR_ZETA_S1</v>
      </c>
    </row>
    <row r="272" spans="1:14">
      <c r="A272" s="23" t="s">
        <v>42</v>
      </c>
      <c r="B272" s="23" t="s">
        <v>139</v>
      </c>
      <c r="C272" s="23" t="s">
        <v>101</v>
      </c>
      <c r="D272" s="23" t="s">
        <v>37</v>
      </c>
      <c r="E272" s="23" t="s">
        <v>196</v>
      </c>
      <c r="F272" s="23">
        <v>22</v>
      </c>
      <c r="G272" s="23">
        <v>11</v>
      </c>
      <c r="H272" s="23">
        <v>6</v>
      </c>
      <c r="I272" s="23">
        <v>15392</v>
      </c>
      <c r="J272" s="23">
        <v>832</v>
      </c>
      <c r="K272" s="23">
        <v>22838</v>
      </c>
      <c r="L272" s="23" t="s">
        <v>332</v>
      </c>
      <c r="M272" s="23">
        <f t="shared" si="4"/>
        <v>975.99999999999989</v>
      </c>
      <c r="N272" s="24" t="str">
        <f t="array" ref="N272">INDEX('MATCH INFO'!O:O, INT((ROW()-2)/10)+2 + 124)</f>
        <v>260705_CR_ZETA_S2</v>
      </c>
    </row>
    <row r="273" spans="1:14">
      <c r="A273" s="23" t="s">
        <v>42</v>
      </c>
      <c r="B273" s="23" t="s">
        <v>141</v>
      </c>
      <c r="C273" s="23" t="s">
        <v>104</v>
      </c>
      <c r="D273" s="23" t="s">
        <v>37</v>
      </c>
      <c r="E273" s="23" t="s">
        <v>196</v>
      </c>
      <c r="F273" s="23">
        <v>19</v>
      </c>
      <c r="G273" s="23">
        <v>12</v>
      </c>
      <c r="H273" s="23">
        <v>1</v>
      </c>
      <c r="I273" s="23">
        <v>10718</v>
      </c>
      <c r="J273" s="23">
        <v>1822</v>
      </c>
      <c r="K273" s="23">
        <v>2413</v>
      </c>
      <c r="L273" s="23" t="s">
        <v>332</v>
      </c>
      <c r="M273" s="23">
        <f t="shared" si="4"/>
        <v>975.99999999999989</v>
      </c>
      <c r="N273" s="24" t="str">
        <f t="array" ref="N273">INDEX('MATCH INFO'!O:O, INT((ROW()-2)/10)+2 + 124)</f>
        <v>260705_CR_ZETA_S2</v>
      </c>
    </row>
    <row r="274" spans="1:14">
      <c r="A274" s="23" t="s">
        <v>42</v>
      </c>
      <c r="B274" s="23" t="s">
        <v>140</v>
      </c>
      <c r="C274" s="23" t="s">
        <v>104</v>
      </c>
      <c r="D274" s="23" t="s">
        <v>37</v>
      </c>
      <c r="E274" s="23" t="s">
        <v>196</v>
      </c>
      <c r="F274" s="23">
        <v>24</v>
      </c>
      <c r="G274" s="23">
        <v>12</v>
      </c>
      <c r="H274" s="23">
        <v>4</v>
      </c>
      <c r="I274" s="23">
        <v>16438</v>
      </c>
      <c r="J274" s="23">
        <v>45</v>
      </c>
      <c r="K274" s="23">
        <v>831</v>
      </c>
      <c r="L274" s="23" t="s">
        <v>332</v>
      </c>
      <c r="M274" s="23">
        <f t="shared" si="4"/>
        <v>975.99999999999989</v>
      </c>
      <c r="N274" s="24" t="str">
        <f t="array" ref="N274">INDEX('MATCH INFO'!O:O, INT((ROW()-2)/10)+2 + 124)</f>
        <v>260705_CR_ZETA_S2</v>
      </c>
    </row>
    <row r="275" spans="1:14">
      <c r="A275" s="23" t="s">
        <v>42</v>
      </c>
      <c r="B275" s="23" t="s">
        <v>143</v>
      </c>
      <c r="C275" s="23" t="s">
        <v>109</v>
      </c>
      <c r="D275" s="23" t="s">
        <v>37</v>
      </c>
      <c r="E275" s="23" t="s">
        <v>196</v>
      </c>
      <c r="F275" s="23">
        <v>14</v>
      </c>
      <c r="G275" s="23">
        <v>10</v>
      </c>
      <c r="H275" s="23">
        <v>21</v>
      </c>
      <c r="I275" s="23">
        <v>5783</v>
      </c>
      <c r="J275" s="23">
        <v>20862</v>
      </c>
      <c r="K275" s="23">
        <v>103</v>
      </c>
      <c r="L275" s="23" t="s">
        <v>332</v>
      </c>
      <c r="M275" s="23">
        <f t="shared" si="4"/>
        <v>975.99999999999989</v>
      </c>
      <c r="N275" s="24" t="str">
        <f t="array" ref="N275">INDEX('MATCH INFO'!O:O, INT((ROW()-2)/10)+2 + 124)</f>
        <v>260705_CR_ZETA_S2</v>
      </c>
    </row>
    <row r="276" spans="1:14">
      <c r="A276" s="23" t="s">
        <v>42</v>
      </c>
      <c r="B276" s="23" t="s">
        <v>142</v>
      </c>
      <c r="C276" s="23" t="s">
        <v>109</v>
      </c>
      <c r="D276" s="23" t="s">
        <v>37</v>
      </c>
      <c r="E276" s="23" t="s">
        <v>196</v>
      </c>
      <c r="F276" s="23">
        <v>18</v>
      </c>
      <c r="G276" s="23">
        <v>12</v>
      </c>
      <c r="H276" s="23">
        <v>16</v>
      </c>
      <c r="I276" s="23">
        <v>6942</v>
      </c>
      <c r="J276" s="23">
        <v>12576</v>
      </c>
      <c r="K276" s="23">
        <v>1137</v>
      </c>
      <c r="L276" s="23" t="s">
        <v>332</v>
      </c>
      <c r="M276" s="23">
        <f t="shared" si="4"/>
        <v>975.99999999999989</v>
      </c>
      <c r="N276" s="24" t="str">
        <f t="array" ref="N276">INDEX('MATCH INFO'!O:O, INT((ROW()-2)/10)+2 + 124)</f>
        <v>260705_CR_ZETA_S2</v>
      </c>
    </row>
    <row r="277" spans="1:14">
      <c r="A277" s="23" t="s">
        <v>32</v>
      </c>
      <c r="B277" s="23" t="s">
        <v>150</v>
      </c>
      <c r="C277" s="23" t="s">
        <v>109</v>
      </c>
      <c r="D277" s="23" t="s">
        <v>37</v>
      </c>
      <c r="E277" s="23" t="s">
        <v>196</v>
      </c>
      <c r="F277" s="23">
        <v>33</v>
      </c>
      <c r="G277" s="23">
        <v>7</v>
      </c>
      <c r="H277" s="23">
        <v>37</v>
      </c>
      <c r="I277" s="23">
        <v>7742</v>
      </c>
      <c r="J277" s="23">
        <v>15624</v>
      </c>
      <c r="K277" s="23">
        <v>1757</v>
      </c>
      <c r="L277" s="23" t="s">
        <v>332</v>
      </c>
      <c r="M277" s="23">
        <f t="shared" si="4"/>
        <v>975.99999999999989</v>
      </c>
      <c r="N277" s="24" t="str">
        <f t="array" ref="N277">INDEX('MATCH INFO'!O:O, INT((ROW()-2)/10)+2 + 124)</f>
        <v>260705_CR_ZETA_S2</v>
      </c>
    </row>
    <row r="278" spans="1:14">
      <c r="A278" s="23" t="s">
        <v>32</v>
      </c>
      <c r="B278" s="23" t="s">
        <v>147</v>
      </c>
      <c r="C278" s="23" t="s">
        <v>104</v>
      </c>
      <c r="D278" s="23" t="s">
        <v>37</v>
      </c>
      <c r="E278" s="23" t="s">
        <v>196</v>
      </c>
      <c r="F278" s="23">
        <v>34</v>
      </c>
      <c r="G278" s="23">
        <v>8</v>
      </c>
      <c r="H278" s="23">
        <v>10</v>
      </c>
      <c r="I278" s="23">
        <v>13832</v>
      </c>
      <c r="J278" s="23">
        <v>1110</v>
      </c>
      <c r="K278" s="23">
        <v>1945</v>
      </c>
      <c r="L278" s="23" t="s">
        <v>332</v>
      </c>
      <c r="M278" s="23">
        <f t="shared" si="4"/>
        <v>975.99999999999989</v>
      </c>
      <c r="N278" s="24" t="str">
        <f t="array" ref="N278">INDEX('MATCH INFO'!O:O, INT((ROW()-2)/10)+2 + 124)</f>
        <v>260705_CR_ZETA_S2</v>
      </c>
    </row>
    <row r="279" spans="1:14">
      <c r="A279" s="23" t="s">
        <v>32</v>
      </c>
      <c r="B279" s="23" t="s">
        <v>146</v>
      </c>
      <c r="C279" s="23" t="s">
        <v>101</v>
      </c>
      <c r="D279" s="23" t="s">
        <v>37</v>
      </c>
      <c r="E279" s="23" t="s">
        <v>196</v>
      </c>
      <c r="F279" s="23">
        <v>36</v>
      </c>
      <c r="G279" s="23">
        <v>6</v>
      </c>
      <c r="H279" s="23">
        <v>13</v>
      </c>
      <c r="I279" s="23">
        <v>17856</v>
      </c>
      <c r="J279" s="23">
        <v>318</v>
      </c>
      <c r="K279" s="23">
        <v>21810</v>
      </c>
      <c r="L279" s="23" t="s">
        <v>332</v>
      </c>
      <c r="M279" s="23">
        <f t="shared" si="4"/>
        <v>975.99999999999989</v>
      </c>
      <c r="N279" s="24" t="str">
        <f t="array" ref="N279">INDEX('MATCH INFO'!O:O, INT((ROW()-2)/10)+2 + 124)</f>
        <v>260705_CR_ZETA_S2</v>
      </c>
    </row>
    <row r="280" spans="1:14">
      <c r="A280" s="23" t="s">
        <v>32</v>
      </c>
      <c r="B280" s="23" t="s">
        <v>149</v>
      </c>
      <c r="C280" s="23" t="s">
        <v>104</v>
      </c>
      <c r="D280" s="23" t="s">
        <v>37</v>
      </c>
      <c r="E280" s="23" t="s">
        <v>196</v>
      </c>
      <c r="F280" s="23">
        <v>42</v>
      </c>
      <c r="G280" s="23">
        <v>10</v>
      </c>
      <c r="H280" s="23">
        <v>2</v>
      </c>
      <c r="I280" s="23">
        <v>15483</v>
      </c>
      <c r="J280" s="23">
        <v>0</v>
      </c>
      <c r="K280" s="23">
        <v>443</v>
      </c>
      <c r="L280" s="23" t="s">
        <v>332</v>
      </c>
      <c r="M280" s="23">
        <f t="shared" si="4"/>
        <v>975.99999999999989</v>
      </c>
      <c r="N280" s="24" t="str">
        <f t="array" ref="N280">INDEX('MATCH INFO'!O:O, INT((ROW()-2)/10)+2 + 124)</f>
        <v>260705_CR_ZETA_S2</v>
      </c>
    </row>
    <row r="281" spans="1:14">
      <c r="A281" s="23" t="s">
        <v>32</v>
      </c>
      <c r="B281" s="23" t="s">
        <v>151</v>
      </c>
      <c r="C281" s="23" t="s">
        <v>109</v>
      </c>
      <c r="D281" s="23" t="s">
        <v>37</v>
      </c>
      <c r="E281" s="23" t="s">
        <v>196</v>
      </c>
      <c r="F281" s="23">
        <v>28</v>
      </c>
      <c r="G281" s="23">
        <v>4</v>
      </c>
      <c r="H281" s="23">
        <v>43</v>
      </c>
      <c r="I281" s="23">
        <v>7951</v>
      </c>
      <c r="J281" s="23">
        <v>21330</v>
      </c>
      <c r="K281" s="23">
        <v>0</v>
      </c>
      <c r="L281" s="23" t="s">
        <v>332</v>
      </c>
      <c r="M281" s="23">
        <f t="shared" si="4"/>
        <v>975.99999999999989</v>
      </c>
      <c r="N281" s="24" t="str">
        <f t="array" ref="N281">INDEX('MATCH INFO'!O:O, INT((ROW()-2)/10)+2 + 124)</f>
        <v>260705_CR_ZETA_S2</v>
      </c>
    </row>
    <row r="282" spans="1:14">
      <c r="A282" s="23" t="s">
        <v>32</v>
      </c>
      <c r="B282" s="23" t="s">
        <v>150</v>
      </c>
      <c r="C282" s="23" t="s">
        <v>109</v>
      </c>
      <c r="D282" s="23" t="s">
        <v>90</v>
      </c>
      <c r="E282" s="23" t="s">
        <v>192</v>
      </c>
      <c r="F282" s="23">
        <v>22</v>
      </c>
      <c r="G282" s="23">
        <v>9</v>
      </c>
      <c r="H282" s="23">
        <v>16</v>
      </c>
      <c r="I282" s="23">
        <v>4991</v>
      </c>
      <c r="J282" s="23">
        <v>7618</v>
      </c>
      <c r="K282" s="23">
        <v>784</v>
      </c>
      <c r="L282" s="23" t="s">
        <v>302</v>
      </c>
      <c r="M282" s="23">
        <f t="shared" si="4"/>
        <v>605</v>
      </c>
      <c r="N282" s="24" t="str">
        <f t="array" ref="N282">INDEX('MATCH INFO'!O:O, INT((ROW()-2)/10)+2 + 124)</f>
        <v>260705_CR_ZETA_S3</v>
      </c>
    </row>
    <row r="283" spans="1:14">
      <c r="A283" s="23" t="s">
        <v>32</v>
      </c>
      <c r="B283" s="23" t="s">
        <v>147</v>
      </c>
      <c r="C283" s="23" t="s">
        <v>104</v>
      </c>
      <c r="D283" s="23" t="s">
        <v>90</v>
      </c>
      <c r="E283" s="23" t="s">
        <v>192</v>
      </c>
      <c r="F283" s="23">
        <v>25</v>
      </c>
      <c r="G283" s="23">
        <v>7</v>
      </c>
      <c r="H283" s="23">
        <v>0</v>
      </c>
      <c r="I283" s="23">
        <v>8582</v>
      </c>
      <c r="J283" s="23">
        <v>401</v>
      </c>
      <c r="K283" s="23">
        <v>0</v>
      </c>
      <c r="L283" s="23" t="s">
        <v>302</v>
      </c>
      <c r="M283" s="23">
        <f t="shared" si="4"/>
        <v>605</v>
      </c>
      <c r="N283" s="24" t="str">
        <f t="array" ref="N283">INDEX('MATCH INFO'!O:O, INT((ROW()-2)/10)+2 + 124)</f>
        <v>260705_CR_ZETA_S3</v>
      </c>
    </row>
    <row r="284" spans="1:14">
      <c r="A284" s="23" t="s">
        <v>32</v>
      </c>
      <c r="B284" s="23" t="s">
        <v>146</v>
      </c>
      <c r="C284" s="23" t="s">
        <v>101</v>
      </c>
      <c r="D284" s="23" t="s">
        <v>90</v>
      </c>
      <c r="E284" s="23" t="s">
        <v>192</v>
      </c>
      <c r="F284" s="23">
        <v>32</v>
      </c>
      <c r="G284" s="23">
        <v>4</v>
      </c>
      <c r="H284" s="23">
        <v>22</v>
      </c>
      <c r="I284" s="23">
        <v>9414</v>
      </c>
      <c r="J284" s="23">
        <v>1863</v>
      </c>
      <c r="K284" s="23">
        <v>14328</v>
      </c>
      <c r="L284" s="23" t="s">
        <v>302</v>
      </c>
      <c r="M284" s="23">
        <f t="shared" si="4"/>
        <v>605</v>
      </c>
      <c r="N284" s="24" t="str">
        <f t="array" ref="N284">INDEX('MATCH INFO'!O:O, INT((ROW()-2)/10)+2 + 124)</f>
        <v>260705_CR_ZETA_S3</v>
      </c>
    </row>
    <row r="285" spans="1:14">
      <c r="A285" s="23" t="s">
        <v>32</v>
      </c>
      <c r="B285" s="23" t="s">
        <v>149</v>
      </c>
      <c r="C285" s="23" t="s">
        <v>104</v>
      </c>
      <c r="D285" s="23" t="s">
        <v>90</v>
      </c>
      <c r="E285" s="23" t="s">
        <v>192</v>
      </c>
      <c r="F285" s="23">
        <v>25</v>
      </c>
      <c r="G285" s="23">
        <v>8</v>
      </c>
      <c r="H285" s="23">
        <v>6</v>
      </c>
      <c r="I285" s="23">
        <v>9382</v>
      </c>
      <c r="J285" s="23">
        <v>0</v>
      </c>
      <c r="K285" s="23">
        <v>646</v>
      </c>
      <c r="L285" s="23" t="s">
        <v>302</v>
      </c>
      <c r="M285" s="23">
        <f t="shared" si="4"/>
        <v>605</v>
      </c>
      <c r="N285" s="24" t="str">
        <f t="array" ref="N285">INDEX('MATCH INFO'!O:O, INT((ROW()-2)/10)+2 + 124)</f>
        <v>260705_CR_ZETA_S3</v>
      </c>
    </row>
    <row r="286" spans="1:14">
      <c r="A286" s="23" t="s">
        <v>32</v>
      </c>
      <c r="B286" s="23" t="s">
        <v>151</v>
      </c>
      <c r="C286" s="23" t="s">
        <v>109</v>
      </c>
      <c r="D286" s="23" t="s">
        <v>90</v>
      </c>
      <c r="E286" s="23" t="s">
        <v>192</v>
      </c>
      <c r="F286" s="23">
        <v>15</v>
      </c>
      <c r="G286" s="23">
        <v>6</v>
      </c>
      <c r="H286" s="23">
        <v>23</v>
      </c>
      <c r="I286" s="23">
        <v>6024</v>
      </c>
      <c r="J286" s="23">
        <v>9685</v>
      </c>
      <c r="K286" s="23">
        <v>0</v>
      </c>
      <c r="L286" s="23" t="s">
        <v>302</v>
      </c>
      <c r="M286" s="23">
        <f t="shared" si="4"/>
        <v>605</v>
      </c>
      <c r="N286" s="24" t="str">
        <f t="array" ref="N286">INDEX('MATCH INFO'!O:O, INT((ROW()-2)/10)+2 + 124)</f>
        <v>260705_CR_ZETA_S3</v>
      </c>
    </row>
    <row r="287" spans="1:14">
      <c r="A287" s="23" t="s">
        <v>42</v>
      </c>
      <c r="B287" s="23" t="s">
        <v>139</v>
      </c>
      <c r="C287" s="23" t="s">
        <v>101</v>
      </c>
      <c r="D287" s="23" t="s">
        <v>90</v>
      </c>
      <c r="E287" s="23" t="s">
        <v>192</v>
      </c>
      <c r="F287" s="23">
        <v>21</v>
      </c>
      <c r="G287" s="23">
        <v>8</v>
      </c>
      <c r="H287" s="23">
        <v>10</v>
      </c>
      <c r="I287" s="23">
        <v>9484</v>
      </c>
      <c r="J287" s="23">
        <v>1704</v>
      </c>
      <c r="K287" s="23">
        <v>6803</v>
      </c>
      <c r="L287" s="23" t="s">
        <v>302</v>
      </c>
      <c r="M287" s="23">
        <f t="shared" si="4"/>
        <v>605</v>
      </c>
      <c r="N287" s="24" t="str">
        <f t="array" ref="N287">INDEX('MATCH INFO'!O:O, INT((ROW()-2)/10)+2 + 124)</f>
        <v>260705_CR_ZETA_S3</v>
      </c>
    </row>
    <row r="288" spans="1:14">
      <c r="A288" s="23" t="s">
        <v>42</v>
      </c>
      <c r="B288" s="23" t="s">
        <v>141</v>
      </c>
      <c r="C288" s="23" t="s">
        <v>104</v>
      </c>
      <c r="D288" s="23" t="s">
        <v>90</v>
      </c>
      <c r="E288" s="23" t="s">
        <v>192</v>
      </c>
      <c r="F288" s="23">
        <v>21</v>
      </c>
      <c r="G288" s="23">
        <v>8</v>
      </c>
      <c r="H288" s="23">
        <v>4</v>
      </c>
      <c r="I288" s="23">
        <v>11505</v>
      </c>
      <c r="J288" s="23">
        <v>116</v>
      </c>
      <c r="K288" s="23">
        <v>825</v>
      </c>
      <c r="L288" s="23" t="s">
        <v>302</v>
      </c>
      <c r="M288" s="23">
        <f t="shared" si="4"/>
        <v>605</v>
      </c>
      <c r="N288" s="24" t="str">
        <f t="array" ref="N288">INDEX('MATCH INFO'!O:O, INT((ROW()-2)/10)+2 + 124)</f>
        <v>260705_CR_ZETA_S3</v>
      </c>
    </row>
    <row r="289" spans="1:14">
      <c r="A289" s="23" t="s">
        <v>42</v>
      </c>
      <c r="B289" s="23" t="s">
        <v>140</v>
      </c>
      <c r="C289" s="23" t="s">
        <v>104</v>
      </c>
      <c r="D289" s="23" t="s">
        <v>90</v>
      </c>
      <c r="E289" s="23" t="s">
        <v>192</v>
      </c>
      <c r="F289" s="23">
        <v>15</v>
      </c>
      <c r="G289" s="23">
        <v>10</v>
      </c>
      <c r="H289" s="23">
        <v>2</v>
      </c>
      <c r="I289" s="23">
        <v>7244</v>
      </c>
      <c r="J289" s="23">
        <v>24</v>
      </c>
      <c r="K289" s="23">
        <v>326</v>
      </c>
      <c r="L289" s="23" t="s">
        <v>302</v>
      </c>
      <c r="M289" s="23">
        <f t="shared" si="4"/>
        <v>605</v>
      </c>
      <c r="N289" s="24" t="str">
        <f t="array" ref="N289">INDEX('MATCH INFO'!O:O, INT((ROW()-2)/10)+2 + 124)</f>
        <v>260705_CR_ZETA_S3</v>
      </c>
    </row>
    <row r="290" spans="1:14">
      <c r="A290" s="23" t="s">
        <v>42</v>
      </c>
      <c r="B290" s="23" t="s">
        <v>143</v>
      </c>
      <c r="C290" s="23" t="s">
        <v>109</v>
      </c>
      <c r="D290" s="23" t="s">
        <v>90</v>
      </c>
      <c r="E290" s="23" t="s">
        <v>192</v>
      </c>
      <c r="F290" s="23">
        <v>11</v>
      </c>
      <c r="G290" s="23">
        <v>9</v>
      </c>
      <c r="H290" s="23">
        <v>19</v>
      </c>
      <c r="I290" s="23">
        <v>4730</v>
      </c>
      <c r="J290" s="23">
        <v>8646</v>
      </c>
      <c r="K290" s="23">
        <v>0</v>
      </c>
      <c r="L290" s="23" t="s">
        <v>302</v>
      </c>
      <c r="M290" s="23">
        <f t="shared" si="4"/>
        <v>605</v>
      </c>
      <c r="N290" s="24" t="str">
        <f t="array" ref="N290">INDEX('MATCH INFO'!O:O, INT((ROW()-2)/10)+2 + 124)</f>
        <v>260705_CR_ZETA_S3</v>
      </c>
    </row>
    <row r="291" spans="1:14">
      <c r="A291" s="23" t="s">
        <v>42</v>
      </c>
      <c r="B291" s="23" t="s">
        <v>142</v>
      </c>
      <c r="C291" s="23" t="s">
        <v>109</v>
      </c>
      <c r="D291" s="23" t="s">
        <v>90</v>
      </c>
      <c r="E291" s="23" t="s">
        <v>192</v>
      </c>
      <c r="F291" s="23">
        <v>16</v>
      </c>
      <c r="G291" s="23">
        <v>8</v>
      </c>
      <c r="H291" s="23">
        <v>14</v>
      </c>
      <c r="I291" s="23">
        <v>3324</v>
      </c>
      <c r="J291" s="23">
        <v>8566</v>
      </c>
      <c r="K291" s="23">
        <v>0</v>
      </c>
      <c r="L291" s="23" t="s">
        <v>302</v>
      </c>
      <c r="M291" s="23">
        <f t="shared" si="4"/>
        <v>605</v>
      </c>
      <c r="N291" s="24" t="str">
        <f t="array" ref="N291">INDEX('MATCH INFO'!O:O, INT((ROW()-2)/10)+2 + 124)</f>
        <v>260705_CR_ZETA_S3</v>
      </c>
    </row>
    <row r="292" spans="1:14">
      <c r="A292" s="23" t="s">
        <v>32</v>
      </c>
      <c r="B292" s="23" t="s">
        <v>150</v>
      </c>
      <c r="C292" s="23" t="s">
        <v>109</v>
      </c>
      <c r="D292" s="23" t="s">
        <v>44</v>
      </c>
      <c r="E292" s="23" t="s">
        <v>190</v>
      </c>
      <c r="F292" s="23">
        <v>30</v>
      </c>
      <c r="G292" s="23">
        <v>7</v>
      </c>
      <c r="H292" s="23">
        <v>31</v>
      </c>
      <c r="I292" s="23">
        <v>6866</v>
      </c>
      <c r="J292" s="23">
        <v>7392</v>
      </c>
      <c r="K292" s="23">
        <v>2853</v>
      </c>
      <c r="L292" s="23" t="s">
        <v>270</v>
      </c>
      <c r="M292" s="23">
        <f t="shared" si="4"/>
        <v>703</v>
      </c>
      <c r="N292" s="24" t="str">
        <f t="array" ref="N292">INDEX('MATCH INFO'!O:O, INT((ROW()-2)/10)+2 + 124)</f>
        <v>260705_CR_ZETA_S4</v>
      </c>
    </row>
    <row r="293" spans="1:14">
      <c r="A293" s="23" t="s">
        <v>32</v>
      </c>
      <c r="B293" s="23" t="s">
        <v>147</v>
      </c>
      <c r="C293" s="23" t="s">
        <v>104</v>
      </c>
      <c r="D293" s="23" t="s">
        <v>44</v>
      </c>
      <c r="E293" s="23" t="s">
        <v>190</v>
      </c>
      <c r="F293" s="23">
        <v>37</v>
      </c>
      <c r="G293" s="23">
        <v>8</v>
      </c>
      <c r="H293" s="23">
        <v>0</v>
      </c>
      <c r="I293" s="23">
        <v>12772</v>
      </c>
      <c r="J293" s="23">
        <v>1788</v>
      </c>
      <c r="K293" s="23">
        <v>0</v>
      </c>
      <c r="L293" s="23" t="s">
        <v>270</v>
      </c>
      <c r="M293" s="23">
        <f t="shared" si="4"/>
        <v>703</v>
      </c>
      <c r="N293" s="24" t="str">
        <f t="array" ref="N293">INDEX('MATCH INFO'!O:O, INT((ROW()-2)/10)+2 + 124)</f>
        <v>260705_CR_ZETA_S4</v>
      </c>
    </row>
    <row r="294" spans="1:14">
      <c r="A294" s="23" t="s">
        <v>32</v>
      </c>
      <c r="B294" s="23" t="s">
        <v>146</v>
      </c>
      <c r="C294" s="23" t="s">
        <v>101</v>
      </c>
      <c r="D294" s="23" t="s">
        <v>44</v>
      </c>
      <c r="E294" s="23" t="s">
        <v>190</v>
      </c>
      <c r="F294" s="23">
        <v>34</v>
      </c>
      <c r="G294" s="23">
        <v>4</v>
      </c>
      <c r="H294" s="23">
        <v>20</v>
      </c>
      <c r="I294" s="23">
        <v>14307</v>
      </c>
      <c r="J294" s="23">
        <v>2378</v>
      </c>
      <c r="K294" s="23">
        <v>16165</v>
      </c>
      <c r="L294" s="23" t="s">
        <v>270</v>
      </c>
      <c r="M294" s="23">
        <f t="shared" si="4"/>
        <v>703</v>
      </c>
      <c r="N294" s="24" t="str">
        <f t="array" ref="N294">INDEX('MATCH INFO'!O:O, INT((ROW()-2)/10)+2 + 124)</f>
        <v>260705_CR_ZETA_S4</v>
      </c>
    </row>
    <row r="295" spans="1:14">
      <c r="A295" s="23" t="s">
        <v>32</v>
      </c>
      <c r="B295" s="23" t="s">
        <v>149</v>
      </c>
      <c r="C295" s="23" t="s">
        <v>104</v>
      </c>
      <c r="D295" s="23" t="s">
        <v>44</v>
      </c>
      <c r="E295" s="23" t="s">
        <v>190</v>
      </c>
      <c r="F295" s="23">
        <v>30</v>
      </c>
      <c r="G295" s="23">
        <v>7</v>
      </c>
      <c r="H295" s="23">
        <v>1</v>
      </c>
      <c r="I295" s="23">
        <v>9217</v>
      </c>
      <c r="J295" s="23">
        <v>51</v>
      </c>
      <c r="K295" s="23">
        <v>149</v>
      </c>
      <c r="L295" s="23" t="s">
        <v>270</v>
      </c>
      <c r="M295" s="23">
        <f t="shared" si="4"/>
        <v>703</v>
      </c>
      <c r="N295" s="24" t="str">
        <f t="array" ref="N295">INDEX('MATCH INFO'!O:O, INT((ROW()-2)/10)+2 + 124)</f>
        <v>260705_CR_ZETA_S4</v>
      </c>
    </row>
    <row r="296" spans="1:14">
      <c r="A296" s="23" t="s">
        <v>32</v>
      </c>
      <c r="B296" s="23" t="s">
        <v>151</v>
      </c>
      <c r="C296" s="23" t="s">
        <v>109</v>
      </c>
      <c r="D296" s="23" t="s">
        <v>44</v>
      </c>
      <c r="E296" s="23" t="s">
        <v>190</v>
      </c>
      <c r="F296" s="23">
        <v>30</v>
      </c>
      <c r="G296" s="23">
        <v>5</v>
      </c>
      <c r="H296" s="23">
        <v>39</v>
      </c>
      <c r="I296" s="23">
        <v>6204</v>
      </c>
      <c r="J296" s="23">
        <v>15261</v>
      </c>
      <c r="K296" s="23">
        <v>0</v>
      </c>
      <c r="L296" s="23" t="s">
        <v>270</v>
      </c>
      <c r="M296" s="23">
        <f t="shared" si="4"/>
        <v>703</v>
      </c>
      <c r="N296" s="24" t="str">
        <f t="array" ref="N296">INDEX('MATCH INFO'!O:O, INT((ROW()-2)/10)+2 + 124)</f>
        <v>260705_CR_ZETA_S4</v>
      </c>
    </row>
    <row r="297" spans="1:14">
      <c r="A297" s="23" t="s">
        <v>42</v>
      </c>
      <c r="B297" s="23" t="s">
        <v>139</v>
      </c>
      <c r="C297" s="23" t="s">
        <v>101</v>
      </c>
      <c r="D297" s="23" t="s">
        <v>44</v>
      </c>
      <c r="E297" s="23" t="s">
        <v>190</v>
      </c>
      <c r="F297" s="23">
        <v>13</v>
      </c>
      <c r="G297" s="23">
        <v>12</v>
      </c>
      <c r="H297" s="23">
        <v>10</v>
      </c>
      <c r="I297" s="23">
        <v>13473</v>
      </c>
      <c r="J297" s="23">
        <v>1939</v>
      </c>
      <c r="K297" s="23">
        <v>4512</v>
      </c>
      <c r="L297" s="23" t="s">
        <v>270</v>
      </c>
      <c r="M297" s="23">
        <f t="shared" si="4"/>
        <v>703</v>
      </c>
      <c r="N297" s="24" t="str">
        <f t="array" ref="N297">INDEX('MATCH INFO'!O:O, INT((ROW()-2)/10)+2 + 124)</f>
        <v>260705_CR_ZETA_S4</v>
      </c>
    </row>
    <row r="298" spans="1:14">
      <c r="A298" s="23" t="s">
        <v>42</v>
      </c>
      <c r="B298" s="23" t="s">
        <v>141</v>
      </c>
      <c r="C298" s="23" t="s">
        <v>104</v>
      </c>
      <c r="D298" s="23" t="s">
        <v>44</v>
      </c>
      <c r="E298" s="23" t="s">
        <v>190</v>
      </c>
      <c r="F298" s="23">
        <v>17</v>
      </c>
      <c r="G298" s="23">
        <v>11</v>
      </c>
      <c r="H298" s="23">
        <v>0</v>
      </c>
      <c r="I298" s="23">
        <v>8531</v>
      </c>
      <c r="J298" s="23">
        <v>1463</v>
      </c>
      <c r="K298" s="23">
        <v>0</v>
      </c>
      <c r="L298" s="23" t="s">
        <v>270</v>
      </c>
      <c r="M298" s="23">
        <f t="shared" si="4"/>
        <v>703</v>
      </c>
      <c r="N298" s="24" t="str">
        <f t="array" ref="N298">INDEX('MATCH INFO'!O:O, INT((ROW()-2)/10)+2 + 124)</f>
        <v>260705_CR_ZETA_S4</v>
      </c>
    </row>
    <row r="299" spans="1:14">
      <c r="A299" s="23" t="s">
        <v>42</v>
      </c>
      <c r="B299" s="23" t="s">
        <v>140</v>
      </c>
      <c r="C299" s="23" t="s">
        <v>104</v>
      </c>
      <c r="D299" s="23" t="s">
        <v>44</v>
      </c>
      <c r="E299" s="23" t="s">
        <v>190</v>
      </c>
      <c r="F299" s="23">
        <v>24</v>
      </c>
      <c r="G299" s="23">
        <v>9</v>
      </c>
      <c r="H299" s="23">
        <v>1</v>
      </c>
      <c r="I299" s="23">
        <v>13838</v>
      </c>
      <c r="J299" s="23">
        <v>71</v>
      </c>
      <c r="K299" s="23">
        <v>663</v>
      </c>
      <c r="L299" s="23" t="s">
        <v>270</v>
      </c>
      <c r="M299" s="23">
        <f t="shared" si="4"/>
        <v>703</v>
      </c>
      <c r="N299" s="24" t="str">
        <f t="array" ref="N299">INDEX('MATCH INFO'!O:O, INT((ROW()-2)/10)+2 + 124)</f>
        <v>260705_CR_ZETA_S4</v>
      </c>
    </row>
    <row r="300" spans="1:14">
      <c r="A300" s="23" t="s">
        <v>42</v>
      </c>
      <c r="B300" s="23" t="s">
        <v>143</v>
      </c>
      <c r="C300" s="23" t="s">
        <v>109</v>
      </c>
      <c r="D300" s="23" t="s">
        <v>44</v>
      </c>
      <c r="E300" s="23" t="s">
        <v>190</v>
      </c>
      <c r="F300" s="23">
        <v>6</v>
      </c>
      <c r="G300" s="23">
        <v>12</v>
      </c>
      <c r="H300" s="23">
        <v>18</v>
      </c>
      <c r="I300" s="23">
        <v>4301</v>
      </c>
      <c r="J300" s="23">
        <v>10252</v>
      </c>
      <c r="K300" s="23">
        <v>0</v>
      </c>
      <c r="L300" s="23" t="s">
        <v>270</v>
      </c>
      <c r="M300" s="23">
        <f t="shared" si="4"/>
        <v>703</v>
      </c>
      <c r="N300" s="24" t="str">
        <f t="array" ref="N300">INDEX('MATCH INFO'!O:O, INT((ROW()-2)/10)+2 + 124)</f>
        <v>260705_CR_ZETA_S4</v>
      </c>
    </row>
    <row r="301" spans="1:14">
      <c r="A301" s="23" t="s">
        <v>42</v>
      </c>
      <c r="B301" s="23" t="s">
        <v>142</v>
      </c>
      <c r="C301" s="23" t="s">
        <v>109</v>
      </c>
      <c r="D301" s="23" t="s">
        <v>44</v>
      </c>
      <c r="E301" s="23" t="s">
        <v>190</v>
      </c>
      <c r="F301" s="23">
        <v>13</v>
      </c>
      <c r="G301" s="23">
        <v>13</v>
      </c>
      <c r="H301" s="23">
        <v>13</v>
      </c>
      <c r="I301" s="23">
        <v>5611</v>
      </c>
      <c r="J301" s="23">
        <v>9135</v>
      </c>
      <c r="K301" s="23">
        <v>0</v>
      </c>
      <c r="L301" s="23" t="s">
        <v>270</v>
      </c>
      <c r="M301" s="23">
        <f t="shared" si="4"/>
        <v>703</v>
      </c>
      <c r="N301" s="24" t="str">
        <f t="array" ref="N301">INDEX('MATCH INFO'!O:O, INT((ROW()-2)/10)+2 + 124)</f>
        <v>260705_CR_ZETA_S4</v>
      </c>
    </row>
    <row r="302" spans="1:14">
      <c r="A302" s="23" t="s">
        <v>41</v>
      </c>
      <c r="B302" s="23" t="s">
        <v>157</v>
      </c>
      <c r="C302" s="23" t="s">
        <v>109</v>
      </c>
      <c r="D302" s="23" t="s">
        <v>22</v>
      </c>
      <c r="E302" s="23" t="s">
        <v>188</v>
      </c>
      <c r="F302" s="23">
        <v>18</v>
      </c>
      <c r="G302" s="23">
        <v>4</v>
      </c>
      <c r="H302" s="23">
        <v>21</v>
      </c>
      <c r="I302" s="23">
        <v>3040</v>
      </c>
      <c r="J302" s="23">
        <v>8408</v>
      </c>
      <c r="K302" s="23">
        <v>0</v>
      </c>
      <c r="L302" s="23" t="s">
        <v>333</v>
      </c>
      <c r="M302" s="23">
        <f t="shared" si="4"/>
        <v>539</v>
      </c>
      <c r="N302" s="24" t="str">
        <f t="array" ref="N302">INDEX('MATCH INFO'!O:O, INT((ROW()-2)/10)+2 + 124)</f>
        <v>260705_T1_FLC_S1</v>
      </c>
    </row>
    <row r="303" spans="1:14">
      <c r="A303" s="23" t="s">
        <v>41</v>
      </c>
      <c r="B303" s="23" t="s">
        <v>152</v>
      </c>
      <c r="C303" s="23" t="s">
        <v>101</v>
      </c>
      <c r="D303" s="23" t="s">
        <v>22</v>
      </c>
      <c r="E303" s="23" t="s">
        <v>188</v>
      </c>
      <c r="F303" s="23">
        <v>19</v>
      </c>
      <c r="G303" s="23">
        <v>5</v>
      </c>
      <c r="H303" s="23">
        <v>9</v>
      </c>
      <c r="I303" s="23">
        <v>11848</v>
      </c>
      <c r="J303" s="23">
        <v>3138</v>
      </c>
      <c r="K303" s="23">
        <v>4654</v>
      </c>
      <c r="L303" s="23" t="s">
        <v>333</v>
      </c>
      <c r="M303" s="23">
        <f t="shared" si="4"/>
        <v>539</v>
      </c>
      <c r="N303" s="24" t="str">
        <f t="array" ref="N303">INDEX('MATCH INFO'!O:O, INT((ROW()-2)/10)+2 + 124)</f>
        <v>260705_T1_FLC_S1</v>
      </c>
    </row>
    <row r="304" spans="1:14">
      <c r="A304" s="23" t="s">
        <v>41</v>
      </c>
      <c r="B304" s="23" t="s">
        <v>155</v>
      </c>
      <c r="C304" s="23" t="s">
        <v>104</v>
      </c>
      <c r="D304" s="23" t="s">
        <v>22</v>
      </c>
      <c r="E304" s="23" t="s">
        <v>188</v>
      </c>
      <c r="F304" s="23">
        <v>25</v>
      </c>
      <c r="G304" s="23">
        <v>7</v>
      </c>
      <c r="H304" s="23">
        <v>4</v>
      </c>
      <c r="I304" s="23">
        <v>13054</v>
      </c>
      <c r="J304" s="23">
        <v>165</v>
      </c>
      <c r="K304" s="23">
        <v>1892</v>
      </c>
      <c r="L304" s="23" t="s">
        <v>333</v>
      </c>
      <c r="M304" s="23">
        <f t="shared" si="4"/>
        <v>539</v>
      </c>
      <c r="N304" s="24" t="str">
        <f t="array" ref="N304">INDEX('MATCH INFO'!O:O, INT((ROW()-2)/10)+2 + 124)</f>
        <v>260705_T1_FLC_S1</v>
      </c>
    </row>
    <row r="305" spans="1:14">
      <c r="A305" s="23" t="s">
        <v>41</v>
      </c>
      <c r="B305" s="23" t="s">
        <v>158</v>
      </c>
      <c r="C305" s="23" t="s">
        <v>109</v>
      </c>
      <c r="D305" s="23" t="s">
        <v>22</v>
      </c>
      <c r="E305" s="23" t="s">
        <v>188</v>
      </c>
      <c r="F305" s="23">
        <v>16</v>
      </c>
      <c r="G305" s="23">
        <v>6</v>
      </c>
      <c r="H305" s="23">
        <v>21</v>
      </c>
      <c r="I305" s="23">
        <v>4090</v>
      </c>
      <c r="J305" s="23">
        <v>8468</v>
      </c>
      <c r="K305" s="23">
        <v>0</v>
      </c>
      <c r="L305" s="23" t="s">
        <v>333</v>
      </c>
      <c r="M305" s="23">
        <f t="shared" si="4"/>
        <v>539</v>
      </c>
      <c r="N305" s="24" t="str">
        <f t="array" ref="N305">INDEX('MATCH INFO'!O:O, INT((ROW()-2)/10)+2 + 124)</f>
        <v>260705_T1_FLC_S1</v>
      </c>
    </row>
    <row r="306" spans="1:14">
      <c r="A306" s="23" t="s">
        <v>41</v>
      </c>
      <c r="B306" s="23" t="s">
        <v>154</v>
      </c>
      <c r="C306" s="23" t="s">
        <v>104</v>
      </c>
      <c r="D306" s="23" t="s">
        <v>22</v>
      </c>
      <c r="E306" s="23" t="s">
        <v>188</v>
      </c>
      <c r="F306" s="23">
        <v>26</v>
      </c>
      <c r="G306" s="23">
        <v>5</v>
      </c>
      <c r="H306" s="23">
        <v>0</v>
      </c>
      <c r="I306" s="23">
        <v>6995</v>
      </c>
      <c r="J306" s="23">
        <v>582</v>
      </c>
      <c r="K306" s="23">
        <v>0</v>
      </c>
      <c r="L306" s="23" t="s">
        <v>333</v>
      </c>
      <c r="M306" s="23">
        <f t="shared" si="4"/>
        <v>539</v>
      </c>
      <c r="N306" s="24" t="str">
        <f t="array" ref="N306">INDEX('MATCH INFO'!O:O, INT((ROW()-2)/10)+2 + 124)</f>
        <v>260705_T1_FLC_S1</v>
      </c>
    </row>
    <row r="307" spans="1:14">
      <c r="A307" s="23" t="s">
        <v>31</v>
      </c>
      <c r="B307" s="23" t="s">
        <v>163</v>
      </c>
      <c r="C307" s="23" t="s">
        <v>104</v>
      </c>
      <c r="D307" s="23" t="s">
        <v>22</v>
      </c>
      <c r="E307" s="23" t="s">
        <v>188</v>
      </c>
      <c r="F307" s="23">
        <v>11</v>
      </c>
      <c r="G307" s="23">
        <v>8</v>
      </c>
      <c r="H307" s="23">
        <v>3</v>
      </c>
      <c r="I307" s="23">
        <v>9815</v>
      </c>
      <c r="J307" s="23">
        <v>236</v>
      </c>
      <c r="K307" s="23">
        <v>1715</v>
      </c>
      <c r="L307" s="23" t="s">
        <v>333</v>
      </c>
      <c r="M307" s="23">
        <f t="shared" si="4"/>
        <v>539</v>
      </c>
      <c r="N307" s="24" t="str">
        <f t="array" ref="N307">INDEX('MATCH INFO'!O:O, INT((ROW()-2)/10)+2 + 124)</f>
        <v>260705_T1_FLC_S1</v>
      </c>
    </row>
    <row r="308" spans="1:14">
      <c r="A308" s="23" t="s">
        <v>31</v>
      </c>
      <c r="B308" s="23" t="s">
        <v>165</v>
      </c>
      <c r="C308" s="23" t="s">
        <v>109</v>
      </c>
      <c r="D308" s="23" t="s">
        <v>22</v>
      </c>
      <c r="E308" s="23" t="s">
        <v>188</v>
      </c>
      <c r="F308" s="23">
        <v>10</v>
      </c>
      <c r="G308" s="23">
        <v>6</v>
      </c>
      <c r="H308" s="23">
        <v>9</v>
      </c>
      <c r="I308" s="23">
        <v>4163</v>
      </c>
      <c r="J308" s="23">
        <v>7544</v>
      </c>
      <c r="K308" s="23">
        <v>0</v>
      </c>
      <c r="L308" s="23" t="s">
        <v>333</v>
      </c>
      <c r="M308" s="23">
        <f t="shared" si="4"/>
        <v>539</v>
      </c>
      <c r="N308" s="24" t="str">
        <f t="array" ref="N308">INDEX('MATCH INFO'!O:O, INT((ROW()-2)/10)+2 + 124)</f>
        <v>260705_T1_FLC_S1</v>
      </c>
    </row>
    <row r="309" spans="1:14">
      <c r="A309" s="23" t="s">
        <v>31</v>
      </c>
      <c r="B309" s="23" t="s">
        <v>166</v>
      </c>
      <c r="C309" s="23" t="s">
        <v>109</v>
      </c>
      <c r="D309" s="23" t="s">
        <v>22</v>
      </c>
      <c r="E309" s="23" t="s">
        <v>188</v>
      </c>
      <c r="F309" s="23">
        <v>15</v>
      </c>
      <c r="G309" s="23">
        <v>6</v>
      </c>
      <c r="H309" s="23">
        <v>19</v>
      </c>
      <c r="I309" s="23">
        <v>3973</v>
      </c>
      <c r="J309" s="23">
        <v>8497</v>
      </c>
      <c r="K309" s="23">
        <v>0</v>
      </c>
      <c r="L309" s="23" t="s">
        <v>333</v>
      </c>
      <c r="M309" s="23">
        <f t="shared" si="4"/>
        <v>539</v>
      </c>
      <c r="N309" s="24" t="str">
        <f t="array" ref="N309">INDEX('MATCH INFO'!O:O, INT((ROW()-2)/10)+2 + 124)</f>
        <v>260705_T1_FLC_S1</v>
      </c>
    </row>
    <row r="310" spans="1:14">
      <c r="A310" s="23" t="s">
        <v>31</v>
      </c>
      <c r="B310" s="23" t="s">
        <v>161</v>
      </c>
      <c r="C310" s="23" t="s">
        <v>101</v>
      </c>
      <c r="D310" s="23" t="s">
        <v>22</v>
      </c>
      <c r="E310" s="23" t="s">
        <v>188</v>
      </c>
      <c r="F310" s="23">
        <v>17</v>
      </c>
      <c r="G310" s="23">
        <v>8</v>
      </c>
      <c r="H310" s="23">
        <v>9</v>
      </c>
      <c r="I310" s="23">
        <v>9474</v>
      </c>
      <c r="J310" s="23">
        <v>2621</v>
      </c>
      <c r="K310" s="23">
        <v>6263</v>
      </c>
      <c r="L310" s="23" t="s">
        <v>333</v>
      </c>
      <c r="M310" s="23">
        <f t="shared" si="4"/>
        <v>539</v>
      </c>
      <c r="N310" s="24" t="str">
        <f t="array" ref="N310">INDEX('MATCH INFO'!O:O, INT((ROW()-2)/10)+2 + 124)</f>
        <v>260705_T1_FLC_S1</v>
      </c>
    </row>
    <row r="311" spans="1:14">
      <c r="A311" s="23" t="s">
        <v>31</v>
      </c>
      <c r="B311" s="23" t="s">
        <v>162</v>
      </c>
      <c r="C311" s="23" t="s">
        <v>104</v>
      </c>
      <c r="D311" s="23" t="s">
        <v>22</v>
      </c>
      <c r="E311" s="23" t="s">
        <v>188</v>
      </c>
      <c r="F311" s="23">
        <v>22</v>
      </c>
      <c r="G311" s="23">
        <v>7</v>
      </c>
      <c r="H311" s="23">
        <v>1</v>
      </c>
      <c r="I311" s="23">
        <v>9512</v>
      </c>
      <c r="J311" s="23">
        <v>143</v>
      </c>
      <c r="K311" s="23">
        <v>753</v>
      </c>
      <c r="L311" s="23" t="s">
        <v>333</v>
      </c>
      <c r="M311" s="23">
        <f t="shared" si="4"/>
        <v>539</v>
      </c>
      <c r="N311" s="24" t="str">
        <f t="array" ref="N311">INDEX('MATCH INFO'!O:O, INT((ROW()-2)/10)+2 + 124)</f>
        <v>260705_T1_FLC_S1</v>
      </c>
    </row>
    <row r="312" spans="1:14">
      <c r="A312" s="23" t="s">
        <v>41</v>
      </c>
      <c r="B312" s="23" t="s">
        <v>157</v>
      </c>
      <c r="C312" s="23" t="s">
        <v>109</v>
      </c>
      <c r="D312" s="23" t="s">
        <v>37</v>
      </c>
      <c r="E312" s="23" t="s">
        <v>196</v>
      </c>
      <c r="F312" s="23">
        <v>19</v>
      </c>
      <c r="G312" s="23">
        <v>5</v>
      </c>
      <c r="H312" s="23">
        <v>17</v>
      </c>
      <c r="I312" s="23">
        <v>6195</v>
      </c>
      <c r="J312" s="23">
        <v>11272</v>
      </c>
      <c r="K312" s="23">
        <v>1689</v>
      </c>
      <c r="L312" s="23" t="s">
        <v>327</v>
      </c>
      <c r="M312" s="23">
        <f t="shared" si="4"/>
        <v>861</v>
      </c>
      <c r="N312" s="24" t="str">
        <f t="array" ref="N312">INDEX('MATCH INFO'!O:O, INT((ROW()-2)/10)+2 + 124)</f>
        <v>260705_T1_FLC_S2</v>
      </c>
    </row>
    <row r="313" spans="1:14">
      <c r="A313" s="23" t="s">
        <v>41</v>
      </c>
      <c r="B313" s="23" t="s">
        <v>153</v>
      </c>
      <c r="C313" s="23" t="s">
        <v>101</v>
      </c>
      <c r="D313" s="23" t="s">
        <v>37</v>
      </c>
      <c r="E313" s="23" t="s">
        <v>196</v>
      </c>
      <c r="F313" s="23">
        <v>18</v>
      </c>
      <c r="G313" s="23">
        <v>8</v>
      </c>
      <c r="H313" s="23">
        <v>5</v>
      </c>
      <c r="I313" s="23">
        <v>18626</v>
      </c>
      <c r="J313" s="23">
        <v>992</v>
      </c>
      <c r="K313" s="23">
        <v>19619</v>
      </c>
      <c r="L313" s="23" t="s">
        <v>327</v>
      </c>
      <c r="M313" s="23">
        <f t="shared" si="4"/>
        <v>861</v>
      </c>
      <c r="N313" s="24" t="str">
        <f t="array" ref="N313">INDEX('MATCH INFO'!O:O, INT((ROW()-2)/10)+2 + 124)</f>
        <v>260705_T1_FLC_S2</v>
      </c>
    </row>
    <row r="314" spans="1:14">
      <c r="A314" s="23" t="s">
        <v>41</v>
      </c>
      <c r="B314" s="23" t="s">
        <v>155</v>
      </c>
      <c r="C314" s="23" t="s">
        <v>104</v>
      </c>
      <c r="D314" s="23" t="s">
        <v>37</v>
      </c>
      <c r="E314" s="23" t="s">
        <v>196</v>
      </c>
      <c r="F314" s="23">
        <v>24</v>
      </c>
      <c r="G314" s="23">
        <v>5</v>
      </c>
      <c r="H314" s="23">
        <v>0</v>
      </c>
      <c r="I314" s="23">
        <v>15923</v>
      </c>
      <c r="J314" s="23">
        <v>0</v>
      </c>
      <c r="K314" s="23">
        <v>18</v>
      </c>
      <c r="L314" s="23" t="s">
        <v>327</v>
      </c>
      <c r="M314" s="23">
        <f t="shared" si="4"/>
        <v>861</v>
      </c>
      <c r="N314" s="24" t="str">
        <f t="array" ref="N314">INDEX('MATCH INFO'!O:O, INT((ROW()-2)/10)+2 + 124)</f>
        <v>260705_T1_FLC_S2</v>
      </c>
    </row>
    <row r="315" spans="1:14">
      <c r="A315" s="23" t="s">
        <v>41</v>
      </c>
      <c r="B315" s="23" t="s">
        <v>158</v>
      </c>
      <c r="C315" s="23" t="s">
        <v>109</v>
      </c>
      <c r="D315" s="23" t="s">
        <v>37</v>
      </c>
      <c r="E315" s="23" t="s">
        <v>196</v>
      </c>
      <c r="F315" s="23">
        <v>17</v>
      </c>
      <c r="G315" s="23">
        <v>5</v>
      </c>
      <c r="H315" s="23">
        <v>24</v>
      </c>
      <c r="I315" s="23">
        <v>6400</v>
      </c>
      <c r="J315" s="23">
        <v>18090</v>
      </c>
      <c r="K315" s="23">
        <v>0</v>
      </c>
      <c r="L315" s="23" t="s">
        <v>327</v>
      </c>
      <c r="M315" s="23">
        <f t="shared" si="4"/>
        <v>861</v>
      </c>
      <c r="N315" s="24" t="str">
        <f t="array" ref="N315">INDEX('MATCH INFO'!O:O, INT((ROW()-2)/10)+2 + 124)</f>
        <v>260705_T1_FLC_S2</v>
      </c>
    </row>
    <row r="316" spans="1:14">
      <c r="A316" s="23" t="s">
        <v>41</v>
      </c>
      <c r="B316" s="23" t="s">
        <v>154</v>
      </c>
      <c r="C316" s="23" t="s">
        <v>104</v>
      </c>
      <c r="D316" s="23" t="s">
        <v>37</v>
      </c>
      <c r="E316" s="23" t="s">
        <v>196</v>
      </c>
      <c r="F316" s="23">
        <v>22</v>
      </c>
      <c r="G316" s="23">
        <v>7</v>
      </c>
      <c r="H316" s="23">
        <v>6</v>
      </c>
      <c r="I316" s="23">
        <v>10062</v>
      </c>
      <c r="J316" s="23">
        <v>772</v>
      </c>
      <c r="K316" s="23">
        <v>2093</v>
      </c>
      <c r="L316" s="23" t="s">
        <v>327</v>
      </c>
      <c r="M316" s="23">
        <f t="shared" si="4"/>
        <v>861</v>
      </c>
      <c r="N316" s="24" t="str">
        <f t="array" ref="N316">INDEX('MATCH INFO'!O:O, INT((ROW()-2)/10)+2 + 124)</f>
        <v>260705_T1_FLC_S2</v>
      </c>
    </row>
    <row r="317" spans="1:14">
      <c r="A317" s="23" t="s">
        <v>31</v>
      </c>
      <c r="B317" s="23" t="s">
        <v>163</v>
      </c>
      <c r="C317" s="23" t="s">
        <v>104</v>
      </c>
      <c r="D317" s="23" t="s">
        <v>37</v>
      </c>
      <c r="E317" s="23" t="s">
        <v>196</v>
      </c>
      <c r="F317" s="23">
        <v>23</v>
      </c>
      <c r="G317" s="23">
        <v>6</v>
      </c>
      <c r="H317" s="23">
        <v>10</v>
      </c>
      <c r="I317" s="23">
        <v>10806</v>
      </c>
      <c r="J317" s="23">
        <v>3004</v>
      </c>
      <c r="K317" s="23">
        <v>8524</v>
      </c>
      <c r="L317" s="23" t="s">
        <v>327</v>
      </c>
      <c r="M317" s="23">
        <f t="shared" si="4"/>
        <v>861</v>
      </c>
      <c r="N317" s="24" t="str">
        <f t="array" ref="N317">INDEX('MATCH INFO'!O:O, INT((ROW()-2)/10)+2 + 124)</f>
        <v>260705_T1_FLC_S2</v>
      </c>
    </row>
    <row r="318" spans="1:14">
      <c r="A318" s="23" t="s">
        <v>31</v>
      </c>
      <c r="B318" s="23" t="s">
        <v>165</v>
      </c>
      <c r="C318" s="23" t="s">
        <v>109</v>
      </c>
      <c r="D318" s="23" t="s">
        <v>37</v>
      </c>
      <c r="E318" s="23" t="s">
        <v>196</v>
      </c>
      <c r="F318" s="23">
        <v>15</v>
      </c>
      <c r="G318" s="23">
        <v>5</v>
      </c>
      <c r="H318" s="23">
        <v>8</v>
      </c>
      <c r="I318" s="23">
        <v>5541</v>
      </c>
      <c r="J318" s="23">
        <v>15841</v>
      </c>
      <c r="K318" s="23">
        <v>0</v>
      </c>
      <c r="L318" s="23" t="s">
        <v>327</v>
      </c>
      <c r="M318" s="23">
        <f t="shared" si="4"/>
        <v>861</v>
      </c>
      <c r="N318" s="24" t="str">
        <f t="array" ref="N318">INDEX('MATCH INFO'!O:O, INT((ROW()-2)/10)+2 + 124)</f>
        <v>260705_T1_FLC_S2</v>
      </c>
    </row>
    <row r="319" spans="1:14">
      <c r="A319" s="23" t="s">
        <v>31</v>
      </c>
      <c r="B319" s="23" t="s">
        <v>166</v>
      </c>
      <c r="C319" s="23" t="s">
        <v>109</v>
      </c>
      <c r="D319" s="23" t="s">
        <v>37</v>
      </c>
      <c r="E319" s="23" t="s">
        <v>196</v>
      </c>
      <c r="F319" s="23">
        <v>13</v>
      </c>
      <c r="G319" s="23">
        <v>6</v>
      </c>
      <c r="H319" s="23">
        <v>23</v>
      </c>
      <c r="I319" s="23">
        <v>5990</v>
      </c>
      <c r="J319" s="23">
        <v>18384</v>
      </c>
      <c r="K319" s="23">
        <v>0</v>
      </c>
      <c r="L319" s="23" t="s">
        <v>327</v>
      </c>
      <c r="M319" s="23">
        <f t="shared" si="4"/>
        <v>861</v>
      </c>
      <c r="N319" s="24" t="str">
        <f t="array" ref="N319">INDEX('MATCH INFO'!O:O, INT((ROW()-2)/10)+2 + 124)</f>
        <v>260705_T1_FLC_S2</v>
      </c>
    </row>
    <row r="320" spans="1:14">
      <c r="A320" s="23" t="s">
        <v>31</v>
      </c>
      <c r="B320" s="23" t="s">
        <v>160</v>
      </c>
      <c r="C320" s="23" t="s">
        <v>101</v>
      </c>
      <c r="D320" s="23" t="s">
        <v>37</v>
      </c>
      <c r="E320" s="23" t="s">
        <v>196</v>
      </c>
      <c r="F320" s="23">
        <v>16</v>
      </c>
      <c r="G320" s="23">
        <v>9</v>
      </c>
      <c r="H320" s="23">
        <v>3</v>
      </c>
      <c r="I320" s="23">
        <v>15278</v>
      </c>
      <c r="J320" s="23">
        <v>730</v>
      </c>
      <c r="K320" s="23">
        <v>26273</v>
      </c>
      <c r="L320" s="23" t="s">
        <v>327</v>
      </c>
      <c r="M320" s="23">
        <f t="shared" si="4"/>
        <v>861</v>
      </c>
      <c r="N320" s="24" t="str">
        <f t="array" ref="N320">INDEX('MATCH INFO'!O:O, INT((ROW()-2)/10)+2 + 124)</f>
        <v>260705_T1_FLC_S2</v>
      </c>
    </row>
    <row r="321" spans="1:14">
      <c r="A321" s="23" t="s">
        <v>31</v>
      </c>
      <c r="B321" s="23" t="s">
        <v>162</v>
      </c>
      <c r="C321" s="23" t="s">
        <v>104</v>
      </c>
      <c r="D321" s="23" t="s">
        <v>37</v>
      </c>
      <c r="E321" s="23" t="s">
        <v>196</v>
      </c>
      <c r="F321" s="23">
        <v>22</v>
      </c>
      <c r="G321" s="23">
        <v>9</v>
      </c>
      <c r="H321" s="23">
        <v>2</v>
      </c>
      <c r="I321" s="23">
        <v>12140</v>
      </c>
      <c r="J321" s="23">
        <v>181</v>
      </c>
      <c r="K321" s="23">
        <v>497</v>
      </c>
      <c r="L321" s="23" t="s">
        <v>327</v>
      </c>
      <c r="M321" s="23">
        <f t="shared" si="4"/>
        <v>861</v>
      </c>
      <c r="N321" s="24" t="str">
        <f t="array" ref="N321">INDEX('MATCH INFO'!O:O, INT((ROW()-2)/10)+2 + 124)</f>
        <v>260705_T1_FLC_S2</v>
      </c>
    </row>
    <row r="322" spans="1:14">
      <c r="A322" s="23" t="s">
        <v>31</v>
      </c>
      <c r="B322" s="23" t="s">
        <v>163</v>
      </c>
      <c r="C322" s="23" t="s">
        <v>104</v>
      </c>
      <c r="D322" s="23" t="s">
        <v>90</v>
      </c>
      <c r="E322" s="23" t="s">
        <v>192</v>
      </c>
      <c r="F322" s="23">
        <v>1</v>
      </c>
      <c r="G322" s="23">
        <v>7</v>
      </c>
      <c r="H322" s="23">
        <v>1</v>
      </c>
      <c r="I322" s="23">
        <v>4187</v>
      </c>
      <c r="J322" s="23">
        <v>197</v>
      </c>
      <c r="K322" s="23">
        <v>1840</v>
      </c>
      <c r="L322" s="23" t="s">
        <v>334</v>
      </c>
      <c r="M322" s="23">
        <f t="shared" ref="M322:M385" si="5">L322*86400</f>
        <v>393</v>
      </c>
      <c r="N322" s="24" t="str">
        <f t="array" ref="N322">INDEX('MATCH INFO'!O:O, INT((ROW()-2)/10)+2 + 124)</f>
        <v>260705_T1_FLC_S3</v>
      </c>
    </row>
    <row r="323" spans="1:14">
      <c r="A323" s="23" t="s">
        <v>31</v>
      </c>
      <c r="B323" s="23" t="s">
        <v>165</v>
      </c>
      <c r="C323" s="23" t="s">
        <v>109</v>
      </c>
      <c r="D323" s="23" t="s">
        <v>90</v>
      </c>
      <c r="E323" s="23" t="s">
        <v>192</v>
      </c>
      <c r="F323" s="23">
        <v>3</v>
      </c>
      <c r="G323" s="23">
        <v>7</v>
      </c>
      <c r="H323" s="23">
        <v>1</v>
      </c>
      <c r="I323" s="23">
        <v>2268</v>
      </c>
      <c r="J323" s="23">
        <v>7383</v>
      </c>
      <c r="K323" s="23">
        <v>0</v>
      </c>
      <c r="L323" s="23" t="s">
        <v>334</v>
      </c>
      <c r="M323" s="23">
        <f t="shared" si="5"/>
        <v>393</v>
      </c>
      <c r="N323" s="24" t="str">
        <f t="array" ref="N323">INDEX('MATCH INFO'!O:O, INT((ROW()-2)/10)+2 + 124)</f>
        <v>260705_T1_FLC_S3</v>
      </c>
    </row>
    <row r="324" spans="1:14">
      <c r="A324" s="23" t="s">
        <v>31</v>
      </c>
      <c r="B324" s="23" t="s">
        <v>166</v>
      </c>
      <c r="C324" s="23" t="s">
        <v>109</v>
      </c>
      <c r="D324" s="23" t="s">
        <v>90</v>
      </c>
      <c r="E324" s="23" t="s">
        <v>192</v>
      </c>
      <c r="F324" s="23">
        <v>0</v>
      </c>
      <c r="G324" s="23">
        <v>8</v>
      </c>
      <c r="H324" s="23">
        <v>1</v>
      </c>
      <c r="I324" s="23">
        <v>1682</v>
      </c>
      <c r="J324" s="23">
        <v>8310</v>
      </c>
      <c r="K324" s="23">
        <v>852</v>
      </c>
      <c r="L324" s="23" t="s">
        <v>334</v>
      </c>
      <c r="M324" s="23">
        <f t="shared" si="5"/>
        <v>393</v>
      </c>
      <c r="N324" s="24" t="str">
        <f t="array" ref="N324">INDEX('MATCH INFO'!O:O, INT((ROW()-2)/10)+2 + 124)</f>
        <v>260705_T1_FLC_S3</v>
      </c>
    </row>
    <row r="325" spans="1:14">
      <c r="A325" s="23" t="s">
        <v>31</v>
      </c>
      <c r="B325" s="23" t="s">
        <v>160</v>
      </c>
      <c r="C325" s="23" t="s">
        <v>101</v>
      </c>
      <c r="D325" s="23" t="s">
        <v>90</v>
      </c>
      <c r="E325" s="23" t="s">
        <v>192</v>
      </c>
      <c r="F325" s="23">
        <v>2</v>
      </c>
      <c r="G325" s="23">
        <v>5</v>
      </c>
      <c r="H325" s="23">
        <v>1</v>
      </c>
      <c r="I325" s="23">
        <v>5974</v>
      </c>
      <c r="J325" s="23">
        <v>439</v>
      </c>
      <c r="K325" s="23">
        <v>10925</v>
      </c>
      <c r="L325" s="23" t="s">
        <v>334</v>
      </c>
      <c r="M325" s="23">
        <f t="shared" si="5"/>
        <v>393</v>
      </c>
      <c r="N325" s="24" t="str">
        <f t="array" ref="N325">INDEX('MATCH INFO'!O:O, INT((ROW()-2)/10)+2 + 124)</f>
        <v>260705_T1_FLC_S3</v>
      </c>
    </row>
    <row r="326" spans="1:14">
      <c r="A326" s="23" t="s">
        <v>31</v>
      </c>
      <c r="B326" s="23" t="s">
        <v>162</v>
      </c>
      <c r="C326" s="23" t="s">
        <v>104</v>
      </c>
      <c r="D326" s="23" t="s">
        <v>90</v>
      </c>
      <c r="E326" s="23" t="s">
        <v>192</v>
      </c>
      <c r="F326" s="23">
        <v>1</v>
      </c>
      <c r="G326" s="23">
        <v>7</v>
      </c>
      <c r="H326" s="23">
        <v>0</v>
      </c>
      <c r="I326" s="23">
        <v>5430</v>
      </c>
      <c r="J326" s="23">
        <v>0</v>
      </c>
      <c r="K326" s="23">
        <v>835</v>
      </c>
      <c r="L326" s="23" t="s">
        <v>334</v>
      </c>
      <c r="M326" s="23">
        <f t="shared" si="5"/>
        <v>393</v>
      </c>
      <c r="N326" s="24" t="str">
        <f t="array" ref="N326">INDEX('MATCH INFO'!O:O, INT((ROW()-2)/10)+2 + 124)</f>
        <v>260705_T1_FLC_S3</v>
      </c>
    </row>
    <row r="327" spans="1:14">
      <c r="A327" s="23" t="s">
        <v>41</v>
      </c>
      <c r="B327" s="23" t="s">
        <v>157</v>
      </c>
      <c r="C327" s="23" t="s">
        <v>109</v>
      </c>
      <c r="D327" s="23" t="s">
        <v>90</v>
      </c>
      <c r="E327" s="23" t="s">
        <v>192</v>
      </c>
      <c r="F327" s="23">
        <v>13</v>
      </c>
      <c r="G327" s="23">
        <v>0</v>
      </c>
      <c r="H327" s="23">
        <v>18</v>
      </c>
      <c r="I327" s="23">
        <v>1293</v>
      </c>
      <c r="J327" s="23">
        <v>6693</v>
      </c>
      <c r="K327" s="23">
        <v>0</v>
      </c>
      <c r="L327" s="23" t="s">
        <v>334</v>
      </c>
      <c r="M327" s="23">
        <f t="shared" si="5"/>
        <v>393</v>
      </c>
      <c r="N327" s="24" t="str">
        <f t="array" ref="N327">INDEX('MATCH INFO'!O:O, INT((ROW()-2)/10)+2 + 124)</f>
        <v>260705_T1_FLC_S3</v>
      </c>
    </row>
    <row r="328" spans="1:14">
      <c r="A328" s="23" t="s">
        <v>41</v>
      </c>
      <c r="B328" s="23" t="s">
        <v>153</v>
      </c>
      <c r="C328" s="23" t="s">
        <v>101</v>
      </c>
      <c r="D328" s="23" t="s">
        <v>90</v>
      </c>
      <c r="E328" s="23" t="s">
        <v>192</v>
      </c>
      <c r="F328" s="23">
        <v>16</v>
      </c>
      <c r="G328" s="23">
        <v>0</v>
      </c>
      <c r="H328" s="23">
        <v>2</v>
      </c>
      <c r="I328" s="23">
        <v>7853</v>
      </c>
      <c r="J328" s="23">
        <v>0</v>
      </c>
      <c r="K328" s="23">
        <v>10154</v>
      </c>
      <c r="L328" s="23" t="s">
        <v>334</v>
      </c>
      <c r="M328" s="23">
        <f t="shared" si="5"/>
        <v>393</v>
      </c>
      <c r="N328" s="24" t="str">
        <f t="array" ref="N328">INDEX('MATCH INFO'!O:O, INT((ROW()-2)/10)+2 + 124)</f>
        <v>260705_T1_FLC_S3</v>
      </c>
    </row>
    <row r="329" spans="1:14">
      <c r="A329" s="23" t="s">
        <v>41</v>
      </c>
      <c r="B329" s="23" t="s">
        <v>155</v>
      </c>
      <c r="C329" s="23" t="s">
        <v>104</v>
      </c>
      <c r="D329" s="23" t="s">
        <v>90</v>
      </c>
      <c r="E329" s="23" t="s">
        <v>192</v>
      </c>
      <c r="F329" s="23">
        <v>28</v>
      </c>
      <c r="G329" s="23">
        <v>0</v>
      </c>
      <c r="H329" s="23">
        <v>4</v>
      </c>
      <c r="I329" s="23">
        <v>11338</v>
      </c>
      <c r="J329" s="23">
        <v>114</v>
      </c>
      <c r="K329" s="23">
        <v>599</v>
      </c>
      <c r="L329" s="23" t="s">
        <v>334</v>
      </c>
      <c r="M329" s="23">
        <f t="shared" si="5"/>
        <v>393</v>
      </c>
      <c r="N329" s="24" t="str">
        <f t="array" ref="N329">INDEX('MATCH INFO'!O:O, INT((ROW()-2)/10)+2 + 124)</f>
        <v>260705_T1_FLC_S3</v>
      </c>
    </row>
    <row r="330" spans="1:14">
      <c r="A330" s="23" t="s">
        <v>41</v>
      </c>
      <c r="B330" s="23" t="s">
        <v>158</v>
      </c>
      <c r="C330" s="23" t="s">
        <v>109</v>
      </c>
      <c r="D330" s="23" t="s">
        <v>90</v>
      </c>
      <c r="E330" s="23" t="s">
        <v>192</v>
      </c>
      <c r="F330" s="23">
        <v>13</v>
      </c>
      <c r="G330" s="23">
        <v>1</v>
      </c>
      <c r="H330" s="23">
        <v>19</v>
      </c>
      <c r="I330" s="23">
        <v>3418</v>
      </c>
      <c r="J330" s="23">
        <v>8348</v>
      </c>
      <c r="K330" s="23">
        <v>0</v>
      </c>
      <c r="L330" s="23" t="s">
        <v>334</v>
      </c>
      <c r="M330" s="23">
        <f t="shared" si="5"/>
        <v>393</v>
      </c>
      <c r="N330" s="24" t="str">
        <f t="array" ref="N330">INDEX('MATCH INFO'!O:O, INT((ROW()-2)/10)+2 + 124)</f>
        <v>260705_T1_FLC_S3</v>
      </c>
    </row>
    <row r="331" spans="1:14">
      <c r="A331" s="23" t="s">
        <v>41</v>
      </c>
      <c r="B331" s="23" t="s">
        <v>154</v>
      </c>
      <c r="C331" s="23" t="s">
        <v>104</v>
      </c>
      <c r="D331" s="23" t="s">
        <v>90</v>
      </c>
      <c r="E331" s="23" t="s">
        <v>192</v>
      </c>
      <c r="F331" s="23">
        <v>16</v>
      </c>
      <c r="G331" s="23">
        <v>3</v>
      </c>
      <c r="H331" s="23">
        <v>1</v>
      </c>
      <c r="I331" s="23">
        <v>6967</v>
      </c>
      <c r="J331" s="23">
        <v>225</v>
      </c>
      <c r="K331" s="23">
        <v>336</v>
      </c>
      <c r="L331" s="23" t="s">
        <v>334</v>
      </c>
      <c r="M331" s="23">
        <f t="shared" si="5"/>
        <v>393</v>
      </c>
      <c r="N331" s="24" t="str">
        <f t="array" ref="N331">INDEX('MATCH INFO'!O:O, INT((ROW()-2)/10)+2 + 124)</f>
        <v>260705_T1_FLC_S3</v>
      </c>
    </row>
  </sheetData>
  <phoneticPr fontId="8" type="noConversion"/>
  <conditionalFormatting sqref="A2:N331">
    <cfRule type="expression" dxfId="3" priority="1">
      <formula>MOD(ROW()-1, 10)=0</formula>
    </cfRule>
    <cfRule type="expression" dxfId="2" priority="2">
      <formula>MOD(INT((ROW()-2)/10), 2)=1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11"/>
  <sheetViews>
    <sheetView workbookViewId="0"/>
  </sheetViews>
  <sheetFormatPr baseColWidth="10" defaultRowHeight="18"/>
  <cols>
    <col min="2" max="2" width="13.28515625" style="3" customWidth="1"/>
    <col min="4" max="4" width="15.28515625" style="3" customWidth="1"/>
    <col min="13" max="13" width="16.7109375" style="3" customWidth="1"/>
    <col min="14" max="14" width="25" style="3" customWidth="1"/>
  </cols>
  <sheetData>
    <row r="1" spans="1:14">
      <c r="A1" s="4" t="s">
        <v>175</v>
      </c>
      <c r="B1" s="4" t="s">
        <v>176</v>
      </c>
      <c r="C1" s="4" t="s">
        <v>177</v>
      </c>
      <c r="D1" s="4" t="s">
        <v>178</v>
      </c>
      <c r="E1" s="4" t="s">
        <v>179</v>
      </c>
      <c r="F1" s="4" t="s">
        <v>180</v>
      </c>
      <c r="G1" s="4" t="s">
        <v>181</v>
      </c>
      <c r="H1" s="4" t="s">
        <v>182</v>
      </c>
      <c r="I1" s="4" t="s">
        <v>183</v>
      </c>
      <c r="J1" s="4" t="s">
        <v>184</v>
      </c>
      <c r="K1" s="4" t="s">
        <v>185</v>
      </c>
      <c r="L1" s="4" t="s">
        <v>186</v>
      </c>
      <c r="M1" s="4" t="s">
        <v>187</v>
      </c>
      <c r="N1" s="26" t="s">
        <v>14</v>
      </c>
    </row>
    <row r="2" spans="1:14">
      <c r="A2" s="23" t="s">
        <v>31</v>
      </c>
      <c r="B2" s="23" t="s">
        <v>163</v>
      </c>
      <c r="C2" s="23" t="s">
        <v>104</v>
      </c>
      <c r="D2" s="23" t="s">
        <v>33</v>
      </c>
      <c r="E2" s="23" t="s">
        <v>188</v>
      </c>
      <c r="F2" s="23">
        <v>21</v>
      </c>
      <c r="G2" s="23">
        <v>6</v>
      </c>
      <c r="H2" s="23">
        <v>3</v>
      </c>
      <c r="I2" s="23">
        <v>10423</v>
      </c>
      <c r="J2" s="23">
        <v>482</v>
      </c>
      <c r="K2" s="23">
        <v>1317</v>
      </c>
      <c r="L2" s="23" t="s">
        <v>335</v>
      </c>
      <c r="M2" s="23">
        <f t="shared" ref="M2:M65" si="0">L2*86400</f>
        <v>717.99999999999989</v>
      </c>
      <c r="N2" s="24" t="str">
        <f t="array" ref="N2">INDEX('MATCH INFO'!O:O, INT((ROW()-2)/10)+2 + 157)</f>
        <v>260710_FLC_ROZE_S1</v>
      </c>
    </row>
    <row r="3" spans="1:14">
      <c r="A3" s="23" t="s">
        <v>31</v>
      </c>
      <c r="B3" s="23" t="s">
        <v>165</v>
      </c>
      <c r="C3" s="23" t="s">
        <v>109</v>
      </c>
      <c r="D3" s="23" t="s">
        <v>33</v>
      </c>
      <c r="E3" s="23" t="s">
        <v>188</v>
      </c>
      <c r="F3" s="23">
        <v>10</v>
      </c>
      <c r="G3" s="23">
        <v>10</v>
      </c>
      <c r="H3" s="23">
        <v>17</v>
      </c>
      <c r="I3" s="23">
        <v>6807</v>
      </c>
      <c r="J3" s="23">
        <v>9586</v>
      </c>
      <c r="K3" s="23">
        <v>2298</v>
      </c>
      <c r="L3" s="23" t="s">
        <v>335</v>
      </c>
      <c r="M3" s="23">
        <f t="shared" si="0"/>
        <v>717.99999999999989</v>
      </c>
      <c r="N3" s="24" t="str">
        <f t="array" ref="N3">INDEX('MATCH INFO'!O:O, INT((ROW()-2)/10)+2 + 157)</f>
        <v>260710_FLC_ROZE_S1</v>
      </c>
    </row>
    <row r="4" spans="1:14">
      <c r="A4" s="23" t="s">
        <v>31</v>
      </c>
      <c r="B4" s="23" t="s">
        <v>166</v>
      </c>
      <c r="C4" s="23" t="s">
        <v>109</v>
      </c>
      <c r="D4" s="23" t="s">
        <v>33</v>
      </c>
      <c r="E4" s="23" t="s">
        <v>188</v>
      </c>
      <c r="F4" s="23">
        <v>10</v>
      </c>
      <c r="G4" s="23">
        <v>8</v>
      </c>
      <c r="H4" s="23">
        <v>20</v>
      </c>
      <c r="I4" s="23">
        <v>5888</v>
      </c>
      <c r="J4" s="23">
        <v>16754</v>
      </c>
      <c r="K4" s="23">
        <v>0</v>
      </c>
      <c r="L4" s="23" t="s">
        <v>335</v>
      </c>
      <c r="M4" s="23">
        <f t="shared" si="0"/>
        <v>717.99999999999989</v>
      </c>
      <c r="N4" s="24" t="str">
        <f t="array" ref="N4">INDEX('MATCH INFO'!O:O, INT((ROW()-2)/10)+2 + 157)</f>
        <v>260710_FLC_ROZE_S1</v>
      </c>
    </row>
    <row r="5" spans="1:14">
      <c r="A5" s="23" t="s">
        <v>31</v>
      </c>
      <c r="B5" s="23" t="s">
        <v>161</v>
      </c>
      <c r="C5" s="23" t="s">
        <v>101</v>
      </c>
      <c r="D5" s="23" t="s">
        <v>33</v>
      </c>
      <c r="E5" s="23" t="s">
        <v>188</v>
      </c>
      <c r="F5" s="23">
        <v>19</v>
      </c>
      <c r="G5" s="23">
        <v>11</v>
      </c>
      <c r="H5" s="23">
        <v>11</v>
      </c>
      <c r="I5" s="23">
        <v>18073</v>
      </c>
      <c r="J5" s="23">
        <v>5137</v>
      </c>
      <c r="K5" s="23">
        <v>11000</v>
      </c>
      <c r="L5" s="23" t="s">
        <v>335</v>
      </c>
      <c r="M5" s="23">
        <f t="shared" si="0"/>
        <v>717.99999999999989</v>
      </c>
      <c r="N5" s="24" t="str">
        <f t="array" ref="N5">INDEX('MATCH INFO'!O:O, INT((ROW()-2)/10)+2 + 157)</f>
        <v>260710_FLC_ROZE_S1</v>
      </c>
    </row>
    <row r="6" spans="1:14">
      <c r="A6" s="23" t="s">
        <v>31</v>
      </c>
      <c r="B6" s="23" t="s">
        <v>162</v>
      </c>
      <c r="C6" s="23" t="s">
        <v>104</v>
      </c>
      <c r="D6" s="23" t="s">
        <v>33</v>
      </c>
      <c r="E6" s="23" t="s">
        <v>188</v>
      </c>
      <c r="F6" s="23">
        <v>15</v>
      </c>
      <c r="G6" s="23">
        <v>9</v>
      </c>
      <c r="H6" s="23">
        <v>1</v>
      </c>
      <c r="I6" s="23">
        <v>12355</v>
      </c>
      <c r="J6" s="23">
        <v>0</v>
      </c>
      <c r="K6" s="23">
        <v>613</v>
      </c>
      <c r="L6" s="23" t="s">
        <v>335</v>
      </c>
      <c r="M6" s="23">
        <f t="shared" si="0"/>
        <v>717.99999999999989</v>
      </c>
      <c r="N6" s="24" t="str">
        <f t="array" ref="N6">INDEX('MATCH INFO'!O:O, INT((ROW()-2)/10)+2 + 157)</f>
        <v>260710_FLC_ROZE_S1</v>
      </c>
    </row>
    <row r="7" spans="1:14">
      <c r="A7" s="23" t="s">
        <v>21</v>
      </c>
      <c r="B7" s="23" t="s">
        <v>117</v>
      </c>
      <c r="C7" s="23" t="s">
        <v>104</v>
      </c>
      <c r="D7" s="23" t="s">
        <v>33</v>
      </c>
      <c r="E7" s="23" t="s">
        <v>188</v>
      </c>
      <c r="F7" s="23">
        <v>27</v>
      </c>
      <c r="G7" s="23">
        <v>7</v>
      </c>
      <c r="H7" s="23">
        <v>5</v>
      </c>
      <c r="I7" s="23">
        <v>10591</v>
      </c>
      <c r="J7" s="23">
        <v>380</v>
      </c>
      <c r="K7" s="23">
        <v>1449</v>
      </c>
      <c r="L7" s="23" t="s">
        <v>335</v>
      </c>
      <c r="M7" s="23">
        <f t="shared" si="0"/>
        <v>717.99999999999989</v>
      </c>
      <c r="N7" s="24" t="str">
        <f t="array" ref="N7">INDEX('MATCH INFO'!O:O, INT((ROW()-2)/10)+2 + 157)</f>
        <v>260710_FLC_ROZE_S1</v>
      </c>
    </row>
    <row r="8" spans="1:14">
      <c r="A8" s="23" t="s">
        <v>21</v>
      </c>
      <c r="B8" s="23" t="s">
        <v>116</v>
      </c>
      <c r="C8" s="23" t="s">
        <v>101</v>
      </c>
      <c r="D8" s="23" t="s">
        <v>33</v>
      </c>
      <c r="E8" s="23" t="s">
        <v>188</v>
      </c>
      <c r="F8" s="23">
        <v>31</v>
      </c>
      <c r="G8" s="23">
        <v>4</v>
      </c>
      <c r="H8" s="23">
        <v>15</v>
      </c>
      <c r="I8" s="23">
        <v>20571</v>
      </c>
      <c r="J8" s="23">
        <v>4407</v>
      </c>
      <c r="K8" s="23">
        <v>8541</v>
      </c>
      <c r="L8" s="23" t="s">
        <v>335</v>
      </c>
      <c r="M8" s="23">
        <f t="shared" si="0"/>
        <v>717.99999999999989</v>
      </c>
      <c r="N8" s="24" t="str">
        <f t="array" ref="N8">INDEX('MATCH INFO'!O:O, INT((ROW()-2)/10)+2 + 157)</f>
        <v>260710_FLC_ROZE_S1</v>
      </c>
    </row>
    <row r="9" spans="1:14">
      <c r="A9" s="23" t="s">
        <v>21</v>
      </c>
      <c r="B9" s="23" t="s">
        <v>122</v>
      </c>
      <c r="C9" s="23" t="s">
        <v>109</v>
      </c>
      <c r="D9" s="23" t="s">
        <v>33</v>
      </c>
      <c r="E9" s="23" t="s">
        <v>188</v>
      </c>
      <c r="F9" s="23">
        <v>12</v>
      </c>
      <c r="G9" s="23">
        <v>7</v>
      </c>
      <c r="H9" s="23">
        <v>27</v>
      </c>
      <c r="I9" s="23">
        <v>6074</v>
      </c>
      <c r="J9" s="23">
        <v>18170</v>
      </c>
      <c r="K9" s="23">
        <v>0</v>
      </c>
      <c r="L9" s="23" t="s">
        <v>335</v>
      </c>
      <c r="M9" s="23">
        <f t="shared" si="0"/>
        <v>717.99999999999989</v>
      </c>
      <c r="N9" s="24" t="str">
        <f t="array" ref="N9">INDEX('MATCH INFO'!O:O, INT((ROW()-2)/10)+2 + 157)</f>
        <v>260710_FLC_ROZE_S1</v>
      </c>
    </row>
    <row r="10" spans="1:14">
      <c r="A10" s="23" t="s">
        <v>21</v>
      </c>
      <c r="B10" s="23" t="s">
        <v>120</v>
      </c>
      <c r="C10" s="23" t="s">
        <v>109</v>
      </c>
      <c r="D10" s="23" t="s">
        <v>33</v>
      </c>
      <c r="E10" s="23" t="s">
        <v>188</v>
      </c>
      <c r="F10" s="23">
        <v>21</v>
      </c>
      <c r="G10" s="23">
        <v>6</v>
      </c>
      <c r="H10" s="23">
        <v>18</v>
      </c>
      <c r="I10" s="23">
        <v>5705</v>
      </c>
      <c r="J10" s="23">
        <v>9549</v>
      </c>
      <c r="K10" s="23">
        <v>1976</v>
      </c>
      <c r="L10" s="23" t="s">
        <v>335</v>
      </c>
      <c r="M10" s="23">
        <f t="shared" si="0"/>
        <v>717.99999999999989</v>
      </c>
      <c r="N10" s="24" t="str">
        <f t="array" ref="N10">INDEX('MATCH INFO'!O:O, INT((ROW()-2)/10)+2 + 157)</f>
        <v>260710_FLC_ROZE_S1</v>
      </c>
    </row>
    <row r="11" spans="1:14">
      <c r="A11" s="23" t="s">
        <v>21</v>
      </c>
      <c r="B11" s="23" t="s">
        <v>119</v>
      </c>
      <c r="C11" s="23" t="s">
        <v>104</v>
      </c>
      <c r="D11" s="23" t="s">
        <v>33</v>
      </c>
      <c r="E11" s="23" t="s">
        <v>188</v>
      </c>
      <c r="F11" s="23">
        <v>29</v>
      </c>
      <c r="G11" s="23">
        <v>7</v>
      </c>
      <c r="H11" s="23">
        <v>6</v>
      </c>
      <c r="I11" s="23">
        <v>15909</v>
      </c>
      <c r="J11" s="23">
        <v>37</v>
      </c>
      <c r="K11" s="23">
        <v>394</v>
      </c>
      <c r="L11" s="23" t="s">
        <v>335</v>
      </c>
      <c r="M11" s="23">
        <f t="shared" si="0"/>
        <v>717.99999999999989</v>
      </c>
      <c r="N11" s="24" t="str">
        <f t="array" ref="N11">INDEX('MATCH INFO'!O:O, INT((ROW()-2)/10)+2 + 157)</f>
        <v>260710_FLC_ROZE_S1</v>
      </c>
    </row>
    <row r="12" spans="1:14">
      <c r="A12" s="23" t="s">
        <v>31</v>
      </c>
      <c r="B12" s="23" t="s">
        <v>163</v>
      </c>
      <c r="C12" s="23" t="s">
        <v>104</v>
      </c>
      <c r="D12" s="23" t="s">
        <v>44</v>
      </c>
      <c r="E12" s="23" t="s">
        <v>190</v>
      </c>
      <c r="F12" s="23">
        <v>8</v>
      </c>
      <c r="G12" s="23">
        <v>7</v>
      </c>
      <c r="H12" s="23">
        <v>0</v>
      </c>
      <c r="I12" s="23">
        <v>7595</v>
      </c>
      <c r="J12" s="23">
        <v>1491</v>
      </c>
      <c r="K12" s="23">
        <v>0</v>
      </c>
      <c r="L12" s="23" t="s">
        <v>278</v>
      </c>
      <c r="M12" s="23">
        <f t="shared" si="0"/>
        <v>544</v>
      </c>
      <c r="N12" s="24" t="str">
        <f t="array" ref="N12">INDEX('MATCH INFO'!O:O, INT((ROW()-2)/10)+2 + 157)</f>
        <v>260710_FLC_ROZE_S2</v>
      </c>
    </row>
    <row r="13" spans="1:14">
      <c r="A13" s="23" t="s">
        <v>31</v>
      </c>
      <c r="B13" s="23" t="s">
        <v>165</v>
      </c>
      <c r="C13" s="23" t="s">
        <v>109</v>
      </c>
      <c r="D13" s="23" t="s">
        <v>44</v>
      </c>
      <c r="E13" s="23" t="s">
        <v>190</v>
      </c>
      <c r="F13" s="23">
        <v>11</v>
      </c>
      <c r="G13" s="23">
        <v>7</v>
      </c>
      <c r="H13" s="23">
        <v>10</v>
      </c>
      <c r="I13" s="23">
        <v>5013</v>
      </c>
      <c r="J13" s="23">
        <v>6265</v>
      </c>
      <c r="K13" s="23">
        <v>1618</v>
      </c>
      <c r="L13" s="23" t="s">
        <v>278</v>
      </c>
      <c r="M13" s="23">
        <f t="shared" si="0"/>
        <v>544</v>
      </c>
      <c r="N13" s="24" t="str">
        <f t="array" ref="N13">INDEX('MATCH INFO'!O:O, INT((ROW()-2)/10)+2 + 157)</f>
        <v>260710_FLC_ROZE_S2</v>
      </c>
    </row>
    <row r="14" spans="1:14">
      <c r="A14" s="23" t="s">
        <v>31</v>
      </c>
      <c r="B14" s="23" t="s">
        <v>166</v>
      </c>
      <c r="C14" s="23" t="s">
        <v>109</v>
      </c>
      <c r="D14" s="23" t="s">
        <v>44</v>
      </c>
      <c r="E14" s="23" t="s">
        <v>190</v>
      </c>
      <c r="F14" s="23">
        <v>8</v>
      </c>
      <c r="G14" s="23">
        <v>8</v>
      </c>
      <c r="H14" s="23">
        <v>15</v>
      </c>
      <c r="I14" s="23">
        <v>4097</v>
      </c>
      <c r="J14" s="23">
        <v>12252</v>
      </c>
      <c r="K14" s="23">
        <v>0</v>
      </c>
      <c r="L14" s="23" t="s">
        <v>278</v>
      </c>
      <c r="M14" s="23">
        <f t="shared" si="0"/>
        <v>544</v>
      </c>
      <c r="N14" s="24" t="str">
        <f t="array" ref="N14">INDEX('MATCH INFO'!O:O, INT((ROW()-2)/10)+2 + 157)</f>
        <v>260710_FLC_ROZE_S2</v>
      </c>
    </row>
    <row r="15" spans="1:14">
      <c r="A15" s="23" t="s">
        <v>31</v>
      </c>
      <c r="B15" s="23" t="s">
        <v>161</v>
      </c>
      <c r="C15" s="23" t="s">
        <v>101</v>
      </c>
      <c r="D15" s="23" t="s">
        <v>44</v>
      </c>
      <c r="E15" s="23" t="s">
        <v>190</v>
      </c>
      <c r="F15" s="23">
        <v>18</v>
      </c>
      <c r="G15" s="23">
        <v>7</v>
      </c>
      <c r="H15" s="23">
        <v>14</v>
      </c>
      <c r="I15" s="23">
        <v>11872</v>
      </c>
      <c r="J15" s="23">
        <v>3833</v>
      </c>
      <c r="K15" s="23">
        <v>5650</v>
      </c>
      <c r="L15" s="23" t="s">
        <v>278</v>
      </c>
      <c r="M15" s="23">
        <f t="shared" si="0"/>
        <v>544</v>
      </c>
      <c r="N15" s="24" t="str">
        <f t="array" ref="N15">INDEX('MATCH INFO'!O:O, INT((ROW()-2)/10)+2 + 157)</f>
        <v>260710_FLC_ROZE_S2</v>
      </c>
    </row>
    <row r="16" spans="1:14">
      <c r="A16" s="23" t="s">
        <v>31</v>
      </c>
      <c r="B16" s="23" t="s">
        <v>162</v>
      </c>
      <c r="C16" s="23" t="s">
        <v>104</v>
      </c>
      <c r="D16" s="23" t="s">
        <v>44</v>
      </c>
      <c r="E16" s="23" t="s">
        <v>190</v>
      </c>
      <c r="F16" s="23">
        <v>19</v>
      </c>
      <c r="G16" s="23">
        <v>8</v>
      </c>
      <c r="H16" s="23">
        <v>1</v>
      </c>
      <c r="I16" s="23">
        <v>9298</v>
      </c>
      <c r="J16" s="23">
        <v>344</v>
      </c>
      <c r="K16" s="23">
        <v>665</v>
      </c>
      <c r="L16" s="23" t="s">
        <v>278</v>
      </c>
      <c r="M16" s="23">
        <f t="shared" si="0"/>
        <v>544</v>
      </c>
      <c r="N16" s="24" t="str">
        <f t="array" ref="N16">INDEX('MATCH INFO'!O:O, INT((ROW()-2)/10)+2 + 157)</f>
        <v>260710_FLC_ROZE_S2</v>
      </c>
    </row>
    <row r="17" spans="1:14">
      <c r="A17" s="23" t="s">
        <v>21</v>
      </c>
      <c r="B17" s="23" t="s">
        <v>117</v>
      </c>
      <c r="C17" s="23" t="s">
        <v>104</v>
      </c>
      <c r="D17" s="23" t="s">
        <v>44</v>
      </c>
      <c r="E17" s="23" t="s">
        <v>190</v>
      </c>
      <c r="F17" s="23">
        <v>23</v>
      </c>
      <c r="G17" s="23">
        <v>5</v>
      </c>
      <c r="H17" s="23">
        <v>6</v>
      </c>
      <c r="I17" s="23">
        <v>8433</v>
      </c>
      <c r="J17" s="23">
        <v>220</v>
      </c>
      <c r="K17" s="23">
        <v>688</v>
      </c>
      <c r="L17" s="23" t="s">
        <v>278</v>
      </c>
      <c r="M17" s="23">
        <f t="shared" si="0"/>
        <v>544</v>
      </c>
      <c r="N17" s="24" t="str">
        <f t="array" ref="N17">INDEX('MATCH INFO'!O:O, INT((ROW()-2)/10)+2 + 157)</f>
        <v>260710_FLC_ROZE_S2</v>
      </c>
    </row>
    <row r="18" spans="1:14">
      <c r="A18" s="23" t="s">
        <v>21</v>
      </c>
      <c r="B18" s="23" t="s">
        <v>116</v>
      </c>
      <c r="C18" s="23" t="s">
        <v>101</v>
      </c>
      <c r="D18" s="23" t="s">
        <v>44</v>
      </c>
      <c r="E18" s="23" t="s">
        <v>190</v>
      </c>
      <c r="F18" s="23">
        <v>28</v>
      </c>
      <c r="G18" s="23">
        <v>5</v>
      </c>
      <c r="H18" s="23">
        <v>17</v>
      </c>
      <c r="I18" s="23">
        <v>13700</v>
      </c>
      <c r="J18" s="23">
        <v>3143</v>
      </c>
      <c r="K18" s="23">
        <v>6506</v>
      </c>
      <c r="L18" s="23" t="s">
        <v>278</v>
      </c>
      <c r="M18" s="23">
        <f t="shared" si="0"/>
        <v>544</v>
      </c>
      <c r="N18" s="24" t="str">
        <f t="array" ref="N18">INDEX('MATCH INFO'!O:O, INT((ROW()-2)/10)+2 + 157)</f>
        <v>260710_FLC_ROZE_S2</v>
      </c>
    </row>
    <row r="19" spans="1:14">
      <c r="A19" s="23" t="s">
        <v>21</v>
      </c>
      <c r="B19" s="23" t="s">
        <v>122</v>
      </c>
      <c r="C19" s="23" t="s">
        <v>109</v>
      </c>
      <c r="D19" s="23" t="s">
        <v>44</v>
      </c>
      <c r="E19" s="23" t="s">
        <v>190</v>
      </c>
      <c r="F19" s="23">
        <v>13</v>
      </c>
      <c r="G19" s="23">
        <v>4</v>
      </c>
      <c r="H19" s="23">
        <v>29</v>
      </c>
      <c r="I19" s="23">
        <v>4925</v>
      </c>
      <c r="J19" s="23">
        <v>12650</v>
      </c>
      <c r="K19" s="23">
        <v>0</v>
      </c>
      <c r="L19" s="23" t="s">
        <v>278</v>
      </c>
      <c r="M19" s="23">
        <f t="shared" si="0"/>
        <v>544</v>
      </c>
      <c r="N19" s="24" t="str">
        <f t="array" ref="N19">INDEX('MATCH INFO'!O:O, INT((ROW()-2)/10)+2 + 157)</f>
        <v>260710_FLC_ROZE_S2</v>
      </c>
    </row>
    <row r="20" spans="1:14">
      <c r="A20" s="23" t="s">
        <v>21</v>
      </c>
      <c r="B20" s="23" t="s">
        <v>120</v>
      </c>
      <c r="C20" s="23" t="s">
        <v>109</v>
      </c>
      <c r="D20" s="23" t="s">
        <v>44</v>
      </c>
      <c r="E20" s="23" t="s">
        <v>190</v>
      </c>
      <c r="F20" s="23">
        <v>17</v>
      </c>
      <c r="G20" s="23">
        <v>5</v>
      </c>
      <c r="H20" s="23">
        <v>19</v>
      </c>
      <c r="I20" s="23">
        <v>4330</v>
      </c>
      <c r="J20" s="23">
        <v>6497</v>
      </c>
      <c r="K20" s="23">
        <v>1543</v>
      </c>
      <c r="L20" s="23" t="s">
        <v>278</v>
      </c>
      <c r="M20" s="23">
        <f t="shared" si="0"/>
        <v>544</v>
      </c>
      <c r="N20" s="24" t="str">
        <f t="array" ref="N20">INDEX('MATCH INFO'!O:O, INT((ROW()-2)/10)+2 + 157)</f>
        <v>260710_FLC_ROZE_S2</v>
      </c>
    </row>
    <row r="21" spans="1:14">
      <c r="A21" s="23" t="s">
        <v>21</v>
      </c>
      <c r="B21" s="23" t="s">
        <v>119</v>
      </c>
      <c r="C21" s="23" t="s">
        <v>104</v>
      </c>
      <c r="D21" s="23" t="s">
        <v>44</v>
      </c>
      <c r="E21" s="23" t="s">
        <v>190</v>
      </c>
      <c r="F21" s="23">
        <v>29</v>
      </c>
      <c r="G21" s="23">
        <v>3</v>
      </c>
      <c r="H21" s="23">
        <v>2</v>
      </c>
      <c r="I21" s="23">
        <v>12235</v>
      </c>
      <c r="J21" s="23">
        <v>75</v>
      </c>
      <c r="K21" s="23">
        <v>455</v>
      </c>
      <c r="L21" s="23" t="s">
        <v>278</v>
      </c>
      <c r="M21" s="23">
        <f t="shared" si="0"/>
        <v>544</v>
      </c>
      <c r="N21" s="24" t="str">
        <f t="array" ref="N21">INDEX('MATCH INFO'!O:O, INT((ROW()-2)/10)+2 + 157)</f>
        <v>260710_FLC_ROZE_S2</v>
      </c>
    </row>
    <row r="22" spans="1:14">
      <c r="A22" s="23" t="s">
        <v>21</v>
      </c>
      <c r="B22" s="23" t="s">
        <v>117</v>
      </c>
      <c r="C22" s="23" t="s">
        <v>104</v>
      </c>
      <c r="D22" s="23" t="s">
        <v>69</v>
      </c>
      <c r="E22" s="23" t="s">
        <v>201</v>
      </c>
      <c r="F22" s="23">
        <v>25</v>
      </c>
      <c r="G22" s="23">
        <v>11</v>
      </c>
      <c r="H22" s="23">
        <v>4</v>
      </c>
      <c r="I22" s="23">
        <v>12642</v>
      </c>
      <c r="J22" s="23">
        <v>768</v>
      </c>
      <c r="K22" s="23">
        <v>7471</v>
      </c>
      <c r="L22" s="23" t="s">
        <v>336</v>
      </c>
      <c r="M22" s="23">
        <f t="shared" si="0"/>
        <v>964</v>
      </c>
      <c r="N22" s="24" t="str">
        <f t="array" ref="N22">INDEX('MATCH INFO'!O:O, INT((ROW()-2)/10)+2 + 157)</f>
        <v>260710_FLC_ROZE_S3</v>
      </c>
    </row>
    <row r="23" spans="1:14">
      <c r="A23" s="23" t="s">
        <v>21</v>
      </c>
      <c r="B23" s="23" t="s">
        <v>116</v>
      </c>
      <c r="C23" s="23" t="s">
        <v>101</v>
      </c>
      <c r="D23" s="23" t="s">
        <v>69</v>
      </c>
      <c r="E23" s="23" t="s">
        <v>201</v>
      </c>
      <c r="F23" s="23">
        <v>26</v>
      </c>
      <c r="G23" s="23">
        <v>11</v>
      </c>
      <c r="H23" s="23">
        <v>8</v>
      </c>
      <c r="I23" s="23">
        <v>17922</v>
      </c>
      <c r="J23" s="23">
        <v>678</v>
      </c>
      <c r="K23" s="23">
        <v>26190</v>
      </c>
      <c r="L23" s="23" t="s">
        <v>336</v>
      </c>
      <c r="M23" s="23">
        <f t="shared" si="0"/>
        <v>964</v>
      </c>
      <c r="N23" s="24" t="str">
        <f t="array" ref="N23">INDEX('MATCH INFO'!O:O, INT((ROW()-2)/10)+2 + 157)</f>
        <v>260710_FLC_ROZE_S3</v>
      </c>
    </row>
    <row r="24" spans="1:14">
      <c r="A24" s="23" t="s">
        <v>21</v>
      </c>
      <c r="B24" s="23" t="s">
        <v>122</v>
      </c>
      <c r="C24" s="23" t="s">
        <v>109</v>
      </c>
      <c r="D24" s="23" t="s">
        <v>69</v>
      </c>
      <c r="E24" s="23" t="s">
        <v>201</v>
      </c>
      <c r="F24" s="23">
        <v>9</v>
      </c>
      <c r="G24" s="23">
        <v>10</v>
      </c>
      <c r="H24" s="23">
        <v>25</v>
      </c>
      <c r="I24" s="23">
        <v>4361</v>
      </c>
      <c r="J24" s="23">
        <v>20037</v>
      </c>
      <c r="K24" s="23">
        <v>0</v>
      </c>
      <c r="L24" s="23" t="s">
        <v>336</v>
      </c>
      <c r="M24" s="23">
        <f t="shared" si="0"/>
        <v>964</v>
      </c>
      <c r="N24" s="24" t="str">
        <f t="array" ref="N24">INDEX('MATCH INFO'!O:O, INT((ROW()-2)/10)+2 + 157)</f>
        <v>260710_FLC_ROZE_S3</v>
      </c>
    </row>
    <row r="25" spans="1:14">
      <c r="A25" s="23" t="s">
        <v>21</v>
      </c>
      <c r="B25" s="23" t="s">
        <v>118</v>
      </c>
      <c r="C25" s="23" t="s">
        <v>104</v>
      </c>
      <c r="D25" s="23" t="s">
        <v>69</v>
      </c>
      <c r="E25" s="23" t="s">
        <v>201</v>
      </c>
      <c r="F25" s="23">
        <v>32</v>
      </c>
      <c r="G25" s="23">
        <v>10</v>
      </c>
      <c r="H25" s="23">
        <v>1</v>
      </c>
      <c r="I25" s="23">
        <v>16037</v>
      </c>
      <c r="J25" s="23">
        <v>0</v>
      </c>
      <c r="K25" s="23">
        <v>81</v>
      </c>
      <c r="L25" s="23" t="s">
        <v>336</v>
      </c>
      <c r="M25" s="23">
        <f t="shared" si="0"/>
        <v>964</v>
      </c>
      <c r="N25" s="24" t="str">
        <f t="array" ref="N25">INDEX('MATCH INFO'!O:O, INT((ROW()-2)/10)+2 + 157)</f>
        <v>260710_FLC_ROZE_S3</v>
      </c>
    </row>
    <row r="26" spans="1:14">
      <c r="A26" s="23" t="s">
        <v>21</v>
      </c>
      <c r="B26" s="23" t="s">
        <v>120</v>
      </c>
      <c r="C26" s="23" t="s">
        <v>109</v>
      </c>
      <c r="D26" s="23" t="s">
        <v>69</v>
      </c>
      <c r="E26" s="23" t="s">
        <v>201</v>
      </c>
      <c r="F26" s="23">
        <v>16</v>
      </c>
      <c r="G26" s="23">
        <v>11</v>
      </c>
      <c r="H26" s="23">
        <v>19</v>
      </c>
      <c r="I26" s="23">
        <v>6330</v>
      </c>
      <c r="J26" s="23">
        <v>12593</v>
      </c>
      <c r="K26" s="23">
        <v>2018</v>
      </c>
      <c r="L26" s="23" t="s">
        <v>336</v>
      </c>
      <c r="M26" s="23">
        <f t="shared" si="0"/>
        <v>964</v>
      </c>
      <c r="N26" s="24" t="str">
        <f t="array" ref="N26">INDEX('MATCH INFO'!O:O, INT((ROW()-2)/10)+2 + 157)</f>
        <v>260710_FLC_ROZE_S3</v>
      </c>
    </row>
    <row r="27" spans="1:14">
      <c r="A27" s="23" t="s">
        <v>31</v>
      </c>
      <c r="B27" s="23" t="s">
        <v>163</v>
      </c>
      <c r="C27" s="23" t="s">
        <v>104</v>
      </c>
      <c r="D27" s="23" t="s">
        <v>69</v>
      </c>
      <c r="E27" s="23" t="s">
        <v>201</v>
      </c>
      <c r="F27" s="23">
        <v>44</v>
      </c>
      <c r="G27" s="23">
        <v>8</v>
      </c>
      <c r="H27" s="23">
        <v>12</v>
      </c>
      <c r="I27" s="23">
        <v>14586</v>
      </c>
      <c r="J27" s="23">
        <v>1473</v>
      </c>
      <c r="K27" s="23">
        <v>12307</v>
      </c>
      <c r="L27" s="23" t="s">
        <v>336</v>
      </c>
      <c r="M27" s="23">
        <f t="shared" si="0"/>
        <v>964</v>
      </c>
      <c r="N27" s="24" t="str">
        <f t="array" ref="N27">INDEX('MATCH INFO'!O:O, INT((ROW()-2)/10)+2 + 157)</f>
        <v>260710_FLC_ROZE_S3</v>
      </c>
    </row>
    <row r="28" spans="1:14">
      <c r="A28" s="23" t="s">
        <v>31</v>
      </c>
      <c r="B28" s="23" t="s">
        <v>165</v>
      </c>
      <c r="C28" s="23" t="s">
        <v>109</v>
      </c>
      <c r="D28" s="23" t="s">
        <v>69</v>
      </c>
      <c r="E28" s="23" t="s">
        <v>201</v>
      </c>
      <c r="F28" s="23">
        <v>26</v>
      </c>
      <c r="G28" s="23">
        <v>8</v>
      </c>
      <c r="H28" s="23">
        <v>30</v>
      </c>
      <c r="I28" s="23">
        <v>7426</v>
      </c>
      <c r="J28" s="23">
        <v>14686</v>
      </c>
      <c r="K28" s="23">
        <v>4116</v>
      </c>
      <c r="L28" s="23" t="s">
        <v>336</v>
      </c>
      <c r="M28" s="23">
        <f t="shared" si="0"/>
        <v>964</v>
      </c>
      <c r="N28" s="24" t="str">
        <f t="array" ref="N28">INDEX('MATCH INFO'!O:O, INT((ROW()-2)/10)+2 + 157)</f>
        <v>260710_FLC_ROZE_S3</v>
      </c>
    </row>
    <row r="29" spans="1:14">
      <c r="A29" s="23" t="s">
        <v>31</v>
      </c>
      <c r="B29" s="23" t="s">
        <v>166</v>
      </c>
      <c r="C29" s="23" t="s">
        <v>109</v>
      </c>
      <c r="D29" s="23" t="s">
        <v>69</v>
      </c>
      <c r="E29" s="23" t="s">
        <v>201</v>
      </c>
      <c r="F29" s="23">
        <v>19</v>
      </c>
      <c r="G29" s="23">
        <v>6</v>
      </c>
      <c r="H29" s="23">
        <v>48</v>
      </c>
      <c r="I29" s="23">
        <v>4823</v>
      </c>
      <c r="J29" s="23">
        <v>22382</v>
      </c>
      <c r="K29" s="23">
        <v>0</v>
      </c>
      <c r="L29" s="23" t="s">
        <v>336</v>
      </c>
      <c r="M29" s="23">
        <f t="shared" si="0"/>
        <v>964</v>
      </c>
      <c r="N29" s="24" t="str">
        <f t="array" ref="N29">INDEX('MATCH INFO'!O:O, INT((ROW()-2)/10)+2 + 157)</f>
        <v>260710_FLC_ROZE_S3</v>
      </c>
    </row>
    <row r="30" spans="1:14">
      <c r="A30" s="23" t="s">
        <v>31</v>
      </c>
      <c r="B30" s="23" t="s">
        <v>160</v>
      </c>
      <c r="C30" s="23" t="s">
        <v>101</v>
      </c>
      <c r="D30" s="23" t="s">
        <v>69</v>
      </c>
      <c r="E30" s="23" t="s">
        <v>201</v>
      </c>
      <c r="F30" s="23">
        <v>31</v>
      </c>
      <c r="G30" s="23">
        <v>6</v>
      </c>
      <c r="H30" s="23">
        <v>3</v>
      </c>
      <c r="I30" s="23">
        <v>17422</v>
      </c>
      <c r="J30" s="23">
        <v>0</v>
      </c>
      <c r="K30" s="23">
        <v>35450</v>
      </c>
      <c r="L30" s="23" t="s">
        <v>336</v>
      </c>
      <c r="M30" s="23">
        <f t="shared" si="0"/>
        <v>964</v>
      </c>
      <c r="N30" s="24" t="str">
        <f t="array" ref="N30">INDEX('MATCH INFO'!O:O, INT((ROW()-2)/10)+2 + 157)</f>
        <v>260710_FLC_ROZE_S3</v>
      </c>
    </row>
    <row r="31" spans="1:14">
      <c r="A31" s="23" t="s">
        <v>31</v>
      </c>
      <c r="B31" s="23" t="s">
        <v>162</v>
      </c>
      <c r="C31" s="23" t="s">
        <v>104</v>
      </c>
      <c r="D31" s="23" t="s">
        <v>69</v>
      </c>
      <c r="E31" s="23" t="s">
        <v>201</v>
      </c>
      <c r="F31" s="23">
        <v>33</v>
      </c>
      <c r="G31" s="23">
        <v>11</v>
      </c>
      <c r="H31" s="23">
        <v>6</v>
      </c>
      <c r="I31" s="23">
        <v>13486</v>
      </c>
      <c r="J31" s="23">
        <v>105</v>
      </c>
      <c r="K31" s="23">
        <v>1688</v>
      </c>
      <c r="L31" s="23" t="s">
        <v>336</v>
      </c>
      <c r="M31" s="23">
        <f t="shared" si="0"/>
        <v>964</v>
      </c>
      <c r="N31" s="24" t="str">
        <f t="array" ref="N31">INDEX('MATCH INFO'!O:O, INT((ROW()-2)/10)+2 + 157)</f>
        <v>260710_FLC_ROZE_S3</v>
      </c>
    </row>
    <row r="32" spans="1:14">
      <c r="A32" s="23" t="s">
        <v>21</v>
      </c>
      <c r="B32" s="23" t="s">
        <v>117</v>
      </c>
      <c r="C32" s="23" t="s">
        <v>104</v>
      </c>
      <c r="D32" s="23" t="s">
        <v>89</v>
      </c>
      <c r="E32" s="23" t="s">
        <v>190</v>
      </c>
      <c r="F32" s="23">
        <v>18</v>
      </c>
      <c r="G32" s="23">
        <v>10</v>
      </c>
      <c r="H32" s="23">
        <v>4</v>
      </c>
      <c r="I32" s="23">
        <v>14143</v>
      </c>
      <c r="J32" s="23">
        <v>757</v>
      </c>
      <c r="K32" s="23">
        <v>7405</v>
      </c>
      <c r="L32" s="23" t="s">
        <v>314</v>
      </c>
      <c r="M32" s="23">
        <f t="shared" si="0"/>
        <v>752</v>
      </c>
      <c r="N32" s="24" t="str">
        <f t="array" ref="N32">INDEX('MATCH INFO'!O:O, INT((ROW()-2)/10)+2 + 157)</f>
        <v>260710_FLC_ROZE_S4</v>
      </c>
    </row>
    <row r="33" spans="1:14">
      <c r="A33" s="23" t="s">
        <v>21</v>
      </c>
      <c r="B33" s="23" t="s">
        <v>116</v>
      </c>
      <c r="C33" s="23" t="s">
        <v>101</v>
      </c>
      <c r="D33" s="23" t="s">
        <v>89</v>
      </c>
      <c r="E33" s="23" t="s">
        <v>190</v>
      </c>
      <c r="F33" s="23">
        <v>20</v>
      </c>
      <c r="G33" s="23">
        <v>9</v>
      </c>
      <c r="H33" s="23">
        <v>4</v>
      </c>
      <c r="I33" s="23">
        <v>15588</v>
      </c>
      <c r="J33" s="23">
        <v>0</v>
      </c>
      <c r="K33" s="23">
        <v>26852</v>
      </c>
      <c r="L33" s="23" t="s">
        <v>314</v>
      </c>
      <c r="M33" s="23">
        <f t="shared" si="0"/>
        <v>752</v>
      </c>
      <c r="N33" s="24" t="str">
        <f t="array" ref="N33">INDEX('MATCH INFO'!O:O, INT((ROW()-2)/10)+2 + 157)</f>
        <v>260710_FLC_ROZE_S4</v>
      </c>
    </row>
    <row r="34" spans="1:14">
      <c r="A34" s="23" t="s">
        <v>21</v>
      </c>
      <c r="B34" s="23" t="s">
        <v>122</v>
      </c>
      <c r="C34" s="23" t="s">
        <v>109</v>
      </c>
      <c r="D34" s="23" t="s">
        <v>89</v>
      </c>
      <c r="E34" s="23" t="s">
        <v>190</v>
      </c>
      <c r="F34" s="23">
        <v>16</v>
      </c>
      <c r="G34" s="23">
        <v>7</v>
      </c>
      <c r="H34" s="23">
        <v>20</v>
      </c>
      <c r="I34" s="23">
        <v>3509</v>
      </c>
      <c r="J34" s="23">
        <v>18134</v>
      </c>
      <c r="K34" s="23">
        <v>0</v>
      </c>
      <c r="L34" s="23" t="s">
        <v>314</v>
      </c>
      <c r="M34" s="23">
        <f t="shared" si="0"/>
        <v>752</v>
      </c>
      <c r="N34" s="24" t="str">
        <f t="array" ref="N34">INDEX('MATCH INFO'!O:O, INT((ROW()-2)/10)+2 + 157)</f>
        <v>260710_FLC_ROZE_S4</v>
      </c>
    </row>
    <row r="35" spans="1:14">
      <c r="A35" s="23" t="s">
        <v>21</v>
      </c>
      <c r="B35" s="23" t="s">
        <v>118</v>
      </c>
      <c r="C35" s="23" t="s">
        <v>104</v>
      </c>
      <c r="D35" s="23" t="s">
        <v>89</v>
      </c>
      <c r="E35" s="23" t="s">
        <v>190</v>
      </c>
      <c r="F35" s="23">
        <v>23</v>
      </c>
      <c r="G35" s="23">
        <v>13</v>
      </c>
      <c r="H35" s="23">
        <v>2</v>
      </c>
      <c r="I35" s="23">
        <v>12378</v>
      </c>
      <c r="J35" s="23">
        <v>98</v>
      </c>
      <c r="K35" s="23">
        <v>800</v>
      </c>
      <c r="L35" s="23" t="s">
        <v>314</v>
      </c>
      <c r="M35" s="23">
        <f t="shared" si="0"/>
        <v>752</v>
      </c>
      <c r="N35" s="24" t="str">
        <f t="array" ref="N35">INDEX('MATCH INFO'!O:O, INT((ROW()-2)/10)+2 + 157)</f>
        <v>260710_FLC_ROZE_S4</v>
      </c>
    </row>
    <row r="36" spans="1:14">
      <c r="A36" s="23" t="s">
        <v>21</v>
      </c>
      <c r="B36" s="23" t="s">
        <v>120</v>
      </c>
      <c r="C36" s="23" t="s">
        <v>109</v>
      </c>
      <c r="D36" s="23" t="s">
        <v>89</v>
      </c>
      <c r="E36" s="23" t="s">
        <v>190</v>
      </c>
      <c r="F36" s="23">
        <v>12</v>
      </c>
      <c r="G36" s="23">
        <v>10</v>
      </c>
      <c r="H36" s="23">
        <v>19</v>
      </c>
      <c r="I36" s="23">
        <v>6687</v>
      </c>
      <c r="J36" s="23">
        <v>13623</v>
      </c>
      <c r="K36" s="23">
        <v>1515</v>
      </c>
      <c r="L36" s="23" t="s">
        <v>314</v>
      </c>
      <c r="M36" s="23">
        <f t="shared" si="0"/>
        <v>752</v>
      </c>
      <c r="N36" s="24" t="str">
        <f t="array" ref="N36">INDEX('MATCH INFO'!O:O, INT((ROW()-2)/10)+2 + 157)</f>
        <v>260710_FLC_ROZE_S4</v>
      </c>
    </row>
    <row r="37" spans="1:14">
      <c r="A37" s="23" t="s">
        <v>31</v>
      </c>
      <c r="B37" s="23" t="s">
        <v>163</v>
      </c>
      <c r="C37" s="23" t="s">
        <v>104</v>
      </c>
      <c r="D37" s="23" t="s">
        <v>89</v>
      </c>
      <c r="E37" s="23" t="s">
        <v>190</v>
      </c>
      <c r="F37" s="23">
        <v>35</v>
      </c>
      <c r="G37" s="23">
        <v>9</v>
      </c>
      <c r="H37" s="23">
        <v>8</v>
      </c>
      <c r="I37" s="23">
        <v>14100</v>
      </c>
      <c r="J37" s="23">
        <v>1170</v>
      </c>
      <c r="K37" s="23">
        <v>6216</v>
      </c>
      <c r="L37" s="23" t="s">
        <v>314</v>
      </c>
      <c r="M37" s="23">
        <f t="shared" si="0"/>
        <v>752</v>
      </c>
      <c r="N37" s="24" t="str">
        <f t="array" ref="N37">INDEX('MATCH INFO'!O:O, INT((ROW()-2)/10)+2 + 157)</f>
        <v>260710_FLC_ROZE_S4</v>
      </c>
    </row>
    <row r="38" spans="1:14">
      <c r="A38" s="23" t="s">
        <v>31</v>
      </c>
      <c r="B38" s="23" t="s">
        <v>165</v>
      </c>
      <c r="C38" s="23" t="s">
        <v>109</v>
      </c>
      <c r="D38" s="23" t="s">
        <v>89</v>
      </c>
      <c r="E38" s="23" t="s">
        <v>190</v>
      </c>
      <c r="F38" s="23">
        <v>24</v>
      </c>
      <c r="G38" s="23">
        <v>6</v>
      </c>
      <c r="H38" s="23">
        <v>29</v>
      </c>
      <c r="I38" s="23">
        <v>6213</v>
      </c>
      <c r="J38" s="23">
        <v>13806</v>
      </c>
      <c r="K38" s="23">
        <v>3358</v>
      </c>
      <c r="L38" s="23" t="s">
        <v>314</v>
      </c>
      <c r="M38" s="23">
        <f t="shared" si="0"/>
        <v>752</v>
      </c>
      <c r="N38" s="24" t="str">
        <f t="array" ref="N38">INDEX('MATCH INFO'!O:O, INT((ROW()-2)/10)+2 + 157)</f>
        <v>260710_FLC_ROZE_S4</v>
      </c>
    </row>
    <row r="39" spans="1:14">
      <c r="A39" s="23" t="s">
        <v>31</v>
      </c>
      <c r="B39" s="23" t="s">
        <v>166</v>
      </c>
      <c r="C39" s="23" t="s">
        <v>109</v>
      </c>
      <c r="D39" s="23" t="s">
        <v>89</v>
      </c>
      <c r="E39" s="23" t="s">
        <v>190</v>
      </c>
      <c r="F39" s="23">
        <v>17</v>
      </c>
      <c r="G39" s="23">
        <v>5</v>
      </c>
      <c r="H39" s="23">
        <v>38</v>
      </c>
      <c r="I39" s="23">
        <v>3602</v>
      </c>
      <c r="J39" s="23">
        <v>19150</v>
      </c>
      <c r="K39" s="23">
        <v>0</v>
      </c>
      <c r="L39" s="23" t="s">
        <v>314</v>
      </c>
      <c r="M39" s="23">
        <f t="shared" si="0"/>
        <v>752</v>
      </c>
      <c r="N39" s="24" t="str">
        <f t="array" ref="N39">INDEX('MATCH INFO'!O:O, INT((ROW()-2)/10)+2 + 157)</f>
        <v>260710_FLC_ROZE_S4</v>
      </c>
    </row>
    <row r="40" spans="1:14">
      <c r="A40" s="23" t="s">
        <v>31</v>
      </c>
      <c r="B40" s="23" t="s">
        <v>160</v>
      </c>
      <c r="C40" s="23" t="s">
        <v>101</v>
      </c>
      <c r="D40" s="23" t="s">
        <v>89</v>
      </c>
      <c r="E40" s="23" t="s">
        <v>190</v>
      </c>
      <c r="F40" s="23">
        <v>31</v>
      </c>
      <c r="G40" s="23">
        <v>5</v>
      </c>
      <c r="H40" s="23">
        <v>8</v>
      </c>
      <c r="I40" s="23">
        <v>16474</v>
      </c>
      <c r="J40" s="23">
        <v>20</v>
      </c>
      <c r="K40" s="23">
        <v>27368</v>
      </c>
      <c r="L40" s="23" t="s">
        <v>314</v>
      </c>
      <c r="M40" s="23">
        <f t="shared" si="0"/>
        <v>752</v>
      </c>
      <c r="N40" s="24" t="str">
        <f t="array" ref="N40">INDEX('MATCH INFO'!O:O, INT((ROW()-2)/10)+2 + 157)</f>
        <v>260710_FLC_ROZE_S4</v>
      </c>
    </row>
    <row r="41" spans="1:14">
      <c r="A41" s="23" t="s">
        <v>31</v>
      </c>
      <c r="B41" s="23" t="s">
        <v>162</v>
      </c>
      <c r="C41" s="23" t="s">
        <v>104</v>
      </c>
      <c r="D41" s="23" t="s">
        <v>89</v>
      </c>
      <c r="E41" s="23" t="s">
        <v>190</v>
      </c>
      <c r="F41" s="23">
        <v>32</v>
      </c>
      <c r="G41" s="23">
        <v>5</v>
      </c>
      <c r="H41" s="23">
        <v>13</v>
      </c>
      <c r="I41" s="23">
        <v>12231</v>
      </c>
      <c r="J41" s="23">
        <v>956</v>
      </c>
      <c r="K41" s="23">
        <v>5019</v>
      </c>
      <c r="L41" s="23" t="s">
        <v>314</v>
      </c>
      <c r="M41" s="23">
        <f t="shared" si="0"/>
        <v>752</v>
      </c>
      <c r="N41" s="24" t="str">
        <f t="array" ref="N41">INDEX('MATCH INFO'!O:O, INT((ROW()-2)/10)+2 + 157)</f>
        <v>260710_FLC_ROZE_S4</v>
      </c>
    </row>
    <row r="42" spans="1:14">
      <c r="A42" s="23" t="s">
        <v>21</v>
      </c>
      <c r="B42" s="23" t="s">
        <v>117</v>
      </c>
      <c r="C42" s="23" t="s">
        <v>104</v>
      </c>
      <c r="D42" s="23" t="s">
        <v>90</v>
      </c>
      <c r="E42" s="23" t="s">
        <v>192</v>
      </c>
      <c r="F42" s="23">
        <v>25</v>
      </c>
      <c r="G42" s="23">
        <v>6</v>
      </c>
      <c r="H42" s="23">
        <v>5</v>
      </c>
      <c r="I42" s="23">
        <v>11996</v>
      </c>
      <c r="J42" s="23">
        <v>572</v>
      </c>
      <c r="K42" s="23">
        <v>944</v>
      </c>
      <c r="L42" s="23" t="s">
        <v>337</v>
      </c>
      <c r="M42" s="23">
        <f t="shared" si="0"/>
        <v>629</v>
      </c>
      <c r="N42" s="24" t="str">
        <f t="array" ref="N42">INDEX('MATCH INFO'!O:O, INT((ROW()-2)/10)+2 + 157)</f>
        <v>260710_FLC_ROZE_S5</v>
      </c>
    </row>
    <row r="43" spans="1:14">
      <c r="A43" s="23" t="s">
        <v>21</v>
      </c>
      <c r="B43" s="23" t="s">
        <v>116</v>
      </c>
      <c r="C43" s="23" t="s">
        <v>101</v>
      </c>
      <c r="D43" s="23" t="s">
        <v>90</v>
      </c>
      <c r="E43" s="23" t="s">
        <v>192</v>
      </c>
      <c r="F43" s="23">
        <v>21</v>
      </c>
      <c r="G43" s="23">
        <v>7</v>
      </c>
      <c r="H43" s="23">
        <v>10</v>
      </c>
      <c r="I43" s="23">
        <v>10107</v>
      </c>
      <c r="J43" s="23">
        <v>2582</v>
      </c>
      <c r="K43" s="23">
        <v>5205</v>
      </c>
      <c r="L43" s="23" t="s">
        <v>337</v>
      </c>
      <c r="M43" s="23">
        <f t="shared" si="0"/>
        <v>629</v>
      </c>
      <c r="N43" s="24" t="str">
        <f t="array" ref="N43">INDEX('MATCH INFO'!O:O, INT((ROW()-2)/10)+2 + 157)</f>
        <v>260710_FLC_ROZE_S5</v>
      </c>
    </row>
    <row r="44" spans="1:14">
      <c r="A44" s="23" t="s">
        <v>21</v>
      </c>
      <c r="B44" s="23" t="s">
        <v>122</v>
      </c>
      <c r="C44" s="23" t="s">
        <v>109</v>
      </c>
      <c r="D44" s="23" t="s">
        <v>90</v>
      </c>
      <c r="E44" s="23" t="s">
        <v>192</v>
      </c>
      <c r="F44" s="23">
        <v>10</v>
      </c>
      <c r="G44" s="23">
        <v>7</v>
      </c>
      <c r="H44" s="23">
        <v>29</v>
      </c>
      <c r="I44" s="23">
        <v>4281</v>
      </c>
      <c r="J44" s="23">
        <v>11239</v>
      </c>
      <c r="K44" s="23">
        <v>0</v>
      </c>
      <c r="L44" s="23" t="s">
        <v>337</v>
      </c>
      <c r="M44" s="23">
        <f t="shared" si="0"/>
        <v>629</v>
      </c>
      <c r="N44" s="24" t="str">
        <f t="array" ref="N44">INDEX('MATCH INFO'!O:O, INT((ROW()-2)/10)+2 + 157)</f>
        <v>260710_FLC_ROZE_S5</v>
      </c>
    </row>
    <row r="45" spans="1:14">
      <c r="A45" s="23" t="s">
        <v>21</v>
      </c>
      <c r="B45" s="23" t="s">
        <v>120</v>
      </c>
      <c r="C45" s="23" t="s">
        <v>109</v>
      </c>
      <c r="D45" s="23" t="s">
        <v>90</v>
      </c>
      <c r="E45" s="23" t="s">
        <v>192</v>
      </c>
      <c r="F45" s="23">
        <v>16</v>
      </c>
      <c r="G45" s="23">
        <v>7</v>
      </c>
      <c r="H45" s="23">
        <v>18</v>
      </c>
      <c r="I45" s="23">
        <v>4066</v>
      </c>
      <c r="J45" s="23">
        <v>8136</v>
      </c>
      <c r="K45" s="23">
        <v>1196</v>
      </c>
      <c r="L45" s="23" t="s">
        <v>337</v>
      </c>
      <c r="M45" s="23">
        <f t="shared" si="0"/>
        <v>629</v>
      </c>
      <c r="N45" s="24" t="str">
        <f t="array" ref="N45">INDEX('MATCH INFO'!O:O, INT((ROW()-2)/10)+2 + 157)</f>
        <v>260710_FLC_ROZE_S5</v>
      </c>
    </row>
    <row r="46" spans="1:14">
      <c r="A46" s="23" t="s">
        <v>21</v>
      </c>
      <c r="B46" s="23" t="s">
        <v>119</v>
      </c>
      <c r="C46" s="23" t="s">
        <v>104</v>
      </c>
      <c r="D46" s="23" t="s">
        <v>90</v>
      </c>
      <c r="E46" s="23" t="s">
        <v>192</v>
      </c>
      <c r="F46" s="23">
        <v>29</v>
      </c>
      <c r="G46" s="23">
        <v>5</v>
      </c>
      <c r="H46" s="23">
        <v>2</v>
      </c>
      <c r="I46" s="23">
        <v>13233</v>
      </c>
      <c r="J46" s="23">
        <v>210</v>
      </c>
      <c r="K46" s="23">
        <v>199</v>
      </c>
      <c r="L46" s="23" t="s">
        <v>337</v>
      </c>
      <c r="M46" s="23">
        <f t="shared" si="0"/>
        <v>629</v>
      </c>
      <c r="N46" s="24" t="str">
        <f t="array" ref="N46">INDEX('MATCH INFO'!O:O, INT((ROW()-2)/10)+2 + 157)</f>
        <v>260710_FLC_ROZE_S5</v>
      </c>
    </row>
    <row r="47" spans="1:14">
      <c r="A47" s="23" t="s">
        <v>31</v>
      </c>
      <c r="B47" s="23" t="s">
        <v>163</v>
      </c>
      <c r="C47" s="23" t="s">
        <v>104</v>
      </c>
      <c r="D47" s="23" t="s">
        <v>90</v>
      </c>
      <c r="E47" s="23" t="s">
        <v>192</v>
      </c>
      <c r="F47" s="23">
        <v>20</v>
      </c>
      <c r="G47" s="23">
        <v>9</v>
      </c>
      <c r="H47" s="23">
        <v>0</v>
      </c>
      <c r="I47" s="23">
        <v>9441</v>
      </c>
      <c r="J47" s="23">
        <v>1401</v>
      </c>
      <c r="K47" s="23">
        <v>0</v>
      </c>
      <c r="L47" s="23" t="s">
        <v>337</v>
      </c>
      <c r="M47" s="23">
        <f t="shared" si="0"/>
        <v>629</v>
      </c>
      <c r="N47" s="24" t="str">
        <f t="array" ref="N47">INDEX('MATCH INFO'!O:O, INT((ROW()-2)/10)+2 + 157)</f>
        <v>260710_FLC_ROZE_S5</v>
      </c>
    </row>
    <row r="48" spans="1:14">
      <c r="A48" s="23" t="s">
        <v>31</v>
      </c>
      <c r="B48" s="23" t="s">
        <v>165</v>
      </c>
      <c r="C48" s="23" t="s">
        <v>109</v>
      </c>
      <c r="D48" s="23" t="s">
        <v>90</v>
      </c>
      <c r="E48" s="23" t="s">
        <v>192</v>
      </c>
      <c r="F48" s="23">
        <v>16</v>
      </c>
      <c r="G48" s="23">
        <v>7</v>
      </c>
      <c r="H48" s="23">
        <v>14</v>
      </c>
      <c r="I48" s="23">
        <v>5066</v>
      </c>
      <c r="J48" s="23">
        <v>8374</v>
      </c>
      <c r="K48" s="23">
        <v>3082</v>
      </c>
      <c r="L48" s="23" t="s">
        <v>337</v>
      </c>
      <c r="M48" s="23">
        <f t="shared" si="0"/>
        <v>629</v>
      </c>
      <c r="N48" s="24" t="str">
        <f t="array" ref="N48">INDEX('MATCH INFO'!O:O, INT((ROW()-2)/10)+2 + 157)</f>
        <v>260710_FLC_ROZE_S5</v>
      </c>
    </row>
    <row r="49" spans="1:14">
      <c r="A49" s="23" t="s">
        <v>31</v>
      </c>
      <c r="B49" s="23" t="s">
        <v>166</v>
      </c>
      <c r="C49" s="23" t="s">
        <v>109</v>
      </c>
      <c r="D49" s="23" t="s">
        <v>90</v>
      </c>
      <c r="E49" s="23" t="s">
        <v>192</v>
      </c>
      <c r="F49" s="23">
        <v>12</v>
      </c>
      <c r="G49" s="23">
        <v>7</v>
      </c>
      <c r="H49" s="23">
        <v>23</v>
      </c>
      <c r="I49" s="23">
        <v>3592</v>
      </c>
      <c r="J49" s="23">
        <v>14940</v>
      </c>
      <c r="K49" s="23">
        <v>0</v>
      </c>
      <c r="L49" s="23" t="s">
        <v>337</v>
      </c>
      <c r="M49" s="23">
        <f t="shared" si="0"/>
        <v>629</v>
      </c>
      <c r="N49" s="24" t="str">
        <f t="array" ref="N49">INDEX('MATCH INFO'!O:O, INT((ROW()-2)/10)+2 + 157)</f>
        <v>260710_FLC_ROZE_S5</v>
      </c>
    </row>
    <row r="50" spans="1:14">
      <c r="A50" s="23" t="s">
        <v>31</v>
      </c>
      <c r="B50" s="23" t="s">
        <v>160</v>
      </c>
      <c r="C50" s="23" t="s">
        <v>101</v>
      </c>
      <c r="D50" s="23" t="s">
        <v>90</v>
      </c>
      <c r="E50" s="23" t="s">
        <v>192</v>
      </c>
      <c r="F50" s="23">
        <v>21</v>
      </c>
      <c r="G50" s="23">
        <v>6</v>
      </c>
      <c r="H50" s="23">
        <v>5</v>
      </c>
      <c r="I50" s="23">
        <v>14352</v>
      </c>
      <c r="J50" s="23">
        <v>0</v>
      </c>
      <c r="K50" s="23">
        <v>17675</v>
      </c>
      <c r="L50" s="23" t="s">
        <v>337</v>
      </c>
      <c r="M50" s="23">
        <f t="shared" si="0"/>
        <v>629</v>
      </c>
      <c r="N50" s="24" t="str">
        <f t="array" ref="N50">INDEX('MATCH INFO'!O:O, INT((ROW()-2)/10)+2 + 157)</f>
        <v>260710_FLC_ROZE_S5</v>
      </c>
    </row>
    <row r="51" spans="1:14">
      <c r="A51" s="23" t="s">
        <v>31</v>
      </c>
      <c r="B51" s="23" t="s">
        <v>162</v>
      </c>
      <c r="C51" s="23" t="s">
        <v>104</v>
      </c>
      <c r="D51" s="23" t="s">
        <v>90</v>
      </c>
      <c r="E51" s="23" t="s">
        <v>192</v>
      </c>
      <c r="F51" s="23">
        <v>17</v>
      </c>
      <c r="G51" s="23">
        <v>9</v>
      </c>
      <c r="H51" s="23">
        <v>0</v>
      </c>
      <c r="I51" s="23">
        <v>7959</v>
      </c>
      <c r="J51" s="23">
        <v>142</v>
      </c>
      <c r="K51" s="23">
        <v>784</v>
      </c>
      <c r="L51" s="23" t="s">
        <v>337</v>
      </c>
      <c r="M51" s="23">
        <f t="shared" si="0"/>
        <v>629</v>
      </c>
      <c r="N51" s="24" t="str">
        <f t="array" ref="N51">INDEX('MATCH INFO'!O:O, INT((ROW()-2)/10)+2 + 157)</f>
        <v>260710_FLC_ROZE_S5</v>
      </c>
    </row>
    <row r="52" spans="1:14">
      <c r="A52" s="23" t="s">
        <v>31</v>
      </c>
      <c r="B52" s="23" t="s">
        <v>163</v>
      </c>
      <c r="C52" s="23" t="s">
        <v>104</v>
      </c>
      <c r="D52" s="23" t="s">
        <v>87</v>
      </c>
      <c r="E52" s="23" t="s">
        <v>188</v>
      </c>
      <c r="F52" s="23">
        <v>19</v>
      </c>
      <c r="G52" s="23">
        <v>7</v>
      </c>
      <c r="H52" s="23">
        <v>2</v>
      </c>
      <c r="I52" s="23">
        <v>10978</v>
      </c>
      <c r="J52" s="23">
        <v>510</v>
      </c>
      <c r="K52" s="23">
        <v>3060</v>
      </c>
      <c r="L52" s="23" t="s">
        <v>338</v>
      </c>
      <c r="M52" s="23">
        <f t="shared" si="0"/>
        <v>602</v>
      </c>
      <c r="N52" s="24" t="str">
        <f t="array" ref="N52">INDEX('MATCH INFO'!O:O, INT((ROW()-2)/10)+2 + 157)</f>
        <v>260710_FLC_ROZE_S6</v>
      </c>
    </row>
    <row r="53" spans="1:14">
      <c r="A53" s="23" t="s">
        <v>31</v>
      </c>
      <c r="B53" s="23" t="s">
        <v>165</v>
      </c>
      <c r="C53" s="23" t="s">
        <v>109</v>
      </c>
      <c r="D53" s="23" t="s">
        <v>87</v>
      </c>
      <c r="E53" s="23" t="s">
        <v>188</v>
      </c>
      <c r="F53" s="23">
        <v>15</v>
      </c>
      <c r="G53" s="23">
        <v>5</v>
      </c>
      <c r="H53" s="23">
        <v>13</v>
      </c>
      <c r="I53" s="23">
        <v>5889</v>
      </c>
      <c r="J53" s="23">
        <v>7005</v>
      </c>
      <c r="K53" s="23">
        <v>1071</v>
      </c>
      <c r="L53" s="23" t="s">
        <v>338</v>
      </c>
      <c r="M53" s="23">
        <f t="shared" si="0"/>
        <v>602</v>
      </c>
      <c r="N53" s="24" t="str">
        <f t="array" ref="N53">INDEX('MATCH INFO'!O:O, INT((ROW()-2)/10)+2 + 157)</f>
        <v>260710_FLC_ROZE_S6</v>
      </c>
    </row>
    <row r="54" spans="1:14">
      <c r="A54" s="23" t="s">
        <v>31</v>
      </c>
      <c r="B54" s="23" t="s">
        <v>166</v>
      </c>
      <c r="C54" s="23" t="s">
        <v>109</v>
      </c>
      <c r="D54" s="23" t="s">
        <v>87</v>
      </c>
      <c r="E54" s="23" t="s">
        <v>188</v>
      </c>
      <c r="F54" s="23">
        <v>11</v>
      </c>
      <c r="G54" s="23">
        <v>7</v>
      </c>
      <c r="H54" s="23">
        <v>15</v>
      </c>
      <c r="I54" s="23">
        <v>4794</v>
      </c>
      <c r="J54" s="23">
        <v>11700</v>
      </c>
      <c r="K54" s="23">
        <v>0</v>
      </c>
      <c r="L54" s="23" t="s">
        <v>338</v>
      </c>
      <c r="M54" s="23">
        <f t="shared" si="0"/>
        <v>602</v>
      </c>
      <c r="N54" s="24" t="str">
        <f t="array" ref="N54">INDEX('MATCH INFO'!O:O, INT((ROW()-2)/10)+2 + 157)</f>
        <v>260710_FLC_ROZE_S6</v>
      </c>
    </row>
    <row r="55" spans="1:14">
      <c r="A55" s="23" t="s">
        <v>31</v>
      </c>
      <c r="B55" s="23" t="s">
        <v>160</v>
      </c>
      <c r="C55" s="23" t="s">
        <v>101</v>
      </c>
      <c r="D55" s="23" t="s">
        <v>87</v>
      </c>
      <c r="E55" s="23" t="s">
        <v>188</v>
      </c>
      <c r="F55" s="23">
        <v>18</v>
      </c>
      <c r="G55" s="23">
        <v>5</v>
      </c>
      <c r="H55" s="23">
        <v>5</v>
      </c>
      <c r="I55" s="23">
        <v>7874</v>
      </c>
      <c r="J55" s="23">
        <v>1306</v>
      </c>
      <c r="K55" s="23">
        <v>20274</v>
      </c>
      <c r="L55" s="23" t="s">
        <v>338</v>
      </c>
      <c r="M55" s="23">
        <f t="shared" si="0"/>
        <v>602</v>
      </c>
      <c r="N55" s="24" t="str">
        <f t="array" ref="N55">INDEX('MATCH INFO'!O:O, INT((ROW()-2)/10)+2 + 157)</f>
        <v>260710_FLC_ROZE_S6</v>
      </c>
    </row>
    <row r="56" spans="1:14">
      <c r="A56" s="23" t="s">
        <v>31</v>
      </c>
      <c r="B56" s="23" t="s">
        <v>162</v>
      </c>
      <c r="C56" s="23" t="s">
        <v>104</v>
      </c>
      <c r="D56" s="23" t="s">
        <v>87</v>
      </c>
      <c r="E56" s="23" t="s">
        <v>188</v>
      </c>
      <c r="F56" s="23">
        <v>14</v>
      </c>
      <c r="G56" s="23">
        <v>8</v>
      </c>
      <c r="H56" s="23">
        <v>4</v>
      </c>
      <c r="I56" s="23">
        <v>12614</v>
      </c>
      <c r="J56" s="23">
        <v>86</v>
      </c>
      <c r="K56" s="23">
        <v>1064</v>
      </c>
      <c r="L56" s="23" t="s">
        <v>338</v>
      </c>
      <c r="M56" s="23">
        <f t="shared" si="0"/>
        <v>602</v>
      </c>
      <c r="N56" s="24" t="str">
        <f t="array" ref="N56">INDEX('MATCH INFO'!O:O, INT((ROW()-2)/10)+2 + 157)</f>
        <v>260710_FLC_ROZE_S6</v>
      </c>
    </row>
    <row r="57" spans="1:14">
      <c r="A57" s="23" t="s">
        <v>21</v>
      </c>
      <c r="B57" s="23" t="s">
        <v>117</v>
      </c>
      <c r="C57" s="23" t="s">
        <v>104</v>
      </c>
      <c r="D57" s="23" t="s">
        <v>87</v>
      </c>
      <c r="E57" s="23" t="s">
        <v>188</v>
      </c>
      <c r="F57" s="23">
        <v>17</v>
      </c>
      <c r="G57" s="23">
        <v>5</v>
      </c>
      <c r="H57" s="23">
        <v>6</v>
      </c>
      <c r="I57" s="23">
        <v>8034</v>
      </c>
      <c r="J57" s="23">
        <v>1727</v>
      </c>
      <c r="K57" s="23">
        <v>2309</v>
      </c>
      <c r="L57" s="23" t="s">
        <v>338</v>
      </c>
      <c r="M57" s="23">
        <f t="shared" si="0"/>
        <v>602</v>
      </c>
      <c r="N57" s="24" t="str">
        <f t="array" ref="N57">INDEX('MATCH INFO'!O:O, INT((ROW()-2)/10)+2 + 157)</f>
        <v>260710_FLC_ROZE_S6</v>
      </c>
    </row>
    <row r="58" spans="1:14">
      <c r="A58" s="23" t="s">
        <v>21</v>
      </c>
      <c r="B58" s="23" t="s">
        <v>116</v>
      </c>
      <c r="C58" s="23" t="s">
        <v>101</v>
      </c>
      <c r="D58" s="23" t="s">
        <v>87</v>
      </c>
      <c r="E58" s="23" t="s">
        <v>188</v>
      </c>
      <c r="F58" s="23">
        <v>20</v>
      </c>
      <c r="G58" s="23">
        <v>5</v>
      </c>
      <c r="H58" s="23">
        <v>10</v>
      </c>
      <c r="I58" s="23">
        <v>9047</v>
      </c>
      <c r="J58" s="23">
        <v>1578</v>
      </c>
      <c r="K58" s="23">
        <v>3786</v>
      </c>
      <c r="L58" s="23" t="s">
        <v>338</v>
      </c>
      <c r="M58" s="23">
        <f t="shared" si="0"/>
        <v>602</v>
      </c>
      <c r="N58" s="24" t="str">
        <f t="array" ref="N58">INDEX('MATCH INFO'!O:O, INT((ROW()-2)/10)+2 + 157)</f>
        <v>260710_FLC_ROZE_S6</v>
      </c>
    </row>
    <row r="59" spans="1:14">
      <c r="A59" s="23" t="s">
        <v>21</v>
      </c>
      <c r="B59" s="23" t="s">
        <v>122</v>
      </c>
      <c r="C59" s="23" t="s">
        <v>109</v>
      </c>
      <c r="D59" s="23" t="s">
        <v>87</v>
      </c>
      <c r="E59" s="23" t="s">
        <v>188</v>
      </c>
      <c r="F59" s="23">
        <v>6</v>
      </c>
      <c r="G59" s="23">
        <v>5</v>
      </c>
      <c r="H59" s="23">
        <v>22</v>
      </c>
      <c r="I59" s="23">
        <v>3294</v>
      </c>
      <c r="J59" s="23">
        <v>15155</v>
      </c>
      <c r="K59" s="23">
        <v>0</v>
      </c>
      <c r="L59" s="23" t="s">
        <v>338</v>
      </c>
      <c r="M59" s="23">
        <f t="shared" si="0"/>
        <v>602</v>
      </c>
      <c r="N59" s="24" t="str">
        <f t="array" ref="N59">INDEX('MATCH INFO'!O:O, INT((ROW()-2)/10)+2 + 157)</f>
        <v>260710_FLC_ROZE_S6</v>
      </c>
    </row>
    <row r="60" spans="1:14">
      <c r="A60" s="23" t="s">
        <v>21</v>
      </c>
      <c r="B60" s="23" t="s">
        <v>120</v>
      </c>
      <c r="C60" s="23" t="s">
        <v>109</v>
      </c>
      <c r="D60" s="23" t="s">
        <v>87</v>
      </c>
      <c r="E60" s="23" t="s">
        <v>188</v>
      </c>
      <c r="F60" s="23">
        <v>7</v>
      </c>
      <c r="G60" s="23">
        <v>5</v>
      </c>
      <c r="H60" s="23">
        <v>14</v>
      </c>
      <c r="I60" s="23">
        <v>3036</v>
      </c>
      <c r="J60" s="23">
        <v>7825</v>
      </c>
      <c r="K60" s="23">
        <v>1731</v>
      </c>
      <c r="L60" s="23" t="s">
        <v>338</v>
      </c>
      <c r="M60" s="23">
        <f t="shared" si="0"/>
        <v>602</v>
      </c>
      <c r="N60" s="24" t="str">
        <f t="array" ref="N60">INDEX('MATCH INFO'!O:O, INT((ROW()-2)/10)+2 + 157)</f>
        <v>260710_FLC_ROZE_S6</v>
      </c>
    </row>
    <row r="61" spans="1:14">
      <c r="A61" s="23" t="s">
        <v>21</v>
      </c>
      <c r="B61" s="23" t="s">
        <v>119</v>
      </c>
      <c r="C61" s="23" t="s">
        <v>104</v>
      </c>
      <c r="D61" s="23" t="s">
        <v>87</v>
      </c>
      <c r="E61" s="23" t="s">
        <v>188</v>
      </c>
      <c r="F61" s="23">
        <v>26</v>
      </c>
      <c r="G61" s="23">
        <v>5</v>
      </c>
      <c r="H61" s="23">
        <v>3</v>
      </c>
      <c r="I61" s="23">
        <v>12634</v>
      </c>
      <c r="J61" s="23">
        <v>66</v>
      </c>
      <c r="K61" s="23">
        <v>259</v>
      </c>
      <c r="L61" s="23" t="s">
        <v>338</v>
      </c>
      <c r="M61" s="23">
        <f t="shared" si="0"/>
        <v>602</v>
      </c>
      <c r="N61" s="24" t="str">
        <f t="array" ref="N61">INDEX('MATCH INFO'!O:O, INT((ROW()-2)/10)+2 + 157)</f>
        <v>260710_FLC_ROZE_S6</v>
      </c>
    </row>
    <row r="62" spans="1:14">
      <c r="A62" s="23" t="s">
        <v>20</v>
      </c>
      <c r="B62" s="23" t="s">
        <v>108</v>
      </c>
      <c r="C62" s="23" t="s">
        <v>109</v>
      </c>
      <c r="D62" s="23" t="s">
        <v>33</v>
      </c>
      <c r="E62" s="23" t="s">
        <v>188</v>
      </c>
      <c r="F62" s="23">
        <v>6</v>
      </c>
      <c r="G62" s="23">
        <v>5</v>
      </c>
      <c r="H62" s="23">
        <v>4</v>
      </c>
      <c r="I62" s="23">
        <v>2575</v>
      </c>
      <c r="J62" s="23">
        <v>2132</v>
      </c>
      <c r="K62" s="23">
        <v>339</v>
      </c>
      <c r="L62" s="23" t="s">
        <v>339</v>
      </c>
      <c r="M62" s="23">
        <f t="shared" si="0"/>
        <v>351.99999999999994</v>
      </c>
      <c r="N62" s="24" t="str">
        <f t="array" ref="N62">INDEX('MATCH INFO'!O:O, INT((ROW()-2)/10)+2 + 157)</f>
        <v>260710_ZETA_O2_S1</v>
      </c>
    </row>
    <row r="63" spans="1:14">
      <c r="A63" s="23" t="s">
        <v>20</v>
      </c>
      <c r="B63" s="23" t="s">
        <v>100</v>
      </c>
      <c r="C63" s="23" t="s">
        <v>101</v>
      </c>
      <c r="D63" s="23" t="s">
        <v>33</v>
      </c>
      <c r="E63" s="23" t="s">
        <v>188</v>
      </c>
      <c r="F63" s="23">
        <v>5</v>
      </c>
      <c r="G63" s="23">
        <v>6</v>
      </c>
      <c r="H63" s="23">
        <v>3</v>
      </c>
      <c r="I63" s="23">
        <v>3646</v>
      </c>
      <c r="J63" s="23">
        <v>624</v>
      </c>
      <c r="K63" s="23">
        <v>9586</v>
      </c>
      <c r="L63" s="23" t="s">
        <v>339</v>
      </c>
      <c r="M63" s="23">
        <f t="shared" si="0"/>
        <v>351.99999999999994</v>
      </c>
      <c r="N63" s="24" t="str">
        <f t="array" ref="N63">INDEX('MATCH INFO'!O:O, INT((ROW()-2)/10)+2 + 157)</f>
        <v>260710_ZETA_O2_S1</v>
      </c>
    </row>
    <row r="64" spans="1:14">
      <c r="A64" s="23" t="s">
        <v>20</v>
      </c>
      <c r="B64" s="23" t="s">
        <v>111</v>
      </c>
      <c r="C64" s="23" t="s">
        <v>109</v>
      </c>
      <c r="D64" s="23" t="s">
        <v>33</v>
      </c>
      <c r="E64" s="23" t="s">
        <v>188</v>
      </c>
      <c r="F64" s="23">
        <v>5</v>
      </c>
      <c r="G64" s="23">
        <v>7</v>
      </c>
      <c r="H64" s="23">
        <v>9</v>
      </c>
      <c r="I64" s="23">
        <v>2140</v>
      </c>
      <c r="J64" s="23">
        <v>6749</v>
      </c>
      <c r="K64" s="23">
        <v>0</v>
      </c>
      <c r="L64" s="23" t="s">
        <v>339</v>
      </c>
      <c r="M64" s="23">
        <f t="shared" si="0"/>
        <v>351.99999999999994</v>
      </c>
      <c r="N64" s="24" t="str">
        <f t="array" ref="N64">INDEX('MATCH INFO'!O:O, INT((ROW()-2)/10)+2 + 157)</f>
        <v>260710_ZETA_O2_S1</v>
      </c>
    </row>
    <row r="65" spans="1:14">
      <c r="A65" s="23" t="s">
        <v>20</v>
      </c>
      <c r="B65" s="23" t="s">
        <v>106</v>
      </c>
      <c r="C65" s="23" t="s">
        <v>104</v>
      </c>
      <c r="D65" s="23" t="s">
        <v>33</v>
      </c>
      <c r="E65" s="23" t="s">
        <v>188</v>
      </c>
      <c r="F65" s="23">
        <v>5</v>
      </c>
      <c r="G65" s="23">
        <v>6</v>
      </c>
      <c r="H65" s="23">
        <v>1</v>
      </c>
      <c r="I65" s="23">
        <v>3493</v>
      </c>
      <c r="J65" s="23">
        <v>150</v>
      </c>
      <c r="K65" s="23">
        <v>249</v>
      </c>
      <c r="L65" s="23" t="s">
        <v>339</v>
      </c>
      <c r="M65" s="23">
        <f t="shared" si="0"/>
        <v>351.99999999999994</v>
      </c>
      <c r="N65" s="24" t="str">
        <f t="array" ref="N65">INDEX('MATCH INFO'!O:O, INT((ROW()-2)/10)+2 + 157)</f>
        <v>260710_ZETA_O2_S1</v>
      </c>
    </row>
    <row r="66" spans="1:14">
      <c r="A66" s="23" t="s">
        <v>20</v>
      </c>
      <c r="B66" s="23" t="s">
        <v>103</v>
      </c>
      <c r="C66" s="23" t="s">
        <v>104</v>
      </c>
      <c r="D66" s="23" t="s">
        <v>33</v>
      </c>
      <c r="E66" s="23" t="s">
        <v>188</v>
      </c>
      <c r="F66" s="23">
        <v>4</v>
      </c>
      <c r="G66" s="23">
        <v>6</v>
      </c>
      <c r="H66" s="23">
        <v>0</v>
      </c>
      <c r="I66" s="23">
        <v>2611</v>
      </c>
      <c r="J66" s="23">
        <v>134</v>
      </c>
      <c r="K66" s="23">
        <v>0</v>
      </c>
      <c r="L66" s="23" t="s">
        <v>339</v>
      </c>
      <c r="M66" s="23">
        <f t="shared" ref="M66:M129" si="1">L66*86400</f>
        <v>351.99999999999994</v>
      </c>
      <c r="N66" s="24" t="str">
        <f t="array" ref="N66">INDEX('MATCH INFO'!O:O, INT((ROW()-2)/10)+2 + 157)</f>
        <v>260710_ZETA_O2_S1</v>
      </c>
    </row>
    <row r="67" spans="1:14">
      <c r="A67" s="23" t="s">
        <v>42</v>
      </c>
      <c r="B67" s="23" t="s">
        <v>139</v>
      </c>
      <c r="C67" s="23" t="s">
        <v>101</v>
      </c>
      <c r="D67" s="23" t="s">
        <v>33</v>
      </c>
      <c r="E67" s="23" t="s">
        <v>188</v>
      </c>
      <c r="F67" s="23">
        <v>13</v>
      </c>
      <c r="G67" s="23">
        <v>1</v>
      </c>
      <c r="H67" s="23">
        <v>2</v>
      </c>
      <c r="I67" s="23">
        <v>5265</v>
      </c>
      <c r="J67" s="23">
        <v>0</v>
      </c>
      <c r="K67" s="23">
        <v>7686</v>
      </c>
      <c r="L67" s="23" t="s">
        <v>339</v>
      </c>
      <c r="M67" s="23">
        <f t="shared" si="1"/>
        <v>351.99999999999994</v>
      </c>
      <c r="N67" s="24" t="str">
        <f t="array" ref="N67">INDEX('MATCH INFO'!O:O, INT((ROW()-2)/10)+2 + 157)</f>
        <v>260710_ZETA_O2_S1</v>
      </c>
    </row>
    <row r="68" spans="1:14">
      <c r="A68" s="23" t="s">
        <v>42</v>
      </c>
      <c r="B68" s="23" t="s">
        <v>141</v>
      </c>
      <c r="C68" s="23" t="s">
        <v>104</v>
      </c>
      <c r="D68" s="23" t="s">
        <v>33</v>
      </c>
      <c r="E68" s="23" t="s">
        <v>188</v>
      </c>
      <c r="F68" s="23">
        <v>19</v>
      </c>
      <c r="G68" s="23">
        <v>1</v>
      </c>
      <c r="H68" s="23">
        <v>0</v>
      </c>
      <c r="I68" s="23">
        <v>6366</v>
      </c>
      <c r="J68" s="23">
        <v>0</v>
      </c>
      <c r="K68" s="23">
        <v>0</v>
      </c>
      <c r="L68" s="23" t="s">
        <v>339</v>
      </c>
      <c r="M68" s="23">
        <f t="shared" si="1"/>
        <v>351.99999999999994</v>
      </c>
      <c r="N68" s="24" t="str">
        <f t="array" ref="N68">INDEX('MATCH INFO'!O:O, INT((ROW()-2)/10)+2 + 157)</f>
        <v>260710_ZETA_O2_S1</v>
      </c>
    </row>
    <row r="69" spans="1:14">
      <c r="A69" s="23" t="s">
        <v>42</v>
      </c>
      <c r="B69" s="23" t="s">
        <v>140</v>
      </c>
      <c r="C69" s="23" t="s">
        <v>104</v>
      </c>
      <c r="D69" s="23" t="s">
        <v>33</v>
      </c>
      <c r="E69" s="23" t="s">
        <v>188</v>
      </c>
      <c r="F69" s="23">
        <v>15</v>
      </c>
      <c r="G69" s="23">
        <v>2</v>
      </c>
      <c r="H69" s="23">
        <v>0</v>
      </c>
      <c r="I69" s="23">
        <v>4879</v>
      </c>
      <c r="J69" s="23">
        <v>0</v>
      </c>
      <c r="K69" s="23">
        <v>0</v>
      </c>
      <c r="L69" s="23" t="s">
        <v>339</v>
      </c>
      <c r="M69" s="23">
        <f t="shared" si="1"/>
        <v>351.99999999999994</v>
      </c>
      <c r="N69" s="24" t="str">
        <f t="array" ref="N69">INDEX('MATCH INFO'!O:O, INT((ROW()-2)/10)+2 + 157)</f>
        <v>260710_ZETA_O2_S1</v>
      </c>
    </row>
    <row r="70" spans="1:14">
      <c r="A70" s="23" t="s">
        <v>42</v>
      </c>
      <c r="B70" s="23" t="s">
        <v>143</v>
      </c>
      <c r="C70" s="23" t="s">
        <v>109</v>
      </c>
      <c r="D70" s="23" t="s">
        <v>33</v>
      </c>
      <c r="E70" s="23" t="s">
        <v>188</v>
      </c>
      <c r="F70" s="23">
        <v>8</v>
      </c>
      <c r="G70" s="23">
        <v>2</v>
      </c>
      <c r="H70" s="23">
        <v>14</v>
      </c>
      <c r="I70" s="23">
        <v>2625</v>
      </c>
      <c r="J70" s="23">
        <v>6285</v>
      </c>
      <c r="K70" s="23">
        <v>0</v>
      </c>
      <c r="L70" s="23" t="s">
        <v>339</v>
      </c>
      <c r="M70" s="23">
        <f t="shared" si="1"/>
        <v>351.99999999999994</v>
      </c>
      <c r="N70" s="24" t="str">
        <f t="array" ref="N70">INDEX('MATCH INFO'!O:O, INT((ROW()-2)/10)+2 + 157)</f>
        <v>260710_ZETA_O2_S1</v>
      </c>
    </row>
    <row r="71" spans="1:14">
      <c r="A71" s="23" t="s">
        <v>42</v>
      </c>
      <c r="B71" s="23" t="s">
        <v>142</v>
      </c>
      <c r="C71" s="23" t="s">
        <v>109</v>
      </c>
      <c r="D71" s="23" t="s">
        <v>33</v>
      </c>
      <c r="E71" s="23" t="s">
        <v>188</v>
      </c>
      <c r="F71" s="23">
        <v>11</v>
      </c>
      <c r="G71" s="23">
        <v>3</v>
      </c>
      <c r="H71" s="23">
        <v>8</v>
      </c>
      <c r="I71" s="23">
        <v>3030</v>
      </c>
      <c r="J71" s="23">
        <v>3837</v>
      </c>
      <c r="K71" s="23">
        <v>291</v>
      </c>
      <c r="L71" s="23" t="s">
        <v>339</v>
      </c>
      <c r="M71" s="23">
        <f t="shared" si="1"/>
        <v>351.99999999999994</v>
      </c>
      <c r="N71" s="24" t="str">
        <f t="array" ref="N71">INDEX('MATCH INFO'!O:O, INT((ROW()-2)/10)+2 + 157)</f>
        <v>260710_ZETA_O2_S1</v>
      </c>
    </row>
    <row r="72" spans="1:14">
      <c r="A72" s="23" t="s">
        <v>20</v>
      </c>
      <c r="B72" s="23" t="s">
        <v>108</v>
      </c>
      <c r="C72" s="23" t="s">
        <v>109</v>
      </c>
      <c r="D72" s="23" t="s">
        <v>88</v>
      </c>
      <c r="E72" s="23" t="s">
        <v>190</v>
      </c>
      <c r="F72" s="23">
        <v>31</v>
      </c>
      <c r="G72" s="23">
        <v>13</v>
      </c>
      <c r="H72" s="23">
        <v>21</v>
      </c>
      <c r="I72" s="23">
        <v>5767</v>
      </c>
      <c r="J72" s="23">
        <v>14847</v>
      </c>
      <c r="K72" s="23">
        <v>0</v>
      </c>
      <c r="L72" s="23" t="s">
        <v>340</v>
      </c>
      <c r="M72" s="23">
        <f t="shared" si="1"/>
        <v>905</v>
      </c>
      <c r="N72" s="24" t="str">
        <f t="array" ref="N72">INDEX('MATCH INFO'!O:O, INT((ROW()-2)/10)+2 + 157)</f>
        <v>260710_ZETA_O2_S2</v>
      </c>
    </row>
    <row r="73" spans="1:14">
      <c r="A73" s="23" t="s">
        <v>20</v>
      </c>
      <c r="B73" s="23" t="s">
        <v>100</v>
      </c>
      <c r="C73" s="23" t="s">
        <v>101</v>
      </c>
      <c r="D73" s="23" t="s">
        <v>88</v>
      </c>
      <c r="E73" s="23" t="s">
        <v>190</v>
      </c>
      <c r="F73" s="23">
        <v>41</v>
      </c>
      <c r="G73" s="23">
        <v>13</v>
      </c>
      <c r="H73" s="23">
        <v>28</v>
      </c>
      <c r="I73" s="23">
        <v>21906</v>
      </c>
      <c r="J73" s="23">
        <v>5826</v>
      </c>
      <c r="K73" s="23">
        <v>10934</v>
      </c>
      <c r="L73" s="23" t="s">
        <v>340</v>
      </c>
      <c r="M73" s="23">
        <f t="shared" si="1"/>
        <v>905</v>
      </c>
      <c r="N73" s="24" t="str">
        <f t="array" ref="N73">INDEX('MATCH INFO'!O:O, INT((ROW()-2)/10)+2 + 157)</f>
        <v>260710_ZETA_O2_S2</v>
      </c>
    </row>
    <row r="74" spans="1:14">
      <c r="A74" s="23" t="s">
        <v>20</v>
      </c>
      <c r="B74" s="23" t="s">
        <v>111</v>
      </c>
      <c r="C74" s="23" t="s">
        <v>109</v>
      </c>
      <c r="D74" s="23" t="s">
        <v>88</v>
      </c>
      <c r="E74" s="23" t="s">
        <v>190</v>
      </c>
      <c r="F74" s="23">
        <v>26</v>
      </c>
      <c r="G74" s="23">
        <v>17</v>
      </c>
      <c r="H74" s="23">
        <v>35</v>
      </c>
      <c r="I74" s="23">
        <v>6281</v>
      </c>
      <c r="J74" s="23">
        <v>17169</v>
      </c>
      <c r="K74" s="23">
        <v>0</v>
      </c>
      <c r="L74" s="23" t="s">
        <v>340</v>
      </c>
      <c r="M74" s="23">
        <f t="shared" si="1"/>
        <v>905</v>
      </c>
      <c r="N74" s="24" t="str">
        <f t="array" ref="N74">INDEX('MATCH INFO'!O:O, INT((ROW()-2)/10)+2 + 157)</f>
        <v>260710_ZETA_O2_S2</v>
      </c>
    </row>
    <row r="75" spans="1:14">
      <c r="A75" s="23" t="s">
        <v>20</v>
      </c>
      <c r="B75" s="23" t="s">
        <v>106</v>
      </c>
      <c r="C75" s="23" t="s">
        <v>104</v>
      </c>
      <c r="D75" s="23" t="s">
        <v>88</v>
      </c>
      <c r="E75" s="23" t="s">
        <v>190</v>
      </c>
      <c r="F75" s="23">
        <v>34</v>
      </c>
      <c r="G75" s="23">
        <v>13</v>
      </c>
      <c r="H75" s="23">
        <v>5</v>
      </c>
      <c r="I75" s="23">
        <v>17554</v>
      </c>
      <c r="J75" s="23">
        <v>696</v>
      </c>
      <c r="K75" s="23">
        <v>1576</v>
      </c>
      <c r="L75" s="23" t="s">
        <v>340</v>
      </c>
      <c r="M75" s="23">
        <f t="shared" si="1"/>
        <v>905</v>
      </c>
      <c r="N75" s="24" t="str">
        <f t="array" ref="N75">INDEX('MATCH INFO'!O:O, INT((ROW()-2)/10)+2 + 157)</f>
        <v>260710_ZETA_O2_S2</v>
      </c>
    </row>
    <row r="76" spans="1:14">
      <c r="A76" s="23" t="s">
        <v>20</v>
      </c>
      <c r="B76" s="23" t="s">
        <v>103</v>
      </c>
      <c r="C76" s="23" t="s">
        <v>104</v>
      </c>
      <c r="D76" s="23" t="s">
        <v>88</v>
      </c>
      <c r="E76" s="23" t="s">
        <v>190</v>
      </c>
      <c r="F76" s="23">
        <v>34</v>
      </c>
      <c r="G76" s="23">
        <v>17</v>
      </c>
      <c r="H76" s="23">
        <v>1</v>
      </c>
      <c r="I76" s="23">
        <v>14166</v>
      </c>
      <c r="J76" s="23">
        <v>1701</v>
      </c>
      <c r="K76" s="23">
        <v>387</v>
      </c>
      <c r="L76" s="23" t="s">
        <v>340</v>
      </c>
      <c r="M76" s="23">
        <f t="shared" si="1"/>
        <v>905</v>
      </c>
      <c r="N76" s="24" t="str">
        <f t="array" ref="N76">INDEX('MATCH INFO'!O:O, INT((ROW()-2)/10)+2 + 157)</f>
        <v>260710_ZETA_O2_S2</v>
      </c>
    </row>
    <row r="77" spans="1:14">
      <c r="A77" s="23" t="s">
        <v>42</v>
      </c>
      <c r="B77" s="23" t="s">
        <v>139</v>
      </c>
      <c r="C77" s="23" t="s">
        <v>101</v>
      </c>
      <c r="D77" s="23" t="s">
        <v>88</v>
      </c>
      <c r="E77" s="23" t="s">
        <v>190</v>
      </c>
      <c r="F77" s="23">
        <v>54</v>
      </c>
      <c r="G77" s="23">
        <v>10</v>
      </c>
      <c r="H77" s="23">
        <v>32</v>
      </c>
      <c r="I77" s="23">
        <v>23502</v>
      </c>
      <c r="J77" s="23">
        <v>3406</v>
      </c>
      <c r="K77" s="23">
        <v>12543</v>
      </c>
      <c r="L77" s="23" t="s">
        <v>340</v>
      </c>
      <c r="M77" s="23">
        <f t="shared" si="1"/>
        <v>905</v>
      </c>
      <c r="N77" s="24" t="str">
        <f t="array" ref="N77">INDEX('MATCH INFO'!O:O, INT((ROW()-2)/10)+2 + 157)</f>
        <v>260710_ZETA_O2_S2</v>
      </c>
    </row>
    <row r="78" spans="1:14">
      <c r="A78" s="23" t="s">
        <v>42</v>
      </c>
      <c r="B78" s="23" t="s">
        <v>141</v>
      </c>
      <c r="C78" s="23" t="s">
        <v>104</v>
      </c>
      <c r="D78" s="23" t="s">
        <v>88</v>
      </c>
      <c r="E78" s="23" t="s">
        <v>190</v>
      </c>
      <c r="F78" s="23">
        <v>40</v>
      </c>
      <c r="G78" s="23">
        <v>16</v>
      </c>
      <c r="H78" s="23">
        <v>5</v>
      </c>
      <c r="I78" s="23">
        <v>17617</v>
      </c>
      <c r="J78" s="23">
        <v>116</v>
      </c>
      <c r="K78" s="23">
        <v>2681</v>
      </c>
      <c r="L78" s="23" t="s">
        <v>340</v>
      </c>
      <c r="M78" s="23">
        <f t="shared" si="1"/>
        <v>905</v>
      </c>
      <c r="N78" s="24" t="str">
        <f t="array" ref="N78">INDEX('MATCH INFO'!O:O, INT((ROW()-2)/10)+2 + 157)</f>
        <v>260710_ZETA_O2_S2</v>
      </c>
    </row>
    <row r="79" spans="1:14">
      <c r="A79" s="23" t="s">
        <v>42</v>
      </c>
      <c r="B79" s="23" t="s">
        <v>140</v>
      </c>
      <c r="C79" s="23" t="s">
        <v>104</v>
      </c>
      <c r="D79" s="23" t="s">
        <v>88</v>
      </c>
      <c r="E79" s="23" t="s">
        <v>190</v>
      </c>
      <c r="F79" s="23">
        <v>42</v>
      </c>
      <c r="G79" s="23">
        <v>9</v>
      </c>
      <c r="H79" s="23">
        <v>0</v>
      </c>
      <c r="I79" s="23">
        <v>15421</v>
      </c>
      <c r="J79" s="23">
        <v>746</v>
      </c>
      <c r="K79" s="23">
        <v>0</v>
      </c>
      <c r="L79" s="23" t="s">
        <v>340</v>
      </c>
      <c r="M79" s="23">
        <f t="shared" si="1"/>
        <v>905</v>
      </c>
      <c r="N79" s="24" t="str">
        <f t="array" ref="N79">INDEX('MATCH INFO'!O:O, INT((ROW()-2)/10)+2 + 157)</f>
        <v>260710_ZETA_O2_S2</v>
      </c>
    </row>
    <row r="80" spans="1:14">
      <c r="A80" s="23" t="s">
        <v>42</v>
      </c>
      <c r="B80" s="23" t="s">
        <v>143</v>
      </c>
      <c r="C80" s="23" t="s">
        <v>109</v>
      </c>
      <c r="D80" s="23" t="s">
        <v>88</v>
      </c>
      <c r="E80" s="23" t="s">
        <v>190</v>
      </c>
      <c r="F80" s="23">
        <v>38</v>
      </c>
      <c r="G80" s="23">
        <v>11</v>
      </c>
      <c r="H80" s="23">
        <v>52</v>
      </c>
      <c r="I80" s="23">
        <v>9250</v>
      </c>
      <c r="J80" s="23">
        <v>15774</v>
      </c>
      <c r="K80" s="23">
        <v>0</v>
      </c>
      <c r="L80" s="23" t="s">
        <v>340</v>
      </c>
      <c r="M80" s="23">
        <f t="shared" si="1"/>
        <v>905</v>
      </c>
      <c r="N80" s="24" t="str">
        <f t="array" ref="N80">INDEX('MATCH INFO'!O:O, INT((ROW()-2)/10)+2 + 157)</f>
        <v>260710_ZETA_O2_S2</v>
      </c>
    </row>
    <row r="81" spans="1:14">
      <c r="A81" s="23" t="s">
        <v>42</v>
      </c>
      <c r="B81" s="23" t="s">
        <v>142</v>
      </c>
      <c r="C81" s="23" t="s">
        <v>109</v>
      </c>
      <c r="D81" s="23" t="s">
        <v>88</v>
      </c>
      <c r="E81" s="23" t="s">
        <v>190</v>
      </c>
      <c r="F81" s="23">
        <v>48</v>
      </c>
      <c r="G81" s="23">
        <v>10</v>
      </c>
      <c r="H81" s="23">
        <v>33</v>
      </c>
      <c r="I81" s="23">
        <v>9204</v>
      </c>
      <c r="J81" s="23">
        <v>14342</v>
      </c>
      <c r="K81" s="23">
        <v>818</v>
      </c>
      <c r="L81" s="23" t="s">
        <v>340</v>
      </c>
      <c r="M81" s="23">
        <f t="shared" si="1"/>
        <v>905</v>
      </c>
      <c r="N81" s="24" t="str">
        <f t="array" ref="N81">INDEX('MATCH INFO'!O:O, INT((ROW()-2)/10)+2 + 157)</f>
        <v>260710_ZETA_O2_S2</v>
      </c>
    </row>
    <row r="82" spans="1:14">
      <c r="A82" s="23" t="s">
        <v>20</v>
      </c>
      <c r="B82" s="23" t="s">
        <v>108</v>
      </c>
      <c r="C82" s="23" t="s">
        <v>109</v>
      </c>
      <c r="D82" s="23" t="s">
        <v>90</v>
      </c>
      <c r="E82" s="23" t="s">
        <v>192</v>
      </c>
      <c r="F82" s="23">
        <v>19</v>
      </c>
      <c r="G82" s="23">
        <v>13</v>
      </c>
      <c r="H82" s="23">
        <v>20</v>
      </c>
      <c r="I82" s="23">
        <v>4682</v>
      </c>
      <c r="J82" s="23">
        <v>5655</v>
      </c>
      <c r="K82" s="23">
        <v>1614</v>
      </c>
      <c r="L82" s="23" t="s">
        <v>341</v>
      </c>
      <c r="M82" s="23">
        <f t="shared" si="1"/>
        <v>624</v>
      </c>
      <c r="N82" s="24" t="str">
        <f t="array" ref="N82">INDEX('MATCH INFO'!O:O, INT((ROW()-2)/10)+2 + 157)</f>
        <v>260710_ZETA_O2_S3</v>
      </c>
    </row>
    <row r="83" spans="1:14">
      <c r="A83" s="23" t="s">
        <v>20</v>
      </c>
      <c r="B83" s="23" t="s">
        <v>100</v>
      </c>
      <c r="C83" s="23" t="s">
        <v>101</v>
      </c>
      <c r="D83" s="23" t="s">
        <v>90</v>
      </c>
      <c r="E83" s="23" t="s">
        <v>192</v>
      </c>
      <c r="F83" s="23">
        <v>19</v>
      </c>
      <c r="G83" s="23">
        <v>10</v>
      </c>
      <c r="H83" s="23">
        <v>11</v>
      </c>
      <c r="I83" s="23">
        <v>13338</v>
      </c>
      <c r="J83" s="23">
        <v>3276</v>
      </c>
      <c r="K83" s="23">
        <v>7715</v>
      </c>
      <c r="L83" s="23" t="s">
        <v>341</v>
      </c>
      <c r="M83" s="23">
        <f t="shared" si="1"/>
        <v>624</v>
      </c>
      <c r="N83" s="24" t="str">
        <f t="array" ref="N83">INDEX('MATCH INFO'!O:O, INT((ROW()-2)/10)+2 + 157)</f>
        <v>260710_ZETA_O2_S3</v>
      </c>
    </row>
    <row r="84" spans="1:14">
      <c r="A84" s="23" t="s">
        <v>20</v>
      </c>
      <c r="B84" s="23" t="s">
        <v>111</v>
      </c>
      <c r="C84" s="23" t="s">
        <v>109</v>
      </c>
      <c r="D84" s="23" t="s">
        <v>90</v>
      </c>
      <c r="E84" s="23" t="s">
        <v>192</v>
      </c>
      <c r="F84" s="23">
        <v>13</v>
      </c>
      <c r="G84" s="23">
        <v>10</v>
      </c>
      <c r="H84" s="23">
        <v>21</v>
      </c>
      <c r="I84" s="23">
        <v>4945</v>
      </c>
      <c r="J84" s="23">
        <v>13160</v>
      </c>
      <c r="K84" s="23">
        <v>0</v>
      </c>
      <c r="L84" s="23" t="s">
        <v>341</v>
      </c>
      <c r="M84" s="23">
        <f t="shared" si="1"/>
        <v>624</v>
      </c>
      <c r="N84" s="24" t="str">
        <f t="array" ref="N84">INDEX('MATCH INFO'!O:O, INT((ROW()-2)/10)+2 + 157)</f>
        <v>260710_ZETA_O2_S3</v>
      </c>
    </row>
    <row r="85" spans="1:14">
      <c r="A85" s="23" t="s">
        <v>20</v>
      </c>
      <c r="B85" s="23" t="s">
        <v>106</v>
      </c>
      <c r="C85" s="23" t="s">
        <v>104</v>
      </c>
      <c r="D85" s="23" t="s">
        <v>90</v>
      </c>
      <c r="E85" s="23" t="s">
        <v>192</v>
      </c>
      <c r="F85" s="23">
        <v>20</v>
      </c>
      <c r="G85" s="23">
        <v>11</v>
      </c>
      <c r="H85" s="23">
        <v>6</v>
      </c>
      <c r="I85" s="23">
        <v>10224</v>
      </c>
      <c r="J85" s="23">
        <v>318</v>
      </c>
      <c r="K85" s="23">
        <v>834</v>
      </c>
      <c r="L85" s="23" t="s">
        <v>341</v>
      </c>
      <c r="M85" s="23">
        <f t="shared" si="1"/>
        <v>624</v>
      </c>
      <c r="N85" s="24" t="str">
        <f t="array" ref="N85">INDEX('MATCH INFO'!O:O, INT((ROW()-2)/10)+2 + 157)</f>
        <v>260710_ZETA_O2_S3</v>
      </c>
    </row>
    <row r="86" spans="1:14">
      <c r="A86" s="23" t="s">
        <v>20</v>
      </c>
      <c r="B86" s="23" t="s">
        <v>103</v>
      </c>
      <c r="C86" s="23" t="s">
        <v>104</v>
      </c>
      <c r="D86" s="23" t="s">
        <v>90</v>
      </c>
      <c r="E86" s="23" t="s">
        <v>192</v>
      </c>
      <c r="F86" s="23">
        <v>22</v>
      </c>
      <c r="G86" s="23">
        <v>12</v>
      </c>
      <c r="H86" s="23">
        <v>0</v>
      </c>
      <c r="I86" s="23">
        <v>9712</v>
      </c>
      <c r="J86" s="23">
        <v>1311</v>
      </c>
      <c r="K86" s="23">
        <v>0</v>
      </c>
      <c r="L86" s="23" t="s">
        <v>341</v>
      </c>
      <c r="M86" s="23">
        <f t="shared" si="1"/>
        <v>624</v>
      </c>
      <c r="N86" s="24" t="str">
        <f t="array" ref="N86">INDEX('MATCH INFO'!O:O, INT((ROW()-2)/10)+2 + 157)</f>
        <v>260710_ZETA_O2_S3</v>
      </c>
    </row>
    <row r="87" spans="1:14">
      <c r="A87" s="23" t="s">
        <v>42</v>
      </c>
      <c r="B87" s="23" t="s">
        <v>139</v>
      </c>
      <c r="C87" s="23" t="s">
        <v>101</v>
      </c>
      <c r="D87" s="23" t="s">
        <v>90</v>
      </c>
      <c r="E87" s="23" t="s">
        <v>192</v>
      </c>
      <c r="F87" s="23">
        <v>38</v>
      </c>
      <c r="G87" s="23">
        <v>6</v>
      </c>
      <c r="H87" s="23">
        <v>26</v>
      </c>
      <c r="I87" s="23">
        <v>14256</v>
      </c>
      <c r="J87" s="23">
        <v>3316</v>
      </c>
      <c r="K87" s="23">
        <v>8129</v>
      </c>
      <c r="L87" s="23" t="s">
        <v>341</v>
      </c>
      <c r="M87" s="23">
        <f t="shared" si="1"/>
        <v>624</v>
      </c>
      <c r="N87" s="24" t="str">
        <f t="array" ref="N87">INDEX('MATCH INFO'!O:O, INT((ROW()-2)/10)+2 + 157)</f>
        <v>260710_ZETA_O2_S3</v>
      </c>
    </row>
    <row r="88" spans="1:14">
      <c r="A88" s="23" t="s">
        <v>42</v>
      </c>
      <c r="B88" s="23" t="s">
        <v>141</v>
      </c>
      <c r="C88" s="23" t="s">
        <v>104</v>
      </c>
      <c r="D88" s="23" t="s">
        <v>90</v>
      </c>
      <c r="E88" s="23" t="s">
        <v>192</v>
      </c>
      <c r="F88" s="23">
        <v>31</v>
      </c>
      <c r="G88" s="23">
        <v>10</v>
      </c>
      <c r="H88" s="23">
        <v>3</v>
      </c>
      <c r="I88" s="23">
        <v>11653</v>
      </c>
      <c r="J88" s="23">
        <v>1</v>
      </c>
      <c r="K88" s="23">
        <v>754</v>
      </c>
      <c r="L88" s="23" t="s">
        <v>341</v>
      </c>
      <c r="M88" s="23">
        <f t="shared" si="1"/>
        <v>624</v>
      </c>
      <c r="N88" s="24" t="str">
        <f t="array" ref="N88">INDEX('MATCH INFO'!O:O, INT((ROW()-2)/10)+2 + 157)</f>
        <v>260710_ZETA_O2_S3</v>
      </c>
    </row>
    <row r="89" spans="1:14">
      <c r="A89" s="23" t="s">
        <v>42</v>
      </c>
      <c r="B89" s="23" t="s">
        <v>140</v>
      </c>
      <c r="C89" s="23" t="s">
        <v>104</v>
      </c>
      <c r="D89" s="23" t="s">
        <v>90</v>
      </c>
      <c r="E89" s="23" t="s">
        <v>192</v>
      </c>
      <c r="F89" s="23">
        <v>38</v>
      </c>
      <c r="G89" s="23">
        <v>6</v>
      </c>
      <c r="H89" s="23">
        <v>2</v>
      </c>
      <c r="I89" s="23">
        <v>12051</v>
      </c>
      <c r="J89" s="23">
        <v>49</v>
      </c>
      <c r="K89" s="23">
        <v>446</v>
      </c>
      <c r="L89" s="23" t="s">
        <v>341</v>
      </c>
      <c r="M89" s="23">
        <f t="shared" si="1"/>
        <v>624</v>
      </c>
      <c r="N89" s="24" t="str">
        <f t="array" ref="N89">INDEX('MATCH INFO'!O:O, INT((ROW()-2)/10)+2 + 157)</f>
        <v>260710_ZETA_O2_S3</v>
      </c>
    </row>
    <row r="90" spans="1:14">
      <c r="A90" s="23" t="s">
        <v>42</v>
      </c>
      <c r="B90" s="23" t="s">
        <v>143</v>
      </c>
      <c r="C90" s="23" t="s">
        <v>109</v>
      </c>
      <c r="D90" s="23" t="s">
        <v>90</v>
      </c>
      <c r="E90" s="23" t="s">
        <v>192</v>
      </c>
      <c r="F90" s="23">
        <v>22</v>
      </c>
      <c r="G90" s="23">
        <v>6</v>
      </c>
      <c r="H90" s="23">
        <v>38</v>
      </c>
      <c r="I90" s="23">
        <v>4980</v>
      </c>
      <c r="J90" s="23">
        <v>13730</v>
      </c>
      <c r="K90" s="23">
        <v>0</v>
      </c>
      <c r="L90" s="23" t="s">
        <v>341</v>
      </c>
      <c r="M90" s="23">
        <f t="shared" si="1"/>
        <v>624</v>
      </c>
      <c r="N90" s="24" t="str">
        <f t="array" ref="N90">INDEX('MATCH INFO'!O:O, INT((ROW()-2)/10)+2 + 157)</f>
        <v>260710_ZETA_O2_S3</v>
      </c>
    </row>
    <row r="91" spans="1:14">
      <c r="A91" s="23" t="s">
        <v>42</v>
      </c>
      <c r="B91" s="23" t="s">
        <v>142</v>
      </c>
      <c r="C91" s="23" t="s">
        <v>109</v>
      </c>
      <c r="D91" s="23" t="s">
        <v>90</v>
      </c>
      <c r="E91" s="23" t="s">
        <v>192</v>
      </c>
      <c r="F91" s="23">
        <v>40</v>
      </c>
      <c r="G91" s="23">
        <v>3</v>
      </c>
      <c r="H91" s="23">
        <v>17</v>
      </c>
      <c r="I91" s="23">
        <v>7501</v>
      </c>
      <c r="J91" s="23">
        <v>7592</v>
      </c>
      <c r="K91" s="23">
        <v>0</v>
      </c>
      <c r="L91" s="23" t="s">
        <v>341</v>
      </c>
      <c r="M91" s="23">
        <f t="shared" si="1"/>
        <v>624</v>
      </c>
      <c r="N91" s="24" t="str">
        <f t="array" ref="N91">INDEX('MATCH INFO'!O:O, INT((ROW()-2)/10)+2 + 157)</f>
        <v>260710_ZETA_O2_S3</v>
      </c>
    </row>
    <row r="92" spans="1:14">
      <c r="A92" s="23" t="s">
        <v>20</v>
      </c>
      <c r="B92" s="23" t="s">
        <v>108</v>
      </c>
      <c r="C92" s="23" t="s">
        <v>109</v>
      </c>
      <c r="D92" s="23" t="s">
        <v>61</v>
      </c>
      <c r="E92" s="23" t="s">
        <v>196</v>
      </c>
      <c r="F92" s="23">
        <v>13</v>
      </c>
      <c r="G92" s="23">
        <v>15</v>
      </c>
      <c r="H92" s="23">
        <v>14</v>
      </c>
      <c r="I92" s="23">
        <v>4976</v>
      </c>
      <c r="J92" s="23">
        <v>9308</v>
      </c>
      <c r="K92" s="23">
        <v>139</v>
      </c>
      <c r="L92" s="23" t="s">
        <v>342</v>
      </c>
      <c r="M92" s="23">
        <f t="shared" si="1"/>
        <v>958.99999999999989</v>
      </c>
      <c r="N92" s="24" t="str">
        <f t="array" ref="N92">INDEX('MATCH INFO'!O:O, INT((ROW()-2)/10)+2 + 157)</f>
        <v>260710_ZETA_O2_S4</v>
      </c>
    </row>
    <row r="93" spans="1:14">
      <c r="A93" s="23" t="s">
        <v>20</v>
      </c>
      <c r="B93" s="23" t="s">
        <v>111</v>
      </c>
      <c r="C93" s="23" t="s">
        <v>109</v>
      </c>
      <c r="D93" s="23" t="s">
        <v>61</v>
      </c>
      <c r="E93" s="23" t="s">
        <v>196</v>
      </c>
      <c r="F93" s="23">
        <v>15</v>
      </c>
      <c r="G93" s="23">
        <v>19</v>
      </c>
      <c r="H93" s="23">
        <v>14</v>
      </c>
      <c r="I93" s="23">
        <v>5786</v>
      </c>
      <c r="J93" s="23">
        <v>8684</v>
      </c>
      <c r="K93" s="23">
        <v>440</v>
      </c>
      <c r="L93" s="23" t="s">
        <v>342</v>
      </c>
      <c r="M93" s="23">
        <f t="shared" si="1"/>
        <v>958.99999999999989</v>
      </c>
      <c r="N93" s="24" t="str">
        <f t="array" ref="N93">INDEX('MATCH INFO'!O:O, INT((ROW()-2)/10)+2 + 157)</f>
        <v>260710_ZETA_O2_S4</v>
      </c>
    </row>
    <row r="94" spans="1:14">
      <c r="A94" s="23" t="s">
        <v>20</v>
      </c>
      <c r="B94" s="23" t="s">
        <v>106</v>
      </c>
      <c r="C94" s="23" t="s">
        <v>104</v>
      </c>
      <c r="D94" s="23" t="s">
        <v>61</v>
      </c>
      <c r="E94" s="23" t="s">
        <v>196</v>
      </c>
      <c r="F94" s="23">
        <v>21</v>
      </c>
      <c r="G94" s="23">
        <v>19</v>
      </c>
      <c r="H94" s="23">
        <v>2</v>
      </c>
      <c r="I94" s="23">
        <v>10777</v>
      </c>
      <c r="J94" s="23">
        <v>0</v>
      </c>
      <c r="K94" s="23">
        <v>601</v>
      </c>
      <c r="L94" s="23" t="s">
        <v>342</v>
      </c>
      <c r="M94" s="23">
        <f t="shared" si="1"/>
        <v>958.99999999999989</v>
      </c>
      <c r="N94" s="24" t="str">
        <f t="array" ref="N94">INDEX('MATCH INFO'!O:O, INT((ROW()-2)/10)+2 + 157)</f>
        <v>260710_ZETA_O2_S4</v>
      </c>
    </row>
    <row r="95" spans="1:14">
      <c r="A95" s="23" t="s">
        <v>20</v>
      </c>
      <c r="B95" s="23" t="s">
        <v>102</v>
      </c>
      <c r="C95" s="23" t="s">
        <v>101</v>
      </c>
      <c r="D95" s="23" t="s">
        <v>61</v>
      </c>
      <c r="E95" s="23" t="s">
        <v>196</v>
      </c>
      <c r="F95" s="23">
        <v>23</v>
      </c>
      <c r="G95" s="23">
        <v>13</v>
      </c>
      <c r="H95" s="23">
        <v>3</v>
      </c>
      <c r="I95" s="23">
        <v>10953</v>
      </c>
      <c r="J95" s="23">
        <v>645</v>
      </c>
      <c r="K95" s="23">
        <v>23300</v>
      </c>
      <c r="L95" s="23" t="s">
        <v>342</v>
      </c>
      <c r="M95" s="23">
        <f t="shared" si="1"/>
        <v>958.99999999999989</v>
      </c>
      <c r="N95" s="24" t="str">
        <f t="array" ref="N95">INDEX('MATCH INFO'!O:O, INT((ROW()-2)/10)+2 + 157)</f>
        <v>260710_ZETA_O2_S4</v>
      </c>
    </row>
    <row r="96" spans="1:14">
      <c r="A96" s="23" t="s">
        <v>20</v>
      </c>
      <c r="B96" s="23" t="s">
        <v>103</v>
      </c>
      <c r="C96" s="23" t="s">
        <v>104</v>
      </c>
      <c r="D96" s="23" t="s">
        <v>61</v>
      </c>
      <c r="E96" s="23" t="s">
        <v>196</v>
      </c>
      <c r="F96" s="23">
        <v>21</v>
      </c>
      <c r="G96" s="23">
        <v>8</v>
      </c>
      <c r="H96" s="23">
        <v>0</v>
      </c>
      <c r="I96" s="23">
        <v>8599</v>
      </c>
      <c r="J96" s="23">
        <v>106</v>
      </c>
      <c r="K96" s="23">
        <v>0</v>
      </c>
      <c r="L96" s="23" t="s">
        <v>342</v>
      </c>
      <c r="M96" s="23">
        <f t="shared" si="1"/>
        <v>958.99999999999989</v>
      </c>
      <c r="N96" s="24" t="str">
        <f t="array" ref="N96">INDEX('MATCH INFO'!O:O, INT((ROW()-2)/10)+2 + 157)</f>
        <v>260710_ZETA_O2_S4</v>
      </c>
    </row>
    <row r="97" spans="1:14">
      <c r="A97" s="23" t="s">
        <v>42</v>
      </c>
      <c r="B97" s="23" t="s">
        <v>139</v>
      </c>
      <c r="C97" s="23" t="s">
        <v>101</v>
      </c>
      <c r="D97" s="23" t="s">
        <v>61</v>
      </c>
      <c r="E97" s="23" t="s">
        <v>196</v>
      </c>
      <c r="F97" s="23">
        <v>43</v>
      </c>
      <c r="G97" s="23">
        <v>6</v>
      </c>
      <c r="H97" s="23">
        <v>15</v>
      </c>
      <c r="I97" s="23">
        <v>13429</v>
      </c>
      <c r="J97" s="23">
        <v>1602</v>
      </c>
      <c r="K97" s="23">
        <v>22332</v>
      </c>
      <c r="L97" s="23" t="s">
        <v>342</v>
      </c>
      <c r="M97" s="23">
        <f t="shared" si="1"/>
        <v>958.99999999999989</v>
      </c>
      <c r="N97" s="24" t="str">
        <f t="array" ref="N97">INDEX('MATCH INFO'!O:O, INT((ROW()-2)/10)+2 + 157)</f>
        <v>260710_ZETA_O2_S4</v>
      </c>
    </row>
    <row r="98" spans="1:14">
      <c r="A98" s="23" t="s">
        <v>42</v>
      </c>
      <c r="B98" s="23" t="s">
        <v>141</v>
      </c>
      <c r="C98" s="23" t="s">
        <v>104</v>
      </c>
      <c r="D98" s="23" t="s">
        <v>61</v>
      </c>
      <c r="E98" s="23" t="s">
        <v>196</v>
      </c>
      <c r="F98" s="23">
        <v>38</v>
      </c>
      <c r="G98" s="23">
        <v>12</v>
      </c>
      <c r="H98" s="23">
        <v>1</v>
      </c>
      <c r="I98" s="23">
        <v>14542</v>
      </c>
      <c r="J98" s="23">
        <v>0</v>
      </c>
      <c r="K98" s="23">
        <v>234</v>
      </c>
      <c r="L98" s="23" t="s">
        <v>342</v>
      </c>
      <c r="M98" s="23">
        <f t="shared" si="1"/>
        <v>958.99999999999989</v>
      </c>
      <c r="N98" s="24" t="str">
        <f t="array" ref="N98">INDEX('MATCH INFO'!O:O, INT((ROW()-2)/10)+2 + 157)</f>
        <v>260710_ZETA_O2_S4</v>
      </c>
    </row>
    <row r="99" spans="1:14">
      <c r="A99" s="23" t="s">
        <v>42</v>
      </c>
      <c r="B99" s="23" t="s">
        <v>140</v>
      </c>
      <c r="C99" s="23" t="s">
        <v>104</v>
      </c>
      <c r="D99" s="23" t="s">
        <v>61</v>
      </c>
      <c r="E99" s="23" t="s">
        <v>196</v>
      </c>
      <c r="F99" s="23">
        <v>37</v>
      </c>
      <c r="G99" s="23">
        <v>6</v>
      </c>
      <c r="H99" s="23">
        <v>0</v>
      </c>
      <c r="I99" s="23">
        <v>10915</v>
      </c>
      <c r="J99" s="23">
        <v>0</v>
      </c>
      <c r="K99" s="23">
        <v>0</v>
      </c>
      <c r="L99" s="23" t="s">
        <v>342</v>
      </c>
      <c r="M99" s="23">
        <f t="shared" si="1"/>
        <v>958.99999999999989</v>
      </c>
      <c r="N99" s="24" t="str">
        <f t="array" ref="N99">INDEX('MATCH INFO'!O:O, INT((ROW()-2)/10)+2 + 157)</f>
        <v>260710_ZETA_O2_S4</v>
      </c>
    </row>
    <row r="100" spans="1:14">
      <c r="A100" s="23" t="s">
        <v>42</v>
      </c>
      <c r="B100" s="23" t="s">
        <v>143</v>
      </c>
      <c r="C100" s="23" t="s">
        <v>109</v>
      </c>
      <c r="D100" s="23" t="s">
        <v>61</v>
      </c>
      <c r="E100" s="23" t="s">
        <v>196</v>
      </c>
      <c r="F100" s="23">
        <v>27</v>
      </c>
      <c r="G100" s="23">
        <v>10</v>
      </c>
      <c r="H100" s="23">
        <v>35</v>
      </c>
      <c r="I100" s="23">
        <v>7422</v>
      </c>
      <c r="J100" s="23">
        <v>7619</v>
      </c>
      <c r="K100" s="23">
        <v>905</v>
      </c>
      <c r="L100" s="23" t="s">
        <v>342</v>
      </c>
      <c r="M100" s="23">
        <f t="shared" si="1"/>
        <v>958.99999999999989</v>
      </c>
      <c r="N100" s="24" t="str">
        <f t="array" ref="N100">INDEX('MATCH INFO'!O:O, INT((ROW()-2)/10)+2 + 157)</f>
        <v>260710_ZETA_O2_S4</v>
      </c>
    </row>
    <row r="101" spans="1:14">
      <c r="A101" s="23" t="s">
        <v>42</v>
      </c>
      <c r="B101" s="23" t="s">
        <v>142</v>
      </c>
      <c r="C101" s="23" t="s">
        <v>109</v>
      </c>
      <c r="D101" s="23" t="s">
        <v>61</v>
      </c>
      <c r="E101" s="23" t="s">
        <v>196</v>
      </c>
      <c r="F101" s="23">
        <v>31</v>
      </c>
      <c r="G101" s="23">
        <v>8</v>
      </c>
      <c r="H101" s="23">
        <v>26</v>
      </c>
      <c r="I101" s="23">
        <v>6442</v>
      </c>
      <c r="J101" s="23">
        <v>11215</v>
      </c>
      <c r="K101" s="23">
        <v>0</v>
      </c>
      <c r="L101" s="23" t="s">
        <v>342</v>
      </c>
      <c r="M101" s="23">
        <f t="shared" si="1"/>
        <v>958.99999999999989</v>
      </c>
      <c r="N101" s="24" t="str">
        <f t="array" ref="N101">INDEX('MATCH INFO'!O:O, INT((ROW()-2)/10)+2 + 157)</f>
        <v>260710_ZETA_O2_S4</v>
      </c>
    </row>
    <row r="102" spans="1:14">
      <c r="A102" s="23" t="s">
        <v>32</v>
      </c>
      <c r="B102" s="23" t="s">
        <v>150</v>
      </c>
      <c r="C102" s="23" t="s">
        <v>109</v>
      </c>
      <c r="D102" s="23" t="s">
        <v>33</v>
      </c>
      <c r="E102" s="23" t="s">
        <v>188</v>
      </c>
      <c r="F102" s="23">
        <v>11</v>
      </c>
      <c r="G102" s="23">
        <v>8</v>
      </c>
      <c r="H102" s="23">
        <v>15</v>
      </c>
      <c r="I102" s="23">
        <v>5882</v>
      </c>
      <c r="J102" s="23">
        <v>6309</v>
      </c>
      <c r="K102" s="23">
        <v>485</v>
      </c>
      <c r="L102" s="23" t="s">
        <v>271</v>
      </c>
      <c r="M102" s="23">
        <f t="shared" si="1"/>
        <v>593</v>
      </c>
      <c r="N102" s="24" t="str">
        <f t="array" ref="N102">INDEX('MATCH INFO'!O:O, INT((ROW()-2)/10)+2 + 157)</f>
        <v>260711_CR_ROZE_S1</v>
      </c>
    </row>
    <row r="103" spans="1:14">
      <c r="A103" s="23" t="s">
        <v>32</v>
      </c>
      <c r="B103" s="23" t="s">
        <v>147</v>
      </c>
      <c r="C103" s="23" t="s">
        <v>104</v>
      </c>
      <c r="D103" s="23" t="s">
        <v>33</v>
      </c>
      <c r="E103" s="23" t="s">
        <v>188</v>
      </c>
      <c r="F103" s="23">
        <v>19</v>
      </c>
      <c r="G103" s="23">
        <v>2</v>
      </c>
      <c r="H103" s="23">
        <v>0</v>
      </c>
      <c r="I103" s="23">
        <v>7024</v>
      </c>
      <c r="J103" s="23">
        <v>75</v>
      </c>
      <c r="K103" s="23">
        <v>0</v>
      </c>
      <c r="L103" s="23" t="s">
        <v>271</v>
      </c>
      <c r="M103" s="23">
        <f t="shared" si="1"/>
        <v>593</v>
      </c>
      <c r="N103" s="24" t="str">
        <f t="array" ref="N103">INDEX('MATCH INFO'!O:O, INT((ROW()-2)/10)+2 + 157)</f>
        <v>260711_CR_ROZE_S1</v>
      </c>
    </row>
    <row r="104" spans="1:14">
      <c r="A104" s="23" t="s">
        <v>32</v>
      </c>
      <c r="B104" s="23" t="s">
        <v>146</v>
      </c>
      <c r="C104" s="23" t="s">
        <v>101</v>
      </c>
      <c r="D104" s="23" t="s">
        <v>33</v>
      </c>
      <c r="E104" s="23" t="s">
        <v>188</v>
      </c>
      <c r="F104" s="23">
        <v>21</v>
      </c>
      <c r="G104" s="23">
        <v>5</v>
      </c>
      <c r="H104" s="23">
        <v>4</v>
      </c>
      <c r="I104" s="23">
        <v>10203</v>
      </c>
      <c r="J104" s="23">
        <v>0</v>
      </c>
      <c r="K104" s="23">
        <v>12224</v>
      </c>
      <c r="L104" s="23" t="s">
        <v>271</v>
      </c>
      <c r="M104" s="23">
        <f t="shared" si="1"/>
        <v>593</v>
      </c>
      <c r="N104" s="24" t="str">
        <f t="array" ref="N104">INDEX('MATCH INFO'!O:O, INT((ROW()-2)/10)+2 + 157)</f>
        <v>260711_CR_ROZE_S1</v>
      </c>
    </row>
    <row r="105" spans="1:14">
      <c r="A105" s="23" t="s">
        <v>32</v>
      </c>
      <c r="B105" s="23" t="s">
        <v>149</v>
      </c>
      <c r="C105" s="23" t="s">
        <v>104</v>
      </c>
      <c r="D105" s="23" t="s">
        <v>33</v>
      </c>
      <c r="E105" s="23" t="s">
        <v>188</v>
      </c>
      <c r="F105" s="23">
        <v>16</v>
      </c>
      <c r="G105" s="23">
        <v>7</v>
      </c>
      <c r="H105" s="23">
        <v>0</v>
      </c>
      <c r="I105" s="23">
        <v>6005</v>
      </c>
      <c r="J105" s="23">
        <v>0</v>
      </c>
      <c r="K105" s="23">
        <v>0</v>
      </c>
      <c r="L105" s="23" t="s">
        <v>271</v>
      </c>
      <c r="M105" s="23">
        <f t="shared" si="1"/>
        <v>593</v>
      </c>
      <c r="N105" s="24" t="str">
        <f t="array" ref="N105">INDEX('MATCH INFO'!O:O, INT((ROW()-2)/10)+2 + 157)</f>
        <v>260711_CR_ROZE_S1</v>
      </c>
    </row>
    <row r="106" spans="1:14">
      <c r="A106" s="23" t="s">
        <v>32</v>
      </c>
      <c r="B106" s="23" t="s">
        <v>151</v>
      </c>
      <c r="C106" s="23" t="s">
        <v>109</v>
      </c>
      <c r="D106" s="23" t="s">
        <v>33</v>
      </c>
      <c r="E106" s="23" t="s">
        <v>188</v>
      </c>
      <c r="F106" s="23">
        <v>12</v>
      </c>
      <c r="G106" s="23">
        <v>3</v>
      </c>
      <c r="H106" s="23">
        <v>16</v>
      </c>
      <c r="I106" s="23">
        <v>4349</v>
      </c>
      <c r="J106" s="23">
        <v>8174</v>
      </c>
      <c r="K106" s="23">
        <v>0</v>
      </c>
      <c r="L106" s="23" t="s">
        <v>271</v>
      </c>
      <c r="M106" s="23">
        <f t="shared" si="1"/>
        <v>593</v>
      </c>
      <c r="N106" s="24" t="str">
        <f t="array" ref="N106">INDEX('MATCH INFO'!O:O, INT((ROW()-2)/10)+2 + 157)</f>
        <v>260711_CR_ROZE_S1</v>
      </c>
    </row>
    <row r="107" spans="1:14">
      <c r="A107" s="23" t="s">
        <v>21</v>
      </c>
      <c r="B107" s="23" t="s">
        <v>117</v>
      </c>
      <c r="C107" s="23" t="s">
        <v>104</v>
      </c>
      <c r="D107" s="23" t="s">
        <v>33</v>
      </c>
      <c r="E107" s="23" t="s">
        <v>188</v>
      </c>
      <c r="F107" s="23">
        <v>11</v>
      </c>
      <c r="G107" s="23">
        <v>6</v>
      </c>
      <c r="H107" s="23">
        <v>3</v>
      </c>
      <c r="I107" s="23">
        <v>6426</v>
      </c>
      <c r="J107" s="23">
        <v>213</v>
      </c>
      <c r="K107" s="23">
        <v>695</v>
      </c>
      <c r="L107" s="23" t="s">
        <v>271</v>
      </c>
      <c r="M107" s="23">
        <f t="shared" si="1"/>
        <v>593</v>
      </c>
      <c r="N107" s="24" t="str">
        <f t="array" ref="N107">INDEX('MATCH INFO'!O:O, INT((ROW()-2)/10)+2 + 157)</f>
        <v>260711_CR_ROZE_S1</v>
      </c>
    </row>
    <row r="108" spans="1:14">
      <c r="A108" s="23" t="s">
        <v>21</v>
      </c>
      <c r="B108" s="23" t="s">
        <v>116</v>
      </c>
      <c r="C108" s="23" t="s">
        <v>101</v>
      </c>
      <c r="D108" s="23" t="s">
        <v>33</v>
      </c>
      <c r="E108" s="23" t="s">
        <v>188</v>
      </c>
      <c r="F108" s="23">
        <v>15</v>
      </c>
      <c r="G108" s="23">
        <v>7</v>
      </c>
      <c r="H108" s="23">
        <v>2</v>
      </c>
      <c r="I108" s="23">
        <v>7659</v>
      </c>
      <c r="J108" s="23">
        <v>2157</v>
      </c>
      <c r="K108" s="23">
        <v>4736</v>
      </c>
      <c r="L108" s="23" t="s">
        <v>271</v>
      </c>
      <c r="M108" s="23">
        <f t="shared" si="1"/>
        <v>593</v>
      </c>
      <c r="N108" s="24" t="str">
        <f t="array" ref="N108">INDEX('MATCH INFO'!O:O, INT((ROW()-2)/10)+2 + 157)</f>
        <v>260711_CR_ROZE_S1</v>
      </c>
    </row>
    <row r="109" spans="1:14">
      <c r="A109" s="23" t="s">
        <v>21</v>
      </c>
      <c r="B109" s="23" t="s">
        <v>122</v>
      </c>
      <c r="C109" s="23" t="s">
        <v>109</v>
      </c>
      <c r="D109" s="23" t="s">
        <v>33</v>
      </c>
      <c r="E109" s="23" t="s">
        <v>188</v>
      </c>
      <c r="F109" s="23">
        <v>6</v>
      </c>
      <c r="G109" s="23">
        <v>5</v>
      </c>
      <c r="H109" s="23">
        <v>14</v>
      </c>
      <c r="I109" s="23">
        <v>2834</v>
      </c>
      <c r="J109" s="23">
        <v>10656</v>
      </c>
      <c r="K109" s="23">
        <v>0</v>
      </c>
      <c r="L109" s="23" t="s">
        <v>271</v>
      </c>
      <c r="M109" s="23">
        <f t="shared" si="1"/>
        <v>593</v>
      </c>
      <c r="N109" s="24" t="str">
        <f t="array" ref="N109">INDEX('MATCH INFO'!O:O, INT((ROW()-2)/10)+2 + 157)</f>
        <v>260711_CR_ROZE_S1</v>
      </c>
    </row>
    <row r="110" spans="1:14">
      <c r="A110" s="23" t="s">
        <v>21</v>
      </c>
      <c r="B110" s="23" t="s">
        <v>120</v>
      </c>
      <c r="C110" s="23" t="s">
        <v>109</v>
      </c>
      <c r="D110" s="23" t="s">
        <v>33</v>
      </c>
      <c r="E110" s="23" t="s">
        <v>188</v>
      </c>
      <c r="F110" s="23">
        <v>10</v>
      </c>
      <c r="G110" s="23">
        <v>4</v>
      </c>
      <c r="H110" s="23">
        <v>11</v>
      </c>
      <c r="I110" s="23">
        <v>2740</v>
      </c>
      <c r="J110" s="23">
        <v>6477</v>
      </c>
      <c r="K110" s="23">
        <v>1152</v>
      </c>
      <c r="L110" s="23" t="s">
        <v>271</v>
      </c>
      <c r="M110" s="23">
        <f t="shared" si="1"/>
        <v>593</v>
      </c>
      <c r="N110" s="24" t="str">
        <f t="array" ref="N110">INDEX('MATCH INFO'!O:O, INT((ROW()-2)/10)+2 + 157)</f>
        <v>260711_CR_ROZE_S1</v>
      </c>
    </row>
    <row r="111" spans="1:14">
      <c r="A111" s="23" t="s">
        <v>21</v>
      </c>
      <c r="B111" s="23" t="s">
        <v>119</v>
      </c>
      <c r="C111" s="23" t="s">
        <v>104</v>
      </c>
      <c r="D111" s="23" t="s">
        <v>33</v>
      </c>
      <c r="E111" s="23" t="s">
        <v>188</v>
      </c>
      <c r="F111" s="23">
        <v>18</v>
      </c>
      <c r="G111" s="23">
        <v>4</v>
      </c>
      <c r="H111" s="23">
        <v>2</v>
      </c>
      <c r="I111" s="23">
        <v>7926</v>
      </c>
      <c r="J111" s="23">
        <v>71</v>
      </c>
      <c r="K111" s="23">
        <v>315</v>
      </c>
      <c r="L111" s="23" t="s">
        <v>271</v>
      </c>
      <c r="M111" s="23">
        <f t="shared" si="1"/>
        <v>593</v>
      </c>
      <c r="N111" s="24" t="str">
        <f t="array" ref="N111">INDEX('MATCH INFO'!O:O, INT((ROW()-2)/10)+2 + 157)</f>
        <v>260711_CR_ROZE_S1</v>
      </c>
    </row>
    <row r="112" spans="1:14">
      <c r="A112" s="23" t="s">
        <v>21</v>
      </c>
      <c r="B112" s="23" t="s">
        <v>117</v>
      </c>
      <c r="C112" s="23" t="s">
        <v>104</v>
      </c>
      <c r="D112" s="23" t="s">
        <v>44</v>
      </c>
      <c r="E112" s="23" t="s">
        <v>190</v>
      </c>
      <c r="F112" s="23">
        <v>34</v>
      </c>
      <c r="G112" s="23">
        <v>11</v>
      </c>
      <c r="H112" s="23">
        <v>3</v>
      </c>
      <c r="I112" s="23">
        <v>14090</v>
      </c>
      <c r="J112" s="23">
        <v>1208</v>
      </c>
      <c r="K112" s="23">
        <v>918</v>
      </c>
      <c r="L112" s="23" t="s">
        <v>343</v>
      </c>
      <c r="M112" s="23">
        <f t="shared" si="1"/>
        <v>889</v>
      </c>
      <c r="N112" s="24" t="str">
        <f t="array" ref="N112">INDEX('MATCH INFO'!O:O, INT((ROW()-2)/10)+2 + 157)</f>
        <v>260711_CR_ROZE_S2</v>
      </c>
    </row>
    <row r="113" spans="1:14">
      <c r="A113" s="23" t="s">
        <v>21</v>
      </c>
      <c r="B113" s="23" t="s">
        <v>116</v>
      </c>
      <c r="C113" s="23" t="s">
        <v>101</v>
      </c>
      <c r="D113" s="23" t="s">
        <v>44</v>
      </c>
      <c r="E113" s="23" t="s">
        <v>190</v>
      </c>
      <c r="F113" s="23">
        <v>32</v>
      </c>
      <c r="G113" s="23">
        <v>9</v>
      </c>
      <c r="H113" s="23">
        <v>18</v>
      </c>
      <c r="I113" s="23">
        <v>20150</v>
      </c>
      <c r="J113" s="23">
        <v>4279</v>
      </c>
      <c r="K113" s="23">
        <v>6101</v>
      </c>
      <c r="L113" s="23" t="s">
        <v>343</v>
      </c>
      <c r="M113" s="23">
        <f t="shared" si="1"/>
        <v>889</v>
      </c>
      <c r="N113" s="24" t="str">
        <f t="array" ref="N113">INDEX('MATCH INFO'!O:O, INT((ROW()-2)/10)+2 + 157)</f>
        <v>260711_CR_ROZE_S2</v>
      </c>
    </row>
    <row r="114" spans="1:14">
      <c r="A114" s="23" t="s">
        <v>21</v>
      </c>
      <c r="B114" s="23" t="s">
        <v>122</v>
      </c>
      <c r="C114" s="23" t="s">
        <v>109</v>
      </c>
      <c r="D114" s="23" t="s">
        <v>44</v>
      </c>
      <c r="E114" s="23" t="s">
        <v>190</v>
      </c>
      <c r="F114" s="23">
        <v>31</v>
      </c>
      <c r="G114" s="23">
        <v>8</v>
      </c>
      <c r="H114" s="23">
        <v>35</v>
      </c>
      <c r="I114" s="23">
        <v>10073</v>
      </c>
      <c r="J114" s="23">
        <v>20353</v>
      </c>
      <c r="K114" s="23">
        <v>0</v>
      </c>
      <c r="L114" s="23" t="s">
        <v>343</v>
      </c>
      <c r="M114" s="23">
        <f t="shared" si="1"/>
        <v>889</v>
      </c>
      <c r="N114" s="24" t="str">
        <f t="array" ref="N114">INDEX('MATCH INFO'!O:O, INT((ROW()-2)/10)+2 + 157)</f>
        <v>260711_CR_ROZE_S2</v>
      </c>
    </row>
    <row r="115" spans="1:14">
      <c r="A115" s="23" t="s">
        <v>21</v>
      </c>
      <c r="B115" s="23" t="s">
        <v>120</v>
      </c>
      <c r="C115" s="23" t="s">
        <v>109</v>
      </c>
      <c r="D115" s="23" t="s">
        <v>44</v>
      </c>
      <c r="E115" s="23" t="s">
        <v>190</v>
      </c>
      <c r="F115" s="23">
        <v>14</v>
      </c>
      <c r="G115" s="23">
        <v>13</v>
      </c>
      <c r="H115" s="23">
        <v>12</v>
      </c>
      <c r="I115" s="23">
        <v>5276</v>
      </c>
      <c r="J115" s="23">
        <v>8239</v>
      </c>
      <c r="K115" s="23">
        <v>0</v>
      </c>
      <c r="L115" s="23" t="s">
        <v>343</v>
      </c>
      <c r="M115" s="23">
        <f t="shared" si="1"/>
        <v>889</v>
      </c>
      <c r="N115" s="24" t="str">
        <f t="array" ref="N115">INDEX('MATCH INFO'!O:O, INT((ROW()-2)/10)+2 + 157)</f>
        <v>260711_CR_ROZE_S2</v>
      </c>
    </row>
    <row r="116" spans="1:14">
      <c r="A116" s="23" t="s">
        <v>21</v>
      </c>
      <c r="B116" s="23" t="s">
        <v>119</v>
      </c>
      <c r="C116" s="23" t="s">
        <v>104</v>
      </c>
      <c r="D116" s="23" t="s">
        <v>44</v>
      </c>
      <c r="E116" s="23" t="s">
        <v>190</v>
      </c>
      <c r="F116" s="23">
        <v>25</v>
      </c>
      <c r="G116" s="23">
        <v>12</v>
      </c>
      <c r="H116" s="23">
        <v>2</v>
      </c>
      <c r="I116" s="23">
        <v>14922</v>
      </c>
      <c r="J116" s="23">
        <v>0</v>
      </c>
      <c r="K116" s="23">
        <v>753</v>
      </c>
      <c r="L116" s="23" t="s">
        <v>343</v>
      </c>
      <c r="M116" s="23">
        <f t="shared" si="1"/>
        <v>889</v>
      </c>
      <c r="N116" s="24" t="str">
        <f t="array" ref="N116">INDEX('MATCH INFO'!O:O, INT((ROW()-2)/10)+2 + 157)</f>
        <v>260711_CR_ROZE_S2</v>
      </c>
    </row>
    <row r="117" spans="1:14">
      <c r="A117" s="23" t="s">
        <v>32</v>
      </c>
      <c r="B117" s="23" t="s">
        <v>150</v>
      </c>
      <c r="C117" s="23" t="s">
        <v>109</v>
      </c>
      <c r="D117" s="23" t="s">
        <v>44</v>
      </c>
      <c r="E117" s="23" t="s">
        <v>190</v>
      </c>
      <c r="F117" s="23">
        <v>27</v>
      </c>
      <c r="G117" s="23">
        <v>6</v>
      </c>
      <c r="H117" s="23">
        <v>19</v>
      </c>
      <c r="I117" s="23">
        <v>8606</v>
      </c>
      <c r="J117" s="23">
        <v>9779</v>
      </c>
      <c r="K117" s="23">
        <v>1097</v>
      </c>
      <c r="L117" s="23" t="s">
        <v>343</v>
      </c>
      <c r="M117" s="23">
        <f t="shared" si="1"/>
        <v>889</v>
      </c>
      <c r="N117" s="24" t="str">
        <f t="array" ref="N117">INDEX('MATCH INFO'!O:O, INT((ROW()-2)/10)+2 + 157)</f>
        <v>260711_CR_ROZE_S2</v>
      </c>
    </row>
    <row r="118" spans="1:14">
      <c r="A118" s="23" t="s">
        <v>32</v>
      </c>
      <c r="B118" s="23" t="s">
        <v>147</v>
      </c>
      <c r="C118" s="23" t="s">
        <v>104</v>
      </c>
      <c r="D118" s="23" t="s">
        <v>44</v>
      </c>
      <c r="E118" s="23" t="s">
        <v>190</v>
      </c>
      <c r="F118" s="23">
        <v>32</v>
      </c>
      <c r="G118" s="23">
        <v>10</v>
      </c>
      <c r="H118" s="23">
        <v>0</v>
      </c>
      <c r="I118" s="23">
        <v>14647</v>
      </c>
      <c r="J118" s="23">
        <v>2620</v>
      </c>
      <c r="K118" s="23">
        <v>0</v>
      </c>
      <c r="L118" s="23" t="s">
        <v>343</v>
      </c>
      <c r="M118" s="23">
        <f t="shared" si="1"/>
        <v>889</v>
      </c>
      <c r="N118" s="24" t="str">
        <f t="array" ref="N118">INDEX('MATCH INFO'!O:O, INT((ROW()-2)/10)+2 + 157)</f>
        <v>260711_CR_ROZE_S2</v>
      </c>
    </row>
    <row r="119" spans="1:14">
      <c r="A119" s="23" t="s">
        <v>32</v>
      </c>
      <c r="B119" s="23" t="s">
        <v>145</v>
      </c>
      <c r="C119" s="23" t="s">
        <v>101</v>
      </c>
      <c r="D119" s="23" t="s">
        <v>44</v>
      </c>
      <c r="E119" s="23" t="s">
        <v>190</v>
      </c>
      <c r="F119" s="23">
        <v>30</v>
      </c>
      <c r="G119" s="23">
        <v>10</v>
      </c>
      <c r="H119" s="23">
        <v>21</v>
      </c>
      <c r="I119" s="23">
        <v>16451</v>
      </c>
      <c r="J119" s="23">
        <v>4676</v>
      </c>
      <c r="K119" s="23">
        <v>7050</v>
      </c>
      <c r="L119" s="23" t="s">
        <v>343</v>
      </c>
      <c r="M119" s="23">
        <f t="shared" si="1"/>
        <v>889</v>
      </c>
      <c r="N119" s="24" t="str">
        <f t="array" ref="N119">INDEX('MATCH INFO'!O:O, INT((ROW()-2)/10)+2 + 157)</f>
        <v>260711_CR_ROZE_S2</v>
      </c>
    </row>
    <row r="120" spans="1:14">
      <c r="A120" s="23" t="s">
        <v>32</v>
      </c>
      <c r="B120" s="23" t="s">
        <v>149</v>
      </c>
      <c r="C120" s="23" t="s">
        <v>104</v>
      </c>
      <c r="D120" s="23" t="s">
        <v>44</v>
      </c>
      <c r="E120" s="23" t="s">
        <v>190</v>
      </c>
      <c r="F120" s="23">
        <v>28</v>
      </c>
      <c r="G120" s="23">
        <v>11</v>
      </c>
      <c r="H120" s="23">
        <v>3</v>
      </c>
      <c r="I120" s="23">
        <v>14497</v>
      </c>
      <c r="J120" s="23">
        <v>599</v>
      </c>
      <c r="K120" s="23">
        <v>436</v>
      </c>
      <c r="L120" s="23" t="s">
        <v>343</v>
      </c>
      <c r="M120" s="23">
        <f t="shared" si="1"/>
        <v>889</v>
      </c>
      <c r="N120" s="24" t="str">
        <f t="array" ref="N120">INDEX('MATCH INFO'!O:O, INT((ROW()-2)/10)+2 + 157)</f>
        <v>260711_CR_ROZE_S2</v>
      </c>
    </row>
    <row r="121" spans="1:14">
      <c r="A121" s="23" t="s">
        <v>32</v>
      </c>
      <c r="B121" s="23" t="s">
        <v>151</v>
      </c>
      <c r="C121" s="23" t="s">
        <v>109</v>
      </c>
      <c r="D121" s="23" t="s">
        <v>44</v>
      </c>
      <c r="E121" s="23" t="s">
        <v>190</v>
      </c>
      <c r="F121" s="23">
        <v>27</v>
      </c>
      <c r="G121" s="23">
        <v>8</v>
      </c>
      <c r="H121" s="23">
        <v>26</v>
      </c>
      <c r="I121" s="23">
        <v>7456</v>
      </c>
      <c r="J121" s="23">
        <v>19896</v>
      </c>
      <c r="K121" s="23">
        <v>0</v>
      </c>
      <c r="L121" s="23" t="s">
        <v>343</v>
      </c>
      <c r="M121" s="23">
        <f t="shared" si="1"/>
        <v>889</v>
      </c>
      <c r="N121" s="24" t="str">
        <f t="array" ref="N121">INDEX('MATCH INFO'!O:O, INT((ROW()-2)/10)+2 + 157)</f>
        <v>260711_CR_ROZE_S2</v>
      </c>
    </row>
    <row r="122" spans="1:14">
      <c r="A122" s="23" t="s">
        <v>21</v>
      </c>
      <c r="B122" s="23" t="s">
        <v>117</v>
      </c>
      <c r="C122" s="23" t="s">
        <v>104</v>
      </c>
      <c r="D122" s="23" t="s">
        <v>90</v>
      </c>
      <c r="E122" s="23" t="s">
        <v>192</v>
      </c>
      <c r="F122" s="23">
        <v>21</v>
      </c>
      <c r="G122" s="23">
        <v>8</v>
      </c>
      <c r="H122" s="23">
        <v>1</v>
      </c>
      <c r="I122" s="23">
        <v>7903</v>
      </c>
      <c r="J122" s="23">
        <v>248</v>
      </c>
      <c r="K122" s="23">
        <v>649</v>
      </c>
      <c r="L122" s="23" t="s">
        <v>344</v>
      </c>
      <c r="M122" s="23">
        <f t="shared" si="1"/>
        <v>707</v>
      </c>
      <c r="N122" s="24" t="str">
        <f t="array" ref="N122">INDEX('MATCH INFO'!O:O, INT((ROW()-2)/10)+2 + 157)</f>
        <v>260711_CR_ROZE_S3</v>
      </c>
    </row>
    <row r="123" spans="1:14">
      <c r="A123" s="23" t="s">
        <v>21</v>
      </c>
      <c r="B123" s="23" t="s">
        <v>116</v>
      </c>
      <c r="C123" s="23" t="s">
        <v>101</v>
      </c>
      <c r="D123" s="23" t="s">
        <v>90</v>
      </c>
      <c r="E123" s="23" t="s">
        <v>192</v>
      </c>
      <c r="F123" s="23">
        <v>20</v>
      </c>
      <c r="G123" s="23">
        <v>5</v>
      </c>
      <c r="H123" s="23">
        <v>12</v>
      </c>
      <c r="I123" s="23">
        <v>14724</v>
      </c>
      <c r="J123" s="23">
        <v>3084</v>
      </c>
      <c r="K123" s="23">
        <v>6410</v>
      </c>
      <c r="L123" s="23" t="s">
        <v>344</v>
      </c>
      <c r="M123" s="23">
        <f t="shared" si="1"/>
        <v>707</v>
      </c>
      <c r="N123" s="24" t="str">
        <f t="array" ref="N123">INDEX('MATCH INFO'!O:O, INT((ROW()-2)/10)+2 + 157)</f>
        <v>260711_CR_ROZE_S3</v>
      </c>
    </row>
    <row r="124" spans="1:14">
      <c r="A124" s="23" t="s">
        <v>21</v>
      </c>
      <c r="B124" s="23" t="s">
        <v>122</v>
      </c>
      <c r="C124" s="23" t="s">
        <v>109</v>
      </c>
      <c r="D124" s="23" t="s">
        <v>90</v>
      </c>
      <c r="E124" s="23" t="s">
        <v>192</v>
      </c>
      <c r="F124" s="23">
        <v>17</v>
      </c>
      <c r="G124" s="23">
        <v>5</v>
      </c>
      <c r="H124" s="23">
        <v>21</v>
      </c>
      <c r="I124" s="23">
        <v>5892</v>
      </c>
      <c r="J124" s="23">
        <v>16777</v>
      </c>
      <c r="K124" s="23">
        <v>0</v>
      </c>
      <c r="L124" s="23" t="s">
        <v>344</v>
      </c>
      <c r="M124" s="23">
        <f t="shared" si="1"/>
        <v>707</v>
      </c>
      <c r="N124" s="24" t="str">
        <f t="array" ref="N124">INDEX('MATCH INFO'!O:O, INT((ROW()-2)/10)+2 + 157)</f>
        <v>260711_CR_ROZE_S3</v>
      </c>
    </row>
    <row r="125" spans="1:14">
      <c r="A125" s="23" t="s">
        <v>21</v>
      </c>
      <c r="B125" s="23" t="s">
        <v>120</v>
      </c>
      <c r="C125" s="23" t="s">
        <v>109</v>
      </c>
      <c r="D125" s="23" t="s">
        <v>90</v>
      </c>
      <c r="E125" s="23" t="s">
        <v>192</v>
      </c>
      <c r="F125" s="23">
        <v>16</v>
      </c>
      <c r="G125" s="23">
        <v>9</v>
      </c>
      <c r="H125" s="23">
        <v>15</v>
      </c>
      <c r="I125" s="23">
        <v>3077</v>
      </c>
      <c r="J125" s="23">
        <v>9969</v>
      </c>
      <c r="K125" s="23">
        <v>0</v>
      </c>
      <c r="L125" s="23" t="s">
        <v>344</v>
      </c>
      <c r="M125" s="23">
        <f t="shared" si="1"/>
        <v>707</v>
      </c>
      <c r="N125" s="24" t="str">
        <f t="array" ref="N125">INDEX('MATCH INFO'!O:O, INT((ROW()-2)/10)+2 + 157)</f>
        <v>260711_CR_ROZE_S3</v>
      </c>
    </row>
    <row r="126" spans="1:14">
      <c r="A126" s="23" t="s">
        <v>21</v>
      </c>
      <c r="B126" s="23" t="s">
        <v>119</v>
      </c>
      <c r="C126" s="23" t="s">
        <v>104</v>
      </c>
      <c r="D126" s="23" t="s">
        <v>90</v>
      </c>
      <c r="E126" s="23" t="s">
        <v>192</v>
      </c>
      <c r="F126" s="23">
        <v>18</v>
      </c>
      <c r="G126" s="23">
        <v>8</v>
      </c>
      <c r="H126" s="23">
        <v>2</v>
      </c>
      <c r="I126" s="23">
        <v>12950</v>
      </c>
      <c r="J126" s="23">
        <v>156</v>
      </c>
      <c r="K126" s="23">
        <v>856</v>
      </c>
      <c r="L126" s="23" t="s">
        <v>344</v>
      </c>
      <c r="M126" s="23">
        <f t="shared" si="1"/>
        <v>707</v>
      </c>
      <c r="N126" s="24" t="str">
        <f t="array" ref="N126">INDEX('MATCH INFO'!O:O, INT((ROW()-2)/10)+2 + 157)</f>
        <v>260711_CR_ROZE_S3</v>
      </c>
    </row>
    <row r="127" spans="1:14">
      <c r="A127" s="23" t="s">
        <v>32</v>
      </c>
      <c r="B127" s="23" t="s">
        <v>150</v>
      </c>
      <c r="C127" s="23" t="s">
        <v>109</v>
      </c>
      <c r="D127" s="23" t="s">
        <v>90</v>
      </c>
      <c r="E127" s="23" t="s">
        <v>192</v>
      </c>
      <c r="F127" s="23">
        <v>21</v>
      </c>
      <c r="G127" s="23">
        <v>8</v>
      </c>
      <c r="H127" s="23">
        <v>14</v>
      </c>
      <c r="I127" s="23">
        <v>7400</v>
      </c>
      <c r="J127" s="23">
        <v>8032</v>
      </c>
      <c r="K127" s="23">
        <v>0</v>
      </c>
      <c r="L127" s="23" t="s">
        <v>344</v>
      </c>
      <c r="M127" s="23">
        <f t="shared" si="1"/>
        <v>707</v>
      </c>
      <c r="N127" s="24" t="str">
        <f t="array" ref="N127">INDEX('MATCH INFO'!O:O, INT((ROW()-2)/10)+2 + 157)</f>
        <v>260711_CR_ROZE_S3</v>
      </c>
    </row>
    <row r="128" spans="1:14">
      <c r="A128" s="23" t="s">
        <v>32</v>
      </c>
      <c r="B128" s="23" t="s">
        <v>147</v>
      </c>
      <c r="C128" s="23" t="s">
        <v>104</v>
      </c>
      <c r="D128" s="23" t="s">
        <v>90</v>
      </c>
      <c r="E128" s="23" t="s">
        <v>192</v>
      </c>
      <c r="F128" s="23">
        <v>25</v>
      </c>
      <c r="G128" s="23">
        <v>9</v>
      </c>
      <c r="H128" s="23">
        <v>1</v>
      </c>
      <c r="I128" s="23">
        <v>11765</v>
      </c>
      <c r="J128" s="23">
        <v>0</v>
      </c>
      <c r="K128" s="23">
        <v>334</v>
      </c>
      <c r="L128" s="23" t="s">
        <v>344</v>
      </c>
      <c r="M128" s="23">
        <f t="shared" si="1"/>
        <v>707</v>
      </c>
      <c r="N128" s="24" t="str">
        <f t="array" ref="N128">INDEX('MATCH INFO'!O:O, INT((ROW()-2)/10)+2 + 157)</f>
        <v>260711_CR_ROZE_S3</v>
      </c>
    </row>
    <row r="129" spans="1:14">
      <c r="A129" s="23" t="s">
        <v>32</v>
      </c>
      <c r="B129" s="23" t="s">
        <v>145</v>
      </c>
      <c r="C129" s="23" t="s">
        <v>101</v>
      </c>
      <c r="D129" s="23" t="s">
        <v>90</v>
      </c>
      <c r="E129" s="23" t="s">
        <v>192</v>
      </c>
      <c r="F129" s="23">
        <v>20</v>
      </c>
      <c r="G129" s="23">
        <v>5</v>
      </c>
      <c r="H129" s="23">
        <v>13</v>
      </c>
      <c r="I129" s="23">
        <v>12428</v>
      </c>
      <c r="J129" s="23">
        <v>1888</v>
      </c>
      <c r="K129" s="23">
        <v>8426</v>
      </c>
      <c r="L129" s="23" t="s">
        <v>344</v>
      </c>
      <c r="M129" s="23">
        <f t="shared" si="1"/>
        <v>707</v>
      </c>
      <c r="N129" s="24" t="str">
        <f t="array" ref="N129">INDEX('MATCH INFO'!O:O, INT((ROW()-2)/10)+2 + 157)</f>
        <v>260711_CR_ROZE_S3</v>
      </c>
    </row>
    <row r="130" spans="1:14">
      <c r="A130" s="23" t="s">
        <v>32</v>
      </c>
      <c r="B130" s="23" t="s">
        <v>148</v>
      </c>
      <c r="C130" s="23" t="s">
        <v>104</v>
      </c>
      <c r="D130" s="23" t="s">
        <v>90</v>
      </c>
      <c r="E130" s="23" t="s">
        <v>192</v>
      </c>
      <c r="F130" s="23">
        <v>19</v>
      </c>
      <c r="G130" s="23">
        <v>8</v>
      </c>
      <c r="H130" s="23">
        <v>6</v>
      </c>
      <c r="I130" s="23">
        <v>11296</v>
      </c>
      <c r="J130" s="23">
        <v>449</v>
      </c>
      <c r="K130" s="23">
        <v>109</v>
      </c>
      <c r="L130" s="23" t="s">
        <v>344</v>
      </c>
      <c r="M130" s="23">
        <f t="shared" ref="M130:M193" si="2">L130*86400</f>
        <v>707</v>
      </c>
      <c r="N130" s="24" t="str">
        <f t="array" ref="N130">INDEX('MATCH INFO'!O:O, INT((ROW()-2)/10)+2 + 157)</f>
        <v>260711_CR_ROZE_S3</v>
      </c>
    </row>
    <row r="131" spans="1:14">
      <c r="A131" s="23" t="s">
        <v>32</v>
      </c>
      <c r="B131" s="23" t="s">
        <v>151</v>
      </c>
      <c r="C131" s="23" t="s">
        <v>109</v>
      </c>
      <c r="D131" s="23" t="s">
        <v>90</v>
      </c>
      <c r="E131" s="23" t="s">
        <v>192</v>
      </c>
      <c r="F131" s="23">
        <v>15</v>
      </c>
      <c r="G131" s="23">
        <v>6</v>
      </c>
      <c r="H131" s="23">
        <v>22</v>
      </c>
      <c r="I131" s="23">
        <v>6899</v>
      </c>
      <c r="J131" s="23">
        <v>7792</v>
      </c>
      <c r="K131" s="23">
        <v>0</v>
      </c>
      <c r="L131" s="23" t="s">
        <v>344</v>
      </c>
      <c r="M131" s="23">
        <f t="shared" si="2"/>
        <v>707</v>
      </c>
      <c r="N131" s="24" t="str">
        <f t="array" ref="N131">INDEX('MATCH INFO'!O:O, INT((ROW()-2)/10)+2 + 157)</f>
        <v>260711_CR_ROZE_S3</v>
      </c>
    </row>
    <row r="132" spans="1:14">
      <c r="A132" s="23" t="s">
        <v>21</v>
      </c>
      <c r="B132" s="23" t="s">
        <v>117</v>
      </c>
      <c r="C132" s="23" t="s">
        <v>104</v>
      </c>
      <c r="D132" s="23" t="s">
        <v>69</v>
      </c>
      <c r="E132" s="23" t="s">
        <v>201</v>
      </c>
      <c r="F132" s="23">
        <v>9</v>
      </c>
      <c r="G132" s="23">
        <v>12</v>
      </c>
      <c r="H132" s="23">
        <v>4</v>
      </c>
      <c r="I132" s="23">
        <v>11700</v>
      </c>
      <c r="J132" s="23">
        <v>1614</v>
      </c>
      <c r="K132" s="23">
        <v>11127</v>
      </c>
      <c r="L132" s="23" t="s">
        <v>345</v>
      </c>
      <c r="M132" s="23">
        <f t="shared" si="2"/>
        <v>785</v>
      </c>
      <c r="N132" s="24" t="str">
        <f t="array" ref="N132">INDEX('MATCH INFO'!O:O, INT((ROW()-2)/10)+2 + 157)</f>
        <v>260711_CR_ROZE_S4</v>
      </c>
    </row>
    <row r="133" spans="1:14">
      <c r="A133" s="23" t="s">
        <v>21</v>
      </c>
      <c r="B133" s="23" t="s">
        <v>116</v>
      </c>
      <c r="C133" s="23" t="s">
        <v>101</v>
      </c>
      <c r="D133" s="23" t="s">
        <v>69</v>
      </c>
      <c r="E133" s="23" t="s">
        <v>201</v>
      </c>
      <c r="F133" s="23">
        <v>9</v>
      </c>
      <c r="G133" s="23">
        <v>11</v>
      </c>
      <c r="H133" s="23">
        <v>1</v>
      </c>
      <c r="I133" s="23">
        <v>12472</v>
      </c>
      <c r="J133" s="23">
        <v>0</v>
      </c>
      <c r="K133" s="23">
        <v>32693</v>
      </c>
      <c r="L133" s="23" t="s">
        <v>345</v>
      </c>
      <c r="M133" s="23">
        <f t="shared" si="2"/>
        <v>785</v>
      </c>
      <c r="N133" s="24" t="str">
        <f t="array" ref="N133">INDEX('MATCH INFO'!O:O, INT((ROW()-2)/10)+2 + 157)</f>
        <v>260711_CR_ROZE_S4</v>
      </c>
    </row>
    <row r="134" spans="1:14">
      <c r="A134" s="23" t="s">
        <v>21</v>
      </c>
      <c r="B134" s="23" t="s">
        <v>122</v>
      </c>
      <c r="C134" s="23" t="s">
        <v>109</v>
      </c>
      <c r="D134" s="23" t="s">
        <v>69</v>
      </c>
      <c r="E134" s="23" t="s">
        <v>201</v>
      </c>
      <c r="F134" s="23">
        <v>9</v>
      </c>
      <c r="G134" s="23">
        <v>10</v>
      </c>
      <c r="H134" s="23">
        <v>9</v>
      </c>
      <c r="I134" s="23">
        <v>4434</v>
      </c>
      <c r="J134" s="23">
        <v>19245</v>
      </c>
      <c r="K134" s="23">
        <v>0</v>
      </c>
      <c r="L134" s="23" t="s">
        <v>345</v>
      </c>
      <c r="M134" s="23">
        <f t="shared" si="2"/>
        <v>785</v>
      </c>
      <c r="N134" s="24" t="str">
        <f t="array" ref="N134">INDEX('MATCH INFO'!O:O, INT((ROW()-2)/10)+2 + 157)</f>
        <v>260711_CR_ROZE_S4</v>
      </c>
    </row>
    <row r="135" spans="1:14">
      <c r="A135" s="23" t="s">
        <v>21</v>
      </c>
      <c r="B135" s="23" t="s">
        <v>118</v>
      </c>
      <c r="C135" s="23" t="s">
        <v>104</v>
      </c>
      <c r="D135" s="23" t="s">
        <v>69</v>
      </c>
      <c r="E135" s="23" t="s">
        <v>201</v>
      </c>
      <c r="F135" s="23">
        <v>14</v>
      </c>
      <c r="G135" s="23">
        <v>11</v>
      </c>
      <c r="H135" s="23">
        <v>0</v>
      </c>
      <c r="I135" s="23">
        <v>9983</v>
      </c>
      <c r="J135" s="23">
        <v>59</v>
      </c>
      <c r="K135" s="23">
        <v>0</v>
      </c>
      <c r="L135" s="23" t="s">
        <v>345</v>
      </c>
      <c r="M135" s="23">
        <f t="shared" si="2"/>
        <v>785</v>
      </c>
      <c r="N135" s="24" t="str">
        <f t="array" ref="N135">INDEX('MATCH INFO'!O:O, INT((ROW()-2)/10)+2 + 157)</f>
        <v>260711_CR_ROZE_S4</v>
      </c>
    </row>
    <row r="136" spans="1:14">
      <c r="A136" s="23" t="s">
        <v>21</v>
      </c>
      <c r="B136" s="23" t="s">
        <v>120</v>
      </c>
      <c r="C136" s="23" t="s">
        <v>109</v>
      </c>
      <c r="D136" s="23" t="s">
        <v>69</v>
      </c>
      <c r="E136" s="23" t="s">
        <v>201</v>
      </c>
      <c r="F136" s="23">
        <v>8</v>
      </c>
      <c r="G136" s="23">
        <v>13</v>
      </c>
      <c r="H136" s="23">
        <v>12</v>
      </c>
      <c r="I136" s="23">
        <v>5919</v>
      </c>
      <c r="J136" s="23">
        <v>14975</v>
      </c>
      <c r="K136" s="23">
        <v>2566</v>
      </c>
      <c r="L136" s="23" t="s">
        <v>345</v>
      </c>
      <c r="M136" s="23">
        <f t="shared" si="2"/>
        <v>785</v>
      </c>
      <c r="N136" s="24" t="str">
        <f t="array" ref="N136">INDEX('MATCH INFO'!O:O, INT((ROW()-2)/10)+2 + 157)</f>
        <v>260711_CR_ROZE_S4</v>
      </c>
    </row>
    <row r="137" spans="1:14">
      <c r="A137" s="23" t="s">
        <v>32</v>
      </c>
      <c r="B137" s="23" t="s">
        <v>150</v>
      </c>
      <c r="C137" s="23" t="s">
        <v>109</v>
      </c>
      <c r="D137" s="23" t="s">
        <v>69</v>
      </c>
      <c r="E137" s="23" t="s">
        <v>201</v>
      </c>
      <c r="F137" s="23">
        <v>36</v>
      </c>
      <c r="G137" s="23">
        <v>4</v>
      </c>
      <c r="H137" s="23">
        <v>37</v>
      </c>
      <c r="I137" s="23">
        <v>9702</v>
      </c>
      <c r="J137" s="23">
        <v>16411</v>
      </c>
      <c r="K137" s="23">
        <v>4276</v>
      </c>
      <c r="L137" s="23" t="s">
        <v>345</v>
      </c>
      <c r="M137" s="23">
        <f t="shared" si="2"/>
        <v>785</v>
      </c>
      <c r="N137" s="24" t="str">
        <f t="array" ref="N137">INDEX('MATCH INFO'!O:O, INT((ROW()-2)/10)+2 + 157)</f>
        <v>260711_CR_ROZE_S4</v>
      </c>
    </row>
    <row r="138" spans="1:14">
      <c r="A138" s="23" t="s">
        <v>32</v>
      </c>
      <c r="B138" s="23" t="s">
        <v>147</v>
      </c>
      <c r="C138" s="23" t="s">
        <v>104</v>
      </c>
      <c r="D138" s="23" t="s">
        <v>69</v>
      </c>
      <c r="E138" s="23" t="s">
        <v>201</v>
      </c>
      <c r="F138" s="23">
        <v>45</v>
      </c>
      <c r="G138" s="23">
        <v>4</v>
      </c>
      <c r="H138" s="23">
        <v>7</v>
      </c>
      <c r="I138" s="23">
        <v>14443</v>
      </c>
      <c r="J138" s="23">
        <v>1366</v>
      </c>
      <c r="K138" s="23">
        <v>8265</v>
      </c>
      <c r="L138" s="23" t="s">
        <v>345</v>
      </c>
      <c r="M138" s="23">
        <f t="shared" si="2"/>
        <v>785</v>
      </c>
      <c r="N138" s="24" t="str">
        <f t="array" ref="N138">INDEX('MATCH INFO'!O:O, INT((ROW()-2)/10)+2 + 157)</f>
        <v>260711_CR_ROZE_S4</v>
      </c>
    </row>
    <row r="139" spans="1:14">
      <c r="A139" s="23" t="s">
        <v>32</v>
      </c>
      <c r="B139" s="23" t="s">
        <v>148</v>
      </c>
      <c r="C139" s="23" t="s">
        <v>104</v>
      </c>
      <c r="D139" s="23" t="s">
        <v>69</v>
      </c>
      <c r="E139" s="23" t="s">
        <v>201</v>
      </c>
      <c r="F139" s="23">
        <v>37</v>
      </c>
      <c r="G139" s="23">
        <v>4</v>
      </c>
      <c r="H139" s="23">
        <v>0</v>
      </c>
      <c r="I139" s="23">
        <v>13698</v>
      </c>
      <c r="J139" s="23">
        <v>0</v>
      </c>
      <c r="K139" s="23">
        <v>0</v>
      </c>
      <c r="L139" s="23" t="s">
        <v>345</v>
      </c>
      <c r="M139" s="23">
        <f t="shared" si="2"/>
        <v>785</v>
      </c>
      <c r="N139" s="24" t="str">
        <f t="array" ref="N139">INDEX('MATCH INFO'!O:O, INT((ROW()-2)/10)+2 + 157)</f>
        <v>260711_CR_ROZE_S4</v>
      </c>
    </row>
    <row r="140" spans="1:14">
      <c r="A140" s="23" t="s">
        <v>32</v>
      </c>
      <c r="B140" s="23" t="s">
        <v>146</v>
      </c>
      <c r="C140" s="23" t="s">
        <v>101</v>
      </c>
      <c r="D140" s="23" t="s">
        <v>69</v>
      </c>
      <c r="E140" s="23" t="s">
        <v>201</v>
      </c>
      <c r="F140" s="23">
        <v>37</v>
      </c>
      <c r="G140" s="23">
        <v>4</v>
      </c>
      <c r="H140" s="23">
        <v>5</v>
      </c>
      <c r="I140" s="23">
        <v>17580</v>
      </c>
      <c r="J140" s="23">
        <v>0</v>
      </c>
      <c r="K140" s="23">
        <v>27632</v>
      </c>
      <c r="L140" s="23" t="s">
        <v>345</v>
      </c>
      <c r="M140" s="23">
        <f t="shared" si="2"/>
        <v>785</v>
      </c>
      <c r="N140" s="24" t="str">
        <f t="array" ref="N140">INDEX('MATCH INFO'!O:O, INT((ROW()-2)/10)+2 + 157)</f>
        <v>260711_CR_ROZE_S4</v>
      </c>
    </row>
    <row r="141" spans="1:14">
      <c r="A141" s="23" t="s">
        <v>32</v>
      </c>
      <c r="B141" s="23" t="s">
        <v>151</v>
      </c>
      <c r="C141" s="23" t="s">
        <v>109</v>
      </c>
      <c r="D141" s="23" t="s">
        <v>69</v>
      </c>
      <c r="E141" s="23" t="s">
        <v>201</v>
      </c>
      <c r="F141" s="23">
        <v>27</v>
      </c>
      <c r="G141" s="23">
        <v>1</v>
      </c>
      <c r="H141" s="23">
        <v>37</v>
      </c>
      <c r="I141" s="23">
        <v>4858</v>
      </c>
      <c r="J141" s="23">
        <v>16002</v>
      </c>
      <c r="K141" s="23">
        <v>0</v>
      </c>
      <c r="L141" s="23" t="s">
        <v>345</v>
      </c>
      <c r="M141" s="23">
        <f t="shared" si="2"/>
        <v>785</v>
      </c>
      <c r="N141" s="24" t="str">
        <f t="array" ref="N141">INDEX('MATCH INFO'!O:O, INT((ROW()-2)/10)+2 + 157)</f>
        <v>260711_CR_ROZE_S4</v>
      </c>
    </row>
    <row r="142" spans="1:14">
      <c r="A142" s="23" t="s">
        <v>32</v>
      </c>
      <c r="B142" s="23" t="s">
        <v>150</v>
      </c>
      <c r="C142" s="23" t="s">
        <v>109</v>
      </c>
      <c r="D142" s="23" t="s">
        <v>89</v>
      </c>
      <c r="E142" s="23" t="s">
        <v>196</v>
      </c>
      <c r="F142" s="23">
        <v>28</v>
      </c>
      <c r="G142" s="23">
        <v>3</v>
      </c>
      <c r="H142" s="23">
        <v>25</v>
      </c>
      <c r="I142" s="23">
        <v>6345</v>
      </c>
      <c r="J142" s="23">
        <v>6392</v>
      </c>
      <c r="K142" s="23">
        <v>873</v>
      </c>
      <c r="L142" s="23" t="s">
        <v>346</v>
      </c>
      <c r="M142" s="23">
        <f t="shared" si="2"/>
        <v>549</v>
      </c>
      <c r="N142" s="24" t="str">
        <f t="array" ref="N142">INDEX('MATCH INFO'!O:O, INT((ROW()-2)/10)+2 + 157)</f>
        <v>260711_CR_ROZE_S5</v>
      </c>
    </row>
    <row r="143" spans="1:14">
      <c r="A143" s="23" t="s">
        <v>32</v>
      </c>
      <c r="B143" s="23" t="s">
        <v>147</v>
      </c>
      <c r="C143" s="23" t="s">
        <v>104</v>
      </c>
      <c r="D143" s="23" t="s">
        <v>89</v>
      </c>
      <c r="E143" s="23" t="s">
        <v>196</v>
      </c>
      <c r="F143" s="23">
        <v>28</v>
      </c>
      <c r="G143" s="23">
        <v>4</v>
      </c>
      <c r="H143" s="23">
        <v>9</v>
      </c>
      <c r="I143" s="23">
        <v>9720</v>
      </c>
      <c r="J143" s="23">
        <v>733</v>
      </c>
      <c r="K143" s="23">
        <v>5155</v>
      </c>
      <c r="L143" s="23" t="s">
        <v>346</v>
      </c>
      <c r="M143" s="23">
        <f t="shared" si="2"/>
        <v>549</v>
      </c>
      <c r="N143" s="24" t="str">
        <f t="array" ref="N143">INDEX('MATCH INFO'!O:O, INT((ROW()-2)/10)+2 + 157)</f>
        <v>260711_CR_ROZE_S5</v>
      </c>
    </row>
    <row r="144" spans="1:14">
      <c r="A144" s="23" t="s">
        <v>32</v>
      </c>
      <c r="B144" s="23" t="s">
        <v>148</v>
      </c>
      <c r="C144" s="23" t="s">
        <v>104</v>
      </c>
      <c r="D144" s="23" t="s">
        <v>89</v>
      </c>
      <c r="E144" s="23" t="s">
        <v>196</v>
      </c>
      <c r="F144" s="23">
        <v>26</v>
      </c>
      <c r="G144" s="23">
        <v>4</v>
      </c>
      <c r="H144" s="23">
        <v>3</v>
      </c>
      <c r="I144" s="23">
        <v>9609</v>
      </c>
      <c r="J144" s="23">
        <v>98</v>
      </c>
      <c r="K144" s="23">
        <v>266</v>
      </c>
      <c r="L144" s="23" t="s">
        <v>346</v>
      </c>
      <c r="M144" s="23">
        <f t="shared" si="2"/>
        <v>549</v>
      </c>
      <c r="N144" s="24" t="str">
        <f t="array" ref="N144">INDEX('MATCH INFO'!O:O, INT((ROW()-2)/10)+2 + 157)</f>
        <v>260711_CR_ROZE_S5</v>
      </c>
    </row>
    <row r="145" spans="1:14">
      <c r="A145" s="23" t="s">
        <v>32</v>
      </c>
      <c r="B145" s="23" t="s">
        <v>146</v>
      </c>
      <c r="C145" s="23" t="s">
        <v>101</v>
      </c>
      <c r="D145" s="23" t="s">
        <v>89</v>
      </c>
      <c r="E145" s="23" t="s">
        <v>196</v>
      </c>
      <c r="F145" s="23">
        <v>32</v>
      </c>
      <c r="G145" s="23">
        <v>3</v>
      </c>
      <c r="H145" s="23">
        <v>21</v>
      </c>
      <c r="I145" s="23">
        <v>9064</v>
      </c>
      <c r="J145" s="23">
        <v>1586</v>
      </c>
      <c r="K145" s="23">
        <v>13685</v>
      </c>
      <c r="L145" s="23" t="s">
        <v>346</v>
      </c>
      <c r="M145" s="23">
        <f t="shared" si="2"/>
        <v>549</v>
      </c>
      <c r="N145" s="24" t="str">
        <f t="array" ref="N145">INDEX('MATCH INFO'!O:O, INT((ROW()-2)/10)+2 + 157)</f>
        <v>260711_CR_ROZE_S5</v>
      </c>
    </row>
    <row r="146" spans="1:14">
      <c r="A146" s="23" t="s">
        <v>32</v>
      </c>
      <c r="B146" s="23" t="s">
        <v>151</v>
      </c>
      <c r="C146" s="23" t="s">
        <v>109</v>
      </c>
      <c r="D146" s="23" t="s">
        <v>89</v>
      </c>
      <c r="E146" s="23" t="s">
        <v>196</v>
      </c>
      <c r="F146" s="23">
        <v>20</v>
      </c>
      <c r="G146" s="23">
        <v>3</v>
      </c>
      <c r="H146" s="23">
        <v>30</v>
      </c>
      <c r="I146" s="23">
        <v>4815</v>
      </c>
      <c r="J146" s="23">
        <v>10896</v>
      </c>
      <c r="K146" s="23">
        <v>0</v>
      </c>
      <c r="L146" s="23" t="s">
        <v>346</v>
      </c>
      <c r="M146" s="23">
        <f t="shared" si="2"/>
        <v>549</v>
      </c>
      <c r="N146" s="24" t="str">
        <f t="array" ref="N146">INDEX('MATCH INFO'!O:O, INT((ROW()-2)/10)+2 + 157)</f>
        <v>260711_CR_ROZE_S5</v>
      </c>
    </row>
    <row r="147" spans="1:14">
      <c r="A147" s="23" t="s">
        <v>21</v>
      </c>
      <c r="B147" s="23" t="s">
        <v>117</v>
      </c>
      <c r="C147" s="23" t="s">
        <v>104</v>
      </c>
      <c r="D147" s="23" t="s">
        <v>89</v>
      </c>
      <c r="E147" s="23" t="s">
        <v>196</v>
      </c>
      <c r="F147" s="23">
        <v>14</v>
      </c>
      <c r="G147" s="23">
        <v>8</v>
      </c>
      <c r="H147" s="23">
        <v>1</v>
      </c>
      <c r="I147" s="23">
        <v>9213</v>
      </c>
      <c r="J147" s="23">
        <v>1405</v>
      </c>
      <c r="K147" s="23">
        <v>2907</v>
      </c>
      <c r="L147" s="23" t="s">
        <v>346</v>
      </c>
      <c r="M147" s="23">
        <f t="shared" si="2"/>
        <v>549</v>
      </c>
      <c r="N147" s="24" t="str">
        <f t="array" ref="N147">INDEX('MATCH INFO'!O:O, INT((ROW()-2)/10)+2 + 157)</f>
        <v>260711_CR_ROZE_S5</v>
      </c>
    </row>
    <row r="148" spans="1:14">
      <c r="A148" s="23" t="s">
        <v>21</v>
      </c>
      <c r="B148" s="23" t="s">
        <v>116</v>
      </c>
      <c r="C148" s="23" t="s">
        <v>101</v>
      </c>
      <c r="D148" s="23" t="s">
        <v>89</v>
      </c>
      <c r="E148" s="23" t="s">
        <v>196</v>
      </c>
      <c r="F148" s="23">
        <v>9</v>
      </c>
      <c r="G148" s="23">
        <v>10</v>
      </c>
      <c r="H148" s="23">
        <v>4</v>
      </c>
      <c r="I148" s="23">
        <v>6273</v>
      </c>
      <c r="J148" s="23">
        <v>1502</v>
      </c>
      <c r="K148" s="23">
        <v>10373</v>
      </c>
      <c r="L148" s="23" t="s">
        <v>346</v>
      </c>
      <c r="M148" s="23">
        <f t="shared" si="2"/>
        <v>549</v>
      </c>
      <c r="N148" s="24" t="str">
        <f t="array" ref="N148">INDEX('MATCH INFO'!O:O, INT((ROW()-2)/10)+2 + 157)</f>
        <v>260711_CR_ROZE_S5</v>
      </c>
    </row>
    <row r="149" spans="1:14">
      <c r="A149" s="23" t="s">
        <v>21</v>
      </c>
      <c r="B149" s="23" t="s">
        <v>122</v>
      </c>
      <c r="C149" s="23" t="s">
        <v>109</v>
      </c>
      <c r="D149" s="23" t="s">
        <v>89</v>
      </c>
      <c r="E149" s="23" t="s">
        <v>196</v>
      </c>
      <c r="F149" s="23">
        <v>7</v>
      </c>
      <c r="G149" s="23">
        <v>8</v>
      </c>
      <c r="H149" s="23">
        <v>9</v>
      </c>
      <c r="I149" s="23">
        <v>3629</v>
      </c>
      <c r="J149" s="23">
        <v>9374</v>
      </c>
      <c r="K149" s="23">
        <v>0</v>
      </c>
      <c r="L149" s="23" t="s">
        <v>346</v>
      </c>
      <c r="M149" s="23">
        <f t="shared" si="2"/>
        <v>549</v>
      </c>
      <c r="N149" s="24" t="str">
        <f t="array" ref="N149">INDEX('MATCH INFO'!O:O, INT((ROW()-2)/10)+2 + 157)</f>
        <v>260711_CR_ROZE_S5</v>
      </c>
    </row>
    <row r="150" spans="1:14">
      <c r="A150" s="23" t="s">
        <v>21</v>
      </c>
      <c r="B150" s="23" t="s">
        <v>118</v>
      </c>
      <c r="C150" s="23" t="s">
        <v>104</v>
      </c>
      <c r="D150" s="23" t="s">
        <v>89</v>
      </c>
      <c r="E150" s="23" t="s">
        <v>196</v>
      </c>
      <c r="F150" s="23">
        <v>13</v>
      </c>
      <c r="G150" s="23">
        <v>10</v>
      </c>
      <c r="H150" s="23">
        <v>1</v>
      </c>
      <c r="I150" s="23">
        <v>7762</v>
      </c>
      <c r="J150" s="23">
        <v>505</v>
      </c>
      <c r="K150" s="23">
        <v>1173</v>
      </c>
      <c r="L150" s="23" t="s">
        <v>346</v>
      </c>
      <c r="M150" s="23">
        <f t="shared" si="2"/>
        <v>549</v>
      </c>
      <c r="N150" s="24" t="str">
        <f t="array" ref="N150">INDEX('MATCH INFO'!O:O, INT((ROW()-2)/10)+2 + 157)</f>
        <v>260711_CR_ROZE_S5</v>
      </c>
    </row>
    <row r="151" spans="1:14">
      <c r="A151" s="23" t="s">
        <v>21</v>
      </c>
      <c r="B151" s="23" t="s">
        <v>120</v>
      </c>
      <c r="C151" s="23" t="s">
        <v>109</v>
      </c>
      <c r="D151" s="23" t="s">
        <v>89</v>
      </c>
      <c r="E151" s="23" t="s">
        <v>196</v>
      </c>
      <c r="F151" s="23">
        <v>8</v>
      </c>
      <c r="G151" s="23">
        <v>10</v>
      </c>
      <c r="H151" s="23">
        <v>7</v>
      </c>
      <c r="I151" s="23">
        <v>2770</v>
      </c>
      <c r="J151" s="23">
        <v>6577</v>
      </c>
      <c r="K151" s="23">
        <v>811</v>
      </c>
      <c r="L151" s="23" t="s">
        <v>346</v>
      </c>
      <c r="M151" s="23">
        <f t="shared" si="2"/>
        <v>549</v>
      </c>
      <c r="N151" s="24" t="str">
        <f t="array" ref="N151">INDEX('MATCH INFO'!O:O, INT((ROW()-2)/10)+2 + 157)</f>
        <v>260711_CR_ROZE_S5</v>
      </c>
    </row>
    <row r="152" spans="1:14">
      <c r="A152" s="23" t="s">
        <v>41</v>
      </c>
      <c r="B152" s="23" t="s">
        <v>157</v>
      </c>
      <c r="C152" s="23" t="s">
        <v>109</v>
      </c>
      <c r="D152" s="23" t="s">
        <v>33</v>
      </c>
      <c r="E152" s="23" t="s">
        <v>188</v>
      </c>
      <c r="F152" s="23">
        <v>12</v>
      </c>
      <c r="G152" s="23">
        <v>6</v>
      </c>
      <c r="H152" s="23">
        <v>19</v>
      </c>
      <c r="I152" s="23">
        <v>3600</v>
      </c>
      <c r="J152" s="23">
        <v>6999</v>
      </c>
      <c r="K152" s="23">
        <v>1340</v>
      </c>
      <c r="L152" s="23" t="s">
        <v>271</v>
      </c>
      <c r="M152" s="23">
        <f t="shared" si="2"/>
        <v>593</v>
      </c>
      <c r="N152" s="24" t="str">
        <f t="array" ref="N152">INDEX('MATCH INFO'!O:O, INT((ROW()-2)/10)+2 + 157)</f>
        <v>260711_T1_ZETA_S1</v>
      </c>
    </row>
    <row r="153" spans="1:14">
      <c r="A153" s="23" t="s">
        <v>41</v>
      </c>
      <c r="B153" s="23" t="s">
        <v>152</v>
      </c>
      <c r="C153" s="23" t="s">
        <v>101</v>
      </c>
      <c r="D153" s="23" t="s">
        <v>33</v>
      </c>
      <c r="E153" s="23" t="s">
        <v>188</v>
      </c>
      <c r="F153" s="23">
        <v>26</v>
      </c>
      <c r="G153" s="23">
        <v>5</v>
      </c>
      <c r="H153" s="23">
        <v>17</v>
      </c>
      <c r="I153" s="23">
        <v>12912</v>
      </c>
      <c r="J153" s="23">
        <v>2736</v>
      </c>
      <c r="K153" s="23">
        <v>5804</v>
      </c>
      <c r="L153" s="23" t="s">
        <v>271</v>
      </c>
      <c r="M153" s="23">
        <f t="shared" si="2"/>
        <v>593</v>
      </c>
      <c r="N153" s="24" t="str">
        <f t="array" ref="N153">INDEX('MATCH INFO'!O:O, INT((ROW()-2)/10)+2 + 157)</f>
        <v>260711_T1_ZETA_S1</v>
      </c>
    </row>
    <row r="154" spans="1:14">
      <c r="A154" s="23" t="s">
        <v>41</v>
      </c>
      <c r="B154" s="23" t="s">
        <v>155</v>
      </c>
      <c r="C154" s="23" t="s">
        <v>104</v>
      </c>
      <c r="D154" s="23" t="s">
        <v>33</v>
      </c>
      <c r="E154" s="23" t="s">
        <v>188</v>
      </c>
      <c r="F154" s="23">
        <v>26</v>
      </c>
      <c r="G154" s="23">
        <v>6</v>
      </c>
      <c r="H154" s="23">
        <v>0</v>
      </c>
      <c r="I154" s="23">
        <v>9642</v>
      </c>
      <c r="J154" s="23">
        <v>0</v>
      </c>
      <c r="K154" s="23">
        <v>9</v>
      </c>
      <c r="L154" s="23" t="s">
        <v>271</v>
      </c>
      <c r="M154" s="23">
        <f t="shared" si="2"/>
        <v>593</v>
      </c>
      <c r="N154" s="24" t="str">
        <f t="array" ref="N154">INDEX('MATCH INFO'!O:O, INT((ROW()-2)/10)+2 + 157)</f>
        <v>260711_T1_ZETA_S1</v>
      </c>
    </row>
    <row r="155" spans="1:14">
      <c r="A155" s="23" t="s">
        <v>41</v>
      </c>
      <c r="B155" s="23" t="s">
        <v>158</v>
      </c>
      <c r="C155" s="23" t="s">
        <v>109</v>
      </c>
      <c r="D155" s="23" t="s">
        <v>33</v>
      </c>
      <c r="E155" s="23" t="s">
        <v>188</v>
      </c>
      <c r="F155" s="23">
        <v>11</v>
      </c>
      <c r="G155" s="23">
        <v>6</v>
      </c>
      <c r="H155" s="23">
        <v>25</v>
      </c>
      <c r="I155" s="23">
        <v>4258</v>
      </c>
      <c r="J155" s="23">
        <v>12441</v>
      </c>
      <c r="K155" s="23">
        <v>0</v>
      </c>
      <c r="L155" s="23" t="s">
        <v>271</v>
      </c>
      <c r="M155" s="23">
        <f t="shared" si="2"/>
        <v>593</v>
      </c>
      <c r="N155" s="24" t="str">
        <f t="array" ref="N155">INDEX('MATCH INFO'!O:O, INT((ROW()-2)/10)+2 + 157)</f>
        <v>260711_T1_ZETA_S1</v>
      </c>
    </row>
    <row r="156" spans="1:14">
      <c r="A156" s="23" t="s">
        <v>41</v>
      </c>
      <c r="B156" s="23" t="s">
        <v>154</v>
      </c>
      <c r="C156" s="23" t="s">
        <v>104</v>
      </c>
      <c r="D156" s="23" t="s">
        <v>33</v>
      </c>
      <c r="E156" s="23" t="s">
        <v>188</v>
      </c>
      <c r="F156" s="23">
        <v>20</v>
      </c>
      <c r="G156" s="23">
        <v>9</v>
      </c>
      <c r="H156" s="23">
        <v>5</v>
      </c>
      <c r="I156" s="23">
        <v>6483</v>
      </c>
      <c r="J156" s="23">
        <v>330</v>
      </c>
      <c r="K156" s="23">
        <v>415</v>
      </c>
      <c r="L156" s="23" t="s">
        <v>271</v>
      </c>
      <c r="M156" s="23">
        <f t="shared" si="2"/>
        <v>593</v>
      </c>
      <c r="N156" s="24" t="str">
        <f t="array" ref="N156">INDEX('MATCH INFO'!O:O, INT((ROW()-2)/10)+2 + 157)</f>
        <v>260711_T1_ZETA_S1</v>
      </c>
    </row>
    <row r="157" spans="1:14">
      <c r="A157" s="23" t="s">
        <v>42</v>
      </c>
      <c r="B157" s="23" t="s">
        <v>139</v>
      </c>
      <c r="C157" s="23" t="s">
        <v>101</v>
      </c>
      <c r="D157" s="23" t="s">
        <v>33</v>
      </c>
      <c r="E157" s="23" t="s">
        <v>188</v>
      </c>
      <c r="F157" s="23">
        <v>20</v>
      </c>
      <c r="G157" s="23">
        <v>7</v>
      </c>
      <c r="H157" s="23">
        <v>9</v>
      </c>
      <c r="I157" s="23">
        <v>11859</v>
      </c>
      <c r="J157" s="23">
        <v>1040</v>
      </c>
      <c r="K157" s="23">
        <v>8645</v>
      </c>
      <c r="L157" s="23" t="s">
        <v>271</v>
      </c>
      <c r="M157" s="23">
        <f t="shared" si="2"/>
        <v>593</v>
      </c>
      <c r="N157" s="24" t="str">
        <f t="array" ref="N157">INDEX('MATCH INFO'!O:O, INT((ROW()-2)/10)+2 + 157)</f>
        <v>260711_T1_ZETA_S1</v>
      </c>
    </row>
    <row r="158" spans="1:14">
      <c r="A158" s="23" t="s">
        <v>42</v>
      </c>
      <c r="B158" s="23" t="s">
        <v>141</v>
      </c>
      <c r="C158" s="23" t="s">
        <v>104</v>
      </c>
      <c r="D158" s="23" t="s">
        <v>33</v>
      </c>
      <c r="E158" s="23" t="s">
        <v>188</v>
      </c>
      <c r="F158" s="23">
        <v>22</v>
      </c>
      <c r="G158" s="23">
        <v>7</v>
      </c>
      <c r="H158" s="23">
        <v>0</v>
      </c>
      <c r="I158" s="23">
        <v>9190</v>
      </c>
      <c r="J158" s="23">
        <v>0</v>
      </c>
      <c r="K158" s="23">
        <v>0</v>
      </c>
      <c r="L158" s="23" t="s">
        <v>271</v>
      </c>
      <c r="M158" s="23">
        <f t="shared" si="2"/>
        <v>593</v>
      </c>
      <c r="N158" s="24" t="str">
        <f t="array" ref="N158">INDEX('MATCH INFO'!O:O, INT((ROW()-2)/10)+2 + 157)</f>
        <v>260711_T1_ZETA_S1</v>
      </c>
    </row>
    <row r="159" spans="1:14">
      <c r="A159" s="23" t="s">
        <v>42</v>
      </c>
      <c r="B159" s="23" t="s">
        <v>140</v>
      </c>
      <c r="C159" s="23" t="s">
        <v>104</v>
      </c>
      <c r="D159" s="23" t="s">
        <v>33</v>
      </c>
      <c r="E159" s="23" t="s">
        <v>188</v>
      </c>
      <c r="F159" s="23">
        <v>19</v>
      </c>
      <c r="G159" s="23">
        <v>5</v>
      </c>
      <c r="H159" s="23">
        <v>0</v>
      </c>
      <c r="I159" s="23">
        <v>7054</v>
      </c>
      <c r="J159" s="23">
        <v>416</v>
      </c>
      <c r="K159" s="23">
        <v>0</v>
      </c>
      <c r="L159" s="23" t="s">
        <v>271</v>
      </c>
      <c r="M159" s="23">
        <f t="shared" si="2"/>
        <v>593</v>
      </c>
      <c r="N159" s="24" t="str">
        <f t="array" ref="N159">INDEX('MATCH INFO'!O:O, INT((ROW()-2)/10)+2 + 157)</f>
        <v>260711_T1_ZETA_S1</v>
      </c>
    </row>
    <row r="160" spans="1:14">
      <c r="A160" s="23" t="s">
        <v>42</v>
      </c>
      <c r="B160" s="23" t="s">
        <v>143</v>
      </c>
      <c r="C160" s="23" t="s">
        <v>109</v>
      </c>
      <c r="D160" s="23" t="s">
        <v>33</v>
      </c>
      <c r="E160" s="23" t="s">
        <v>188</v>
      </c>
      <c r="F160" s="23">
        <v>11</v>
      </c>
      <c r="G160" s="23">
        <v>5</v>
      </c>
      <c r="H160" s="23">
        <v>23</v>
      </c>
      <c r="I160" s="23">
        <v>4189</v>
      </c>
      <c r="J160" s="23">
        <v>12027</v>
      </c>
      <c r="K160" s="23">
        <v>0</v>
      </c>
      <c r="L160" s="23" t="s">
        <v>271</v>
      </c>
      <c r="M160" s="23">
        <f t="shared" si="2"/>
        <v>593</v>
      </c>
      <c r="N160" s="24" t="str">
        <f t="array" ref="N160">INDEX('MATCH INFO'!O:O, INT((ROW()-2)/10)+2 + 157)</f>
        <v>260711_T1_ZETA_S1</v>
      </c>
    </row>
    <row r="161" spans="1:14">
      <c r="A161" s="23" t="s">
        <v>42</v>
      </c>
      <c r="B161" s="23" t="s">
        <v>142</v>
      </c>
      <c r="C161" s="23" t="s">
        <v>109</v>
      </c>
      <c r="D161" s="23" t="s">
        <v>33</v>
      </c>
      <c r="E161" s="23" t="s">
        <v>188</v>
      </c>
      <c r="F161" s="23">
        <v>15</v>
      </c>
      <c r="G161" s="23">
        <v>6</v>
      </c>
      <c r="H161" s="23">
        <v>15</v>
      </c>
      <c r="I161" s="23">
        <v>6930</v>
      </c>
      <c r="J161" s="23">
        <v>9667</v>
      </c>
      <c r="K161" s="23">
        <v>2757</v>
      </c>
      <c r="L161" s="23" t="s">
        <v>271</v>
      </c>
      <c r="M161" s="23">
        <f t="shared" si="2"/>
        <v>593</v>
      </c>
      <c r="N161" s="24" t="str">
        <f t="array" ref="N161">INDEX('MATCH INFO'!O:O, INT((ROW()-2)/10)+2 + 157)</f>
        <v>260711_T1_ZETA_S1</v>
      </c>
    </row>
    <row r="162" spans="1:14">
      <c r="A162" s="23" t="s">
        <v>41</v>
      </c>
      <c r="B162" s="23" t="s">
        <v>157</v>
      </c>
      <c r="C162" s="23" t="s">
        <v>109</v>
      </c>
      <c r="D162" s="23" t="s">
        <v>88</v>
      </c>
      <c r="E162" s="23" t="s">
        <v>190</v>
      </c>
      <c r="F162" s="23">
        <v>21</v>
      </c>
      <c r="G162" s="23">
        <v>13</v>
      </c>
      <c r="H162" s="23">
        <v>35</v>
      </c>
      <c r="I162" s="23">
        <v>5479</v>
      </c>
      <c r="J162" s="23">
        <v>9365</v>
      </c>
      <c r="K162" s="23">
        <v>3144</v>
      </c>
      <c r="L162" s="23" t="s">
        <v>216</v>
      </c>
      <c r="M162" s="23">
        <f t="shared" si="2"/>
        <v>831</v>
      </c>
      <c r="N162" s="24" t="str">
        <f t="array" ref="N162">INDEX('MATCH INFO'!O:O, INT((ROW()-2)/10)+2 + 157)</f>
        <v>260711_T1_ZETA_S2</v>
      </c>
    </row>
    <row r="163" spans="1:14">
      <c r="A163" s="23" t="s">
        <v>41</v>
      </c>
      <c r="B163" s="23" t="s">
        <v>152</v>
      </c>
      <c r="C163" s="23" t="s">
        <v>101</v>
      </c>
      <c r="D163" s="23" t="s">
        <v>88</v>
      </c>
      <c r="E163" s="23" t="s">
        <v>190</v>
      </c>
      <c r="F163" s="23">
        <v>34</v>
      </c>
      <c r="G163" s="23">
        <v>9</v>
      </c>
      <c r="H163" s="23">
        <v>21</v>
      </c>
      <c r="I163" s="23">
        <v>16600</v>
      </c>
      <c r="J163" s="23">
        <v>2024</v>
      </c>
      <c r="K163" s="23">
        <v>9911</v>
      </c>
      <c r="L163" s="23" t="s">
        <v>216</v>
      </c>
      <c r="M163" s="23">
        <f t="shared" si="2"/>
        <v>831</v>
      </c>
      <c r="N163" s="24" t="str">
        <f t="array" ref="N163">INDEX('MATCH INFO'!O:O, INT((ROW()-2)/10)+2 + 157)</f>
        <v>260711_T1_ZETA_S2</v>
      </c>
    </row>
    <row r="164" spans="1:14">
      <c r="A164" s="23" t="s">
        <v>41</v>
      </c>
      <c r="B164" s="23" t="s">
        <v>155</v>
      </c>
      <c r="C164" s="23" t="s">
        <v>104</v>
      </c>
      <c r="D164" s="23" t="s">
        <v>88</v>
      </c>
      <c r="E164" s="23" t="s">
        <v>190</v>
      </c>
      <c r="F164" s="23">
        <v>37</v>
      </c>
      <c r="G164" s="23">
        <v>11</v>
      </c>
      <c r="H164" s="23">
        <v>8</v>
      </c>
      <c r="I164" s="23">
        <v>15683</v>
      </c>
      <c r="J164" s="23">
        <v>260</v>
      </c>
      <c r="K164" s="23">
        <v>581</v>
      </c>
      <c r="L164" s="23" t="s">
        <v>216</v>
      </c>
      <c r="M164" s="23">
        <f t="shared" si="2"/>
        <v>831</v>
      </c>
      <c r="N164" s="24" t="str">
        <f t="array" ref="N164">INDEX('MATCH INFO'!O:O, INT((ROW()-2)/10)+2 + 157)</f>
        <v>260711_T1_ZETA_S2</v>
      </c>
    </row>
    <row r="165" spans="1:14">
      <c r="A165" s="23" t="s">
        <v>41</v>
      </c>
      <c r="B165" s="23" t="s">
        <v>158</v>
      </c>
      <c r="C165" s="23" t="s">
        <v>109</v>
      </c>
      <c r="D165" s="23" t="s">
        <v>88</v>
      </c>
      <c r="E165" s="23" t="s">
        <v>190</v>
      </c>
      <c r="F165" s="23">
        <v>15</v>
      </c>
      <c r="G165" s="23">
        <v>10</v>
      </c>
      <c r="H165" s="23">
        <v>37</v>
      </c>
      <c r="I165" s="23">
        <v>6975</v>
      </c>
      <c r="J165" s="23">
        <v>16883</v>
      </c>
      <c r="K165" s="23">
        <v>0</v>
      </c>
      <c r="L165" s="23" t="s">
        <v>216</v>
      </c>
      <c r="M165" s="23">
        <f t="shared" si="2"/>
        <v>831</v>
      </c>
      <c r="N165" s="24" t="str">
        <f t="array" ref="N165">INDEX('MATCH INFO'!O:O, INT((ROW()-2)/10)+2 + 157)</f>
        <v>260711_T1_ZETA_S2</v>
      </c>
    </row>
    <row r="166" spans="1:14">
      <c r="A166" s="23" t="s">
        <v>41</v>
      </c>
      <c r="B166" s="23" t="s">
        <v>154</v>
      </c>
      <c r="C166" s="23" t="s">
        <v>104</v>
      </c>
      <c r="D166" s="23" t="s">
        <v>88</v>
      </c>
      <c r="E166" s="23" t="s">
        <v>190</v>
      </c>
      <c r="F166" s="23">
        <v>36</v>
      </c>
      <c r="G166" s="23">
        <v>9</v>
      </c>
      <c r="H166" s="23">
        <v>2</v>
      </c>
      <c r="I166" s="23">
        <v>14886</v>
      </c>
      <c r="J166" s="23">
        <v>1954</v>
      </c>
      <c r="K166" s="23">
        <v>1761</v>
      </c>
      <c r="L166" s="23" t="s">
        <v>216</v>
      </c>
      <c r="M166" s="23">
        <f t="shared" si="2"/>
        <v>831</v>
      </c>
      <c r="N166" s="24" t="str">
        <f t="array" ref="N166">INDEX('MATCH INFO'!O:O, INT((ROW()-2)/10)+2 + 157)</f>
        <v>260711_T1_ZETA_S2</v>
      </c>
    </row>
    <row r="167" spans="1:14">
      <c r="A167" s="23" t="s">
        <v>42</v>
      </c>
      <c r="B167" s="23" t="s">
        <v>139</v>
      </c>
      <c r="C167" s="23" t="s">
        <v>101</v>
      </c>
      <c r="D167" s="23" t="s">
        <v>88</v>
      </c>
      <c r="E167" s="23" t="s">
        <v>190</v>
      </c>
      <c r="F167" s="23">
        <v>33</v>
      </c>
      <c r="G167" s="23">
        <v>9</v>
      </c>
      <c r="H167" s="23">
        <v>22</v>
      </c>
      <c r="I167" s="23">
        <v>15786</v>
      </c>
      <c r="J167" s="23">
        <v>3136</v>
      </c>
      <c r="K167" s="23">
        <v>12373</v>
      </c>
      <c r="L167" s="23" t="s">
        <v>216</v>
      </c>
      <c r="M167" s="23">
        <f t="shared" si="2"/>
        <v>831</v>
      </c>
      <c r="N167" s="24" t="str">
        <f t="array" ref="N167">INDEX('MATCH INFO'!O:O, INT((ROW()-2)/10)+2 + 157)</f>
        <v>260711_T1_ZETA_S2</v>
      </c>
    </row>
    <row r="168" spans="1:14">
      <c r="A168" s="23" t="s">
        <v>42</v>
      </c>
      <c r="B168" s="23" t="s">
        <v>141</v>
      </c>
      <c r="C168" s="23" t="s">
        <v>104</v>
      </c>
      <c r="D168" s="23" t="s">
        <v>88</v>
      </c>
      <c r="E168" s="23" t="s">
        <v>190</v>
      </c>
      <c r="F168" s="23">
        <v>29</v>
      </c>
      <c r="G168" s="23">
        <v>12</v>
      </c>
      <c r="H168" s="23">
        <v>2</v>
      </c>
      <c r="I168" s="23">
        <v>14721</v>
      </c>
      <c r="J168" s="23">
        <v>87</v>
      </c>
      <c r="K168" s="23">
        <v>571</v>
      </c>
      <c r="L168" s="23" t="s">
        <v>216</v>
      </c>
      <c r="M168" s="23">
        <f t="shared" si="2"/>
        <v>831</v>
      </c>
      <c r="N168" s="24" t="str">
        <f t="array" ref="N168">INDEX('MATCH INFO'!O:O, INT((ROW()-2)/10)+2 + 157)</f>
        <v>260711_T1_ZETA_S2</v>
      </c>
    </row>
    <row r="169" spans="1:14">
      <c r="A169" s="23" t="s">
        <v>42</v>
      </c>
      <c r="B169" s="23" t="s">
        <v>140</v>
      </c>
      <c r="C169" s="23" t="s">
        <v>104</v>
      </c>
      <c r="D169" s="23" t="s">
        <v>88</v>
      </c>
      <c r="E169" s="23" t="s">
        <v>190</v>
      </c>
      <c r="F169" s="23">
        <v>31</v>
      </c>
      <c r="G169" s="23">
        <v>11</v>
      </c>
      <c r="H169" s="23">
        <v>2</v>
      </c>
      <c r="I169" s="23">
        <v>12909</v>
      </c>
      <c r="J169" s="23">
        <v>1339</v>
      </c>
      <c r="K169" s="23">
        <v>3687</v>
      </c>
      <c r="L169" s="23" t="s">
        <v>216</v>
      </c>
      <c r="M169" s="23">
        <f t="shared" si="2"/>
        <v>831</v>
      </c>
      <c r="N169" s="24" t="str">
        <f t="array" ref="N169">INDEX('MATCH INFO'!O:O, INT((ROW()-2)/10)+2 + 157)</f>
        <v>260711_T1_ZETA_S2</v>
      </c>
    </row>
    <row r="170" spans="1:14">
      <c r="A170" s="23" t="s">
        <v>42</v>
      </c>
      <c r="B170" s="23" t="s">
        <v>143</v>
      </c>
      <c r="C170" s="23" t="s">
        <v>109</v>
      </c>
      <c r="D170" s="23" t="s">
        <v>88</v>
      </c>
      <c r="E170" s="23" t="s">
        <v>190</v>
      </c>
      <c r="F170" s="23">
        <v>17</v>
      </c>
      <c r="G170" s="23">
        <v>10</v>
      </c>
      <c r="H170" s="23">
        <v>34</v>
      </c>
      <c r="I170" s="23">
        <v>6732</v>
      </c>
      <c r="J170" s="23">
        <v>17532</v>
      </c>
      <c r="K170" s="23">
        <v>0</v>
      </c>
      <c r="L170" s="23" t="s">
        <v>216</v>
      </c>
      <c r="M170" s="23">
        <f t="shared" si="2"/>
        <v>831</v>
      </c>
      <c r="N170" s="24" t="str">
        <f t="array" ref="N170">INDEX('MATCH INFO'!O:O, INT((ROW()-2)/10)+2 + 157)</f>
        <v>260711_T1_ZETA_S2</v>
      </c>
    </row>
    <row r="171" spans="1:14">
      <c r="A171" s="23" t="s">
        <v>42</v>
      </c>
      <c r="B171" s="23" t="s">
        <v>142</v>
      </c>
      <c r="C171" s="23" t="s">
        <v>109</v>
      </c>
      <c r="D171" s="23" t="s">
        <v>88</v>
      </c>
      <c r="E171" s="23" t="s">
        <v>190</v>
      </c>
      <c r="F171" s="23">
        <v>34</v>
      </c>
      <c r="G171" s="23">
        <v>9</v>
      </c>
      <c r="H171" s="23">
        <v>27</v>
      </c>
      <c r="I171" s="23">
        <v>8040</v>
      </c>
      <c r="J171" s="23">
        <v>13083</v>
      </c>
      <c r="K171" s="23">
        <v>0</v>
      </c>
      <c r="L171" s="23" t="s">
        <v>216</v>
      </c>
      <c r="M171" s="23">
        <f t="shared" si="2"/>
        <v>831</v>
      </c>
      <c r="N171" s="24" t="str">
        <f t="array" ref="N171">INDEX('MATCH INFO'!O:O, INT((ROW()-2)/10)+2 + 157)</f>
        <v>260711_T1_ZETA_S2</v>
      </c>
    </row>
    <row r="172" spans="1:14">
      <c r="A172" s="23" t="s">
        <v>42</v>
      </c>
      <c r="B172" s="23" t="s">
        <v>139</v>
      </c>
      <c r="C172" s="23" t="s">
        <v>101</v>
      </c>
      <c r="D172" s="23" t="s">
        <v>69</v>
      </c>
      <c r="E172" s="23" t="s">
        <v>201</v>
      </c>
      <c r="F172" s="23">
        <v>41</v>
      </c>
      <c r="G172" s="23">
        <v>3</v>
      </c>
      <c r="H172" s="23">
        <v>20</v>
      </c>
      <c r="I172" s="23">
        <v>15851</v>
      </c>
      <c r="J172" s="23">
        <v>2777</v>
      </c>
      <c r="K172" s="23">
        <v>6392</v>
      </c>
      <c r="L172" s="23" t="s">
        <v>347</v>
      </c>
      <c r="M172" s="23">
        <f t="shared" si="2"/>
        <v>615</v>
      </c>
      <c r="N172" s="24" t="str">
        <f t="array" ref="N172">INDEX('MATCH INFO'!O:O, INT((ROW()-2)/10)+2 + 157)</f>
        <v>260711_T1_ZETA_S3</v>
      </c>
    </row>
    <row r="173" spans="1:14">
      <c r="A173" s="23" t="s">
        <v>42</v>
      </c>
      <c r="B173" s="23" t="s">
        <v>141</v>
      </c>
      <c r="C173" s="23" t="s">
        <v>104</v>
      </c>
      <c r="D173" s="23" t="s">
        <v>69</v>
      </c>
      <c r="E173" s="23" t="s">
        <v>201</v>
      </c>
      <c r="F173" s="23">
        <v>37</v>
      </c>
      <c r="G173" s="23">
        <v>5</v>
      </c>
      <c r="H173" s="23">
        <v>0</v>
      </c>
      <c r="I173" s="23">
        <v>14713</v>
      </c>
      <c r="J173" s="23">
        <v>0</v>
      </c>
      <c r="K173" s="23">
        <v>169</v>
      </c>
      <c r="L173" s="23" t="s">
        <v>347</v>
      </c>
      <c r="M173" s="23">
        <f t="shared" si="2"/>
        <v>615</v>
      </c>
      <c r="N173" s="24" t="str">
        <f t="array" ref="N173">INDEX('MATCH INFO'!O:O, INT((ROW()-2)/10)+2 + 157)</f>
        <v>260711_T1_ZETA_S3</v>
      </c>
    </row>
    <row r="174" spans="1:14">
      <c r="A174" s="23" t="s">
        <v>42</v>
      </c>
      <c r="B174" s="23" t="s">
        <v>140</v>
      </c>
      <c r="C174" s="23" t="s">
        <v>104</v>
      </c>
      <c r="D174" s="23" t="s">
        <v>69</v>
      </c>
      <c r="E174" s="23" t="s">
        <v>201</v>
      </c>
      <c r="F174" s="23">
        <v>36</v>
      </c>
      <c r="G174" s="23">
        <v>6</v>
      </c>
      <c r="H174" s="23">
        <v>0</v>
      </c>
      <c r="I174" s="23">
        <v>12845</v>
      </c>
      <c r="J174" s="23">
        <v>1965</v>
      </c>
      <c r="K174" s="23">
        <v>0</v>
      </c>
      <c r="L174" s="23" t="s">
        <v>347</v>
      </c>
      <c r="M174" s="23">
        <f t="shared" si="2"/>
        <v>615</v>
      </c>
      <c r="N174" s="24" t="str">
        <f t="array" ref="N174">INDEX('MATCH INFO'!O:O, INT((ROW()-2)/10)+2 + 157)</f>
        <v>260711_T1_ZETA_S3</v>
      </c>
    </row>
    <row r="175" spans="1:14">
      <c r="A175" s="23" t="s">
        <v>42</v>
      </c>
      <c r="B175" s="23" t="s">
        <v>143</v>
      </c>
      <c r="C175" s="23" t="s">
        <v>109</v>
      </c>
      <c r="D175" s="23" t="s">
        <v>69</v>
      </c>
      <c r="E175" s="23" t="s">
        <v>201</v>
      </c>
      <c r="F175" s="23">
        <v>19</v>
      </c>
      <c r="G175" s="23">
        <v>4</v>
      </c>
      <c r="H175" s="23">
        <v>40</v>
      </c>
      <c r="I175" s="23">
        <v>5160</v>
      </c>
      <c r="J175" s="23">
        <v>14624</v>
      </c>
      <c r="K175" s="23">
        <v>0</v>
      </c>
      <c r="L175" s="23" t="s">
        <v>347</v>
      </c>
      <c r="M175" s="23">
        <f t="shared" si="2"/>
        <v>615</v>
      </c>
      <c r="N175" s="24" t="str">
        <f t="array" ref="N175">INDEX('MATCH INFO'!O:O, INT((ROW()-2)/10)+2 + 157)</f>
        <v>260711_T1_ZETA_S3</v>
      </c>
    </row>
    <row r="176" spans="1:14">
      <c r="A176" s="23" t="s">
        <v>42</v>
      </c>
      <c r="B176" s="23" t="s">
        <v>142</v>
      </c>
      <c r="C176" s="23" t="s">
        <v>109</v>
      </c>
      <c r="D176" s="23" t="s">
        <v>69</v>
      </c>
      <c r="E176" s="23" t="s">
        <v>201</v>
      </c>
      <c r="F176" s="23">
        <v>27</v>
      </c>
      <c r="G176" s="23">
        <v>7</v>
      </c>
      <c r="H176" s="23">
        <v>27</v>
      </c>
      <c r="I176" s="23">
        <v>4710</v>
      </c>
      <c r="J176" s="23">
        <v>10375</v>
      </c>
      <c r="K176" s="23">
        <v>0</v>
      </c>
      <c r="L176" s="23" t="s">
        <v>347</v>
      </c>
      <c r="M176" s="23">
        <f t="shared" si="2"/>
        <v>615</v>
      </c>
      <c r="N176" s="24" t="str">
        <f t="array" ref="N176">INDEX('MATCH INFO'!O:O, INT((ROW()-2)/10)+2 + 157)</f>
        <v>260711_T1_ZETA_S3</v>
      </c>
    </row>
    <row r="177" spans="1:14">
      <c r="A177" s="23" t="s">
        <v>41</v>
      </c>
      <c r="B177" s="23" t="s">
        <v>157</v>
      </c>
      <c r="C177" s="23" t="s">
        <v>109</v>
      </c>
      <c r="D177" s="23" t="s">
        <v>69</v>
      </c>
      <c r="E177" s="23" t="s">
        <v>201</v>
      </c>
      <c r="F177" s="23">
        <v>19</v>
      </c>
      <c r="G177" s="23">
        <v>8</v>
      </c>
      <c r="H177" s="23">
        <v>12</v>
      </c>
      <c r="I177" s="23">
        <v>4104</v>
      </c>
      <c r="J177" s="23">
        <v>11353</v>
      </c>
      <c r="K177" s="23">
        <v>0</v>
      </c>
      <c r="L177" s="23" t="s">
        <v>347</v>
      </c>
      <c r="M177" s="23">
        <f t="shared" si="2"/>
        <v>615</v>
      </c>
      <c r="N177" s="24" t="str">
        <f t="array" ref="N177">INDEX('MATCH INFO'!O:O, INT((ROW()-2)/10)+2 + 157)</f>
        <v>260711_T1_ZETA_S3</v>
      </c>
    </row>
    <row r="178" spans="1:14">
      <c r="A178" s="23" t="s">
        <v>41</v>
      </c>
      <c r="B178" s="23" t="s">
        <v>153</v>
      </c>
      <c r="C178" s="23" t="s">
        <v>101</v>
      </c>
      <c r="D178" s="23" t="s">
        <v>69</v>
      </c>
      <c r="E178" s="23" t="s">
        <v>201</v>
      </c>
      <c r="F178" s="23">
        <v>12</v>
      </c>
      <c r="G178" s="23">
        <v>12</v>
      </c>
      <c r="H178" s="23">
        <v>13</v>
      </c>
      <c r="I178" s="23">
        <v>14028</v>
      </c>
      <c r="J178" s="23">
        <v>3161</v>
      </c>
      <c r="K178" s="23">
        <v>7061</v>
      </c>
      <c r="L178" s="23" t="s">
        <v>347</v>
      </c>
      <c r="M178" s="23">
        <f t="shared" si="2"/>
        <v>615</v>
      </c>
      <c r="N178" s="24" t="str">
        <f t="array" ref="N178">INDEX('MATCH INFO'!O:O, INT((ROW()-2)/10)+2 + 157)</f>
        <v>260711_T1_ZETA_S3</v>
      </c>
    </row>
    <row r="179" spans="1:14">
      <c r="A179" s="23" t="s">
        <v>41</v>
      </c>
      <c r="B179" s="23" t="s">
        <v>155</v>
      </c>
      <c r="C179" s="23" t="s">
        <v>104</v>
      </c>
      <c r="D179" s="23" t="s">
        <v>69</v>
      </c>
      <c r="E179" s="23" t="s">
        <v>201</v>
      </c>
      <c r="F179" s="23">
        <v>13</v>
      </c>
      <c r="G179" s="23">
        <v>12</v>
      </c>
      <c r="H179" s="23">
        <v>0</v>
      </c>
      <c r="I179" s="23">
        <v>11948</v>
      </c>
      <c r="J179" s="23">
        <v>0</v>
      </c>
      <c r="K179" s="23">
        <v>0</v>
      </c>
      <c r="L179" s="23" t="s">
        <v>347</v>
      </c>
      <c r="M179" s="23">
        <f t="shared" si="2"/>
        <v>615</v>
      </c>
      <c r="N179" s="24" t="str">
        <f t="array" ref="N179">INDEX('MATCH INFO'!O:O, INT((ROW()-2)/10)+2 + 157)</f>
        <v>260711_T1_ZETA_S3</v>
      </c>
    </row>
    <row r="180" spans="1:14">
      <c r="A180" s="23" t="s">
        <v>41</v>
      </c>
      <c r="B180" s="23" t="s">
        <v>158</v>
      </c>
      <c r="C180" s="23" t="s">
        <v>109</v>
      </c>
      <c r="D180" s="23" t="s">
        <v>69</v>
      </c>
      <c r="E180" s="23" t="s">
        <v>201</v>
      </c>
      <c r="F180" s="23">
        <v>6</v>
      </c>
      <c r="G180" s="23">
        <v>11</v>
      </c>
      <c r="H180" s="23">
        <v>17</v>
      </c>
      <c r="I180" s="23">
        <v>4192</v>
      </c>
      <c r="J180" s="23">
        <v>11814</v>
      </c>
      <c r="K180" s="23">
        <v>0</v>
      </c>
      <c r="L180" s="23" t="s">
        <v>347</v>
      </c>
      <c r="M180" s="23">
        <f t="shared" si="2"/>
        <v>615</v>
      </c>
      <c r="N180" s="24" t="str">
        <f t="array" ref="N180">INDEX('MATCH INFO'!O:O, INT((ROW()-2)/10)+2 + 157)</f>
        <v>260711_T1_ZETA_S3</v>
      </c>
    </row>
    <row r="181" spans="1:14">
      <c r="A181" s="23" t="s">
        <v>41</v>
      </c>
      <c r="B181" s="23" t="s">
        <v>154</v>
      </c>
      <c r="C181" s="23" t="s">
        <v>104</v>
      </c>
      <c r="D181" s="23" t="s">
        <v>69</v>
      </c>
      <c r="E181" s="23" t="s">
        <v>201</v>
      </c>
      <c r="F181" s="23">
        <v>20</v>
      </c>
      <c r="G181" s="23">
        <v>12</v>
      </c>
      <c r="H181" s="23">
        <v>0</v>
      </c>
      <c r="I181" s="23">
        <v>10881</v>
      </c>
      <c r="J181" s="23">
        <v>1710</v>
      </c>
      <c r="K181" s="23">
        <v>0</v>
      </c>
      <c r="L181" s="23" t="s">
        <v>347</v>
      </c>
      <c r="M181" s="23">
        <f t="shared" si="2"/>
        <v>615</v>
      </c>
      <c r="N181" s="24" t="str">
        <f t="array" ref="N181">INDEX('MATCH INFO'!O:O, INT((ROW()-2)/10)+2 + 157)</f>
        <v>260711_T1_ZETA_S3</v>
      </c>
    </row>
    <row r="182" spans="1:14">
      <c r="A182" s="23" t="s">
        <v>41</v>
      </c>
      <c r="B182" s="23" t="s">
        <v>157</v>
      </c>
      <c r="C182" s="23" t="s">
        <v>109</v>
      </c>
      <c r="D182" s="23" t="s">
        <v>90</v>
      </c>
      <c r="E182" s="23" t="s">
        <v>192</v>
      </c>
      <c r="F182" s="23">
        <v>22</v>
      </c>
      <c r="G182" s="23">
        <v>7</v>
      </c>
      <c r="H182" s="23">
        <v>17</v>
      </c>
      <c r="I182" s="23">
        <v>4585</v>
      </c>
      <c r="J182" s="23">
        <v>8137</v>
      </c>
      <c r="K182" s="23">
        <v>0</v>
      </c>
      <c r="L182" s="23" t="s">
        <v>348</v>
      </c>
      <c r="M182" s="23">
        <f t="shared" si="2"/>
        <v>627</v>
      </c>
      <c r="N182" s="24" t="str">
        <f t="array" ref="N182">INDEX('MATCH INFO'!O:O, INT((ROW()-2)/10)+2 + 157)</f>
        <v>260711_T1_ZETA_S4</v>
      </c>
    </row>
    <row r="183" spans="1:14">
      <c r="A183" s="23" t="s">
        <v>41</v>
      </c>
      <c r="B183" s="23" t="s">
        <v>152</v>
      </c>
      <c r="C183" s="23" t="s">
        <v>101</v>
      </c>
      <c r="D183" s="23" t="s">
        <v>90</v>
      </c>
      <c r="E183" s="23" t="s">
        <v>192</v>
      </c>
      <c r="F183" s="23">
        <v>24</v>
      </c>
      <c r="G183" s="23">
        <v>10</v>
      </c>
      <c r="H183" s="23">
        <v>22</v>
      </c>
      <c r="I183" s="23">
        <v>15881</v>
      </c>
      <c r="J183" s="23">
        <v>3732</v>
      </c>
      <c r="K183" s="23">
        <v>7821</v>
      </c>
      <c r="L183" s="23" t="s">
        <v>348</v>
      </c>
      <c r="M183" s="23">
        <f t="shared" si="2"/>
        <v>627</v>
      </c>
      <c r="N183" s="24" t="str">
        <f t="array" ref="N183">INDEX('MATCH INFO'!O:O, INT((ROW()-2)/10)+2 + 157)</f>
        <v>260711_T1_ZETA_S4</v>
      </c>
    </row>
    <row r="184" spans="1:14">
      <c r="A184" s="23" t="s">
        <v>41</v>
      </c>
      <c r="B184" s="23" t="s">
        <v>155</v>
      </c>
      <c r="C184" s="23" t="s">
        <v>104</v>
      </c>
      <c r="D184" s="23" t="s">
        <v>90</v>
      </c>
      <c r="E184" s="23" t="s">
        <v>192</v>
      </c>
      <c r="F184" s="23">
        <v>19</v>
      </c>
      <c r="G184" s="23">
        <v>10</v>
      </c>
      <c r="H184" s="23">
        <v>3</v>
      </c>
      <c r="I184" s="23">
        <v>11248</v>
      </c>
      <c r="J184" s="23">
        <v>0</v>
      </c>
      <c r="K184" s="23">
        <v>680</v>
      </c>
      <c r="L184" s="23" t="s">
        <v>348</v>
      </c>
      <c r="M184" s="23">
        <f t="shared" si="2"/>
        <v>627</v>
      </c>
      <c r="N184" s="24" t="str">
        <f t="array" ref="N184">INDEX('MATCH INFO'!O:O, INT((ROW()-2)/10)+2 + 157)</f>
        <v>260711_T1_ZETA_S4</v>
      </c>
    </row>
    <row r="185" spans="1:14">
      <c r="A185" s="23" t="s">
        <v>41</v>
      </c>
      <c r="B185" s="23" t="s">
        <v>158</v>
      </c>
      <c r="C185" s="23" t="s">
        <v>109</v>
      </c>
      <c r="D185" s="23" t="s">
        <v>90</v>
      </c>
      <c r="E185" s="23" t="s">
        <v>192</v>
      </c>
      <c r="F185" s="23">
        <v>16</v>
      </c>
      <c r="G185" s="23">
        <v>9</v>
      </c>
      <c r="H185" s="23">
        <v>23</v>
      </c>
      <c r="I185" s="23">
        <v>4093</v>
      </c>
      <c r="J185" s="23">
        <v>11226</v>
      </c>
      <c r="K185" s="23">
        <v>0</v>
      </c>
      <c r="L185" s="23" t="s">
        <v>348</v>
      </c>
      <c r="M185" s="23">
        <f t="shared" si="2"/>
        <v>627</v>
      </c>
      <c r="N185" s="24" t="str">
        <f t="array" ref="N185">INDEX('MATCH INFO'!O:O, INT((ROW()-2)/10)+2 + 157)</f>
        <v>260711_T1_ZETA_S4</v>
      </c>
    </row>
    <row r="186" spans="1:14">
      <c r="A186" s="23" t="s">
        <v>41</v>
      </c>
      <c r="B186" s="23" t="s">
        <v>154</v>
      </c>
      <c r="C186" s="23" t="s">
        <v>104</v>
      </c>
      <c r="D186" s="23" t="s">
        <v>90</v>
      </c>
      <c r="E186" s="23" t="s">
        <v>192</v>
      </c>
      <c r="F186" s="23">
        <v>23</v>
      </c>
      <c r="G186" s="23">
        <v>10</v>
      </c>
      <c r="H186" s="23">
        <v>0</v>
      </c>
      <c r="I186" s="23">
        <v>9904</v>
      </c>
      <c r="J186" s="23">
        <v>1645</v>
      </c>
      <c r="K186" s="23">
        <v>0</v>
      </c>
      <c r="L186" s="23" t="s">
        <v>348</v>
      </c>
      <c r="M186" s="23">
        <f t="shared" si="2"/>
        <v>627</v>
      </c>
      <c r="N186" s="24" t="str">
        <f t="array" ref="N186">INDEX('MATCH INFO'!O:O, INT((ROW()-2)/10)+2 + 157)</f>
        <v>260711_T1_ZETA_S4</v>
      </c>
    </row>
    <row r="187" spans="1:14">
      <c r="A187" s="23" t="s">
        <v>42</v>
      </c>
      <c r="B187" s="23" t="s">
        <v>139</v>
      </c>
      <c r="C187" s="23" t="s">
        <v>101</v>
      </c>
      <c r="D187" s="23" t="s">
        <v>90</v>
      </c>
      <c r="E187" s="23" t="s">
        <v>192</v>
      </c>
      <c r="F187" s="23">
        <v>27</v>
      </c>
      <c r="G187" s="23">
        <v>8</v>
      </c>
      <c r="H187" s="23">
        <v>23</v>
      </c>
      <c r="I187" s="23">
        <v>14329</v>
      </c>
      <c r="J187" s="23">
        <v>3823</v>
      </c>
      <c r="K187" s="23">
        <v>8748</v>
      </c>
      <c r="L187" s="23" t="s">
        <v>348</v>
      </c>
      <c r="M187" s="23">
        <f t="shared" si="2"/>
        <v>627</v>
      </c>
      <c r="N187" s="24" t="str">
        <f t="array" ref="N187">INDEX('MATCH INFO'!O:O, INT((ROW()-2)/10)+2 + 157)</f>
        <v>260711_T1_ZETA_S4</v>
      </c>
    </row>
    <row r="188" spans="1:14">
      <c r="A188" s="23" t="s">
        <v>42</v>
      </c>
      <c r="B188" s="23" t="s">
        <v>141</v>
      </c>
      <c r="C188" s="23" t="s">
        <v>104</v>
      </c>
      <c r="D188" s="23" t="s">
        <v>90</v>
      </c>
      <c r="E188" s="23" t="s">
        <v>192</v>
      </c>
      <c r="F188" s="23">
        <v>33</v>
      </c>
      <c r="G188" s="23">
        <v>7</v>
      </c>
      <c r="H188" s="23">
        <v>3</v>
      </c>
      <c r="I188" s="23">
        <v>11950</v>
      </c>
      <c r="J188" s="23">
        <v>0</v>
      </c>
      <c r="K188" s="23">
        <v>219</v>
      </c>
      <c r="L188" s="23" t="s">
        <v>348</v>
      </c>
      <c r="M188" s="23">
        <f t="shared" si="2"/>
        <v>627</v>
      </c>
      <c r="N188" s="24" t="str">
        <f t="array" ref="N188">INDEX('MATCH INFO'!O:O, INT((ROW()-2)/10)+2 + 157)</f>
        <v>260711_T1_ZETA_S4</v>
      </c>
    </row>
    <row r="189" spans="1:14">
      <c r="A189" s="23" t="s">
        <v>42</v>
      </c>
      <c r="B189" s="23" t="s">
        <v>140</v>
      </c>
      <c r="C189" s="23" t="s">
        <v>104</v>
      </c>
      <c r="D189" s="23" t="s">
        <v>90</v>
      </c>
      <c r="E189" s="23" t="s">
        <v>192</v>
      </c>
      <c r="F189" s="23">
        <v>32</v>
      </c>
      <c r="G189" s="23">
        <v>7</v>
      </c>
      <c r="H189" s="23">
        <v>0</v>
      </c>
      <c r="I189" s="23">
        <v>11959</v>
      </c>
      <c r="J189" s="23">
        <v>1535</v>
      </c>
      <c r="K189" s="23">
        <v>0</v>
      </c>
      <c r="L189" s="23" t="s">
        <v>348</v>
      </c>
      <c r="M189" s="23">
        <f t="shared" si="2"/>
        <v>627</v>
      </c>
      <c r="N189" s="24" t="str">
        <f t="array" ref="N189">INDEX('MATCH INFO'!O:O, INT((ROW()-2)/10)+2 + 157)</f>
        <v>260711_T1_ZETA_S4</v>
      </c>
    </row>
    <row r="190" spans="1:14">
      <c r="A190" s="23" t="s">
        <v>42</v>
      </c>
      <c r="B190" s="23" t="s">
        <v>143</v>
      </c>
      <c r="C190" s="23" t="s">
        <v>109</v>
      </c>
      <c r="D190" s="23" t="s">
        <v>90</v>
      </c>
      <c r="E190" s="23" t="s">
        <v>192</v>
      </c>
      <c r="F190" s="23">
        <v>15</v>
      </c>
      <c r="G190" s="23">
        <v>9</v>
      </c>
      <c r="H190" s="23">
        <v>27</v>
      </c>
      <c r="I190" s="23">
        <v>4750</v>
      </c>
      <c r="J190" s="23">
        <v>11369</v>
      </c>
      <c r="K190" s="23">
        <v>0</v>
      </c>
      <c r="L190" s="23" t="s">
        <v>348</v>
      </c>
      <c r="M190" s="23">
        <f t="shared" si="2"/>
        <v>627</v>
      </c>
      <c r="N190" s="24" t="str">
        <f t="array" ref="N190">INDEX('MATCH INFO'!O:O, INT((ROW()-2)/10)+2 + 157)</f>
        <v>260711_T1_ZETA_S4</v>
      </c>
    </row>
    <row r="191" spans="1:14">
      <c r="A191" s="23" t="s">
        <v>42</v>
      </c>
      <c r="B191" s="23" t="s">
        <v>142</v>
      </c>
      <c r="C191" s="23" t="s">
        <v>109</v>
      </c>
      <c r="D191" s="23" t="s">
        <v>90</v>
      </c>
      <c r="E191" s="23" t="s">
        <v>192</v>
      </c>
      <c r="F191" s="23">
        <v>25</v>
      </c>
      <c r="G191" s="23">
        <v>7</v>
      </c>
      <c r="H191" s="23">
        <v>20</v>
      </c>
      <c r="I191" s="23">
        <v>5091</v>
      </c>
      <c r="J191" s="23">
        <v>8607</v>
      </c>
      <c r="K191" s="23">
        <v>0</v>
      </c>
      <c r="L191" s="23" t="s">
        <v>348</v>
      </c>
      <c r="M191" s="23">
        <f t="shared" si="2"/>
        <v>627</v>
      </c>
      <c r="N191" s="24" t="str">
        <f t="array" ref="N191">INDEX('MATCH INFO'!O:O, INT((ROW()-2)/10)+2 + 157)</f>
        <v>260711_T1_ZETA_S4</v>
      </c>
    </row>
    <row r="192" spans="1:14">
      <c r="A192" s="23" t="s">
        <v>42</v>
      </c>
      <c r="B192" s="23" t="s">
        <v>139</v>
      </c>
      <c r="C192" s="23" t="s">
        <v>101</v>
      </c>
      <c r="D192" s="23" t="s">
        <v>89</v>
      </c>
      <c r="E192" s="23" t="s">
        <v>196</v>
      </c>
      <c r="F192" s="23">
        <v>29</v>
      </c>
      <c r="G192" s="23">
        <v>4</v>
      </c>
      <c r="H192" s="23">
        <v>11</v>
      </c>
      <c r="I192" s="23">
        <v>8431</v>
      </c>
      <c r="J192" s="23">
        <v>1392</v>
      </c>
      <c r="K192" s="23">
        <v>11741</v>
      </c>
      <c r="L192" s="23" t="s">
        <v>211</v>
      </c>
      <c r="M192" s="23">
        <f t="shared" si="2"/>
        <v>622</v>
      </c>
      <c r="N192" s="24" t="str">
        <f t="array" ref="N192">INDEX('MATCH INFO'!O:O, INT((ROW()-2)/10)+2 + 157)</f>
        <v>260711_T1_ZETA_S5</v>
      </c>
    </row>
    <row r="193" spans="1:14">
      <c r="A193" s="23" t="s">
        <v>42</v>
      </c>
      <c r="B193" s="23" t="s">
        <v>141</v>
      </c>
      <c r="C193" s="23" t="s">
        <v>104</v>
      </c>
      <c r="D193" s="23" t="s">
        <v>89</v>
      </c>
      <c r="E193" s="23" t="s">
        <v>196</v>
      </c>
      <c r="F193" s="23">
        <v>22</v>
      </c>
      <c r="G193" s="23">
        <v>5</v>
      </c>
      <c r="H193" s="23">
        <v>3</v>
      </c>
      <c r="I193" s="23">
        <v>8491</v>
      </c>
      <c r="J193" s="23">
        <v>333</v>
      </c>
      <c r="K193" s="23">
        <v>831</v>
      </c>
      <c r="L193" s="23" t="s">
        <v>211</v>
      </c>
      <c r="M193" s="23">
        <f t="shared" si="2"/>
        <v>622</v>
      </c>
      <c r="N193" s="24" t="str">
        <f t="array" ref="N193">INDEX('MATCH INFO'!O:O, INT((ROW()-2)/10)+2 + 157)</f>
        <v>260711_T1_ZETA_S5</v>
      </c>
    </row>
    <row r="194" spans="1:14">
      <c r="A194" s="23" t="s">
        <v>42</v>
      </c>
      <c r="B194" s="23" t="s">
        <v>140</v>
      </c>
      <c r="C194" s="23" t="s">
        <v>104</v>
      </c>
      <c r="D194" s="23" t="s">
        <v>89</v>
      </c>
      <c r="E194" s="23" t="s">
        <v>196</v>
      </c>
      <c r="F194" s="23">
        <v>23</v>
      </c>
      <c r="G194" s="23">
        <v>6</v>
      </c>
      <c r="H194" s="23">
        <v>1</v>
      </c>
      <c r="I194" s="23">
        <v>5962</v>
      </c>
      <c r="J194" s="23">
        <v>76</v>
      </c>
      <c r="K194" s="23">
        <v>0</v>
      </c>
      <c r="L194" s="23" t="s">
        <v>211</v>
      </c>
      <c r="M194" s="23">
        <f t="shared" ref="M194:M257" si="3">L194*86400</f>
        <v>622</v>
      </c>
      <c r="N194" s="24" t="str">
        <f t="array" ref="N194">INDEX('MATCH INFO'!O:O, INT((ROW()-2)/10)+2 + 157)</f>
        <v>260711_T1_ZETA_S5</v>
      </c>
    </row>
    <row r="195" spans="1:14">
      <c r="A195" s="23" t="s">
        <v>42</v>
      </c>
      <c r="B195" s="23" t="s">
        <v>143</v>
      </c>
      <c r="C195" s="23" t="s">
        <v>109</v>
      </c>
      <c r="D195" s="23" t="s">
        <v>89</v>
      </c>
      <c r="E195" s="23" t="s">
        <v>196</v>
      </c>
      <c r="F195" s="23">
        <v>11</v>
      </c>
      <c r="G195" s="23">
        <v>3</v>
      </c>
      <c r="H195" s="23">
        <v>16</v>
      </c>
      <c r="I195" s="23">
        <v>4047</v>
      </c>
      <c r="J195" s="23">
        <v>6504</v>
      </c>
      <c r="K195" s="23">
        <v>979</v>
      </c>
      <c r="L195" s="23" t="s">
        <v>211</v>
      </c>
      <c r="M195" s="23">
        <f t="shared" si="3"/>
        <v>622</v>
      </c>
      <c r="N195" s="24" t="str">
        <f t="array" ref="N195">INDEX('MATCH INFO'!O:O, INT((ROW()-2)/10)+2 + 157)</f>
        <v>260711_T1_ZETA_S5</v>
      </c>
    </row>
    <row r="196" spans="1:14">
      <c r="A196" s="23" t="s">
        <v>42</v>
      </c>
      <c r="B196" s="23" t="s">
        <v>142</v>
      </c>
      <c r="C196" s="23" t="s">
        <v>109</v>
      </c>
      <c r="D196" s="23" t="s">
        <v>89</v>
      </c>
      <c r="E196" s="23" t="s">
        <v>196</v>
      </c>
      <c r="F196" s="23">
        <v>8</v>
      </c>
      <c r="G196" s="23">
        <v>6</v>
      </c>
      <c r="H196" s="23">
        <v>6</v>
      </c>
      <c r="I196" s="23">
        <v>5798</v>
      </c>
      <c r="J196" s="23">
        <v>4845</v>
      </c>
      <c r="K196" s="23">
        <v>0</v>
      </c>
      <c r="L196" s="23" t="s">
        <v>211</v>
      </c>
      <c r="M196" s="23">
        <f t="shared" si="3"/>
        <v>622</v>
      </c>
      <c r="N196" s="24" t="str">
        <f t="array" ref="N196">INDEX('MATCH INFO'!O:O, INT((ROW()-2)/10)+2 + 157)</f>
        <v>260711_T1_ZETA_S5</v>
      </c>
    </row>
    <row r="197" spans="1:14">
      <c r="A197" s="23" t="s">
        <v>41</v>
      </c>
      <c r="B197" s="23" t="s">
        <v>157</v>
      </c>
      <c r="C197" s="23" t="s">
        <v>109</v>
      </c>
      <c r="D197" s="23" t="s">
        <v>89</v>
      </c>
      <c r="E197" s="23" t="s">
        <v>196</v>
      </c>
      <c r="F197" s="23">
        <v>6</v>
      </c>
      <c r="G197" s="23">
        <v>7</v>
      </c>
      <c r="H197" s="23">
        <v>11</v>
      </c>
      <c r="I197" s="23">
        <v>2014</v>
      </c>
      <c r="J197" s="23">
        <v>5542</v>
      </c>
      <c r="K197" s="23">
        <v>0</v>
      </c>
      <c r="L197" s="23" t="s">
        <v>211</v>
      </c>
      <c r="M197" s="23">
        <f t="shared" si="3"/>
        <v>622</v>
      </c>
      <c r="N197" s="24" t="str">
        <f t="array" ref="N197">INDEX('MATCH INFO'!O:O, INT((ROW()-2)/10)+2 + 157)</f>
        <v>260711_T1_ZETA_S5</v>
      </c>
    </row>
    <row r="198" spans="1:14">
      <c r="A198" s="23" t="s">
        <v>41</v>
      </c>
      <c r="B198" s="23" t="s">
        <v>152</v>
      </c>
      <c r="C198" s="23" t="s">
        <v>101</v>
      </c>
      <c r="D198" s="23" t="s">
        <v>89</v>
      </c>
      <c r="E198" s="23" t="s">
        <v>196</v>
      </c>
      <c r="F198" s="23">
        <v>12</v>
      </c>
      <c r="G198" s="23">
        <v>8</v>
      </c>
      <c r="H198" s="23">
        <v>6</v>
      </c>
      <c r="I198" s="23">
        <v>6568</v>
      </c>
      <c r="J198" s="23">
        <v>1220</v>
      </c>
      <c r="K198" s="23">
        <v>10185</v>
      </c>
      <c r="L198" s="23" t="s">
        <v>211</v>
      </c>
      <c r="M198" s="23">
        <f t="shared" si="3"/>
        <v>622</v>
      </c>
      <c r="N198" s="24" t="str">
        <f t="array" ref="N198">INDEX('MATCH INFO'!O:O, INT((ROW()-2)/10)+2 + 157)</f>
        <v>260711_T1_ZETA_S5</v>
      </c>
    </row>
    <row r="199" spans="1:14">
      <c r="A199" s="23" t="s">
        <v>41</v>
      </c>
      <c r="B199" s="23" t="s">
        <v>155</v>
      </c>
      <c r="C199" s="23" t="s">
        <v>104</v>
      </c>
      <c r="D199" s="23" t="s">
        <v>89</v>
      </c>
      <c r="E199" s="23" t="s">
        <v>196</v>
      </c>
      <c r="F199" s="23">
        <v>13</v>
      </c>
      <c r="G199" s="23">
        <v>9</v>
      </c>
      <c r="H199" s="23">
        <v>0</v>
      </c>
      <c r="I199" s="23">
        <v>7688</v>
      </c>
      <c r="J199" s="23">
        <v>0</v>
      </c>
      <c r="K199" s="23">
        <v>653</v>
      </c>
      <c r="L199" s="23" t="s">
        <v>211</v>
      </c>
      <c r="M199" s="23">
        <f t="shared" si="3"/>
        <v>622</v>
      </c>
      <c r="N199" s="24" t="str">
        <f t="array" ref="N199">INDEX('MATCH INFO'!O:O, INT((ROW()-2)/10)+2 + 157)</f>
        <v>260711_T1_ZETA_S5</v>
      </c>
    </row>
    <row r="200" spans="1:14">
      <c r="A200" s="23" t="s">
        <v>41</v>
      </c>
      <c r="B200" s="23" t="s">
        <v>158</v>
      </c>
      <c r="C200" s="23" t="s">
        <v>109</v>
      </c>
      <c r="D200" s="23" t="s">
        <v>89</v>
      </c>
      <c r="E200" s="23" t="s">
        <v>196</v>
      </c>
      <c r="F200" s="23">
        <v>6</v>
      </c>
      <c r="G200" s="23">
        <v>8</v>
      </c>
      <c r="H200" s="23">
        <v>6</v>
      </c>
      <c r="I200" s="23">
        <v>3366</v>
      </c>
      <c r="J200" s="23">
        <v>7871</v>
      </c>
      <c r="K200" s="23">
        <v>585</v>
      </c>
      <c r="L200" s="23" t="s">
        <v>211</v>
      </c>
      <c r="M200" s="23">
        <f t="shared" si="3"/>
        <v>622</v>
      </c>
      <c r="N200" s="24" t="str">
        <f t="array" ref="N200">INDEX('MATCH INFO'!O:O, INT((ROW()-2)/10)+2 + 157)</f>
        <v>260711_T1_ZETA_S5</v>
      </c>
    </row>
    <row r="201" spans="1:14">
      <c r="A201" s="23" t="s">
        <v>41</v>
      </c>
      <c r="B201" s="23" t="s">
        <v>154</v>
      </c>
      <c r="C201" s="23" t="s">
        <v>104</v>
      </c>
      <c r="D201" s="23" t="s">
        <v>89</v>
      </c>
      <c r="E201" s="23" t="s">
        <v>196</v>
      </c>
      <c r="F201" s="23">
        <v>9</v>
      </c>
      <c r="G201" s="23">
        <v>6</v>
      </c>
      <c r="H201" s="23">
        <v>0</v>
      </c>
      <c r="I201" s="23">
        <v>5702</v>
      </c>
      <c r="J201" s="23">
        <v>709</v>
      </c>
      <c r="K201" s="23">
        <v>837</v>
      </c>
      <c r="L201" s="23" t="s">
        <v>211</v>
      </c>
      <c r="M201" s="23">
        <f t="shared" si="3"/>
        <v>622</v>
      </c>
      <c r="N201" s="24" t="str">
        <f t="array" ref="N201">INDEX('MATCH INFO'!O:O, INT((ROW()-2)/10)+2 + 157)</f>
        <v>260711_T1_ZETA_S5</v>
      </c>
    </row>
    <row r="202" spans="1:14">
      <c r="A202" s="23" t="s">
        <v>41</v>
      </c>
      <c r="B202" s="23" t="s">
        <v>157</v>
      </c>
      <c r="C202" s="23" t="s">
        <v>109</v>
      </c>
      <c r="D202" s="23" t="s">
        <v>22</v>
      </c>
      <c r="E202" s="23" t="s">
        <v>188</v>
      </c>
      <c r="F202" s="23">
        <v>20</v>
      </c>
      <c r="G202" s="23">
        <v>3</v>
      </c>
      <c r="H202" s="23">
        <v>8</v>
      </c>
      <c r="I202" s="23">
        <v>4086</v>
      </c>
      <c r="J202" s="23">
        <v>4975</v>
      </c>
      <c r="K202" s="23">
        <v>0</v>
      </c>
      <c r="L202" s="23" t="s">
        <v>349</v>
      </c>
      <c r="M202" s="23">
        <f t="shared" si="3"/>
        <v>541</v>
      </c>
      <c r="N202" s="24" t="str">
        <f t="array" ref="N202">INDEX('MATCH INFO'!O:O, INT((ROW()-2)/10)+2 + 157)</f>
        <v>260712_ROZE_T1_S1</v>
      </c>
    </row>
    <row r="203" spans="1:14">
      <c r="A203" s="23" t="s">
        <v>41</v>
      </c>
      <c r="B203" s="23" t="s">
        <v>152</v>
      </c>
      <c r="C203" s="23" t="s">
        <v>101</v>
      </c>
      <c r="D203" s="23" t="s">
        <v>22</v>
      </c>
      <c r="E203" s="23" t="s">
        <v>188</v>
      </c>
      <c r="F203" s="23">
        <v>21</v>
      </c>
      <c r="G203" s="23">
        <v>1</v>
      </c>
      <c r="H203" s="23">
        <v>5</v>
      </c>
      <c r="I203" s="23">
        <v>7921</v>
      </c>
      <c r="J203" s="23">
        <v>1987</v>
      </c>
      <c r="K203" s="23">
        <v>6200</v>
      </c>
      <c r="L203" s="23" t="s">
        <v>349</v>
      </c>
      <c r="M203" s="23">
        <f t="shared" si="3"/>
        <v>541</v>
      </c>
      <c r="N203" s="24" t="str">
        <f t="array" ref="N203">INDEX('MATCH INFO'!O:O, INT((ROW()-2)/10)+2 + 157)</f>
        <v>260712_ROZE_T1_S1</v>
      </c>
    </row>
    <row r="204" spans="1:14">
      <c r="A204" s="23" t="s">
        <v>41</v>
      </c>
      <c r="B204" s="23" t="s">
        <v>155</v>
      </c>
      <c r="C204" s="23" t="s">
        <v>104</v>
      </c>
      <c r="D204" s="23" t="s">
        <v>22</v>
      </c>
      <c r="E204" s="23" t="s">
        <v>188</v>
      </c>
      <c r="F204" s="23">
        <v>21</v>
      </c>
      <c r="G204" s="23">
        <v>4</v>
      </c>
      <c r="H204" s="23">
        <v>0</v>
      </c>
      <c r="I204" s="23">
        <v>8762</v>
      </c>
      <c r="J204" s="23">
        <v>0</v>
      </c>
      <c r="K204" s="23">
        <v>504</v>
      </c>
      <c r="L204" s="23" t="s">
        <v>349</v>
      </c>
      <c r="M204" s="23">
        <f t="shared" si="3"/>
        <v>541</v>
      </c>
      <c r="N204" s="24" t="str">
        <f t="array" ref="N204">INDEX('MATCH INFO'!O:O, INT((ROW()-2)/10)+2 + 157)</f>
        <v>260712_ROZE_T1_S1</v>
      </c>
    </row>
    <row r="205" spans="1:14">
      <c r="A205" s="23" t="s">
        <v>41</v>
      </c>
      <c r="B205" s="23" t="s">
        <v>158</v>
      </c>
      <c r="C205" s="23" t="s">
        <v>109</v>
      </c>
      <c r="D205" s="23" t="s">
        <v>22</v>
      </c>
      <c r="E205" s="23" t="s">
        <v>188</v>
      </c>
      <c r="F205" s="23">
        <v>11</v>
      </c>
      <c r="G205" s="23">
        <v>4</v>
      </c>
      <c r="H205" s="23">
        <v>23</v>
      </c>
      <c r="I205" s="23">
        <v>3898</v>
      </c>
      <c r="J205" s="23">
        <v>7536</v>
      </c>
      <c r="K205" s="23">
        <v>0</v>
      </c>
      <c r="L205" s="23" t="s">
        <v>349</v>
      </c>
      <c r="M205" s="23">
        <f t="shared" si="3"/>
        <v>541</v>
      </c>
      <c r="N205" s="24" t="str">
        <f t="array" ref="N205">INDEX('MATCH INFO'!O:O, INT((ROW()-2)/10)+2 + 157)</f>
        <v>260712_ROZE_T1_S1</v>
      </c>
    </row>
    <row r="206" spans="1:14">
      <c r="A206" s="23" t="s">
        <v>41</v>
      </c>
      <c r="B206" s="23" t="s">
        <v>154</v>
      </c>
      <c r="C206" s="23" t="s">
        <v>104</v>
      </c>
      <c r="D206" s="23" t="s">
        <v>22</v>
      </c>
      <c r="E206" s="23" t="s">
        <v>188</v>
      </c>
      <c r="F206" s="23">
        <v>21</v>
      </c>
      <c r="G206" s="23">
        <v>3</v>
      </c>
      <c r="H206" s="23">
        <v>0</v>
      </c>
      <c r="I206" s="23">
        <v>8619</v>
      </c>
      <c r="J206" s="23">
        <v>82</v>
      </c>
      <c r="K206" s="23">
        <v>0</v>
      </c>
      <c r="L206" s="23" t="s">
        <v>349</v>
      </c>
      <c r="M206" s="23">
        <f t="shared" si="3"/>
        <v>541</v>
      </c>
      <c r="N206" s="24" t="str">
        <f t="array" ref="N206">INDEX('MATCH INFO'!O:O, INT((ROW()-2)/10)+2 + 157)</f>
        <v>260712_ROZE_T1_S1</v>
      </c>
    </row>
    <row r="207" spans="1:14">
      <c r="A207" s="23" t="s">
        <v>21</v>
      </c>
      <c r="B207" s="23" t="s">
        <v>117</v>
      </c>
      <c r="C207" s="23" t="s">
        <v>104</v>
      </c>
      <c r="D207" s="23" t="s">
        <v>22</v>
      </c>
      <c r="E207" s="23" t="s">
        <v>188</v>
      </c>
      <c r="F207" s="23">
        <v>6</v>
      </c>
      <c r="G207" s="23">
        <v>7</v>
      </c>
      <c r="H207" s="23">
        <v>0</v>
      </c>
      <c r="I207" s="23">
        <v>6190</v>
      </c>
      <c r="J207" s="23">
        <v>105</v>
      </c>
      <c r="K207" s="23">
        <v>0</v>
      </c>
      <c r="L207" s="23" t="s">
        <v>349</v>
      </c>
      <c r="M207" s="23">
        <f t="shared" si="3"/>
        <v>541</v>
      </c>
      <c r="N207" s="24" t="str">
        <f t="array" ref="N207">INDEX('MATCH INFO'!O:O, INT((ROW()-2)/10)+2 + 157)</f>
        <v>260712_ROZE_T1_S1</v>
      </c>
    </row>
    <row r="208" spans="1:14">
      <c r="A208" s="23" t="s">
        <v>21</v>
      </c>
      <c r="B208" s="23" t="s">
        <v>116</v>
      </c>
      <c r="C208" s="23" t="s">
        <v>101</v>
      </c>
      <c r="D208" s="23" t="s">
        <v>22</v>
      </c>
      <c r="E208" s="23" t="s">
        <v>188</v>
      </c>
      <c r="F208" s="23">
        <v>12</v>
      </c>
      <c r="G208" s="23">
        <v>5</v>
      </c>
      <c r="H208" s="23">
        <v>4</v>
      </c>
      <c r="I208" s="23">
        <v>5926</v>
      </c>
      <c r="J208" s="23">
        <v>1529</v>
      </c>
      <c r="K208" s="23">
        <v>5348</v>
      </c>
      <c r="L208" s="23" t="s">
        <v>349</v>
      </c>
      <c r="M208" s="23">
        <f t="shared" si="3"/>
        <v>541</v>
      </c>
      <c r="N208" s="24" t="str">
        <f t="array" ref="N208">INDEX('MATCH INFO'!O:O, INT((ROW()-2)/10)+2 + 157)</f>
        <v>260712_ROZE_T1_S1</v>
      </c>
    </row>
    <row r="209" spans="1:14">
      <c r="A209" s="23" t="s">
        <v>21</v>
      </c>
      <c r="B209" s="23" t="s">
        <v>122</v>
      </c>
      <c r="C209" s="23" t="s">
        <v>109</v>
      </c>
      <c r="D209" s="23" t="s">
        <v>22</v>
      </c>
      <c r="E209" s="23" t="s">
        <v>188</v>
      </c>
      <c r="F209" s="23">
        <v>2</v>
      </c>
      <c r="G209" s="23">
        <v>8</v>
      </c>
      <c r="H209" s="23">
        <v>5</v>
      </c>
      <c r="I209" s="23">
        <v>3623</v>
      </c>
      <c r="J209" s="23">
        <v>4580</v>
      </c>
      <c r="K209" s="23">
        <v>0</v>
      </c>
      <c r="L209" s="23" t="s">
        <v>349</v>
      </c>
      <c r="M209" s="23">
        <f t="shared" si="3"/>
        <v>541</v>
      </c>
      <c r="N209" s="24" t="str">
        <f t="array" ref="N209">INDEX('MATCH INFO'!O:O, INT((ROW()-2)/10)+2 + 157)</f>
        <v>260712_ROZE_T1_S1</v>
      </c>
    </row>
    <row r="210" spans="1:14">
      <c r="A210" s="23" t="s">
        <v>21</v>
      </c>
      <c r="B210" s="23" t="s">
        <v>120</v>
      </c>
      <c r="C210" s="23" t="s">
        <v>109</v>
      </c>
      <c r="D210" s="23" t="s">
        <v>22</v>
      </c>
      <c r="E210" s="23" t="s">
        <v>188</v>
      </c>
      <c r="F210" s="23">
        <v>7</v>
      </c>
      <c r="G210" s="23">
        <v>6</v>
      </c>
      <c r="H210" s="23">
        <v>2</v>
      </c>
      <c r="I210" s="23">
        <v>4351</v>
      </c>
      <c r="J210" s="23">
        <v>5816</v>
      </c>
      <c r="K210" s="23">
        <v>0</v>
      </c>
      <c r="L210" s="23" t="s">
        <v>349</v>
      </c>
      <c r="M210" s="23">
        <f t="shared" si="3"/>
        <v>541</v>
      </c>
      <c r="N210" s="24" t="str">
        <f t="array" ref="N210">INDEX('MATCH INFO'!O:O, INT((ROW()-2)/10)+2 + 157)</f>
        <v>260712_ROZE_T1_S1</v>
      </c>
    </row>
    <row r="211" spans="1:14">
      <c r="A211" s="23" t="s">
        <v>21</v>
      </c>
      <c r="B211" s="23" t="s">
        <v>119</v>
      </c>
      <c r="C211" s="23" t="s">
        <v>104</v>
      </c>
      <c r="D211" s="23" t="s">
        <v>22</v>
      </c>
      <c r="E211" s="23" t="s">
        <v>188</v>
      </c>
      <c r="F211" s="23">
        <v>12</v>
      </c>
      <c r="G211" s="23">
        <v>8</v>
      </c>
      <c r="H211" s="23">
        <v>1</v>
      </c>
      <c r="I211" s="23">
        <v>10207</v>
      </c>
      <c r="J211" s="23">
        <v>56</v>
      </c>
      <c r="K211" s="23">
        <v>269</v>
      </c>
      <c r="L211" s="23" t="s">
        <v>349</v>
      </c>
      <c r="M211" s="23">
        <f t="shared" si="3"/>
        <v>541</v>
      </c>
      <c r="N211" s="24" t="str">
        <f t="array" ref="N211">INDEX('MATCH INFO'!O:O, INT((ROW()-2)/10)+2 + 157)</f>
        <v>260712_ROZE_T1_S1</v>
      </c>
    </row>
    <row r="212" spans="1:14">
      <c r="A212" s="23" t="s">
        <v>41</v>
      </c>
      <c r="B212" s="23" t="s">
        <v>157</v>
      </c>
      <c r="C212" s="23" t="s">
        <v>109</v>
      </c>
      <c r="D212" s="23" t="s">
        <v>69</v>
      </c>
      <c r="E212" s="23" t="s">
        <v>201</v>
      </c>
      <c r="F212" s="23">
        <v>29</v>
      </c>
      <c r="G212" s="23">
        <v>7</v>
      </c>
      <c r="H212" s="23">
        <v>36</v>
      </c>
      <c r="I212" s="23">
        <v>3719</v>
      </c>
      <c r="J212" s="23">
        <v>14542</v>
      </c>
      <c r="K212" s="23">
        <v>0</v>
      </c>
      <c r="L212" s="23" t="s">
        <v>350</v>
      </c>
      <c r="M212" s="23">
        <f t="shared" si="3"/>
        <v>827.99999999999989</v>
      </c>
      <c r="N212" s="24" t="str">
        <f t="array" ref="N212">INDEX('MATCH INFO'!O:O, INT((ROW()-2)/10)+2 + 157)</f>
        <v>260712_ROZE_T1_S2</v>
      </c>
    </row>
    <row r="213" spans="1:14">
      <c r="A213" s="23" t="s">
        <v>41</v>
      </c>
      <c r="B213" s="23" t="s">
        <v>153</v>
      </c>
      <c r="C213" s="23" t="s">
        <v>101</v>
      </c>
      <c r="D213" s="23" t="s">
        <v>69</v>
      </c>
      <c r="E213" s="23" t="s">
        <v>201</v>
      </c>
      <c r="F213" s="23">
        <v>32</v>
      </c>
      <c r="G213" s="23">
        <v>8</v>
      </c>
      <c r="H213" s="23">
        <v>2</v>
      </c>
      <c r="I213" s="23">
        <v>13611</v>
      </c>
      <c r="J213" s="23">
        <v>1169</v>
      </c>
      <c r="K213" s="23">
        <v>17213</v>
      </c>
      <c r="L213" s="23" t="s">
        <v>350</v>
      </c>
      <c r="M213" s="23">
        <f t="shared" si="3"/>
        <v>827.99999999999989</v>
      </c>
      <c r="N213" s="24" t="str">
        <f t="array" ref="N213">INDEX('MATCH INFO'!O:O, INT((ROW()-2)/10)+2 + 157)</f>
        <v>260712_ROZE_T1_S2</v>
      </c>
    </row>
    <row r="214" spans="1:14">
      <c r="A214" s="23" t="s">
        <v>41</v>
      </c>
      <c r="B214" s="23" t="s">
        <v>155</v>
      </c>
      <c r="C214" s="23" t="s">
        <v>104</v>
      </c>
      <c r="D214" s="23" t="s">
        <v>69</v>
      </c>
      <c r="E214" s="23" t="s">
        <v>201</v>
      </c>
      <c r="F214" s="23">
        <v>29</v>
      </c>
      <c r="G214" s="23">
        <v>11</v>
      </c>
      <c r="H214" s="23">
        <v>1</v>
      </c>
      <c r="I214" s="23">
        <v>12144</v>
      </c>
      <c r="J214" s="23">
        <v>0</v>
      </c>
      <c r="K214" s="23">
        <v>0</v>
      </c>
      <c r="L214" s="23" t="s">
        <v>350</v>
      </c>
      <c r="M214" s="23">
        <f t="shared" si="3"/>
        <v>827.99999999999989</v>
      </c>
      <c r="N214" s="24" t="str">
        <f t="array" ref="N214">INDEX('MATCH INFO'!O:O, INT((ROW()-2)/10)+2 + 157)</f>
        <v>260712_ROZE_T1_S2</v>
      </c>
    </row>
    <row r="215" spans="1:14">
      <c r="A215" s="23" t="s">
        <v>41</v>
      </c>
      <c r="B215" s="23" t="s">
        <v>158</v>
      </c>
      <c r="C215" s="23" t="s">
        <v>109</v>
      </c>
      <c r="D215" s="23" t="s">
        <v>69</v>
      </c>
      <c r="E215" s="23" t="s">
        <v>201</v>
      </c>
      <c r="F215" s="23">
        <v>29</v>
      </c>
      <c r="G215" s="23">
        <v>6</v>
      </c>
      <c r="H215" s="23">
        <v>25</v>
      </c>
      <c r="I215" s="23">
        <v>8822</v>
      </c>
      <c r="J215" s="23">
        <v>9579</v>
      </c>
      <c r="K215" s="23">
        <v>426</v>
      </c>
      <c r="L215" s="23" t="s">
        <v>350</v>
      </c>
      <c r="M215" s="23">
        <f t="shared" si="3"/>
        <v>827.99999999999989</v>
      </c>
      <c r="N215" s="24" t="str">
        <f t="array" ref="N215">INDEX('MATCH INFO'!O:O, INT((ROW()-2)/10)+2 + 157)</f>
        <v>260712_ROZE_T1_S2</v>
      </c>
    </row>
    <row r="216" spans="1:14">
      <c r="A216" s="23" t="s">
        <v>41</v>
      </c>
      <c r="B216" s="23" t="s">
        <v>154</v>
      </c>
      <c r="C216" s="23" t="s">
        <v>104</v>
      </c>
      <c r="D216" s="23" t="s">
        <v>69</v>
      </c>
      <c r="E216" s="23" t="s">
        <v>201</v>
      </c>
      <c r="F216" s="23">
        <v>37</v>
      </c>
      <c r="G216" s="23">
        <v>7</v>
      </c>
      <c r="H216" s="23">
        <v>1</v>
      </c>
      <c r="I216" s="23">
        <v>15772</v>
      </c>
      <c r="J216" s="23">
        <v>1671</v>
      </c>
      <c r="K216" s="23">
        <v>0</v>
      </c>
      <c r="L216" s="23" t="s">
        <v>350</v>
      </c>
      <c r="M216" s="23">
        <f t="shared" si="3"/>
        <v>827.99999999999989</v>
      </c>
      <c r="N216" s="24" t="str">
        <f t="array" ref="N216">INDEX('MATCH INFO'!O:O, INT((ROW()-2)/10)+2 + 157)</f>
        <v>260712_ROZE_T1_S2</v>
      </c>
    </row>
    <row r="217" spans="1:14">
      <c r="A217" s="23" t="s">
        <v>21</v>
      </c>
      <c r="B217" s="23" t="s">
        <v>117</v>
      </c>
      <c r="C217" s="23" t="s">
        <v>104</v>
      </c>
      <c r="D217" s="23" t="s">
        <v>69</v>
      </c>
      <c r="E217" s="23" t="s">
        <v>201</v>
      </c>
      <c r="F217" s="23">
        <v>17</v>
      </c>
      <c r="G217" s="23">
        <v>11</v>
      </c>
      <c r="H217" s="23">
        <v>0</v>
      </c>
      <c r="I217" s="23">
        <v>9903</v>
      </c>
      <c r="J217" s="23">
        <v>1653</v>
      </c>
      <c r="K217" s="23">
        <v>0</v>
      </c>
      <c r="L217" s="23" t="s">
        <v>350</v>
      </c>
      <c r="M217" s="23">
        <f t="shared" si="3"/>
        <v>827.99999999999989</v>
      </c>
      <c r="N217" s="24" t="str">
        <f t="array" ref="N217">INDEX('MATCH INFO'!O:O, INT((ROW()-2)/10)+2 + 157)</f>
        <v>260712_ROZE_T1_S2</v>
      </c>
    </row>
    <row r="218" spans="1:14">
      <c r="A218" s="23" t="s">
        <v>21</v>
      </c>
      <c r="B218" s="23" t="s">
        <v>116</v>
      </c>
      <c r="C218" s="23" t="s">
        <v>101</v>
      </c>
      <c r="D218" s="23" t="s">
        <v>69</v>
      </c>
      <c r="E218" s="23" t="s">
        <v>201</v>
      </c>
      <c r="F218" s="23">
        <v>16</v>
      </c>
      <c r="G218" s="23">
        <v>14</v>
      </c>
      <c r="H218" s="23">
        <v>11</v>
      </c>
      <c r="I218" s="23">
        <v>11162</v>
      </c>
      <c r="J218" s="23">
        <v>2609</v>
      </c>
      <c r="K218" s="23">
        <v>12083</v>
      </c>
      <c r="L218" s="23" t="s">
        <v>350</v>
      </c>
      <c r="M218" s="23">
        <f t="shared" si="3"/>
        <v>827.99999999999989</v>
      </c>
      <c r="N218" s="24" t="str">
        <f t="array" ref="N218">INDEX('MATCH INFO'!O:O, INT((ROW()-2)/10)+2 + 157)</f>
        <v>260712_ROZE_T1_S2</v>
      </c>
    </row>
    <row r="219" spans="1:14">
      <c r="A219" s="23" t="s">
        <v>21</v>
      </c>
      <c r="B219" s="23" t="s">
        <v>122</v>
      </c>
      <c r="C219" s="23" t="s">
        <v>109</v>
      </c>
      <c r="D219" s="23" t="s">
        <v>69</v>
      </c>
      <c r="E219" s="23" t="s">
        <v>201</v>
      </c>
      <c r="F219" s="23">
        <v>19</v>
      </c>
      <c r="G219" s="23">
        <v>8</v>
      </c>
      <c r="H219" s="23">
        <v>17</v>
      </c>
      <c r="I219" s="23">
        <v>5661</v>
      </c>
      <c r="J219" s="23">
        <v>10934</v>
      </c>
      <c r="K219" s="23">
        <v>1234</v>
      </c>
      <c r="L219" s="23" t="s">
        <v>350</v>
      </c>
      <c r="M219" s="23">
        <f t="shared" si="3"/>
        <v>827.99999999999989</v>
      </c>
      <c r="N219" s="24" t="str">
        <f t="array" ref="N219">INDEX('MATCH INFO'!O:O, INT((ROW()-2)/10)+2 + 157)</f>
        <v>260712_ROZE_T1_S2</v>
      </c>
    </row>
    <row r="220" spans="1:14">
      <c r="A220" s="23" t="s">
        <v>21</v>
      </c>
      <c r="B220" s="23" t="s">
        <v>120</v>
      </c>
      <c r="C220" s="23" t="s">
        <v>109</v>
      </c>
      <c r="D220" s="23" t="s">
        <v>69</v>
      </c>
      <c r="E220" s="23" t="s">
        <v>201</v>
      </c>
      <c r="F220" s="23">
        <v>20</v>
      </c>
      <c r="G220" s="23">
        <v>10</v>
      </c>
      <c r="H220" s="23">
        <v>11</v>
      </c>
      <c r="I220" s="23">
        <v>5567</v>
      </c>
      <c r="J220" s="23">
        <v>10532</v>
      </c>
      <c r="K220" s="23">
        <v>0</v>
      </c>
      <c r="L220" s="23" t="s">
        <v>350</v>
      </c>
      <c r="M220" s="23">
        <f t="shared" si="3"/>
        <v>827.99999999999989</v>
      </c>
      <c r="N220" s="24" t="str">
        <f t="array" ref="N220">INDEX('MATCH INFO'!O:O, INT((ROW()-2)/10)+2 + 157)</f>
        <v>260712_ROZE_T1_S2</v>
      </c>
    </row>
    <row r="221" spans="1:14">
      <c r="A221" s="23" t="s">
        <v>21</v>
      </c>
      <c r="B221" s="23" t="s">
        <v>119</v>
      </c>
      <c r="C221" s="23" t="s">
        <v>104</v>
      </c>
      <c r="D221" s="23" t="s">
        <v>69</v>
      </c>
      <c r="E221" s="23" t="s">
        <v>201</v>
      </c>
      <c r="F221" s="23">
        <v>22</v>
      </c>
      <c r="G221" s="23">
        <v>11</v>
      </c>
      <c r="H221" s="23">
        <v>0</v>
      </c>
      <c r="I221" s="23">
        <v>14033</v>
      </c>
      <c r="J221" s="23">
        <v>408</v>
      </c>
      <c r="K221" s="23">
        <v>276</v>
      </c>
      <c r="L221" s="23" t="s">
        <v>350</v>
      </c>
      <c r="M221" s="23">
        <f t="shared" si="3"/>
        <v>827.99999999999989</v>
      </c>
      <c r="N221" s="24" t="str">
        <f t="array" ref="N221">INDEX('MATCH INFO'!O:O, INT((ROW()-2)/10)+2 + 157)</f>
        <v>260712_ROZE_T1_S2</v>
      </c>
    </row>
    <row r="222" spans="1:14">
      <c r="A222" s="23" t="s">
        <v>21</v>
      </c>
      <c r="B222" s="23" t="s">
        <v>117</v>
      </c>
      <c r="C222" s="23" t="s">
        <v>104</v>
      </c>
      <c r="D222" s="23" t="s">
        <v>44</v>
      </c>
      <c r="E222" s="23" t="s">
        <v>190</v>
      </c>
      <c r="F222" s="23">
        <v>8</v>
      </c>
      <c r="G222" s="23">
        <v>9</v>
      </c>
      <c r="H222" s="23">
        <v>1</v>
      </c>
      <c r="I222" s="23">
        <v>6146</v>
      </c>
      <c r="J222" s="23">
        <v>198</v>
      </c>
      <c r="K222" s="23">
        <v>1065</v>
      </c>
      <c r="L222" s="23" t="s">
        <v>351</v>
      </c>
      <c r="M222" s="23">
        <f t="shared" si="3"/>
        <v>431</v>
      </c>
      <c r="N222" s="24" t="str">
        <f t="array" ref="N222">INDEX('MATCH INFO'!O:O, INT((ROW()-2)/10)+2 + 157)</f>
        <v>260712_ROZE_T1_S3</v>
      </c>
    </row>
    <row r="223" spans="1:14">
      <c r="A223" s="23" t="s">
        <v>21</v>
      </c>
      <c r="B223" s="23" t="s">
        <v>116</v>
      </c>
      <c r="C223" s="23" t="s">
        <v>101</v>
      </c>
      <c r="D223" s="23" t="s">
        <v>44</v>
      </c>
      <c r="E223" s="23" t="s">
        <v>190</v>
      </c>
      <c r="F223" s="23">
        <v>7</v>
      </c>
      <c r="G223" s="23">
        <v>5</v>
      </c>
      <c r="H223" s="23">
        <v>4</v>
      </c>
      <c r="I223" s="23">
        <v>9257</v>
      </c>
      <c r="J223" s="23">
        <v>2876</v>
      </c>
      <c r="K223" s="23">
        <v>4851</v>
      </c>
      <c r="L223" s="23" t="s">
        <v>351</v>
      </c>
      <c r="M223" s="23">
        <f t="shared" si="3"/>
        <v>431</v>
      </c>
      <c r="N223" s="24" t="str">
        <f t="array" ref="N223">INDEX('MATCH INFO'!O:O, INT((ROW()-2)/10)+2 + 157)</f>
        <v>260712_ROZE_T1_S3</v>
      </c>
    </row>
    <row r="224" spans="1:14">
      <c r="A224" s="23" t="s">
        <v>21</v>
      </c>
      <c r="B224" s="23" t="s">
        <v>122</v>
      </c>
      <c r="C224" s="23" t="s">
        <v>109</v>
      </c>
      <c r="D224" s="23" t="s">
        <v>44</v>
      </c>
      <c r="E224" s="23" t="s">
        <v>190</v>
      </c>
      <c r="F224" s="23">
        <v>2</v>
      </c>
      <c r="G224" s="23">
        <v>5</v>
      </c>
      <c r="H224" s="23">
        <v>9</v>
      </c>
      <c r="I224" s="23">
        <v>4204</v>
      </c>
      <c r="J224" s="23">
        <v>8688</v>
      </c>
      <c r="K224" s="23">
        <v>0</v>
      </c>
      <c r="L224" s="23" t="s">
        <v>351</v>
      </c>
      <c r="M224" s="23">
        <f t="shared" si="3"/>
        <v>431</v>
      </c>
      <c r="N224" s="24" t="str">
        <f t="array" ref="N224">INDEX('MATCH INFO'!O:O, INT((ROW()-2)/10)+2 + 157)</f>
        <v>260712_ROZE_T1_S3</v>
      </c>
    </row>
    <row r="225" spans="1:14">
      <c r="A225" s="23" t="s">
        <v>21</v>
      </c>
      <c r="B225" s="23" t="s">
        <v>120</v>
      </c>
      <c r="C225" s="23" t="s">
        <v>109</v>
      </c>
      <c r="D225" s="23" t="s">
        <v>44</v>
      </c>
      <c r="E225" s="23" t="s">
        <v>190</v>
      </c>
      <c r="F225" s="23">
        <v>5</v>
      </c>
      <c r="G225" s="23">
        <v>7</v>
      </c>
      <c r="H225" s="23">
        <v>5</v>
      </c>
      <c r="I225" s="23">
        <v>3330</v>
      </c>
      <c r="J225" s="23">
        <v>3555</v>
      </c>
      <c r="K225" s="23">
        <v>1179</v>
      </c>
      <c r="L225" s="23" t="s">
        <v>351</v>
      </c>
      <c r="M225" s="23">
        <f t="shared" si="3"/>
        <v>431</v>
      </c>
      <c r="N225" s="24" t="str">
        <f t="array" ref="N225">INDEX('MATCH INFO'!O:O, INT((ROW()-2)/10)+2 + 157)</f>
        <v>260712_ROZE_T1_S3</v>
      </c>
    </row>
    <row r="226" spans="1:14">
      <c r="A226" s="23" t="s">
        <v>21</v>
      </c>
      <c r="B226" s="23" t="s">
        <v>119</v>
      </c>
      <c r="C226" s="23" t="s">
        <v>104</v>
      </c>
      <c r="D226" s="23" t="s">
        <v>44</v>
      </c>
      <c r="E226" s="23" t="s">
        <v>190</v>
      </c>
      <c r="F226" s="23">
        <v>4</v>
      </c>
      <c r="G226" s="23">
        <v>7</v>
      </c>
      <c r="H226" s="23">
        <v>0</v>
      </c>
      <c r="I226" s="23">
        <v>6856</v>
      </c>
      <c r="J226" s="23">
        <v>157</v>
      </c>
      <c r="K226" s="23">
        <v>0</v>
      </c>
      <c r="L226" s="23" t="s">
        <v>351</v>
      </c>
      <c r="M226" s="23">
        <f t="shared" si="3"/>
        <v>431</v>
      </c>
      <c r="N226" s="24" t="str">
        <f t="array" ref="N226">INDEX('MATCH INFO'!O:O, INT((ROW()-2)/10)+2 + 157)</f>
        <v>260712_ROZE_T1_S3</v>
      </c>
    </row>
    <row r="227" spans="1:14">
      <c r="A227" s="23" t="s">
        <v>41</v>
      </c>
      <c r="B227" s="23" t="s">
        <v>157</v>
      </c>
      <c r="C227" s="23" t="s">
        <v>109</v>
      </c>
      <c r="D227" s="23" t="s">
        <v>44</v>
      </c>
      <c r="E227" s="23" t="s">
        <v>190</v>
      </c>
      <c r="F227" s="23">
        <v>16</v>
      </c>
      <c r="G227" s="23">
        <v>2</v>
      </c>
      <c r="H227" s="23">
        <v>16</v>
      </c>
      <c r="I227" s="23">
        <v>3313</v>
      </c>
      <c r="J227" s="23">
        <v>5522</v>
      </c>
      <c r="K227" s="23">
        <v>1137</v>
      </c>
      <c r="L227" s="23" t="s">
        <v>351</v>
      </c>
      <c r="M227" s="23">
        <f t="shared" si="3"/>
        <v>431</v>
      </c>
      <c r="N227" s="24" t="str">
        <f t="array" ref="N227">INDEX('MATCH INFO'!O:O, INT((ROW()-2)/10)+2 + 157)</f>
        <v>260712_ROZE_T1_S3</v>
      </c>
    </row>
    <row r="228" spans="1:14">
      <c r="A228" s="23" t="s">
        <v>41</v>
      </c>
      <c r="B228" s="23" t="s">
        <v>152</v>
      </c>
      <c r="C228" s="23" t="s">
        <v>101</v>
      </c>
      <c r="D228" s="23" t="s">
        <v>44</v>
      </c>
      <c r="E228" s="23" t="s">
        <v>190</v>
      </c>
      <c r="F228" s="23">
        <v>22</v>
      </c>
      <c r="G228" s="23">
        <v>2</v>
      </c>
      <c r="H228" s="23">
        <v>10</v>
      </c>
      <c r="I228" s="23">
        <v>11134</v>
      </c>
      <c r="J228" s="23">
        <v>2853</v>
      </c>
      <c r="K228" s="23">
        <v>5474</v>
      </c>
      <c r="L228" s="23" t="s">
        <v>351</v>
      </c>
      <c r="M228" s="23">
        <f t="shared" si="3"/>
        <v>431</v>
      </c>
      <c r="N228" s="24" t="str">
        <f t="array" ref="N228">INDEX('MATCH INFO'!O:O, INT((ROW()-2)/10)+2 + 157)</f>
        <v>260712_ROZE_T1_S3</v>
      </c>
    </row>
    <row r="229" spans="1:14">
      <c r="A229" s="23" t="s">
        <v>41</v>
      </c>
      <c r="B229" s="23" t="s">
        <v>155</v>
      </c>
      <c r="C229" s="23" t="s">
        <v>104</v>
      </c>
      <c r="D229" s="23" t="s">
        <v>44</v>
      </c>
      <c r="E229" s="23" t="s">
        <v>190</v>
      </c>
      <c r="F229" s="23">
        <v>18</v>
      </c>
      <c r="G229" s="23">
        <v>4</v>
      </c>
      <c r="H229" s="23">
        <v>0</v>
      </c>
      <c r="I229" s="23">
        <v>7114</v>
      </c>
      <c r="J229" s="23">
        <v>0</v>
      </c>
      <c r="K229" s="23">
        <v>0</v>
      </c>
      <c r="L229" s="23" t="s">
        <v>351</v>
      </c>
      <c r="M229" s="23">
        <f t="shared" si="3"/>
        <v>431</v>
      </c>
      <c r="N229" s="24" t="str">
        <f t="array" ref="N229">INDEX('MATCH INFO'!O:O, INT((ROW()-2)/10)+2 + 157)</f>
        <v>260712_ROZE_T1_S3</v>
      </c>
    </row>
    <row r="230" spans="1:14">
      <c r="A230" s="23" t="s">
        <v>41</v>
      </c>
      <c r="B230" s="23" t="s">
        <v>158</v>
      </c>
      <c r="C230" s="23" t="s">
        <v>109</v>
      </c>
      <c r="D230" s="23" t="s">
        <v>44</v>
      </c>
      <c r="E230" s="23" t="s">
        <v>190</v>
      </c>
      <c r="F230" s="23">
        <v>14</v>
      </c>
      <c r="G230" s="23">
        <v>1</v>
      </c>
      <c r="H230" s="23">
        <v>21</v>
      </c>
      <c r="I230" s="23">
        <v>3448</v>
      </c>
      <c r="J230" s="23">
        <v>10987</v>
      </c>
      <c r="K230" s="23">
        <v>0</v>
      </c>
      <c r="L230" s="23" t="s">
        <v>351</v>
      </c>
      <c r="M230" s="23">
        <f t="shared" si="3"/>
        <v>431</v>
      </c>
      <c r="N230" s="24" t="str">
        <f t="array" ref="N230">INDEX('MATCH INFO'!O:O, INT((ROW()-2)/10)+2 + 157)</f>
        <v>260712_ROZE_T1_S3</v>
      </c>
    </row>
    <row r="231" spans="1:14">
      <c r="A231" s="23" t="s">
        <v>41</v>
      </c>
      <c r="B231" s="23" t="s">
        <v>154</v>
      </c>
      <c r="C231" s="23" t="s">
        <v>104</v>
      </c>
      <c r="D231" s="23" t="s">
        <v>44</v>
      </c>
      <c r="E231" s="23" t="s">
        <v>190</v>
      </c>
      <c r="F231" s="23">
        <v>21</v>
      </c>
      <c r="G231" s="23">
        <v>1</v>
      </c>
      <c r="H231" s="23">
        <v>3</v>
      </c>
      <c r="I231" s="23">
        <v>8064</v>
      </c>
      <c r="J231" s="23">
        <v>0</v>
      </c>
      <c r="K231" s="23">
        <v>155</v>
      </c>
      <c r="L231" s="23" t="s">
        <v>351</v>
      </c>
      <c r="M231" s="23">
        <f t="shared" si="3"/>
        <v>431</v>
      </c>
      <c r="N231" s="24" t="str">
        <f t="array" ref="N231">INDEX('MATCH INFO'!O:O, INT((ROW()-2)/10)+2 + 157)</f>
        <v>260712_ROZE_T1_S3</v>
      </c>
    </row>
    <row r="232" spans="1:14">
      <c r="A232" s="23" t="s">
        <v>21</v>
      </c>
      <c r="B232" s="23" t="s">
        <v>117</v>
      </c>
      <c r="C232" s="23" t="s">
        <v>104</v>
      </c>
      <c r="D232" s="23" t="s">
        <v>90</v>
      </c>
      <c r="E232" s="23" t="s">
        <v>192</v>
      </c>
      <c r="F232" s="23">
        <v>26</v>
      </c>
      <c r="G232" s="23">
        <v>6</v>
      </c>
      <c r="H232" s="23">
        <v>2</v>
      </c>
      <c r="I232" s="23">
        <v>9215</v>
      </c>
      <c r="J232" s="23">
        <v>577</v>
      </c>
      <c r="K232" s="23">
        <v>679</v>
      </c>
      <c r="L232" s="23" t="s">
        <v>198</v>
      </c>
      <c r="M232" s="23">
        <f t="shared" si="3"/>
        <v>619</v>
      </c>
      <c r="N232" s="24" t="str">
        <f t="array" ref="N232">INDEX('MATCH INFO'!O:O, INT((ROW()-2)/10)+2 + 157)</f>
        <v>260712_ROZE_T1_S4</v>
      </c>
    </row>
    <row r="233" spans="1:14">
      <c r="A233" s="23" t="s">
        <v>21</v>
      </c>
      <c r="B233" s="23" t="s">
        <v>116</v>
      </c>
      <c r="C233" s="23" t="s">
        <v>101</v>
      </c>
      <c r="D233" s="23" t="s">
        <v>90</v>
      </c>
      <c r="E233" s="23" t="s">
        <v>192</v>
      </c>
      <c r="F233" s="23">
        <v>25</v>
      </c>
      <c r="G233" s="23">
        <v>6</v>
      </c>
      <c r="H233" s="23">
        <v>22</v>
      </c>
      <c r="I233" s="23">
        <v>16171</v>
      </c>
      <c r="J233" s="23">
        <v>4156</v>
      </c>
      <c r="K233" s="23">
        <v>7321</v>
      </c>
      <c r="L233" s="23" t="s">
        <v>198</v>
      </c>
      <c r="M233" s="23">
        <f t="shared" si="3"/>
        <v>619</v>
      </c>
      <c r="N233" s="24" t="str">
        <f t="array" ref="N233">INDEX('MATCH INFO'!O:O, INT((ROW()-2)/10)+2 + 157)</f>
        <v>260712_ROZE_T1_S4</v>
      </c>
    </row>
    <row r="234" spans="1:14">
      <c r="A234" s="23" t="s">
        <v>21</v>
      </c>
      <c r="B234" s="23" t="s">
        <v>122</v>
      </c>
      <c r="C234" s="23" t="s">
        <v>109</v>
      </c>
      <c r="D234" s="23" t="s">
        <v>90</v>
      </c>
      <c r="E234" s="23" t="s">
        <v>192</v>
      </c>
      <c r="F234" s="23">
        <v>18</v>
      </c>
      <c r="G234" s="23">
        <v>8</v>
      </c>
      <c r="H234" s="23">
        <v>24</v>
      </c>
      <c r="I234" s="23">
        <v>5875</v>
      </c>
      <c r="J234" s="23">
        <v>13726</v>
      </c>
      <c r="K234" s="23">
        <v>0</v>
      </c>
      <c r="L234" s="23" t="s">
        <v>198</v>
      </c>
      <c r="M234" s="23">
        <f t="shared" si="3"/>
        <v>619</v>
      </c>
      <c r="N234" s="24" t="str">
        <f t="array" ref="N234">INDEX('MATCH INFO'!O:O, INT((ROW()-2)/10)+2 + 157)</f>
        <v>260712_ROZE_T1_S4</v>
      </c>
    </row>
    <row r="235" spans="1:14">
      <c r="A235" s="23" t="s">
        <v>21</v>
      </c>
      <c r="B235" s="23" t="s">
        <v>120</v>
      </c>
      <c r="C235" s="23" t="s">
        <v>109</v>
      </c>
      <c r="D235" s="23" t="s">
        <v>90</v>
      </c>
      <c r="E235" s="23" t="s">
        <v>192</v>
      </c>
      <c r="F235" s="23">
        <v>17</v>
      </c>
      <c r="G235" s="23">
        <v>7</v>
      </c>
      <c r="H235" s="23">
        <v>19</v>
      </c>
      <c r="I235" s="23">
        <v>3568</v>
      </c>
      <c r="J235" s="23">
        <v>8353</v>
      </c>
      <c r="K235" s="23">
        <v>1903</v>
      </c>
      <c r="L235" s="23" t="s">
        <v>198</v>
      </c>
      <c r="M235" s="23">
        <f t="shared" si="3"/>
        <v>619</v>
      </c>
      <c r="N235" s="24" t="str">
        <f t="array" ref="N235">INDEX('MATCH INFO'!O:O, INT((ROW()-2)/10)+2 + 157)</f>
        <v>260712_ROZE_T1_S4</v>
      </c>
    </row>
    <row r="236" spans="1:14">
      <c r="A236" s="23" t="s">
        <v>21</v>
      </c>
      <c r="B236" s="23" t="s">
        <v>119</v>
      </c>
      <c r="C236" s="23" t="s">
        <v>104</v>
      </c>
      <c r="D236" s="23" t="s">
        <v>90</v>
      </c>
      <c r="E236" s="23" t="s">
        <v>192</v>
      </c>
      <c r="F236" s="23">
        <v>22</v>
      </c>
      <c r="G236" s="23">
        <v>7</v>
      </c>
      <c r="H236" s="23">
        <v>5</v>
      </c>
      <c r="I236" s="23">
        <v>11877</v>
      </c>
      <c r="J236" s="23">
        <v>75</v>
      </c>
      <c r="K236" s="23">
        <v>721</v>
      </c>
      <c r="L236" s="23" t="s">
        <v>198</v>
      </c>
      <c r="M236" s="23">
        <f t="shared" si="3"/>
        <v>619</v>
      </c>
      <c r="N236" s="24" t="str">
        <f t="array" ref="N236">INDEX('MATCH INFO'!O:O, INT((ROW()-2)/10)+2 + 157)</f>
        <v>260712_ROZE_T1_S4</v>
      </c>
    </row>
    <row r="237" spans="1:14">
      <c r="A237" s="23" t="s">
        <v>41</v>
      </c>
      <c r="B237" s="23" t="s">
        <v>157</v>
      </c>
      <c r="C237" s="23" t="s">
        <v>109</v>
      </c>
      <c r="D237" s="23" t="s">
        <v>90</v>
      </c>
      <c r="E237" s="23" t="s">
        <v>192</v>
      </c>
      <c r="F237" s="23">
        <v>17</v>
      </c>
      <c r="G237" s="23">
        <v>6</v>
      </c>
      <c r="H237" s="23">
        <v>16</v>
      </c>
      <c r="I237" s="23">
        <v>4230</v>
      </c>
      <c r="J237" s="23">
        <v>6454</v>
      </c>
      <c r="K237" s="23">
        <v>2496</v>
      </c>
      <c r="L237" s="23" t="s">
        <v>198</v>
      </c>
      <c r="M237" s="23">
        <f t="shared" si="3"/>
        <v>619</v>
      </c>
      <c r="N237" s="24" t="str">
        <f t="array" ref="N237">INDEX('MATCH INFO'!O:O, INT((ROW()-2)/10)+2 + 157)</f>
        <v>260712_ROZE_T1_S4</v>
      </c>
    </row>
    <row r="238" spans="1:14">
      <c r="A238" s="23" t="s">
        <v>41</v>
      </c>
      <c r="B238" s="23" t="s">
        <v>152</v>
      </c>
      <c r="C238" s="23" t="s">
        <v>101</v>
      </c>
      <c r="D238" s="23" t="s">
        <v>90</v>
      </c>
      <c r="E238" s="23" t="s">
        <v>192</v>
      </c>
      <c r="F238" s="23">
        <v>25</v>
      </c>
      <c r="G238" s="23">
        <v>8</v>
      </c>
      <c r="H238" s="23">
        <v>16</v>
      </c>
      <c r="I238" s="23">
        <v>16787</v>
      </c>
      <c r="J238" s="23">
        <v>3302</v>
      </c>
      <c r="K238" s="23">
        <v>7889</v>
      </c>
      <c r="L238" s="23" t="s">
        <v>198</v>
      </c>
      <c r="M238" s="23">
        <f t="shared" si="3"/>
        <v>619</v>
      </c>
      <c r="N238" s="24" t="str">
        <f t="array" ref="N238">INDEX('MATCH INFO'!O:O, INT((ROW()-2)/10)+2 + 157)</f>
        <v>260712_ROZE_T1_S4</v>
      </c>
    </row>
    <row r="239" spans="1:14">
      <c r="A239" s="23" t="s">
        <v>41</v>
      </c>
      <c r="B239" s="23" t="s">
        <v>155</v>
      </c>
      <c r="C239" s="23" t="s">
        <v>104</v>
      </c>
      <c r="D239" s="23" t="s">
        <v>90</v>
      </c>
      <c r="E239" s="23" t="s">
        <v>192</v>
      </c>
      <c r="F239" s="23">
        <v>14</v>
      </c>
      <c r="G239" s="23">
        <v>11</v>
      </c>
      <c r="H239" s="23">
        <v>1</v>
      </c>
      <c r="I239" s="23">
        <v>10170</v>
      </c>
      <c r="J239" s="23">
        <v>334</v>
      </c>
      <c r="K239" s="23">
        <v>377</v>
      </c>
      <c r="L239" s="23" t="s">
        <v>198</v>
      </c>
      <c r="M239" s="23">
        <f t="shared" si="3"/>
        <v>619</v>
      </c>
      <c r="N239" s="24" t="str">
        <f t="array" ref="N239">INDEX('MATCH INFO'!O:O, INT((ROW()-2)/10)+2 + 157)</f>
        <v>260712_ROZE_T1_S4</v>
      </c>
    </row>
    <row r="240" spans="1:14">
      <c r="A240" s="23" t="s">
        <v>41</v>
      </c>
      <c r="B240" s="23" t="s">
        <v>158</v>
      </c>
      <c r="C240" s="23" t="s">
        <v>109</v>
      </c>
      <c r="D240" s="23" t="s">
        <v>90</v>
      </c>
      <c r="E240" s="23" t="s">
        <v>192</v>
      </c>
      <c r="F240" s="23">
        <v>11</v>
      </c>
      <c r="G240" s="23">
        <v>5</v>
      </c>
      <c r="H240" s="23">
        <v>19</v>
      </c>
      <c r="I240" s="23">
        <v>7492</v>
      </c>
      <c r="J240" s="23">
        <v>11689</v>
      </c>
      <c r="K240" s="23">
        <v>0</v>
      </c>
      <c r="L240" s="23" t="s">
        <v>198</v>
      </c>
      <c r="M240" s="23">
        <f t="shared" si="3"/>
        <v>619</v>
      </c>
      <c r="N240" s="24" t="str">
        <f t="array" ref="N240">INDEX('MATCH INFO'!O:O, INT((ROW()-2)/10)+2 + 157)</f>
        <v>260712_ROZE_T1_S4</v>
      </c>
    </row>
    <row r="241" spans="1:14">
      <c r="A241" s="23" t="s">
        <v>41</v>
      </c>
      <c r="B241" s="23" t="s">
        <v>154</v>
      </c>
      <c r="C241" s="23" t="s">
        <v>104</v>
      </c>
      <c r="D241" s="23" t="s">
        <v>90</v>
      </c>
      <c r="E241" s="23" t="s">
        <v>192</v>
      </c>
      <c r="F241" s="23">
        <v>21</v>
      </c>
      <c r="G241" s="23">
        <v>8</v>
      </c>
      <c r="H241" s="23">
        <v>1</v>
      </c>
      <c r="I241" s="23">
        <v>9225</v>
      </c>
      <c r="J241" s="23">
        <v>80</v>
      </c>
      <c r="K241" s="23">
        <v>461</v>
      </c>
      <c r="L241" s="23" t="s">
        <v>198</v>
      </c>
      <c r="M241" s="23">
        <f t="shared" si="3"/>
        <v>619</v>
      </c>
      <c r="N241" s="24" t="str">
        <f t="array" ref="N241">INDEX('MATCH INFO'!O:O, INT((ROW()-2)/10)+2 + 157)</f>
        <v>260712_ROZE_T1_S4</v>
      </c>
    </row>
    <row r="242" spans="1:14">
      <c r="A242" s="23" t="s">
        <v>21</v>
      </c>
      <c r="B242" s="23" t="s">
        <v>117</v>
      </c>
      <c r="C242" s="23" t="s">
        <v>104</v>
      </c>
      <c r="D242" s="23" t="s">
        <v>89</v>
      </c>
      <c r="E242" s="23" t="s">
        <v>196</v>
      </c>
      <c r="F242" s="23">
        <v>13</v>
      </c>
      <c r="G242" s="23">
        <v>11</v>
      </c>
      <c r="H242" s="23">
        <v>2</v>
      </c>
      <c r="I242" s="23">
        <v>5978</v>
      </c>
      <c r="J242" s="23">
        <v>482</v>
      </c>
      <c r="K242" s="23">
        <v>1506</v>
      </c>
      <c r="L242" s="23" t="s">
        <v>263</v>
      </c>
      <c r="M242" s="23">
        <f t="shared" si="3"/>
        <v>641</v>
      </c>
      <c r="N242" s="24" t="str">
        <f t="array" ref="N242">INDEX('MATCH INFO'!O:O, INT((ROW()-2)/10)+2 + 157)</f>
        <v>260712_ROZE_T1_S5</v>
      </c>
    </row>
    <row r="243" spans="1:14">
      <c r="A243" s="23" t="s">
        <v>21</v>
      </c>
      <c r="B243" s="23" t="s">
        <v>116</v>
      </c>
      <c r="C243" s="23" t="s">
        <v>101</v>
      </c>
      <c r="D243" s="23" t="s">
        <v>89</v>
      </c>
      <c r="E243" s="23" t="s">
        <v>196</v>
      </c>
      <c r="F243" s="23">
        <v>8</v>
      </c>
      <c r="G243" s="23">
        <v>13</v>
      </c>
      <c r="H243" s="23">
        <v>1</v>
      </c>
      <c r="I243" s="23">
        <v>7365</v>
      </c>
      <c r="J243" s="23">
        <v>50</v>
      </c>
      <c r="K243" s="23">
        <v>20689</v>
      </c>
      <c r="L243" s="23" t="s">
        <v>263</v>
      </c>
      <c r="M243" s="23">
        <f t="shared" si="3"/>
        <v>641</v>
      </c>
      <c r="N243" s="24" t="str">
        <f t="array" ref="N243">INDEX('MATCH INFO'!O:O, INT((ROW()-2)/10)+2 + 157)</f>
        <v>260712_ROZE_T1_S5</v>
      </c>
    </row>
    <row r="244" spans="1:14">
      <c r="A244" s="23" t="s">
        <v>21</v>
      </c>
      <c r="B244" s="23" t="s">
        <v>122</v>
      </c>
      <c r="C244" s="23" t="s">
        <v>109</v>
      </c>
      <c r="D244" s="23" t="s">
        <v>89</v>
      </c>
      <c r="E244" s="23" t="s">
        <v>196</v>
      </c>
      <c r="F244" s="23">
        <v>8</v>
      </c>
      <c r="G244" s="23">
        <v>8</v>
      </c>
      <c r="H244" s="23">
        <v>15</v>
      </c>
      <c r="I244" s="23">
        <v>5006</v>
      </c>
      <c r="J244" s="23">
        <v>13006</v>
      </c>
      <c r="K244" s="23">
        <v>0</v>
      </c>
      <c r="L244" s="23" t="s">
        <v>263</v>
      </c>
      <c r="M244" s="23">
        <f t="shared" si="3"/>
        <v>641</v>
      </c>
      <c r="N244" s="24" t="str">
        <f t="array" ref="N244">INDEX('MATCH INFO'!O:O, INT((ROW()-2)/10)+2 + 157)</f>
        <v>260712_ROZE_T1_S5</v>
      </c>
    </row>
    <row r="245" spans="1:14">
      <c r="A245" s="23" t="s">
        <v>21</v>
      </c>
      <c r="B245" s="23" t="s">
        <v>120</v>
      </c>
      <c r="C245" s="23" t="s">
        <v>109</v>
      </c>
      <c r="D245" s="23" t="s">
        <v>89</v>
      </c>
      <c r="E245" s="23" t="s">
        <v>196</v>
      </c>
      <c r="F245" s="23">
        <v>8</v>
      </c>
      <c r="G245" s="23">
        <v>11</v>
      </c>
      <c r="H245" s="23">
        <v>8</v>
      </c>
      <c r="I245" s="23">
        <v>4199</v>
      </c>
      <c r="J245" s="23">
        <v>7128</v>
      </c>
      <c r="K245" s="23">
        <v>4695</v>
      </c>
      <c r="L245" s="23" t="s">
        <v>263</v>
      </c>
      <c r="M245" s="23">
        <f t="shared" si="3"/>
        <v>641</v>
      </c>
      <c r="N245" s="24" t="str">
        <f t="array" ref="N245">INDEX('MATCH INFO'!O:O, INT((ROW()-2)/10)+2 + 157)</f>
        <v>260712_ROZE_T1_S5</v>
      </c>
    </row>
    <row r="246" spans="1:14">
      <c r="A246" s="23" t="s">
        <v>21</v>
      </c>
      <c r="B246" s="23" t="s">
        <v>119</v>
      </c>
      <c r="C246" s="23" t="s">
        <v>104</v>
      </c>
      <c r="D246" s="23" t="s">
        <v>89</v>
      </c>
      <c r="E246" s="23" t="s">
        <v>196</v>
      </c>
      <c r="F246" s="23">
        <v>11</v>
      </c>
      <c r="G246" s="23">
        <v>11</v>
      </c>
      <c r="H246" s="23">
        <v>1</v>
      </c>
      <c r="I246" s="23">
        <v>9651</v>
      </c>
      <c r="J246" s="23">
        <v>40</v>
      </c>
      <c r="K246" s="23">
        <v>368</v>
      </c>
      <c r="L246" s="23" t="s">
        <v>263</v>
      </c>
      <c r="M246" s="23">
        <f t="shared" si="3"/>
        <v>641</v>
      </c>
      <c r="N246" s="24" t="str">
        <f t="array" ref="N246">INDEX('MATCH INFO'!O:O, INT((ROW()-2)/10)+2 + 157)</f>
        <v>260712_ROZE_T1_S5</v>
      </c>
    </row>
    <row r="247" spans="1:14">
      <c r="A247" s="23" t="s">
        <v>41</v>
      </c>
      <c r="B247" s="23" t="s">
        <v>157</v>
      </c>
      <c r="C247" s="23" t="s">
        <v>109</v>
      </c>
      <c r="D247" s="23" t="s">
        <v>89</v>
      </c>
      <c r="E247" s="23" t="s">
        <v>196</v>
      </c>
      <c r="F247" s="23">
        <v>26</v>
      </c>
      <c r="G247" s="23">
        <v>4</v>
      </c>
      <c r="H247" s="23">
        <v>33</v>
      </c>
      <c r="I247" s="23">
        <v>5564</v>
      </c>
      <c r="J247" s="23">
        <v>9622</v>
      </c>
      <c r="K247" s="23">
        <v>1238</v>
      </c>
      <c r="L247" s="23" t="s">
        <v>263</v>
      </c>
      <c r="M247" s="23">
        <f t="shared" si="3"/>
        <v>641</v>
      </c>
      <c r="N247" s="24" t="str">
        <f t="array" ref="N247">INDEX('MATCH INFO'!O:O, INT((ROW()-2)/10)+2 + 157)</f>
        <v>260712_ROZE_T1_S5</v>
      </c>
    </row>
    <row r="248" spans="1:14">
      <c r="A248" s="23" t="s">
        <v>41</v>
      </c>
      <c r="B248" s="23" t="s">
        <v>153</v>
      </c>
      <c r="C248" s="23" t="s">
        <v>101</v>
      </c>
      <c r="D248" s="23" t="s">
        <v>89</v>
      </c>
      <c r="E248" s="23" t="s">
        <v>196</v>
      </c>
      <c r="F248" s="23">
        <v>35</v>
      </c>
      <c r="G248" s="23">
        <v>3</v>
      </c>
      <c r="H248" s="23">
        <v>2</v>
      </c>
      <c r="I248" s="23">
        <v>11269</v>
      </c>
      <c r="J248" s="23">
        <v>0</v>
      </c>
      <c r="K248" s="23">
        <v>16473</v>
      </c>
      <c r="L248" s="23" t="s">
        <v>263</v>
      </c>
      <c r="M248" s="23">
        <f t="shared" si="3"/>
        <v>641</v>
      </c>
      <c r="N248" s="24" t="str">
        <f t="array" ref="N248">INDEX('MATCH INFO'!O:O, INT((ROW()-2)/10)+2 + 157)</f>
        <v>260712_ROZE_T1_S5</v>
      </c>
    </row>
    <row r="249" spans="1:14">
      <c r="A249" s="23" t="s">
        <v>41</v>
      </c>
      <c r="B249" s="23" t="s">
        <v>155</v>
      </c>
      <c r="C249" s="23" t="s">
        <v>104</v>
      </c>
      <c r="D249" s="23" t="s">
        <v>89</v>
      </c>
      <c r="E249" s="23" t="s">
        <v>196</v>
      </c>
      <c r="F249" s="23">
        <v>36</v>
      </c>
      <c r="G249" s="23">
        <v>5</v>
      </c>
      <c r="H249" s="23">
        <v>3</v>
      </c>
      <c r="I249" s="23">
        <v>10833</v>
      </c>
      <c r="J249" s="23">
        <v>0</v>
      </c>
      <c r="K249" s="23">
        <v>0</v>
      </c>
      <c r="L249" s="23" t="s">
        <v>263</v>
      </c>
      <c r="M249" s="23">
        <f t="shared" si="3"/>
        <v>641</v>
      </c>
      <c r="N249" s="24" t="str">
        <f t="array" ref="N249">INDEX('MATCH INFO'!O:O, INT((ROW()-2)/10)+2 + 157)</f>
        <v>260712_ROZE_T1_S5</v>
      </c>
    </row>
    <row r="250" spans="1:14">
      <c r="A250" s="23" t="s">
        <v>41</v>
      </c>
      <c r="B250" s="23" t="s">
        <v>158</v>
      </c>
      <c r="C250" s="23" t="s">
        <v>109</v>
      </c>
      <c r="D250" s="23" t="s">
        <v>89</v>
      </c>
      <c r="E250" s="23" t="s">
        <v>196</v>
      </c>
      <c r="F250" s="23">
        <v>22</v>
      </c>
      <c r="G250" s="23">
        <v>4</v>
      </c>
      <c r="H250" s="23">
        <v>35</v>
      </c>
      <c r="I250" s="23">
        <v>5373</v>
      </c>
      <c r="J250" s="23">
        <v>12408</v>
      </c>
      <c r="K250" s="23">
        <v>0</v>
      </c>
      <c r="L250" s="23" t="s">
        <v>263</v>
      </c>
      <c r="M250" s="23">
        <f t="shared" si="3"/>
        <v>641</v>
      </c>
      <c r="N250" s="24" t="str">
        <f t="array" ref="N250">INDEX('MATCH INFO'!O:O, INT((ROW()-2)/10)+2 + 157)</f>
        <v>260712_ROZE_T1_S5</v>
      </c>
    </row>
    <row r="251" spans="1:14">
      <c r="A251" s="23" t="s">
        <v>41</v>
      </c>
      <c r="B251" s="23" t="s">
        <v>154</v>
      </c>
      <c r="C251" s="23" t="s">
        <v>104</v>
      </c>
      <c r="D251" s="23" t="s">
        <v>89</v>
      </c>
      <c r="E251" s="23" t="s">
        <v>196</v>
      </c>
      <c r="F251" s="23">
        <v>35</v>
      </c>
      <c r="G251" s="23">
        <v>4</v>
      </c>
      <c r="H251" s="23">
        <v>13</v>
      </c>
      <c r="I251" s="23">
        <v>10537</v>
      </c>
      <c r="J251" s="23">
        <v>422</v>
      </c>
      <c r="K251" s="23">
        <v>912</v>
      </c>
      <c r="L251" s="23" t="s">
        <v>263</v>
      </c>
      <c r="M251" s="23">
        <f t="shared" si="3"/>
        <v>641</v>
      </c>
      <c r="N251" s="24" t="str">
        <f t="array" ref="N251">INDEX('MATCH INFO'!O:O, INT((ROW()-2)/10)+2 + 157)</f>
        <v>260712_ROZE_T1_S5</v>
      </c>
    </row>
    <row r="252" spans="1:14">
      <c r="A252" s="23" t="s">
        <v>32</v>
      </c>
      <c r="B252" s="23" t="s">
        <v>150</v>
      </c>
      <c r="C252" s="23" t="s">
        <v>109</v>
      </c>
      <c r="D252" s="23" t="s">
        <v>33</v>
      </c>
      <c r="E252" s="23" t="s">
        <v>188</v>
      </c>
      <c r="F252" s="23">
        <v>14</v>
      </c>
      <c r="G252" s="23">
        <v>8</v>
      </c>
      <c r="H252" s="23">
        <v>18</v>
      </c>
      <c r="I252" s="23">
        <v>5788</v>
      </c>
      <c r="J252" s="23">
        <v>12328</v>
      </c>
      <c r="K252" s="23">
        <v>1960</v>
      </c>
      <c r="L252" s="23" t="s">
        <v>352</v>
      </c>
      <c r="M252" s="23">
        <f t="shared" si="3"/>
        <v>723</v>
      </c>
      <c r="N252" s="24" t="str">
        <f t="array" ref="N252">INDEX('MATCH INFO'!O:O, INT((ROW()-2)/10)+2 + 157)</f>
        <v>260712_CR_ZETA_S1</v>
      </c>
    </row>
    <row r="253" spans="1:14">
      <c r="A253" s="23" t="s">
        <v>32</v>
      </c>
      <c r="B253" s="23" t="s">
        <v>147</v>
      </c>
      <c r="C253" s="23" t="s">
        <v>104</v>
      </c>
      <c r="D253" s="23" t="s">
        <v>33</v>
      </c>
      <c r="E253" s="23" t="s">
        <v>188</v>
      </c>
      <c r="F253" s="23">
        <v>16</v>
      </c>
      <c r="G253" s="23">
        <v>9</v>
      </c>
      <c r="H253" s="23">
        <v>4</v>
      </c>
      <c r="I253" s="23">
        <v>9519</v>
      </c>
      <c r="J253" s="23">
        <v>662</v>
      </c>
      <c r="K253" s="23">
        <v>2895</v>
      </c>
      <c r="L253" s="23" t="s">
        <v>352</v>
      </c>
      <c r="M253" s="23">
        <f t="shared" si="3"/>
        <v>723</v>
      </c>
      <c r="N253" s="24" t="str">
        <f t="array" ref="N253">INDEX('MATCH INFO'!O:O, INT((ROW()-2)/10)+2 + 157)</f>
        <v>260712_CR_ZETA_S1</v>
      </c>
    </row>
    <row r="254" spans="1:14">
      <c r="A254" s="23" t="s">
        <v>32</v>
      </c>
      <c r="B254" s="23" t="s">
        <v>146</v>
      </c>
      <c r="C254" s="23" t="s">
        <v>101</v>
      </c>
      <c r="D254" s="23" t="s">
        <v>33</v>
      </c>
      <c r="E254" s="23" t="s">
        <v>188</v>
      </c>
      <c r="F254" s="23">
        <v>20</v>
      </c>
      <c r="G254" s="23">
        <v>6</v>
      </c>
      <c r="H254" s="23">
        <v>2</v>
      </c>
      <c r="I254" s="23">
        <v>12586</v>
      </c>
      <c r="J254" s="23">
        <v>0</v>
      </c>
      <c r="K254" s="23">
        <v>25765</v>
      </c>
      <c r="L254" s="23" t="s">
        <v>352</v>
      </c>
      <c r="M254" s="23">
        <f t="shared" si="3"/>
        <v>723</v>
      </c>
      <c r="N254" s="24" t="str">
        <f t="array" ref="N254">INDEX('MATCH INFO'!O:O, INT((ROW()-2)/10)+2 + 157)</f>
        <v>260712_CR_ZETA_S1</v>
      </c>
    </row>
    <row r="255" spans="1:14">
      <c r="A255" s="23" t="s">
        <v>32</v>
      </c>
      <c r="B255" s="23" t="s">
        <v>149</v>
      </c>
      <c r="C255" s="23" t="s">
        <v>104</v>
      </c>
      <c r="D255" s="23" t="s">
        <v>33</v>
      </c>
      <c r="E255" s="23" t="s">
        <v>188</v>
      </c>
      <c r="F255" s="23">
        <v>24</v>
      </c>
      <c r="G255" s="23">
        <v>7</v>
      </c>
      <c r="H255" s="23">
        <v>2</v>
      </c>
      <c r="I255" s="23">
        <v>15829</v>
      </c>
      <c r="J255" s="23">
        <v>0</v>
      </c>
      <c r="K255" s="23">
        <v>648</v>
      </c>
      <c r="L255" s="23" t="s">
        <v>352</v>
      </c>
      <c r="M255" s="23">
        <f t="shared" si="3"/>
        <v>723</v>
      </c>
      <c r="N255" s="24" t="str">
        <f t="array" ref="N255">INDEX('MATCH INFO'!O:O, INT((ROW()-2)/10)+2 + 157)</f>
        <v>260712_CR_ZETA_S1</v>
      </c>
    </row>
    <row r="256" spans="1:14">
      <c r="A256" s="23" t="s">
        <v>32</v>
      </c>
      <c r="B256" s="23" t="s">
        <v>151</v>
      </c>
      <c r="C256" s="23" t="s">
        <v>109</v>
      </c>
      <c r="D256" s="23" t="s">
        <v>33</v>
      </c>
      <c r="E256" s="23" t="s">
        <v>188</v>
      </c>
      <c r="F256" s="23">
        <v>9</v>
      </c>
      <c r="G256" s="23">
        <v>6</v>
      </c>
      <c r="H256" s="23">
        <v>23</v>
      </c>
      <c r="I256" s="23">
        <v>3676</v>
      </c>
      <c r="J256" s="23">
        <v>18983</v>
      </c>
      <c r="K256" s="23">
        <v>0</v>
      </c>
      <c r="L256" s="23" t="s">
        <v>352</v>
      </c>
      <c r="M256" s="23">
        <f t="shared" si="3"/>
        <v>723</v>
      </c>
      <c r="N256" s="24" t="str">
        <f t="array" ref="N256">INDEX('MATCH INFO'!O:O, INT((ROW()-2)/10)+2 + 157)</f>
        <v>260712_CR_ZETA_S1</v>
      </c>
    </row>
    <row r="257" spans="1:14">
      <c r="A257" s="23" t="s">
        <v>42</v>
      </c>
      <c r="B257" s="23" t="s">
        <v>139</v>
      </c>
      <c r="C257" s="23" t="s">
        <v>101</v>
      </c>
      <c r="D257" s="23" t="s">
        <v>33</v>
      </c>
      <c r="E257" s="23" t="s">
        <v>188</v>
      </c>
      <c r="F257" s="23">
        <v>21</v>
      </c>
      <c r="G257" s="23">
        <v>5</v>
      </c>
      <c r="H257" s="23">
        <v>5</v>
      </c>
      <c r="I257" s="23">
        <v>11367</v>
      </c>
      <c r="J257" s="23">
        <v>0</v>
      </c>
      <c r="K257" s="23">
        <v>23400</v>
      </c>
      <c r="L257" s="23" t="s">
        <v>352</v>
      </c>
      <c r="M257" s="23">
        <f t="shared" si="3"/>
        <v>723</v>
      </c>
      <c r="N257" s="24" t="str">
        <f t="array" ref="N257">INDEX('MATCH INFO'!O:O, INT((ROW()-2)/10)+2 + 157)</f>
        <v>260712_CR_ZETA_S1</v>
      </c>
    </row>
    <row r="258" spans="1:14">
      <c r="A258" s="23" t="s">
        <v>42</v>
      </c>
      <c r="B258" s="23" t="s">
        <v>141</v>
      </c>
      <c r="C258" s="23" t="s">
        <v>104</v>
      </c>
      <c r="D258" s="23" t="s">
        <v>33</v>
      </c>
      <c r="E258" s="23" t="s">
        <v>188</v>
      </c>
      <c r="F258" s="23">
        <v>22</v>
      </c>
      <c r="G258" s="23">
        <v>10</v>
      </c>
      <c r="H258" s="23">
        <v>3</v>
      </c>
      <c r="I258" s="23">
        <v>13132</v>
      </c>
      <c r="J258" s="23">
        <v>0</v>
      </c>
      <c r="K258" s="23">
        <v>205</v>
      </c>
      <c r="L258" s="23" t="s">
        <v>352</v>
      </c>
      <c r="M258" s="23">
        <f t="shared" ref="M258:M321" si="4">L258*86400</f>
        <v>723</v>
      </c>
      <c r="N258" s="24" t="str">
        <f t="array" ref="N258">INDEX('MATCH INFO'!O:O, INT((ROW()-2)/10)+2 + 157)</f>
        <v>260712_CR_ZETA_S1</v>
      </c>
    </row>
    <row r="259" spans="1:14">
      <c r="A259" s="23" t="s">
        <v>42</v>
      </c>
      <c r="B259" s="23" t="s">
        <v>140</v>
      </c>
      <c r="C259" s="23" t="s">
        <v>104</v>
      </c>
      <c r="D259" s="23" t="s">
        <v>33</v>
      </c>
      <c r="E259" s="23" t="s">
        <v>188</v>
      </c>
      <c r="F259" s="23">
        <v>21</v>
      </c>
      <c r="G259" s="23">
        <v>8</v>
      </c>
      <c r="H259" s="23">
        <v>3</v>
      </c>
      <c r="I259" s="23">
        <v>12540</v>
      </c>
      <c r="J259" s="23">
        <v>291</v>
      </c>
      <c r="K259" s="23">
        <v>1529</v>
      </c>
      <c r="L259" s="23" t="s">
        <v>352</v>
      </c>
      <c r="M259" s="23">
        <f t="shared" si="4"/>
        <v>723</v>
      </c>
      <c r="N259" s="24" t="str">
        <f t="array" ref="N259">INDEX('MATCH INFO'!O:O, INT((ROW()-2)/10)+2 + 157)</f>
        <v>260712_CR_ZETA_S1</v>
      </c>
    </row>
    <row r="260" spans="1:14">
      <c r="A260" s="23" t="s">
        <v>42</v>
      </c>
      <c r="B260" s="23" t="s">
        <v>143</v>
      </c>
      <c r="C260" s="23" t="s">
        <v>109</v>
      </c>
      <c r="D260" s="23" t="s">
        <v>33</v>
      </c>
      <c r="E260" s="23" t="s">
        <v>188</v>
      </c>
      <c r="F260" s="23">
        <v>8</v>
      </c>
      <c r="G260" s="23">
        <v>3</v>
      </c>
      <c r="H260" s="23">
        <v>25</v>
      </c>
      <c r="I260" s="23">
        <v>3241</v>
      </c>
      <c r="J260" s="23">
        <v>19476</v>
      </c>
      <c r="K260" s="23">
        <v>0</v>
      </c>
      <c r="L260" s="23" t="s">
        <v>352</v>
      </c>
      <c r="M260" s="23">
        <f t="shared" si="4"/>
        <v>723</v>
      </c>
      <c r="N260" s="24" t="str">
        <f t="array" ref="N260">INDEX('MATCH INFO'!O:O, INT((ROW()-2)/10)+2 + 157)</f>
        <v>260712_CR_ZETA_S1</v>
      </c>
    </row>
    <row r="261" spans="1:14">
      <c r="A261" s="23" t="s">
        <v>42</v>
      </c>
      <c r="B261" s="23" t="s">
        <v>142</v>
      </c>
      <c r="C261" s="23" t="s">
        <v>109</v>
      </c>
      <c r="D261" s="23" t="s">
        <v>33</v>
      </c>
      <c r="E261" s="23" t="s">
        <v>188</v>
      </c>
      <c r="F261" s="23">
        <v>12</v>
      </c>
      <c r="G261" s="23">
        <v>7</v>
      </c>
      <c r="H261" s="23">
        <v>21</v>
      </c>
      <c r="I261" s="23">
        <v>7996</v>
      </c>
      <c r="J261" s="23">
        <v>12638</v>
      </c>
      <c r="K261" s="23">
        <v>1888</v>
      </c>
      <c r="L261" s="23" t="s">
        <v>352</v>
      </c>
      <c r="M261" s="23">
        <f t="shared" si="4"/>
        <v>723</v>
      </c>
      <c r="N261" s="24" t="str">
        <f t="array" ref="N261">INDEX('MATCH INFO'!O:O, INT((ROW()-2)/10)+2 + 157)</f>
        <v>260712_CR_ZETA_S1</v>
      </c>
    </row>
    <row r="262" spans="1:14">
      <c r="A262" s="23" t="s">
        <v>32</v>
      </c>
      <c r="B262" s="23" t="s">
        <v>150</v>
      </c>
      <c r="C262" s="23" t="s">
        <v>109</v>
      </c>
      <c r="D262" s="23" t="s">
        <v>44</v>
      </c>
      <c r="E262" s="23" t="s">
        <v>190</v>
      </c>
      <c r="F262" s="23">
        <v>37</v>
      </c>
      <c r="G262" s="23">
        <v>9</v>
      </c>
      <c r="H262" s="23">
        <v>35</v>
      </c>
      <c r="I262" s="23">
        <v>8387</v>
      </c>
      <c r="J262" s="23">
        <v>13760</v>
      </c>
      <c r="K262" s="23">
        <v>4766</v>
      </c>
      <c r="L262" s="23" t="s">
        <v>353</v>
      </c>
      <c r="M262" s="23">
        <f t="shared" si="4"/>
        <v>917</v>
      </c>
      <c r="N262" s="24" t="str">
        <f t="array" ref="N262">INDEX('MATCH INFO'!O:O, INT((ROW()-2)/10)+2 + 157)</f>
        <v>260712_CR_ZETA_S2</v>
      </c>
    </row>
    <row r="263" spans="1:14">
      <c r="A263" s="23" t="s">
        <v>32</v>
      </c>
      <c r="B263" s="23" t="s">
        <v>147</v>
      </c>
      <c r="C263" s="23" t="s">
        <v>104</v>
      </c>
      <c r="D263" s="23" t="s">
        <v>44</v>
      </c>
      <c r="E263" s="23" t="s">
        <v>190</v>
      </c>
      <c r="F263" s="23">
        <v>40</v>
      </c>
      <c r="G263" s="23">
        <v>11</v>
      </c>
      <c r="H263" s="23">
        <v>0</v>
      </c>
      <c r="I263" s="23">
        <v>17828</v>
      </c>
      <c r="J263" s="23">
        <v>2907</v>
      </c>
      <c r="K263" s="23">
        <v>0</v>
      </c>
      <c r="L263" s="23" t="s">
        <v>353</v>
      </c>
      <c r="M263" s="23">
        <f t="shared" si="4"/>
        <v>917</v>
      </c>
      <c r="N263" s="24" t="str">
        <f t="array" ref="N263">INDEX('MATCH INFO'!O:O, INT((ROW()-2)/10)+2 + 157)</f>
        <v>260712_CR_ZETA_S2</v>
      </c>
    </row>
    <row r="264" spans="1:14">
      <c r="A264" s="23" t="s">
        <v>32</v>
      </c>
      <c r="B264" s="23" t="s">
        <v>146</v>
      </c>
      <c r="C264" s="23" t="s">
        <v>101</v>
      </c>
      <c r="D264" s="23" t="s">
        <v>44</v>
      </c>
      <c r="E264" s="23" t="s">
        <v>190</v>
      </c>
      <c r="F264" s="23">
        <v>43</v>
      </c>
      <c r="G264" s="23">
        <v>8</v>
      </c>
      <c r="H264" s="23">
        <v>31</v>
      </c>
      <c r="I264" s="23">
        <v>22889</v>
      </c>
      <c r="J264" s="23">
        <v>4983</v>
      </c>
      <c r="K264" s="23">
        <v>9357</v>
      </c>
      <c r="L264" s="23" t="s">
        <v>353</v>
      </c>
      <c r="M264" s="23">
        <f t="shared" si="4"/>
        <v>917</v>
      </c>
      <c r="N264" s="24" t="str">
        <f t="array" ref="N264">INDEX('MATCH INFO'!O:O, INT((ROW()-2)/10)+2 + 157)</f>
        <v>260712_CR_ZETA_S2</v>
      </c>
    </row>
    <row r="265" spans="1:14">
      <c r="A265" s="23" t="s">
        <v>32</v>
      </c>
      <c r="B265" s="23" t="s">
        <v>149</v>
      </c>
      <c r="C265" s="23" t="s">
        <v>104</v>
      </c>
      <c r="D265" s="23" t="s">
        <v>44</v>
      </c>
      <c r="E265" s="23" t="s">
        <v>190</v>
      </c>
      <c r="F265" s="23">
        <v>40</v>
      </c>
      <c r="G265" s="23">
        <v>14</v>
      </c>
      <c r="H265" s="23">
        <v>4</v>
      </c>
      <c r="I265" s="23">
        <v>14190</v>
      </c>
      <c r="J265" s="23">
        <v>624</v>
      </c>
      <c r="K265" s="23">
        <v>1443</v>
      </c>
      <c r="L265" s="23" t="s">
        <v>353</v>
      </c>
      <c r="M265" s="23">
        <f t="shared" si="4"/>
        <v>917</v>
      </c>
      <c r="N265" s="24" t="str">
        <f t="array" ref="N265">INDEX('MATCH INFO'!O:O, INT((ROW()-2)/10)+2 + 157)</f>
        <v>260712_CR_ZETA_S2</v>
      </c>
    </row>
    <row r="266" spans="1:14">
      <c r="A266" s="23" t="s">
        <v>32</v>
      </c>
      <c r="B266" s="23" t="s">
        <v>151</v>
      </c>
      <c r="C266" s="23" t="s">
        <v>109</v>
      </c>
      <c r="D266" s="23" t="s">
        <v>44</v>
      </c>
      <c r="E266" s="23" t="s">
        <v>190</v>
      </c>
      <c r="F266" s="23">
        <v>28</v>
      </c>
      <c r="G266" s="23">
        <v>12</v>
      </c>
      <c r="H266" s="23">
        <v>47</v>
      </c>
      <c r="I266" s="23">
        <v>9151</v>
      </c>
      <c r="J266" s="23">
        <v>17867</v>
      </c>
      <c r="K266" s="23">
        <v>0</v>
      </c>
      <c r="L266" s="23" t="s">
        <v>353</v>
      </c>
      <c r="M266" s="23">
        <f t="shared" si="4"/>
        <v>917</v>
      </c>
      <c r="N266" s="24" t="str">
        <f t="array" ref="N266">INDEX('MATCH INFO'!O:O, INT((ROW()-2)/10)+2 + 157)</f>
        <v>260712_CR_ZETA_S2</v>
      </c>
    </row>
    <row r="267" spans="1:14">
      <c r="A267" s="23" t="s">
        <v>42</v>
      </c>
      <c r="B267" s="23" t="s">
        <v>139</v>
      </c>
      <c r="C267" s="23" t="s">
        <v>101</v>
      </c>
      <c r="D267" s="23" t="s">
        <v>44</v>
      </c>
      <c r="E267" s="23" t="s">
        <v>190</v>
      </c>
      <c r="F267" s="23">
        <v>33</v>
      </c>
      <c r="G267" s="23">
        <v>12</v>
      </c>
      <c r="H267" s="23">
        <v>18</v>
      </c>
      <c r="I267" s="23">
        <v>18320</v>
      </c>
      <c r="J267" s="23">
        <v>4379</v>
      </c>
      <c r="K267" s="23">
        <v>10419</v>
      </c>
      <c r="L267" s="23" t="s">
        <v>353</v>
      </c>
      <c r="M267" s="23">
        <f t="shared" si="4"/>
        <v>917</v>
      </c>
      <c r="N267" s="24" t="str">
        <f t="array" ref="N267">INDEX('MATCH INFO'!O:O, INT((ROW()-2)/10)+2 + 157)</f>
        <v>260712_CR_ZETA_S2</v>
      </c>
    </row>
    <row r="268" spans="1:14">
      <c r="A268" s="23" t="s">
        <v>42</v>
      </c>
      <c r="B268" s="23" t="s">
        <v>141</v>
      </c>
      <c r="C268" s="23" t="s">
        <v>104</v>
      </c>
      <c r="D268" s="23" t="s">
        <v>44</v>
      </c>
      <c r="E268" s="23" t="s">
        <v>190</v>
      </c>
      <c r="F268" s="23">
        <v>30</v>
      </c>
      <c r="G268" s="23">
        <v>15</v>
      </c>
      <c r="H268" s="23">
        <v>1</v>
      </c>
      <c r="I268" s="23">
        <v>18398</v>
      </c>
      <c r="J268" s="23">
        <v>376</v>
      </c>
      <c r="K268" s="23">
        <v>606</v>
      </c>
      <c r="L268" s="23" t="s">
        <v>353</v>
      </c>
      <c r="M268" s="23">
        <f t="shared" si="4"/>
        <v>917</v>
      </c>
      <c r="N268" s="24" t="str">
        <f t="array" ref="N268">INDEX('MATCH INFO'!O:O, INT((ROW()-2)/10)+2 + 157)</f>
        <v>260712_CR_ZETA_S2</v>
      </c>
    </row>
    <row r="269" spans="1:14">
      <c r="A269" s="23" t="s">
        <v>42</v>
      </c>
      <c r="B269" s="23" t="s">
        <v>140</v>
      </c>
      <c r="C269" s="23" t="s">
        <v>104</v>
      </c>
      <c r="D269" s="23" t="s">
        <v>44</v>
      </c>
      <c r="E269" s="23" t="s">
        <v>190</v>
      </c>
      <c r="F269" s="23">
        <v>34</v>
      </c>
      <c r="G269" s="23">
        <v>12</v>
      </c>
      <c r="H269" s="23">
        <v>3</v>
      </c>
      <c r="I269" s="23">
        <v>17641</v>
      </c>
      <c r="J269" s="23">
        <v>1724</v>
      </c>
      <c r="K269" s="23">
        <v>262</v>
      </c>
      <c r="L269" s="23" t="s">
        <v>353</v>
      </c>
      <c r="M269" s="23">
        <f t="shared" si="4"/>
        <v>917</v>
      </c>
      <c r="N269" s="24" t="str">
        <f t="array" ref="N269">INDEX('MATCH INFO'!O:O, INT((ROW()-2)/10)+2 + 157)</f>
        <v>260712_CR_ZETA_S2</v>
      </c>
    </row>
    <row r="270" spans="1:14">
      <c r="A270" s="23" t="s">
        <v>42</v>
      </c>
      <c r="B270" s="23" t="s">
        <v>143</v>
      </c>
      <c r="C270" s="23" t="s">
        <v>109</v>
      </c>
      <c r="D270" s="23" t="s">
        <v>44</v>
      </c>
      <c r="E270" s="23" t="s">
        <v>190</v>
      </c>
      <c r="F270" s="23">
        <v>19</v>
      </c>
      <c r="G270" s="23">
        <v>13</v>
      </c>
      <c r="H270" s="23">
        <v>37</v>
      </c>
      <c r="I270" s="23">
        <v>9134</v>
      </c>
      <c r="J270" s="23">
        <v>19247</v>
      </c>
      <c r="K270" s="23">
        <v>0</v>
      </c>
      <c r="L270" s="23" t="s">
        <v>353</v>
      </c>
      <c r="M270" s="23">
        <f t="shared" si="4"/>
        <v>917</v>
      </c>
      <c r="N270" s="24" t="str">
        <f t="array" ref="N270">INDEX('MATCH INFO'!O:O, INT((ROW()-2)/10)+2 + 157)</f>
        <v>260712_CR_ZETA_S2</v>
      </c>
    </row>
    <row r="271" spans="1:14">
      <c r="A271" s="23" t="s">
        <v>42</v>
      </c>
      <c r="B271" s="23" t="s">
        <v>142</v>
      </c>
      <c r="C271" s="23" t="s">
        <v>109</v>
      </c>
      <c r="D271" s="23" t="s">
        <v>44</v>
      </c>
      <c r="E271" s="23" t="s">
        <v>190</v>
      </c>
      <c r="F271" s="23">
        <v>26</v>
      </c>
      <c r="G271" s="23">
        <v>9</v>
      </c>
      <c r="H271" s="23">
        <v>33</v>
      </c>
      <c r="I271" s="23">
        <v>9803</v>
      </c>
      <c r="J271" s="23">
        <v>13685</v>
      </c>
      <c r="K271" s="23">
        <v>4052</v>
      </c>
      <c r="L271" s="23" t="s">
        <v>353</v>
      </c>
      <c r="M271" s="23">
        <f t="shared" si="4"/>
        <v>917</v>
      </c>
      <c r="N271" s="24" t="str">
        <f t="array" ref="N271">INDEX('MATCH INFO'!O:O, INT((ROW()-2)/10)+2 + 157)</f>
        <v>260712_CR_ZETA_S2</v>
      </c>
    </row>
    <row r="272" spans="1:14">
      <c r="A272" s="23" t="s">
        <v>42</v>
      </c>
      <c r="B272" s="23" t="s">
        <v>139</v>
      </c>
      <c r="C272" s="23" t="s">
        <v>101</v>
      </c>
      <c r="D272" s="23" t="s">
        <v>37</v>
      </c>
      <c r="E272" s="23" t="s">
        <v>196</v>
      </c>
      <c r="F272" s="23">
        <v>29</v>
      </c>
      <c r="G272" s="23">
        <v>3</v>
      </c>
      <c r="H272" s="23">
        <v>7</v>
      </c>
      <c r="I272" s="23">
        <v>10420</v>
      </c>
      <c r="J272" s="23">
        <v>270</v>
      </c>
      <c r="K272" s="23">
        <v>16716</v>
      </c>
      <c r="L272" s="23" t="s">
        <v>354</v>
      </c>
      <c r="M272" s="23">
        <f t="shared" si="4"/>
        <v>661</v>
      </c>
      <c r="N272" s="24" t="str">
        <f t="array" ref="N272">INDEX('MATCH INFO'!O:O, INT((ROW()-2)/10)+2 + 157)</f>
        <v>260712_CR_ZETA_S3</v>
      </c>
    </row>
    <row r="273" spans="1:14">
      <c r="A273" s="23" t="s">
        <v>42</v>
      </c>
      <c r="B273" s="23" t="s">
        <v>141</v>
      </c>
      <c r="C273" s="23" t="s">
        <v>104</v>
      </c>
      <c r="D273" s="23" t="s">
        <v>37</v>
      </c>
      <c r="E273" s="23" t="s">
        <v>196</v>
      </c>
      <c r="F273" s="23">
        <v>34</v>
      </c>
      <c r="G273" s="23">
        <v>6</v>
      </c>
      <c r="H273" s="23">
        <v>0</v>
      </c>
      <c r="I273" s="23">
        <v>11709</v>
      </c>
      <c r="J273" s="23">
        <v>563</v>
      </c>
      <c r="K273" s="23">
        <v>0</v>
      </c>
      <c r="L273" s="23" t="s">
        <v>354</v>
      </c>
      <c r="M273" s="23">
        <f t="shared" si="4"/>
        <v>661</v>
      </c>
      <c r="N273" s="24" t="str">
        <f t="array" ref="N273">INDEX('MATCH INFO'!O:O, INT((ROW()-2)/10)+2 + 157)</f>
        <v>260712_CR_ZETA_S3</v>
      </c>
    </row>
    <row r="274" spans="1:14">
      <c r="A274" s="23" t="s">
        <v>42</v>
      </c>
      <c r="B274" s="23" t="s">
        <v>140</v>
      </c>
      <c r="C274" s="23" t="s">
        <v>104</v>
      </c>
      <c r="D274" s="23" t="s">
        <v>37</v>
      </c>
      <c r="E274" s="23" t="s">
        <v>196</v>
      </c>
      <c r="F274" s="23">
        <v>23</v>
      </c>
      <c r="G274" s="23">
        <v>4</v>
      </c>
      <c r="H274" s="23">
        <v>6</v>
      </c>
      <c r="I274" s="23">
        <v>9241</v>
      </c>
      <c r="J274" s="23">
        <v>496</v>
      </c>
      <c r="K274" s="23">
        <v>3160</v>
      </c>
      <c r="L274" s="23" t="s">
        <v>354</v>
      </c>
      <c r="M274" s="23">
        <f t="shared" si="4"/>
        <v>661</v>
      </c>
      <c r="N274" s="24" t="str">
        <f t="array" ref="N274">INDEX('MATCH INFO'!O:O, INT((ROW()-2)/10)+2 + 157)</f>
        <v>260712_CR_ZETA_S3</v>
      </c>
    </row>
    <row r="275" spans="1:14">
      <c r="A275" s="23" t="s">
        <v>42</v>
      </c>
      <c r="B275" s="23" t="s">
        <v>143</v>
      </c>
      <c r="C275" s="23" t="s">
        <v>109</v>
      </c>
      <c r="D275" s="23" t="s">
        <v>37</v>
      </c>
      <c r="E275" s="23" t="s">
        <v>196</v>
      </c>
      <c r="F275" s="23">
        <v>9</v>
      </c>
      <c r="G275" s="23">
        <v>7</v>
      </c>
      <c r="H275" s="23">
        <v>13</v>
      </c>
      <c r="I275" s="23">
        <v>3209</v>
      </c>
      <c r="J275" s="23">
        <v>4574</v>
      </c>
      <c r="K275" s="23">
        <v>434</v>
      </c>
      <c r="L275" s="23" t="s">
        <v>354</v>
      </c>
      <c r="M275" s="23">
        <f t="shared" si="4"/>
        <v>661</v>
      </c>
      <c r="N275" s="24" t="str">
        <f t="array" ref="N275">INDEX('MATCH INFO'!O:O, INT((ROW()-2)/10)+2 + 157)</f>
        <v>260712_CR_ZETA_S3</v>
      </c>
    </row>
    <row r="276" spans="1:14">
      <c r="A276" s="23" t="s">
        <v>42</v>
      </c>
      <c r="B276" s="23" t="s">
        <v>142</v>
      </c>
      <c r="C276" s="23" t="s">
        <v>109</v>
      </c>
      <c r="D276" s="23" t="s">
        <v>37</v>
      </c>
      <c r="E276" s="23" t="s">
        <v>196</v>
      </c>
      <c r="F276" s="23">
        <v>26</v>
      </c>
      <c r="G276" s="23">
        <v>4</v>
      </c>
      <c r="H276" s="23">
        <v>13</v>
      </c>
      <c r="I276" s="23">
        <v>4464</v>
      </c>
      <c r="J276" s="23">
        <v>7874</v>
      </c>
      <c r="K276" s="23">
        <v>0</v>
      </c>
      <c r="L276" s="23" t="s">
        <v>354</v>
      </c>
      <c r="M276" s="23">
        <f t="shared" si="4"/>
        <v>661</v>
      </c>
      <c r="N276" s="24" t="str">
        <f t="array" ref="N276">INDEX('MATCH INFO'!O:O, INT((ROW()-2)/10)+2 + 157)</f>
        <v>260712_CR_ZETA_S3</v>
      </c>
    </row>
    <row r="277" spans="1:14">
      <c r="A277" s="23" t="s">
        <v>32</v>
      </c>
      <c r="B277" s="23" t="s">
        <v>150</v>
      </c>
      <c r="C277" s="23" t="s">
        <v>109</v>
      </c>
      <c r="D277" s="23" t="s">
        <v>37</v>
      </c>
      <c r="E277" s="23" t="s">
        <v>196</v>
      </c>
      <c r="F277" s="23">
        <v>15</v>
      </c>
      <c r="G277" s="23">
        <v>9</v>
      </c>
      <c r="H277" s="23">
        <v>15</v>
      </c>
      <c r="I277" s="23">
        <v>3351</v>
      </c>
      <c r="J277" s="23">
        <v>6949</v>
      </c>
      <c r="K277" s="23">
        <v>811</v>
      </c>
      <c r="L277" s="23" t="s">
        <v>354</v>
      </c>
      <c r="M277" s="23">
        <f t="shared" si="4"/>
        <v>661</v>
      </c>
      <c r="N277" s="24" t="str">
        <f t="array" ref="N277">INDEX('MATCH INFO'!O:O, INT((ROW()-2)/10)+2 + 157)</f>
        <v>260712_CR_ZETA_S3</v>
      </c>
    </row>
    <row r="278" spans="1:14">
      <c r="A278" s="23" t="s">
        <v>32</v>
      </c>
      <c r="B278" s="23" t="s">
        <v>147</v>
      </c>
      <c r="C278" s="23" t="s">
        <v>104</v>
      </c>
      <c r="D278" s="23" t="s">
        <v>37</v>
      </c>
      <c r="E278" s="23" t="s">
        <v>196</v>
      </c>
      <c r="F278" s="23">
        <v>12</v>
      </c>
      <c r="G278" s="23">
        <v>10</v>
      </c>
      <c r="H278" s="23">
        <v>2</v>
      </c>
      <c r="I278" s="23">
        <v>5739</v>
      </c>
      <c r="J278" s="23">
        <v>289</v>
      </c>
      <c r="K278" s="23">
        <v>3114</v>
      </c>
      <c r="L278" s="23" t="s">
        <v>354</v>
      </c>
      <c r="M278" s="23">
        <f t="shared" si="4"/>
        <v>661</v>
      </c>
      <c r="N278" s="24" t="str">
        <f t="array" ref="N278">INDEX('MATCH INFO'!O:O, INT((ROW()-2)/10)+2 + 157)</f>
        <v>260712_CR_ZETA_S3</v>
      </c>
    </row>
    <row r="279" spans="1:14">
      <c r="A279" s="23" t="s">
        <v>32</v>
      </c>
      <c r="B279" s="23" t="s">
        <v>146</v>
      </c>
      <c r="C279" s="23" t="s">
        <v>101</v>
      </c>
      <c r="D279" s="23" t="s">
        <v>37</v>
      </c>
      <c r="E279" s="23" t="s">
        <v>196</v>
      </c>
      <c r="F279" s="23">
        <v>16</v>
      </c>
      <c r="G279" s="23">
        <v>8</v>
      </c>
      <c r="H279" s="23">
        <v>8</v>
      </c>
      <c r="I279" s="23">
        <v>6732</v>
      </c>
      <c r="J279" s="23">
        <v>1269</v>
      </c>
      <c r="K279" s="23">
        <v>14910</v>
      </c>
      <c r="L279" s="23" t="s">
        <v>354</v>
      </c>
      <c r="M279" s="23">
        <f t="shared" si="4"/>
        <v>661</v>
      </c>
      <c r="N279" s="24" t="str">
        <f t="array" ref="N279">INDEX('MATCH INFO'!O:O, INT((ROW()-2)/10)+2 + 157)</f>
        <v>260712_CR_ZETA_S3</v>
      </c>
    </row>
    <row r="280" spans="1:14">
      <c r="A280" s="23" t="s">
        <v>32</v>
      </c>
      <c r="B280" s="23" t="s">
        <v>149</v>
      </c>
      <c r="C280" s="23" t="s">
        <v>104</v>
      </c>
      <c r="D280" s="23" t="s">
        <v>37</v>
      </c>
      <c r="E280" s="23" t="s">
        <v>196</v>
      </c>
      <c r="F280" s="23">
        <v>8</v>
      </c>
      <c r="G280" s="23">
        <v>10</v>
      </c>
      <c r="H280" s="23">
        <v>0</v>
      </c>
      <c r="I280" s="23">
        <v>8299</v>
      </c>
      <c r="J280" s="23">
        <v>0</v>
      </c>
      <c r="K280" s="23">
        <v>186</v>
      </c>
      <c r="L280" s="23" t="s">
        <v>354</v>
      </c>
      <c r="M280" s="23">
        <f t="shared" si="4"/>
        <v>661</v>
      </c>
      <c r="N280" s="24" t="str">
        <f t="array" ref="N280">INDEX('MATCH INFO'!O:O, INT((ROW()-2)/10)+2 + 157)</f>
        <v>260712_CR_ZETA_S3</v>
      </c>
    </row>
    <row r="281" spans="1:14">
      <c r="A281" s="23" t="s">
        <v>32</v>
      </c>
      <c r="B281" s="23" t="s">
        <v>151</v>
      </c>
      <c r="C281" s="23" t="s">
        <v>109</v>
      </c>
      <c r="D281" s="23" t="s">
        <v>37</v>
      </c>
      <c r="E281" s="23" t="s">
        <v>196</v>
      </c>
      <c r="F281" s="23">
        <v>6</v>
      </c>
      <c r="G281" s="23">
        <v>10</v>
      </c>
      <c r="H281" s="23">
        <v>11</v>
      </c>
      <c r="I281" s="23">
        <v>3140</v>
      </c>
      <c r="J281" s="23">
        <v>9736</v>
      </c>
      <c r="K281" s="23">
        <v>546</v>
      </c>
      <c r="L281" s="23" t="s">
        <v>354</v>
      </c>
      <c r="M281" s="23">
        <f t="shared" si="4"/>
        <v>661</v>
      </c>
      <c r="N281" s="24" t="str">
        <f t="array" ref="N281">INDEX('MATCH INFO'!O:O, INT((ROW()-2)/10)+2 + 157)</f>
        <v>260712_CR_ZETA_S3</v>
      </c>
    </row>
    <row r="282" spans="1:14">
      <c r="A282" s="23" t="s">
        <v>42</v>
      </c>
      <c r="B282" s="23" t="s">
        <v>139</v>
      </c>
      <c r="C282" s="23" t="s">
        <v>101</v>
      </c>
      <c r="D282" s="23" t="s">
        <v>69</v>
      </c>
      <c r="E282" s="23" t="s">
        <v>201</v>
      </c>
      <c r="F282" s="23">
        <v>34</v>
      </c>
      <c r="G282" s="23">
        <v>10</v>
      </c>
      <c r="H282" s="23">
        <v>8</v>
      </c>
      <c r="I282" s="23">
        <v>17576</v>
      </c>
      <c r="J282" s="23">
        <v>0</v>
      </c>
      <c r="K282" s="23">
        <v>28174</v>
      </c>
      <c r="L282" s="23" t="s">
        <v>355</v>
      </c>
      <c r="M282" s="23">
        <f t="shared" si="4"/>
        <v>985</v>
      </c>
      <c r="N282" s="24" t="str">
        <f t="array" ref="N282">INDEX('MATCH INFO'!O:O, INT((ROW()-2)/10)+2 + 157)</f>
        <v>260712_CR_ZETA_S4</v>
      </c>
    </row>
    <row r="283" spans="1:14">
      <c r="A283" s="23" t="s">
        <v>42</v>
      </c>
      <c r="B283" s="23" t="s">
        <v>141</v>
      </c>
      <c r="C283" s="23" t="s">
        <v>104</v>
      </c>
      <c r="D283" s="23" t="s">
        <v>69</v>
      </c>
      <c r="E283" s="23" t="s">
        <v>201</v>
      </c>
      <c r="F283" s="23">
        <v>35</v>
      </c>
      <c r="G283" s="23">
        <v>9</v>
      </c>
      <c r="H283" s="23">
        <v>0</v>
      </c>
      <c r="I283" s="23">
        <v>16953</v>
      </c>
      <c r="J283" s="23">
        <v>0</v>
      </c>
      <c r="K283" s="23">
        <v>0</v>
      </c>
      <c r="L283" s="23" t="s">
        <v>355</v>
      </c>
      <c r="M283" s="23">
        <f t="shared" si="4"/>
        <v>985</v>
      </c>
      <c r="N283" s="24" t="str">
        <f t="array" ref="N283">INDEX('MATCH INFO'!O:O, INT((ROW()-2)/10)+2 + 157)</f>
        <v>260712_CR_ZETA_S4</v>
      </c>
    </row>
    <row r="284" spans="1:14">
      <c r="A284" s="23" t="s">
        <v>42</v>
      </c>
      <c r="B284" s="23" t="s">
        <v>140</v>
      </c>
      <c r="C284" s="23" t="s">
        <v>104</v>
      </c>
      <c r="D284" s="23" t="s">
        <v>69</v>
      </c>
      <c r="E284" s="23" t="s">
        <v>201</v>
      </c>
      <c r="F284" s="23">
        <v>41</v>
      </c>
      <c r="G284" s="23">
        <v>11</v>
      </c>
      <c r="H284" s="23">
        <v>13</v>
      </c>
      <c r="I284" s="23">
        <v>15667</v>
      </c>
      <c r="J284" s="23">
        <v>882</v>
      </c>
      <c r="K284" s="23">
        <v>2651</v>
      </c>
      <c r="L284" s="23" t="s">
        <v>355</v>
      </c>
      <c r="M284" s="23">
        <f t="shared" si="4"/>
        <v>985</v>
      </c>
      <c r="N284" s="24" t="str">
        <f t="array" ref="N284">INDEX('MATCH INFO'!O:O, INT((ROW()-2)/10)+2 + 157)</f>
        <v>260712_CR_ZETA_S4</v>
      </c>
    </row>
    <row r="285" spans="1:14">
      <c r="A285" s="23" t="s">
        <v>42</v>
      </c>
      <c r="B285" s="23" t="s">
        <v>143</v>
      </c>
      <c r="C285" s="23" t="s">
        <v>109</v>
      </c>
      <c r="D285" s="23" t="s">
        <v>69</v>
      </c>
      <c r="E285" s="23" t="s">
        <v>201</v>
      </c>
      <c r="F285" s="23">
        <v>18</v>
      </c>
      <c r="G285" s="23">
        <v>11</v>
      </c>
      <c r="H285" s="23">
        <v>32</v>
      </c>
      <c r="I285" s="23">
        <v>5643</v>
      </c>
      <c r="J285" s="23">
        <v>19596</v>
      </c>
      <c r="K285" s="23">
        <v>252</v>
      </c>
      <c r="L285" s="23" t="s">
        <v>355</v>
      </c>
      <c r="M285" s="23">
        <f t="shared" si="4"/>
        <v>985</v>
      </c>
      <c r="N285" s="24" t="str">
        <f t="array" ref="N285">INDEX('MATCH INFO'!O:O, INT((ROW()-2)/10)+2 + 157)</f>
        <v>260712_CR_ZETA_S4</v>
      </c>
    </row>
    <row r="286" spans="1:14">
      <c r="A286" s="23" t="s">
        <v>42</v>
      </c>
      <c r="B286" s="23" t="s">
        <v>142</v>
      </c>
      <c r="C286" s="23" t="s">
        <v>109</v>
      </c>
      <c r="D286" s="23" t="s">
        <v>69</v>
      </c>
      <c r="E286" s="23" t="s">
        <v>201</v>
      </c>
      <c r="F286" s="23">
        <v>22</v>
      </c>
      <c r="G286" s="23">
        <v>12</v>
      </c>
      <c r="H286" s="23">
        <v>31</v>
      </c>
      <c r="I286" s="23">
        <v>9111</v>
      </c>
      <c r="J286" s="23">
        <v>17047</v>
      </c>
      <c r="K286" s="23">
        <v>2441</v>
      </c>
      <c r="L286" s="23" t="s">
        <v>355</v>
      </c>
      <c r="M286" s="23">
        <f t="shared" si="4"/>
        <v>985</v>
      </c>
      <c r="N286" s="24" t="str">
        <f t="array" ref="N286">INDEX('MATCH INFO'!O:O, INT((ROW()-2)/10)+2 + 157)</f>
        <v>260712_CR_ZETA_S4</v>
      </c>
    </row>
    <row r="287" spans="1:14">
      <c r="A287" s="23" t="s">
        <v>32</v>
      </c>
      <c r="B287" s="23" t="s">
        <v>150</v>
      </c>
      <c r="C287" s="23" t="s">
        <v>109</v>
      </c>
      <c r="D287" s="23" t="s">
        <v>69</v>
      </c>
      <c r="E287" s="23" t="s">
        <v>201</v>
      </c>
      <c r="F287" s="23">
        <v>29</v>
      </c>
      <c r="G287" s="23">
        <v>14</v>
      </c>
      <c r="H287" s="23">
        <v>38</v>
      </c>
      <c r="I287" s="23">
        <v>7933</v>
      </c>
      <c r="J287" s="23">
        <v>15905</v>
      </c>
      <c r="K287" s="23">
        <v>3413</v>
      </c>
      <c r="L287" s="23" t="s">
        <v>355</v>
      </c>
      <c r="M287" s="23">
        <f t="shared" si="4"/>
        <v>985</v>
      </c>
      <c r="N287" s="24" t="str">
        <f t="array" ref="N287">INDEX('MATCH INFO'!O:O, INT((ROW()-2)/10)+2 + 157)</f>
        <v>260712_CR_ZETA_S4</v>
      </c>
    </row>
    <row r="288" spans="1:14">
      <c r="A288" s="23" t="s">
        <v>32</v>
      </c>
      <c r="B288" s="23" t="s">
        <v>147</v>
      </c>
      <c r="C288" s="23" t="s">
        <v>104</v>
      </c>
      <c r="D288" s="23" t="s">
        <v>69</v>
      </c>
      <c r="E288" s="23" t="s">
        <v>201</v>
      </c>
      <c r="F288" s="23">
        <v>32</v>
      </c>
      <c r="G288" s="23">
        <v>10</v>
      </c>
      <c r="H288" s="23">
        <v>12</v>
      </c>
      <c r="I288" s="23">
        <v>14489</v>
      </c>
      <c r="J288" s="23">
        <v>2167</v>
      </c>
      <c r="K288" s="23">
        <v>9094</v>
      </c>
      <c r="L288" s="23" t="s">
        <v>355</v>
      </c>
      <c r="M288" s="23">
        <f t="shared" si="4"/>
        <v>985</v>
      </c>
      <c r="N288" s="24" t="str">
        <f t="array" ref="N288">INDEX('MATCH INFO'!O:O, INT((ROW()-2)/10)+2 + 157)</f>
        <v>260712_CR_ZETA_S4</v>
      </c>
    </row>
    <row r="289" spans="1:14">
      <c r="A289" s="23" t="s">
        <v>32</v>
      </c>
      <c r="B289" s="23" t="s">
        <v>146</v>
      </c>
      <c r="C289" s="23" t="s">
        <v>101</v>
      </c>
      <c r="D289" s="23" t="s">
        <v>69</v>
      </c>
      <c r="E289" s="23" t="s">
        <v>201</v>
      </c>
      <c r="F289" s="23">
        <v>29</v>
      </c>
      <c r="G289" s="23">
        <v>9</v>
      </c>
      <c r="H289" s="23">
        <v>9</v>
      </c>
      <c r="I289" s="23">
        <v>15458</v>
      </c>
      <c r="J289" s="23">
        <v>474</v>
      </c>
      <c r="K289" s="23">
        <v>38778</v>
      </c>
      <c r="L289" s="23" t="s">
        <v>355</v>
      </c>
      <c r="M289" s="23">
        <f t="shared" si="4"/>
        <v>985</v>
      </c>
      <c r="N289" s="24" t="str">
        <f t="array" ref="N289">INDEX('MATCH INFO'!O:O, INT((ROW()-2)/10)+2 + 157)</f>
        <v>260712_CR_ZETA_S4</v>
      </c>
    </row>
    <row r="290" spans="1:14">
      <c r="A290" s="23" t="s">
        <v>32</v>
      </c>
      <c r="B290" s="23" t="s">
        <v>149</v>
      </c>
      <c r="C290" s="23" t="s">
        <v>104</v>
      </c>
      <c r="D290" s="23" t="s">
        <v>69</v>
      </c>
      <c r="E290" s="23" t="s">
        <v>201</v>
      </c>
      <c r="F290" s="23">
        <v>36</v>
      </c>
      <c r="G290" s="23">
        <v>12</v>
      </c>
      <c r="H290" s="23">
        <v>0</v>
      </c>
      <c r="I290" s="23">
        <v>16648</v>
      </c>
      <c r="J290" s="23">
        <v>0</v>
      </c>
      <c r="K290" s="23">
        <v>0</v>
      </c>
      <c r="L290" s="23" t="s">
        <v>355</v>
      </c>
      <c r="M290" s="23">
        <f t="shared" si="4"/>
        <v>985</v>
      </c>
      <c r="N290" s="24" t="str">
        <f t="array" ref="N290">INDEX('MATCH INFO'!O:O, INT((ROW()-2)/10)+2 + 157)</f>
        <v>260712_CR_ZETA_S4</v>
      </c>
    </row>
    <row r="291" spans="1:14">
      <c r="A291" s="23" t="s">
        <v>32</v>
      </c>
      <c r="B291" s="23" t="s">
        <v>151</v>
      </c>
      <c r="C291" s="23" t="s">
        <v>109</v>
      </c>
      <c r="D291" s="23" t="s">
        <v>69</v>
      </c>
      <c r="E291" s="23" t="s">
        <v>201</v>
      </c>
      <c r="F291" s="23">
        <v>25</v>
      </c>
      <c r="G291" s="23">
        <v>7</v>
      </c>
      <c r="H291" s="23">
        <v>36</v>
      </c>
      <c r="I291" s="23">
        <v>5495</v>
      </c>
      <c r="J291" s="23">
        <v>22492</v>
      </c>
      <c r="K291" s="23">
        <v>0</v>
      </c>
      <c r="L291" s="23" t="s">
        <v>355</v>
      </c>
      <c r="M291" s="23">
        <f t="shared" si="4"/>
        <v>985</v>
      </c>
      <c r="N291" s="24" t="str">
        <f t="array" ref="N291">INDEX('MATCH INFO'!O:O, INT((ROW()-2)/10)+2 + 157)</f>
        <v>260712_CR_ZETA_S4</v>
      </c>
    </row>
    <row r="292" spans="1:14">
      <c r="A292" s="23" t="s">
        <v>32</v>
      </c>
      <c r="B292" s="23" t="s">
        <v>150</v>
      </c>
      <c r="C292" s="23" t="s">
        <v>109</v>
      </c>
      <c r="D292" s="23" t="s">
        <v>90</v>
      </c>
      <c r="E292" s="23" t="s">
        <v>192</v>
      </c>
      <c r="F292" s="23">
        <v>18</v>
      </c>
      <c r="G292" s="23">
        <v>10</v>
      </c>
      <c r="H292" s="23">
        <v>18</v>
      </c>
      <c r="I292" s="23">
        <v>4469</v>
      </c>
      <c r="J292" s="23">
        <v>6571</v>
      </c>
      <c r="K292" s="23">
        <v>1240</v>
      </c>
      <c r="L292" s="23" t="s">
        <v>356</v>
      </c>
      <c r="M292" s="23">
        <f t="shared" si="4"/>
        <v>608</v>
      </c>
      <c r="N292" s="24" t="str">
        <f t="array" ref="N292">INDEX('MATCH INFO'!O:O, INT((ROW()-2)/10)+2 + 157)</f>
        <v>260712_CR_ZETA_S5</v>
      </c>
    </row>
    <row r="293" spans="1:14">
      <c r="A293" s="23" t="s">
        <v>32</v>
      </c>
      <c r="B293" s="23" t="s">
        <v>147</v>
      </c>
      <c r="C293" s="23" t="s">
        <v>104</v>
      </c>
      <c r="D293" s="23" t="s">
        <v>90</v>
      </c>
      <c r="E293" s="23" t="s">
        <v>192</v>
      </c>
      <c r="F293" s="23">
        <v>22</v>
      </c>
      <c r="G293" s="23">
        <v>9</v>
      </c>
      <c r="H293" s="23">
        <v>5</v>
      </c>
      <c r="I293" s="23">
        <v>6753</v>
      </c>
      <c r="J293" s="23">
        <v>79</v>
      </c>
      <c r="K293" s="23">
        <v>2232</v>
      </c>
      <c r="L293" s="23" t="s">
        <v>356</v>
      </c>
      <c r="M293" s="23">
        <f t="shared" si="4"/>
        <v>608</v>
      </c>
      <c r="N293" s="24" t="str">
        <f t="array" ref="N293">INDEX('MATCH INFO'!O:O, INT((ROW()-2)/10)+2 + 157)</f>
        <v>260712_CR_ZETA_S5</v>
      </c>
    </row>
    <row r="294" spans="1:14">
      <c r="A294" s="23" t="s">
        <v>32</v>
      </c>
      <c r="B294" s="23" t="s">
        <v>146</v>
      </c>
      <c r="C294" s="23" t="s">
        <v>101</v>
      </c>
      <c r="D294" s="23" t="s">
        <v>90</v>
      </c>
      <c r="E294" s="23" t="s">
        <v>192</v>
      </c>
      <c r="F294" s="23">
        <v>24</v>
      </c>
      <c r="G294" s="23">
        <v>7</v>
      </c>
      <c r="H294" s="23">
        <v>14</v>
      </c>
      <c r="I294" s="23">
        <v>10646</v>
      </c>
      <c r="J294" s="23">
        <v>1097</v>
      </c>
      <c r="K294" s="23">
        <v>18389</v>
      </c>
      <c r="L294" s="23" t="s">
        <v>356</v>
      </c>
      <c r="M294" s="23">
        <f t="shared" si="4"/>
        <v>608</v>
      </c>
      <c r="N294" s="24" t="str">
        <f t="array" ref="N294">INDEX('MATCH INFO'!O:O, INT((ROW()-2)/10)+2 + 157)</f>
        <v>260712_CR_ZETA_S5</v>
      </c>
    </row>
    <row r="295" spans="1:14">
      <c r="A295" s="23" t="s">
        <v>32</v>
      </c>
      <c r="B295" s="23" t="s">
        <v>149</v>
      </c>
      <c r="C295" s="23" t="s">
        <v>104</v>
      </c>
      <c r="D295" s="23" t="s">
        <v>90</v>
      </c>
      <c r="E295" s="23" t="s">
        <v>192</v>
      </c>
      <c r="F295" s="23">
        <v>17</v>
      </c>
      <c r="G295" s="23">
        <v>10</v>
      </c>
      <c r="H295" s="23">
        <v>0</v>
      </c>
      <c r="I295" s="23">
        <v>9060</v>
      </c>
      <c r="J295" s="23">
        <v>0</v>
      </c>
      <c r="K295" s="23">
        <v>0</v>
      </c>
      <c r="L295" s="23" t="s">
        <v>356</v>
      </c>
      <c r="M295" s="23">
        <f t="shared" si="4"/>
        <v>608</v>
      </c>
      <c r="N295" s="24" t="str">
        <f t="array" ref="N295">INDEX('MATCH INFO'!O:O, INT((ROW()-2)/10)+2 + 157)</f>
        <v>260712_CR_ZETA_S5</v>
      </c>
    </row>
    <row r="296" spans="1:14">
      <c r="A296" s="23" t="s">
        <v>32</v>
      </c>
      <c r="B296" s="23" t="s">
        <v>151</v>
      </c>
      <c r="C296" s="23" t="s">
        <v>109</v>
      </c>
      <c r="D296" s="23" t="s">
        <v>90</v>
      </c>
      <c r="E296" s="23" t="s">
        <v>192</v>
      </c>
      <c r="F296" s="23">
        <v>11</v>
      </c>
      <c r="G296" s="23">
        <v>9</v>
      </c>
      <c r="H296" s="23">
        <v>18</v>
      </c>
      <c r="I296" s="23">
        <v>5552</v>
      </c>
      <c r="J296" s="23">
        <v>10633</v>
      </c>
      <c r="K296" s="23">
        <v>0</v>
      </c>
      <c r="L296" s="23" t="s">
        <v>356</v>
      </c>
      <c r="M296" s="23">
        <f t="shared" si="4"/>
        <v>608</v>
      </c>
      <c r="N296" s="24" t="str">
        <f t="array" ref="N296">INDEX('MATCH INFO'!O:O, INT((ROW()-2)/10)+2 + 157)</f>
        <v>260712_CR_ZETA_S5</v>
      </c>
    </row>
    <row r="297" spans="1:14">
      <c r="A297" s="23" t="s">
        <v>42</v>
      </c>
      <c r="B297" s="23" t="s">
        <v>139</v>
      </c>
      <c r="C297" s="23" t="s">
        <v>101</v>
      </c>
      <c r="D297" s="23" t="s">
        <v>90</v>
      </c>
      <c r="E297" s="23" t="s">
        <v>192</v>
      </c>
      <c r="F297" s="23">
        <v>31</v>
      </c>
      <c r="G297" s="23">
        <v>6</v>
      </c>
      <c r="H297" s="23">
        <v>17</v>
      </c>
      <c r="I297" s="23">
        <v>10116</v>
      </c>
      <c r="J297" s="23">
        <v>1436</v>
      </c>
      <c r="K297" s="23">
        <v>7567</v>
      </c>
      <c r="L297" s="23" t="s">
        <v>356</v>
      </c>
      <c r="M297" s="23">
        <f t="shared" si="4"/>
        <v>608</v>
      </c>
      <c r="N297" s="24" t="str">
        <f t="array" ref="N297">INDEX('MATCH INFO'!O:O, INT((ROW()-2)/10)+2 + 157)</f>
        <v>260712_CR_ZETA_S5</v>
      </c>
    </row>
    <row r="298" spans="1:14">
      <c r="A298" s="23" t="s">
        <v>42</v>
      </c>
      <c r="B298" s="23" t="s">
        <v>141</v>
      </c>
      <c r="C298" s="23" t="s">
        <v>104</v>
      </c>
      <c r="D298" s="23" t="s">
        <v>90</v>
      </c>
      <c r="E298" s="23" t="s">
        <v>192</v>
      </c>
      <c r="F298" s="23">
        <v>26</v>
      </c>
      <c r="G298" s="23">
        <v>6</v>
      </c>
      <c r="H298" s="23">
        <v>0</v>
      </c>
      <c r="I298" s="23">
        <v>10158</v>
      </c>
      <c r="J298" s="23">
        <v>0</v>
      </c>
      <c r="K298" s="23">
        <v>0</v>
      </c>
      <c r="L298" s="23" t="s">
        <v>356</v>
      </c>
      <c r="M298" s="23">
        <f t="shared" si="4"/>
        <v>608</v>
      </c>
      <c r="N298" s="24" t="str">
        <f t="array" ref="N298">INDEX('MATCH INFO'!O:O, INT((ROW()-2)/10)+2 + 157)</f>
        <v>260712_CR_ZETA_S5</v>
      </c>
    </row>
    <row r="299" spans="1:14">
      <c r="A299" s="23" t="s">
        <v>42</v>
      </c>
      <c r="B299" s="23" t="s">
        <v>140</v>
      </c>
      <c r="C299" s="23" t="s">
        <v>104</v>
      </c>
      <c r="D299" s="23" t="s">
        <v>90</v>
      </c>
      <c r="E299" s="23" t="s">
        <v>192</v>
      </c>
      <c r="F299" s="23">
        <v>27</v>
      </c>
      <c r="G299" s="23">
        <v>4</v>
      </c>
      <c r="H299" s="23">
        <v>1</v>
      </c>
      <c r="I299" s="23">
        <v>8729</v>
      </c>
      <c r="J299" s="23">
        <v>29</v>
      </c>
      <c r="K299" s="23">
        <v>0</v>
      </c>
      <c r="L299" s="23" t="s">
        <v>356</v>
      </c>
      <c r="M299" s="23">
        <f t="shared" si="4"/>
        <v>608</v>
      </c>
      <c r="N299" s="24" t="str">
        <f t="array" ref="N299">INDEX('MATCH INFO'!O:O, INT((ROW()-2)/10)+2 + 157)</f>
        <v>260712_CR_ZETA_S5</v>
      </c>
    </row>
    <row r="300" spans="1:14">
      <c r="A300" s="23" t="s">
        <v>42</v>
      </c>
      <c r="B300" s="23" t="s">
        <v>143</v>
      </c>
      <c r="C300" s="23" t="s">
        <v>109</v>
      </c>
      <c r="D300" s="23" t="s">
        <v>90</v>
      </c>
      <c r="E300" s="23" t="s">
        <v>192</v>
      </c>
      <c r="F300" s="23">
        <v>10</v>
      </c>
      <c r="G300" s="23">
        <v>7</v>
      </c>
      <c r="H300" s="23">
        <v>25</v>
      </c>
      <c r="I300" s="23">
        <v>2472</v>
      </c>
      <c r="J300" s="23">
        <v>11126</v>
      </c>
      <c r="K300" s="23">
        <v>0</v>
      </c>
      <c r="L300" s="23" t="s">
        <v>356</v>
      </c>
      <c r="M300" s="23">
        <f t="shared" si="4"/>
        <v>608</v>
      </c>
      <c r="N300" s="24" t="str">
        <f t="array" ref="N300">INDEX('MATCH INFO'!O:O, INT((ROW()-2)/10)+2 + 157)</f>
        <v>260712_CR_ZETA_S5</v>
      </c>
    </row>
    <row r="301" spans="1:14">
      <c r="A301" s="23" t="s">
        <v>42</v>
      </c>
      <c r="B301" s="23" t="s">
        <v>142</v>
      </c>
      <c r="C301" s="23" t="s">
        <v>109</v>
      </c>
      <c r="D301" s="23" t="s">
        <v>90</v>
      </c>
      <c r="E301" s="23" t="s">
        <v>192</v>
      </c>
      <c r="F301" s="23">
        <v>25</v>
      </c>
      <c r="G301" s="23">
        <v>6</v>
      </c>
      <c r="H301" s="23">
        <v>17</v>
      </c>
      <c r="I301" s="23">
        <v>5462</v>
      </c>
      <c r="J301" s="23">
        <v>8169</v>
      </c>
      <c r="K301" s="23">
        <v>0</v>
      </c>
      <c r="L301" s="23" t="s">
        <v>356</v>
      </c>
      <c r="M301" s="23">
        <f t="shared" si="4"/>
        <v>608</v>
      </c>
      <c r="N301" s="24" t="str">
        <f t="array" ref="N301">INDEX('MATCH INFO'!O:O, INT((ROW()-2)/10)+2 + 157)</f>
        <v>260712_CR_ZETA_S5</v>
      </c>
    </row>
    <row r="302" spans="1:14">
      <c r="A302" s="23" t="s">
        <v>42</v>
      </c>
      <c r="B302" s="23" t="s">
        <v>139</v>
      </c>
      <c r="C302" s="23" t="s">
        <v>101</v>
      </c>
      <c r="D302" s="23" t="s">
        <v>89</v>
      </c>
      <c r="E302" s="23" t="s">
        <v>196</v>
      </c>
      <c r="F302" s="23">
        <v>36</v>
      </c>
      <c r="G302" s="23">
        <v>14</v>
      </c>
      <c r="H302" s="23">
        <v>12</v>
      </c>
      <c r="I302" s="23">
        <v>18368</v>
      </c>
      <c r="J302" s="23">
        <v>863</v>
      </c>
      <c r="K302" s="23">
        <v>29765</v>
      </c>
      <c r="L302" s="23" t="s">
        <v>357</v>
      </c>
      <c r="M302" s="23">
        <f t="shared" si="4"/>
        <v>1257</v>
      </c>
      <c r="N302" s="24" t="str">
        <f t="array" ref="N302">INDEX('MATCH INFO'!O:O, INT((ROW()-2)/10)+2 + 157)</f>
        <v>260712_CR_ZETA_S6</v>
      </c>
    </row>
    <row r="303" spans="1:14">
      <c r="A303" s="23" t="s">
        <v>42</v>
      </c>
      <c r="B303" s="23" t="s">
        <v>141</v>
      </c>
      <c r="C303" s="23" t="s">
        <v>104</v>
      </c>
      <c r="D303" s="23" t="s">
        <v>89</v>
      </c>
      <c r="E303" s="23" t="s">
        <v>196</v>
      </c>
      <c r="F303" s="23">
        <v>39</v>
      </c>
      <c r="G303" s="23">
        <v>17</v>
      </c>
      <c r="H303" s="23">
        <v>2</v>
      </c>
      <c r="I303" s="23">
        <v>19735</v>
      </c>
      <c r="J303" s="23">
        <v>590</v>
      </c>
      <c r="K303" s="23">
        <v>625</v>
      </c>
      <c r="L303" s="23" t="s">
        <v>357</v>
      </c>
      <c r="M303" s="23">
        <f t="shared" si="4"/>
        <v>1257</v>
      </c>
      <c r="N303" s="24" t="str">
        <f t="array" ref="N303">INDEX('MATCH INFO'!O:O, INT((ROW()-2)/10)+2 + 157)</f>
        <v>260712_CR_ZETA_S6</v>
      </c>
    </row>
    <row r="304" spans="1:14">
      <c r="A304" s="23" t="s">
        <v>42</v>
      </c>
      <c r="B304" s="23" t="s">
        <v>140</v>
      </c>
      <c r="C304" s="23" t="s">
        <v>104</v>
      </c>
      <c r="D304" s="23" t="s">
        <v>89</v>
      </c>
      <c r="E304" s="23" t="s">
        <v>196</v>
      </c>
      <c r="F304" s="23">
        <v>53</v>
      </c>
      <c r="G304" s="23">
        <v>13</v>
      </c>
      <c r="H304" s="23">
        <v>12</v>
      </c>
      <c r="I304" s="23">
        <v>21366</v>
      </c>
      <c r="J304" s="23">
        <v>1066</v>
      </c>
      <c r="K304" s="23">
        <v>5548</v>
      </c>
      <c r="L304" s="23" t="s">
        <v>357</v>
      </c>
      <c r="M304" s="23">
        <f t="shared" si="4"/>
        <v>1257</v>
      </c>
      <c r="N304" s="24" t="str">
        <f t="array" ref="N304">INDEX('MATCH INFO'!O:O, INT((ROW()-2)/10)+2 + 157)</f>
        <v>260712_CR_ZETA_S6</v>
      </c>
    </row>
    <row r="305" spans="1:14">
      <c r="A305" s="23" t="s">
        <v>42</v>
      </c>
      <c r="B305" s="23" t="s">
        <v>143</v>
      </c>
      <c r="C305" s="23" t="s">
        <v>109</v>
      </c>
      <c r="D305" s="23" t="s">
        <v>89</v>
      </c>
      <c r="E305" s="23" t="s">
        <v>196</v>
      </c>
      <c r="F305" s="23">
        <v>24</v>
      </c>
      <c r="G305" s="23">
        <v>14</v>
      </c>
      <c r="H305" s="23">
        <v>36</v>
      </c>
      <c r="I305" s="23">
        <v>7281</v>
      </c>
      <c r="J305" s="23">
        <v>17001</v>
      </c>
      <c r="K305" s="23">
        <v>763</v>
      </c>
      <c r="L305" s="23" t="s">
        <v>357</v>
      </c>
      <c r="M305" s="23">
        <f t="shared" si="4"/>
        <v>1257</v>
      </c>
      <c r="N305" s="24" t="str">
        <f t="array" ref="N305">INDEX('MATCH INFO'!O:O, INT((ROW()-2)/10)+2 + 157)</f>
        <v>260712_CR_ZETA_S6</v>
      </c>
    </row>
    <row r="306" spans="1:14">
      <c r="A306" s="23" t="s">
        <v>42</v>
      </c>
      <c r="B306" s="23" t="s">
        <v>142</v>
      </c>
      <c r="C306" s="23" t="s">
        <v>109</v>
      </c>
      <c r="D306" s="23" t="s">
        <v>89</v>
      </c>
      <c r="E306" s="23" t="s">
        <v>196</v>
      </c>
      <c r="F306" s="23">
        <v>42</v>
      </c>
      <c r="G306" s="23">
        <v>15</v>
      </c>
      <c r="H306" s="23">
        <v>41</v>
      </c>
      <c r="I306" s="23">
        <v>15970</v>
      </c>
      <c r="J306" s="23">
        <v>18739</v>
      </c>
      <c r="K306" s="23">
        <v>2763</v>
      </c>
      <c r="L306" s="23" t="s">
        <v>357</v>
      </c>
      <c r="M306" s="23">
        <f t="shared" si="4"/>
        <v>1257</v>
      </c>
      <c r="N306" s="24" t="str">
        <f t="array" ref="N306">INDEX('MATCH INFO'!O:O, INT((ROW()-2)/10)+2 + 157)</f>
        <v>260712_CR_ZETA_S6</v>
      </c>
    </row>
    <row r="307" spans="1:14">
      <c r="A307" s="23" t="s">
        <v>32</v>
      </c>
      <c r="B307" s="23" t="s">
        <v>150</v>
      </c>
      <c r="C307" s="23" t="s">
        <v>109</v>
      </c>
      <c r="D307" s="23" t="s">
        <v>89</v>
      </c>
      <c r="E307" s="23" t="s">
        <v>196</v>
      </c>
      <c r="F307" s="23">
        <v>33</v>
      </c>
      <c r="G307" s="23">
        <v>13</v>
      </c>
      <c r="H307" s="23">
        <v>47</v>
      </c>
      <c r="I307" s="23">
        <v>10513</v>
      </c>
      <c r="J307" s="23">
        <v>19812</v>
      </c>
      <c r="K307" s="23">
        <v>3820</v>
      </c>
      <c r="L307" s="23" t="s">
        <v>357</v>
      </c>
      <c r="M307" s="23">
        <f t="shared" si="4"/>
        <v>1257</v>
      </c>
      <c r="N307" s="24" t="str">
        <f t="array" ref="N307">INDEX('MATCH INFO'!O:O, INT((ROW()-2)/10)+2 + 157)</f>
        <v>260712_CR_ZETA_S6</v>
      </c>
    </row>
    <row r="308" spans="1:14">
      <c r="A308" s="23" t="s">
        <v>32</v>
      </c>
      <c r="B308" s="23" t="s">
        <v>147</v>
      </c>
      <c r="C308" s="23" t="s">
        <v>104</v>
      </c>
      <c r="D308" s="23" t="s">
        <v>89</v>
      </c>
      <c r="E308" s="23" t="s">
        <v>196</v>
      </c>
      <c r="F308" s="23">
        <v>41</v>
      </c>
      <c r="G308" s="23">
        <v>19</v>
      </c>
      <c r="H308" s="23">
        <v>10</v>
      </c>
      <c r="I308" s="23">
        <v>15970</v>
      </c>
      <c r="J308" s="23">
        <v>1645</v>
      </c>
      <c r="K308" s="23">
        <v>10700</v>
      </c>
      <c r="L308" s="23" t="s">
        <v>357</v>
      </c>
      <c r="M308" s="23">
        <f t="shared" si="4"/>
        <v>1257</v>
      </c>
      <c r="N308" s="24" t="str">
        <f t="array" ref="N308">INDEX('MATCH INFO'!O:O, INT((ROW()-2)/10)+2 + 157)</f>
        <v>260712_CR_ZETA_S6</v>
      </c>
    </row>
    <row r="309" spans="1:14">
      <c r="A309" s="23" t="s">
        <v>32</v>
      </c>
      <c r="B309" s="23" t="s">
        <v>146</v>
      </c>
      <c r="C309" s="23" t="s">
        <v>101</v>
      </c>
      <c r="D309" s="23" t="s">
        <v>89</v>
      </c>
      <c r="E309" s="23" t="s">
        <v>196</v>
      </c>
      <c r="F309" s="23">
        <v>50</v>
      </c>
      <c r="G309" s="23">
        <v>10</v>
      </c>
      <c r="H309" s="23">
        <v>12</v>
      </c>
      <c r="I309" s="23">
        <v>24010</v>
      </c>
      <c r="J309" s="23">
        <v>699</v>
      </c>
      <c r="K309" s="23">
        <v>43310</v>
      </c>
      <c r="L309" s="23" t="s">
        <v>357</v>
      </c>
      <c r="M309" s="23">
        <f t="shared" si="4"/>
        <v>1257</v>
      </c>
      <c r="N309" s="24" t="str">
        <f t="array" ref="N309">INDEX('MATCH INFO'!O:O, INT((ROW()-2)/10)+2 + 157)</f>
        <v>260712_CR_ZETA_S6</v>
      </c>
    </row>
    <row r="310" spans="1:14">
      <c r="A310" s="23" t="s">
        <v>32</v>
      </c>
      <c r="B310" s="23" t="s">
        <v>149</v>
      </c>
      <c r="C310" s="23" t="s">
        <v>104</v>
      </c>
      <c r="D310" s="23" t="s">
        <v>89</v>
      </c>
      <c r="E310" s="23" t="s">
        <v>196</v>
      </c>
      <c r="F310" s="23">
        <v>46</v>
      </c>
      <c r="G310" s="23">
        <v>17</v>
      </c>
      <c r="H310" s="23">
        <v>5</v>
      </c>
      <c r="I310" s="23">
        <v>17502</v>
      </c>
      <c r="J310" s="23">
        <v>0</v>
      </c>
      <c r="K310" s="23">
        <v>772</v>
      </c>
      <c r="L310" s="23" t="s">
        <v>357</v>
      </c>
      <c r="M310" s="23">
        <f t="shared" si="4"/>
        <v>1257</v>
      </c>
      <c r="N310" s="24" t="str">
        <f t="array" ref="N310">INDEX('MATCH INFO'!O:O, INT((ROW()-2)/10)+2 + 157)</f>
        <v>260712_CR_ZETA_S6</v>
      </c>
    </row>
    <row r="311" spans="1:14">
      <c r="A311" s="23" t="s">
        <v>32</v>
      </c>
      <c r="B311" s="23" t="s">
        <v>151</v>
      </c>
      <c r="C311" s="23" t="s">
        <v>109</v>
      </c>
      <c r="D311" s="23" t="s">
        <v>89</v>
      </c>
      <c r="E311" s="23" t="s">
        <v>196</v>
      </c>
      <c r="F311" s="23">
        <v>25</v>
      </c>
      <c r="G311" s="23">
        <v>12</v>
      </c>
      <c r="H311" s="23">
        <v>53</v>
      </c>
      <c r="I311" s="23">
        <v>6492</v>
      </c>
      <c r="J311" s="23">
        <v>27804</v>
      </c>
      <c r="K311" s="23">
        <v>0</v>
      </c>
      <c r="L311" s="23" t="s">
        <v>357</v>
      </c>
      <c r="M311" s="23">
        <f t="shared" si="4"/>
        <v>1257</v>
      </c>
      <c r="N311" s="24" t="str">
        <f t="array" ref="N311">INDEX('MATCH INFO'!O:O, INT((ROW()-2)/10)+2 + 157)</f>
        <v>260712_CR_ZETA_S6</v>
      </c>
    </row>
  </sheetData>
  <phoneticPr fontId="8" type="noConversion"/>
  <conditionalFormatting sqref="A2:N311">
    <cfRule type="expression" dxfId="1" priority="1">
      <formula>MOD(ROW()-1, 10)=0</formula>
    </cfRule>
    <cfRule type="expression" dxfId="0" priority="2">
      <formula>MOD(INT((ROW()-2)/10), 2)=1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1"/>
  <sheetViews>
    <sheetView workbookViewId="0"/>
  </sheetViews>
  <sheetFormatPr baseColWidth="10" defaultRowHeight="18"/>
  <cols>
    <col min="4" max="11" width="14.7109375" style="3" customWidth="1"/>
  </cols>
  <sheetData>
    <row r="1" spans="1:11">
      <c r="A1" s="8" t="s">
        <v>358</v>
      </c>
      <c r="B1" s="8" t="s">
        <v>359</v>
      </c>
      <c r="C1" s="8" t="s">
        <v>360</v>
      </c>
      <c r="D1" s="8" t="s">
        <v>361</v>
      </c>
      <c r="E1" s="8" t="s">
        <v>362</v>
      </c>
      <c r="F1" s="8" t="s">
        <v>363</v>
      </c>
      <c r="G1" s="8" t="s">
        <v>364</v>
      </c>
      <c r="H1" s="8" t="s">
        <v>365</v>
      </c>
      <c r="I1" s="8" t="s">
        <v>366</v>
      </c>
      <c r="J1" s="8" t="s">
        <v>367</v>
      </c>
      <c r="K1" s="8" t="s">
        <v>368</v>
      </c>
    </row>
    <row r="2" spans="1:11">
      <c r="A2" s="9" t="s">
        <v>20</v>
      </c>
      <c r="B2" s="9" t="s">
        <v>100</v>
      </c>
      <c r="C2" s="9" t="s">
        <v>101</v>
      </c>
      <c r="D2" s="11">
        <f>SUMIF(MATCH_W1!$B:$B,$B2,MATCH_W1!$F:$F)+SUMIF(MATCH_W2!$B:$B,$B2,MATCH_W2!$F:$F)+SUMIF(MATCH_W3!$B:$B,$B2,MATCH_W3!$F:$F)+SUMIF(MATCH_W4!$B:$B,$B2,MATCH_W4!$F:$F)+SUMIF(MATCH_W5!$B:$B,$B2,MATCH_W5!$F:$F)+SUMIF(MATCH_W6!$B:$B,$B2,MATCH_W6!$F:$F)</f>
        <v>349</v>
      </c>
      <c r="E2" s="11">
        <f>SUMIF(MATCH_W1!$B:$B,$B2,MATCH_W1!$G:$G)+SUMIF(MATCH_W2!$B:$B,$B2,MATCH_W2!$G:$G)+SUMIF(MATCH_W3!$B:$B,$B2,MATCH_W3!$G:$G)+SUMIF(MATCH_W4!$B:$B,$B2,MATCH_W4!$G:$G)+SUMIF(MATCH_W5!$B:$B,$B2,MATCH_W5!$G:$G)+SUMIF(MATCH_W6!$B:$B,$B2,MATCH_W6!$G:$G)</f>
        <v>120</v>
      </c>
      <c r="F2" s="11">
        <f>SUMIF(MATCH_W1!$B:$B,$B2,MATCH_W1!$H:$H)+SUMIF(MATCH_W2!$B:$B,$B2,MATCH_W2!$H:$H)+SUMIF(MATCH_W3!$B:$B,$B2,MATCH_W3!$H:$H)+SUMIF(MATCH_W4!$B:$B,$B2,MATCH_W4!$H:$H)+SUMIF(MATCH_W5!$B:$B,$B2,MATCH_W5!$H:$H)+SUMIF(MATCH_W6!$B:$B,$B2,MATCH_W6!$H:$H)</f>
        <v>213</v>
      </c>
      <c r="G2" s="11">
        <f>SUMIF(MATCH_W1!$B:$B,$B2,MATCH_W1!$I:$I)+SUMIF(MATCH_W2!$B:$B,$B2,MATCH_W2!$I:$I)+SUMIF(MATCH_W3!$B:$B,$B2,MATCH_W3!$I:$I)+SUMIF(MATCH_W4!$B:$B,$B2,MATCH_W4!$I:$I)+SUMIF(MATCH_W5!$B:$B,$B2,MATCH_W5!$I:$I)+SUMIF(MATCH_W6!$B:$B,$B2,MATCH_W6!$I:$I)</f>
        <v>220283</v>
      </c>
      <c r="H2" s="11">
        <f>SUMIF(MATCH_W1!$B:$B,$B2,MATCH_W1!$J:$J)+SUMIF(MATCH_W2!$B:$B,$B2,MATCH_W2!$J:$J)+SUMIF(MATCH_W3!$B:$B,$B2,MATCH_W3!$J:$J)+SUMIF(MATCH_W4!$B:$B,$B2,MATCH_W4!$J:$J)+SUMIF(MATCH_W5!$B:$B,$B2,MATCH_W5!$J:$J)+SUMIF(MATCH_W6!$B:$B,$B2,MATCH_W6!$J:$J)</f>
        <v>51331</v>
      </c>
      <c r="I2" s="11">
        <f>SUMIF(MATCH_W1!$B:$B,$B2,MATCH_W1!$K:$K)+SUMIF(MATCH_W2!$B:$B,$B2,MATCH_W2!$K:$K)+SUMIF(MATCH_W3!$B:$B,$B2,MATCH_W3!$K:$K)+SUMIF(MATCH_W4!$B:$B,$B2,MATCH_W4!$K:$K)+SUMIF(MATCH_W5!$B:$B,$B2,MATCH_W5!$K:$K)+SUMIF(MATCH_W6!$B:$B,$B2,MATCH_W6!$K:$K)</f>
        <v>128806</v>
      </c>
      <c r="J2" s="10">
        <f t="shared" ref="J2:J33" si="0">IFERROR(D2/E2,0)</f>
        <v>2.9083333333333332</v>
      </c>
      <c r="K2" s="12">
        <f>SUMIF(MATCH_W1!$B:$B,$B2,MATCH_W1!$M:$M)+SUMIF(MATCH_W2!$B:$B,$B2,MATCH_W2!$M:$M)+SUMIF(MATCH_W3!$B:$B,$B2,MATCH_W3!$M:$M)+SUMIF(MATCH_W4!$B:$B,$B2,MATCH_W4!$M:$M)+SUMIF(MATCH_W5!$B:$B,$B2,MATCH_W5!$M:$M)+SUMIF(MATCH_W6!$B:$B,$B2,MATCH_W6!$M:$M)</f>
        <v>10770</v>
      </c>
    </row>
    <row r="3" spans="1:11">
      <c r="A3" s="9" t="s">
        <v>20</v>
      </c>
      <c r="B3" s="9" t="s">
        <v>102</v>
      </c>
      <c r="C3" s="9" t="s">
        <v>101</v>
      </c>
      <c r="D3" s="11">
        <f>SUMIF(MATCH_W1!$B:$B,$B3,MATCH_W1!$F:$F)+SUMIF(MATCH_W2!$B:$B,$B3,MATCH_W2!$F:$F)+SUMIF(MATCH_W3!$B:$B,$B3,MATCH_W3!$F:$F)+SUMIF(MATCH_W4!$B:$B,$B3,MATCH_W4!$F:$F)+SUMIF(MATCH_W5!$B:$B,$B3,MATCH_W5!$F:$F)+SUMIF(MATCH_W6!$B:$B,$B3,MATCH_W6!$F:$F)</f>
        <v>345</v>
      </c>
      <c r="E3" s="11">
        <f>SUMIF(MATCH_W1!$B:$B,$B3,MATCH_W1!$G:$G)+SUMIF(MATCH_W2!$B:$B,$B3,MATCH_W2!$G:$G)+SUMIF(MATCH_W3!$B:$B,$B3,MATCH_W3!$G:$G)+SUMIF(MATCH_W4!$B:$B,$B3,MATCH_W4!$G:$G)+SUMIF(MATCH_W5!$B:$B,$B3,MATCH_W5!$G:$G)+SUMIF(MATCH_W6!$B:$B,$B3,MATCH_W6!$G:$G)</f>
        <v>137</v>
      </c>
      <c r="F3" s="11">
        <f>SUMIF(MATCH_W1!$B:$B,$B3,MATCH_W1!$H:$H)+SUMIF(MATCH_W2!$B:$B,$B3,MATCH_W2!$H:$H)+SUMIF(MATCH_W3!$B:$B,$B3,MATCH_W3!$H:$H)+SUMIF(MATCH_W4!$B:$B,$B3,MATCH_W4!$H:$H)+SUMIF(MATCH_W5!$B:$B,$B3,MATCH_W5!$H:$H)+SUMIF(MATCH_W6!$B:$B,$B3,MATCH_W6!$H:$H)</f>
        <v>111</v>
      </c>
      <c r="G3" s="11">
        <f>SUMIF(MATCH_W1!$B:$B,$B3,MATCH_W1!$I:$I)+SUMIF(MATCH_W2!$B:$B,$B3,MATCH_W2!$I:$I)+SUMIF(MATCH_W3!$B:$B,$B3,MATCH_W3!$I:$I)+SUMIF(MATCH_W4!$B:$B,$B3,MATCH_W4!$I:$I)+SUMIF(MATCH_W5!$B:$B,$B3,MATCH_W5!$I:$I)+SUMIF(MATCH_W6!$B:$B,$B3,MATCH_W6!$I:$I)</f>
        <v>229926</v>
      </c>
      <c r="H3" s="11">
        <f>SUMIF(MATCH_W1!$B:$B,$B3,MATCH_W1!$J:$J)+SUMIF(MATCH_W2!$B:$B,$B3,MATCH_W2!$J:$J)+SUMIF(MATCH_W3!$B:$B,$B3,MATCH_W3!$J:$J)+SUMIF(MATCH_W4!$B:$B,$B3,MATCH_W4!$J:$J)+SUMIF(MATCH_W5!$B:$B,$B3,MATCH_W5!$J:$J)+SUMIF(MATCH_W6!$B:$B,$B3,MATCH_W6!$J:$J)</f>
        <v>17041</v>
      </c>
      <c r="I3" s="11">
        <f>SUMIF(MATCH_W1!$B:$B,$B3,MATCH_W1!$K:$K)+SUMIF(MATCH_W2!$B:$B,$B3,MATCH_W2!$K:$K)+SUMIF(MATCH_W3!$B:$B,$B3,MATCH_W3!$K:$K)+SUMIF(MATCH_W4!$B:$B,$B3,MATCH_W4!$K:$K)+SUMIF(MATCH_W5!$B:$B,$B3,MATCH_W5!$K:$K)+SUMIF(MATCH_W6!$B:$B,$B3,MATCH_W6!$K:$K)</f>
        <v>359046</v>
      </c>
      <c r="J3" s="10">
        <f t="shared" si="0"/>
        <v>2.5182481751824817</v>
      </c>
      <c r="K3" s="12">
        <f>SUMIF(MATCH_W1!$B:$B,$B3,MATCH_W1!$M:$M)+SUMIF(MATCH_W2!$B:$B,$B3,MATCH_W2!$M:$M)+SUMIF(MATCH_W3!$B:$B,$B3,MATCH_W3!$M:$M)+SUMIF(MATCH_W4!$B:$B,$B3,MATCH_W4!$M:$M)+SUMIF(MATCH_W5!$B:$B,$B3,MATCH_W5!$M:$M)+SUMIF(MATCH_W6!$B:$B,$B3,MATCH_W6!$M:$M)</f>
        <v>13664</v>
      </c>
    </row>
    <row r="4" spans="1:11">
      <c r="A4" s="9" t="s">
        <v>20</v>
      </c>
      <c r="B4" s="9" t="s">
        <v>103</v>
      </c>
      <c r="C4" s="9" t="s">
        <v>104</v>
      </c>
      <c r="D4" s="11">
        <f>SUMIF(MATCH_W1!$B:$B,$B4,MATCH_W1!$F:$F)+SUMIF(MATCH_W2!$B:$B,$B4,MATCH_W2!$F:$F)+SUMIF(MATCH_W3!$B:$B,$B4,MATCH_W3!$F:$F)+SUMIF(MATCH_W4!$B:$B,$B4,MATCH_W4!$F:$F)+SUMIF(MATCH_W5!$B:$B,$B4,MATCH_W5!$F:$F)+SUMIF(MATCH_W6!$B:$B,$B4,MATCH_W6!$F:$F)</f>
        <v>644</v>
      </c>
      <c r="E4" s="11">
        <f>SUMIF(MATCH_W1!$B:$B,$B4,MATCH_W1!$G:$G)+SUMIF(MATCH_W2!$B:$B,$B4,MATCH_W2!$G:$G)+SUMIF(MATCH_W3!$B:$B,$B4,MATCH_W3!$G:$G)+SUMIF(MATCH_W4!$B:$B,$B4,MATCH_W4!$G:$G)+SUMIF(MATCH_W5!$B:$B,$B4,MATCH_W5!$G:$G)+SUMIF(MATCH_W6!$B:$B,$B4,MATCH_W6!$G:$G)</f>
        <v>282</v>
      </c>
      <c r="F4" s="11">
        <f>SUMIF(MATCH_W1!$B:$B,$B4,MATCH_W1!$H:$H)+SUMIF(MATCH_W2!$B:$B,$B4,MATCH_W2!$H:$H)+SUMIF(MATCH_W3!$B:$B,$B4,MATCH_W3!$H:$H)+SUMIF(MATCH_W4!$B:$B,$B4,MATCH_W4!$H:$H)+SUMIF(MATCH_W5!$B:$B,$B4,MATCH_W5!$H:$H)+SUMIF(MATCH_W6!$B:$B,$B4,MATCH_W6!$H:$H)</f>
        <v>56</v>
      </c>
      <c r="G4" s="11">
        <f>SUMIF(MATCH_W1!$B:$B,$B4,MATCH_W1!$I:$I)+SUMIF(MATCH_W2!$B:$B,$B4,MATCH_W2!$I:$I)+SUMIF(MATCH_W3!$B:$B,$B4,MATCH_W3!$I:$I)+SUMIF(MATCH_W4!$B:$B,$B4,MATCH_W4!$I:$I)+SUMIF(MATCH_W5!$B:$B,$B4,MATCH_W5!$I:$I)+SUMIF(MATCH_W6!$B:$B,$B4,MATCH_W6!$I:$I)</f>
        <v>348013</v>
      </c>
      <c r="H4" s="11">
        <f>SUMIF(MATCH_W1!$B:$B,$B4,MATCH_W1!$J:$J)+SUMIF(MATCH_W2!$B:$B,$B4,MATCH_W2!$J:$J)+SUMIF(MATCH_W3!$B:$B,$B4,MATCH_W3!$J:$J)+SUMIF(MATCH_W4!$B:$B,$B4,MATCH_W4!$J:$J)+SUMIF(MATCH_W5!$B:$B,$B4,MATCH_W5!$J:$J)+SUMIF(MATCH_W6!$B:$B,$B4,MATCH_W6!$J:$J)</f>
        <v>36529</v>
      </c>
      <c r="I4" s="11">
        <f>SUMIF(MATCH_W1!$B:$B,$B4,MATCH_W1!$K:$K)+SUMIF(MATCH_W2!$B:$B,$B4,MATCH_W2!$K:$K)+SUMIF(MATCH_W3!$B:$B,$B4,MATCH_W3!$K:$K)+SUMIF(MATCH_W4!$B:$B,$B4,MATCH_W4!$K:$K)+SUMIF(MATCH_W5!$B:$B,$B4,MATCH_W5!$K:$K)+SUMIF(MATCH_W6!$B:$B,$B4,MATCH_W6!$K:$K)</f>
        <v>30147</v>
      </c>
      <c r="J4" s="10">
        <f t="shared" si="0"/>
        <v>2.2836879432624113</v>
      </c>
      <c r="K4" s="12">
        <f>SUMIF(MATCH_W1!$B:$B,$B4,MATCH_W1!$M:$M)+SUMIF(MATCH_W2!$B:$B,$B4,MATCH_W2!$M:$M)+SUMIF(MATCH_W3!$B:$B,$B4,MATCH_W3!$M:$M)+SUMIF(MATCH_W4!$B:$B,$B4,MATCH_W4!$M:$M)+SUMIF(MATCH_W5!$B:$B,$B4,MATCH_W5!$M:$M)+SUMIF(MATCH_W6!$B:$B,$B4,MATCH_W6!$M:$M)</f>
        <v>24434</v>
      </c>
    </row>
    <row r="5" spans="1:11">
      <c r="A5" s="9" t="s">
        <v>20</v>
      </c>
      <c r="B5" s="9" t="s">
        <v>106</v>
      </c>
      <c r="C5" s="9" t="s">
        <v>104</v>
      </c>
      <c r="D5" s="11">
        <f>SUMIF(MATCH_W1!$B:$B,$B5,MATCH_W1!$F:$F)+SUMIF(MATCH_W2!$B:$B,$B5,MATCH_W2!$F:$F)+SUMIF(MATCH_W3!$B:$B,$B5,MATCH_W3!$F:$F)+SUMIF(MATCH_W4!$B:$B,$B5,MATCH_W4!$F:$F)+SUMIF(MATCH_W5!$B:$B,$B5,MATCH_W5!$F:$F)+SUMIF(MATCH_W6!$B:$B,$B5,MATCH_W6!$F:$F)</f>
        <v>667</v>
      </c>
      <c r="E5" s="11">
        <f>SUMIF(MATCH_W1!$B:$B,$B5,MATCH_W1!$G:$G)+SUMIF(MATCH_W2!$B:$B,$B5,MATCH_W2!$G:$G)+SUMIF(MATCH_W3!$B:$B,$B5,MATCH_W3!$G:$G)+SUMIF(MATCH_W4!$B:$B,$B5,MATCH_W4!$G:$G)+SUMIF(MATCH_W5!$B:$B,$B5,MATCH_W5!$G:$G)+SUMIF(MATCH_W6!$B:$B,$B5,MATCH_W6!$G:$G)</f>
        <v>277</v>
      </c>
      <c r="F5" s="11">
        <f>SUMIF(MATCH_W1!$B:$B,$B5,MATCH_W1!$H:$H)+SUMIF(MATCH_W2!$B:$B,$B5,MATCH_W2!$H:$H)+SUMIF(MATCH_W3!$B:$B,$B5,MATCH_W3!$H:$H)+SUMIF(MATCH_W4!$B:$B,$B5,MATCH_W4!$H:$H)+SUMIF(MATCH_W5!$B:$B,$B5,MATCH_W5!$H:$H)+SUMIF(MATCH_W6!$B:$B,$B5,MATCH_W6!$H:$H)</f>
        <v>82</v>
      </c>
      <c r="G5" s="11">
        <f>SUMIF(MATCH_W1!$B:$B,$B5,MATCH_W1!$I:$I)+SUMIF(MATCH_W2!$B:$B,$B5,MATCH_W2!$I:$I)+SUMIF(MATCH_W3!$B:$B,$B5,MATCH_W3!$I:$I)+SUMIF(MATCH_W4!$B:$B,$B5,MATCH_W4!$I:$I)+SUMIF(MATCH_W5!$B:$B,$B5,MATCH_W5!$I:$I)+SUMIF(MATCH_W6!$B:$B,$B5,MATCH_W6!$I:$I)</f>
        <v>376340</v>
      </c>
      <c r="H5" s="11">
        <f>SUMIF(MATCH_W1!$B:$B,$B5,MATCH_W1!$J:$J)+SUMIF(MATCH_W2!$B:$B,$B5,MATCH_W2!$J:$J)+SUMIF(MATCH_W3!$B:$B,$B5,MATCH_W3!$J:$J)+SUMIF(MATCH_W4!$B:$B,$B5,MATCH_W4!$J:$J)+SUMIF(MATCH_W5!$B:$B,$B5,MATCH_W5!$J:$J)+SUMIF(MATCH_W6!$B:$B,$B5,MATCH_W6!$J:$J)</f>
        <v>4474</v>
      </c>
      <c r="I5" s="11">
        <f>SUMIF(MATCH_W1!$B:$B,$B5,MATCH_W1!$K:$K)+SUMIF(MATCH_W2!$B:$B,$B5,MATCH_W2!$K:$K)+SUMIF(MATCH_W3!$B:$B,$B5,MATCH_W3!$K:$K)+SUMIF(MATCH_W4!$B:$B,$B5,MATCH_W4!$K:$K)+SUMIF(MATCH_W5!$B:$B,$B5,MATCH_W5!$K:$K)+SUMIF(MATCH_W6!$B:$B,$B5,MATCH_W6!$K:$K)</f>
        <v>18541</v>
      </c>
      <c r="J5" s="10">
        <f t="shared" si="0"/>
        <v>2.407942238267148</v>
      </c>
      <c r="K5" s="12">
        <f>SUMIF(MATCH_W1!$B:$B,$B5,MATCH_W1!$M:$M)+SUMIF(MATCH_W2!$B:$B,$B5,MATCH_W2!$M:$M)+SUMIF(MATCH_W3!$B:$B,$B5,MATCH_W3!$M:$M)+SUMIF(MATCH_W4!$B:$B,$B5,MATCH_W4!$M:$M)+SUMIF(MATCH_W5!$B:$B,$B5,MATCH_W5!$M:$M)+SUMIF(MATCH_W6!$B:$B,$B5,MATCH_W6!$M:$M)</f>
        <v>24434</v>
      </c>
    </row>
    <row r="6" spans="1:11">
      <c r="A6" s="9" t="s">
        <v>20</v>
      </c>
      <c r="B6" s="9" t="s">
        <v>108</v>
      </c>
      <c r="C6" s="9" t="s">
        <v>109</v>
      </c>
      <c r="D6" s="11">
        <f>SUMIF(MATCH_W1!$B:$B,$B6,MATCH_W1!$F:$F)+SUMIF(MATCH_W2!$B:$B,$B6,MATCH_W2!$F:$F)+SUMIF(MATCH_W3!$B:$B,$B6,MATCH_W3!$F:$F)+SUMIF(MATCH_W4!$B:$B,$B6,MATCH_W4!$F:$F)+SUMIF(MATCH_W5!$B:$B,$B6,MATCH_W5!$F:$F)+SUMIF(MATCH_W6!$B:$B,$B6,MATCH_W6!$F:$F)</f>
        <v>501</v>
      </c>
      <c r="E6" s="11">
        <f>SUMIF(MATCH_W1!$B:$B,$B6,MATCH_W1!$G:$G)+SUMIF(MATCH_W2!$B:$B,$B6,MATCH_W2!$G:$G)+SUMIF(MATCH_W3!$B:$B,$B6,MATCH_W3!$G:$G)+SUMIF(MATCH_W4!$B:$B,$B6,MATCH_W4!$G:$G)+SUMIF(MATCH_W5!$B:$B,$B6,MATCH_W5!$G:$G)+SUMIF(MATCH_W6!$B:$B,$B6,MATCH_W6!$G:$G)</f>
        <v>237</v>
      </c>
      <c r="F6" s="11">
        <f>SUMIF(MATCH_W1!$B:$B,$B6,MATCH_W1!$H:$H)+SUMIF(MATCH_W2!$B:$B,$B6,MATCH_W2!$H:$H)+SUMIF(MATCH_W3!$B:$B,$B6,MATCH_W3!$H:$H)+SUMIF(MATCH_W4!$B:$B,$B6,MATCH_W4!$H:$H)+SUMIF(MATCH_W5!$B:$B,$B6,MATCH_W5!$H:$H)+SUMIF(MATCH_W6!$B:$B,$B6,MATCH_W6!$H:$H)</f>
        <v>495</v>
      </c>
      <c r="G6" s="11">
        <f>SUMIF(MATCH_W1!$B:$B,$B6,MATCH_W1!$I:$I)+SUMIF(MATCH_W2!$B:$B,$B6,MATCH_W2!$I:$I)+SUMIF(MATCH_W3!$B:$B,$B6,MATCH_W3!$I:$I)+SUMIF(MATCH_W4!$B:$B,$B6,MATCH_W4!$I:$I)+SUMIF(MATCH_W5!$B:$B,$B6,MATCH_W5!$I:$I)+SUMIF(MATCH_W6!$B:$B,$B6,MATCH_W6!$I:$I)</f>
        <v>159095</v>
      </c>
      <c r="H6" s="11">
        <f>SUMIF(MATCH_W1!$B:$B,$B6,MATCH_W1!$J:$J)+SUMIF(MATCH_W2!$B:$B,$B6,MATCH_W2!$J:$J)+SUMIF(MATCH_W3!$B:$B,$B6,MATCH_W3!$J:$J)+SUMIF(MATCH_W4!$B:$B,$B6,MATCH_W4!$J:$J)+SUMIF(MATCH_W5!$B:$B,$B6,MATCH_W5!$J:$J)+SUMIF(MATCH_W6!$B:$B,$B6,MATCH_W6!$J:$J)</f>
        <v>304149</v>
      </c>
      <c r="I6" s="11">
        <f>SUMIF(MATCH_W1!$B:$B,$B6,MATCH_W1!$K:$K)+SUMIF(MATCH_W2!$B:$B,$B6,MATCH_W2!$K:$K)+SUMIF(MATCH_W3!$B:$B,$B6,MATCH_W3!$K:$K)+SUMIF(MATCH_W4!$B:$B,$B6,MATCH_W4!$K:$K)+SUMIF(MATCH_W5!$B:$B,$B6,MATCH_W5!$K:$K)+SUMIF(MATCH_W6!$B:$B,$B6,MATCH_W6!$K:$K)</f>
        <v>38118</v>
      </c>
      <c r="J6" s="10">
        <f t="shared" si="0"/>
        <v>2.1139240506329116</v>
      </c>
      <c r="K6" s="12">
        <f>SUMIF(MATCH_W1!$B:$B,$B6,MATCH_W1!$M:$M)+SUMIF(MATCH_W2!$B:$B,$B6,MATCH_W2!$M:$M)+SUMIF(MATCH_W3!$B:$B,$B6,MATCH_W3!$M:$M)+SUMIF(MATCH_W4!$B:$B,$B6,MATCH_W4!$M:$M)+SUMIF(MATCH_W5!$B:$B,$B6,MATCH_W5!$M:$M)+SUMIF(MATCH_W6!$B:$B,$B6,MATCH_W6!$M:$M)</f>
        <v>24434</v>
      </c>
    </row>
    <row r="7" spans="1:11">
      <c r="A7" s="9" t="s">
        <v>20</v>
      </c>
      <c r="B7" s="9" t="s">
        <v>111</v>
      </c>
      <c r="C7" s="9" t="s">
        <v>109</v>
      </c>
      <c r="D7" s="11">
        <f>SUMIF(MATCH_W1!$B:$B,$B7,MATCH_W1!$F:$F)+SUMIF(MATCH_W2!$B:$B,$B7,MATCH_W2!$F:$F)+SUMIF(MATCH_W3!$B:$B,$B7,MATCH_W3!$F:$F)+SUMIF(MATCH_W4!$B:$B,$B7,MATCH_W4!$F:$F)+SUMIF(MATCH_W5!$B:$B,$B7,MATCH_W5!$F:$F)+SUMIF(MATCH_W6!$B:$B,$B7,MATCH_W6!$F:$F)</f>
        <v>286</v>
      </c>
      <c r="E7" s="11">
        <f>SUMIF(MATCH_W1!$B:$B,$B7,MATCH_W1!$G:$G)+SUMIF(MATCH_W2!$B:$B,$B7,MATCH_W2!$G:$G)+SUMIF(MATCH_W3!$B:$B,$B7,MATCH_W3!$G:$G)+SUMIF(MATCH_W4!$B:$B,$B7,MATCH_W4!$G:$G)+SUMIF(MATCH_W5!$B:$B,$B7,MATCH_W5!$G:$G)+SUMIF(MATCH_W6!$B:$B,$B7,MATCH_W6!$G:$G)</f>
        <v>213</v>
      </c>
      <c r="F7" s="11">
        <f>SUMIF(MATCH_W1!$B:$B,$B7,MATCH_W1!$H:$H)+SUMIF(MATCH_W2!$B:$B,$B7,MATCH_W2!$H:$H)+SUMIF(MATCH_W3!$B:$B,$B7,MATCH_W3!$H:$H)+SUMIF(MATCH_W4!$B:$B,$B7,MATCH_W4!$H:$H)+SUMIF(MATCH_W5!$B:$B,$B7,MATCH_W5!$H:$H)+SUMIF(MATCH_W6!$B:$B,$B7,MATCH_W6!$H:$H)</f>
        <v>384</v>
      </c>
      <c r="G7" s="11">
        <f>SUMIF(MATCH_W1!$B:$B,$B7,MATCH_W1!$I:$I)+SUMIF(MATCH_W2!$B:$B,$B7,MATCH_W2!$I:$I)+SUMIF(MATCH_W3!$B:$B,$B7,MATCH_W3!$I:$I)+SUMIF(MATCH_W4!$B:$B,$B7,MATCH_W4!$I:$I)+SUMIF(MATCH_W5!$B:$B,$B7,MATCH_W5!$I:$I)+SUMIF(MATCH_W6!$B:$B,$B7,MATCH_W6!$I:$I)</f>
        <v>113684</v>
      </c>
      <c r="H7" s="11">
        <f>SUMIF(MATCH_W1!$B:$B,$B7,MATCH_W1!$J:$J)+SUMIF(MATCH_W2!$B:$B,$B7,MATCH_W2!$J:$J)+SUMIF(MATCH_W3!$B:$B,$B7,MATCH_W3!$J:$J)+SUMIF(MATCH_W4!$B:$B,$B7,MATCH_W4!$J:$J)+SUMIF(MATCH_W5!$B:$B,$B7,MATCH_W5!$J:$J)+SUMIF(MATCH_W6!$B:$B,$B7,MATCH_W6!$J:$J)</f>
        <v>300966</v>
      </c>
      <c r="I7" s="11">
        <f>SUMIF(MATCH_W1!$B:$B,$B7,MATCH_W1!$K:$K)+SUMIF(MATCH_W2!$B:$B,$B7,MATCH_W2!$K:$K)+SUMIF(MATCH_W3!$B:$B,$B7,MATCH_W3!$K:$K)+SUMIF(MATCH_W4!$B:$B,$B7,MATCH_W4!$K:$K)+SUMIF(MATCH_W5!$B:$B,$B7,MATCH_W5!$K:$K)+SUMIF(MATCH_W6!$B:$B,$B7,MATCH_W6!$K:$K)</f>
        <v>1805</v>
      </c>
      <c r="J7" s="10">
        <f t="shared" si="0"/>
        <v>1.3427230046948357</v>
      </c>
      <c r="K7" s="12">
        <f>SUMIF(MATCH_W1!$B:$B,$B7,MATCH_W1!$M:$M)+SUMIF(MATCH_W2!$B:$B,$B7,MATCH_W2!$M:$M)+SUMIF(MATCH_W3!$B:$B,$B7,MATCH_W3!$M:$M)+SUMIF(MATCH_W4!$B:$B,$B7,MATCH_W4!$M:$M)+SUMIF(MATCH_W5!$B:$B,$B7,MATCH_W5!$M:$M)+SUMIF(MATCH_W6!$B:$B,$B7,MATCH_W6!$M:$M)</f>
        <v>16304</v>
      </c>
    </row>
    <row r="8" spans="1:11">
      <c r="A8" s="8" t="s">
        <v>20</v>
      </c>
      <c r="B8" s="9" t="s">
        <v>113</v>
      </c>
      <c r="C8" s="9" t="s">
        <v>109</v>
      </c>
      <c r="D8" s="11">
        <f>SUMIF(MATCH_W1!$B:$B,$B8,MATCH_W1!$F:$F)+SUMIF(MATCH_W2!$B:$B,$B8,MATCH_W2!$F:$F)+SUMIF(MATCH_W3!$B:$B,$B8,MATCH_W3!$F:$F)+SUMIF(MATCH_W4!$B:$B,$B8,MATCH_W4!$F:$F)+SUMIF(MATCH_W5!$B:$B,$B8,MATCH_W5!$F:$F)+SUMIF(MATCH_W6!$B:$B,$B8,MATCH_W6!$F:$F)</f>
        <v>150</v>
      </c>
      <c r="E8" s="11">
        <f>SUMIF(MATCH_W1!$B:$B,$B8,MATCH_W1!$G:$G)+SUMIF(MATCH_W2!$B:$B,$B8,MATCH_W2!$G:$G)+SUMIF(MATCH_W3!$B:$B,$B8,MATCH_W3!$G:$G)+SUMIF(MATCH_W4!$B:$B,$B8,MATCH_W4!$G:$G)+SUMIF(MATCH_W5!$B:$B,$B8,MATCH_W5!$G:$G)+SUMIF(MATCH_W6!$B:$B,$B8,MATCH_W6!$G:$G)</f>
        <v>78</v>
      </c>
      <c r="F8" s="11">
        <f>SUMIF(MATCH_W1!$B:$B,$B8,MATCH_W1!$H:$H)+SUMIF(MATCH_W2!$B:$B,$B8,MATCH_W2!$H:$H)+SUMIF(MATCH_W3!$B:$B,$B8,MATCH_W3!$H:$H)+SUMIF(MATCH_W4!$B:$B,$B8,MATCH_W4!$H:$H)+SUMIF(MATCH_W5!$B:$B,$B8,MATCH_W5!$H:$H)+SUMIF(MATCH_W6!$B:$B,$B8,MATCH_W6!$H:$H)</f>
        <v>253</v>
      </c>
      <c r="G8" s="11">
        <f>SUMIF(MATCH_W1!$B:$B,$B8,MATCH_W1!$I:$I)+SUMIF(MATCH_W2!$B:$B,$B8,MATCH_W2!$I:$I)+SUMIF(MATCH_W3!$B:$B,$B8,MATCH_W3!$I:$I)+SUMIF(MATCH_W4!$B:$B,$B8,MATCH_W4!$I:$I)+SUMIF(MATCH_W5!$B:$B,$B8,MATCH_W5!$I:$I)+SUMIF(MATCH_W6!$B:$B,$B8,MATCH_W6!$I:$I)</f>
        <v>66954</v>
      </c>
      <c r="H8" s="11">
        <f>SUMIF(MATCH_W1!$B:$B,$B8,MATCH_W1!$J:$J)+SUMIF(MATCH_W2!$B:$B,$B8,MATCH_W2!$J:$J)+SUMIF(MATCH_W3!$B:$B,$B8,MATCH_W3!$J:$J)+SUMIF(MATCH_W4!$B:$B,$B8,MATCH_W4!$J:$J)+SUMIF(MATCH_W5!$B:$B,$B8,MATCH_W5!$J:$J)+SUMIF(MATCH_W6!$B:$B,$B8,MATCH_W6!$J:$J)</f>
        <v>177568</v>
      </c>
      <c r="I8" s="11">
        <f>SUMIF(MATCH_W1!$B:$B,$B8,MATCH_W1!$K:$K)+SUMIF(MATCH_W2!$B:$B,$B8,MATCH_W2!$K:$K)+SUMIF(MATCH_W3!$B:$B,$B8,MATCH_W3!$K:$K)+SUMIF(MATCH_W4!$B:$B,$B8,MATCH_W4!$K:$K)+SUMIF(MATCH_W5!$B:$B,$B8,MATCH_W5!$K:$K)+SUMIF(MATCH_W6!$B:$B,$B8,MATCH_W6!$K:$K)</f>
        <v>0</v>
      </c>
      <c r="J8" s="10">
        <f t="shared" si="0"/>
        <v>1.9230769230769231</v>
      </c>
      <c r="K8" s="12">
        <f>SUMIF(MATCH_W1!$B:$B,$B8,MATCH_W1!$M:$M)+SUMIF(MATCH_W2!$B:$B,$B8,MATCH_W2!$M:$M)+SUMIF(MATCH_W3!$B:$B,$B8,MATCH_W3!$M:$M)+SUMIF(MATCH_W4!$B:$B,$B8,MATCH_W4!$M:$M)+SUMIF(MATCH_W5!$B:$B,$B8,MATCH_W5!$M:$M)+SUMIF(MATCH_W6!$B:$B,$B8,MATCH_W6!$M:$M)</f>
        <v>8130</v>
      </c>
    </row>
    <row r="9" spans="1:11">
      <c r="A9" s="8" t="s">
        <v>21</v>
      </c>
      <c r="B9" s="8" t="s">
        <v>115</v>
      </c>
      <c r="C9" s="8" t="s">
        <v>101</v>
      </c>
      <c r="D9" s="11">
        <f>SUMIF(MATCH_W1!$B:$B,$B9,MATCH_W1!$F:$F)+SUMIF(MATCH_W2!$B:$B,$B9,MATCH_W2!$F:$F)+SUMIF(MATCH_W3!$B:$B,$B9,MATCH_W3!$F:$F)+SUMIF(MATCH_W4!$B:$B,$B9,MATCH_W4!$F:$F)+SUMIF(MATCH_W5!$B:$B,$B9,MATCH_W5!$F:$F)+SUMIF(MATCH_W6!$B:$B,$B9,MATCH_W6!$F:$F)</f>
        <v>146</v>
      </c>
      <c r="E9" s="11">
        <f>SUMIF(MATCH_W1!$B:$B,$B9,MATCH_W1!$G:$G)+SUMIF(MATCH_W2!$B:$B,$B9,MATCH_W2!$G:$G)+SUMIF(MATCH_W3!$B:$B,$B9,MATCH_W3!$G:$G)+SUMIF(MATCH_W4!$B:$B,$B9,MATCH_W4!$G:$G)+SUMIF(MATCH_W5!$B:$B,$B9,MATCH_W5!$G:$G)+SUMIF(MATCH_W6!$B:$B,$B9,MATCH_W6!$G:$G)</f>
        <v>62</v>
      </c>
      <c r="F9" s="11">
        <f>SUMIF(MATCH_W1!$B:$B,$B9,MATCH_W1!$H:$H)+SUMIF(MATCH_W2!$B:$B,$B9,MATCH_W2!$H:$H)+SUMIF(MATCH_W3!$B:$B,$B9,MATCH_W3!$H:$H)+SUMIF(MATCH_W4!$B:$B,$B9,MATCH_W4!$H:$H)+SUMIF(MATCH_W5!$B:$B,$B9,MATCH_W5!$H:$H)+SUMIF(MATCH_W6!$B:$B,$B9,MATCH_W6!$H:$H)</f>
        <v>47</v>
      </c>
      <c r="G9" s="11">
        <f>SUMIF(MATCH_W1!$B:$B,$B9,MATCH_W1!$I:$I)+SUMIF(MATCH_W2!$B:$B,$B9,MATCH_W2!$I:$I)+SUMIF(MATCH_W3!$B:$B,$B9,MATCH_W3!$I:$I)+SUMIF(MATCH_W4!$B:$B,$B9,MATCH_W4!$I:$I)+SUMIF(MATCH_W5!$B:$B,$B9,MATCH_W5!$I:$I)+SUMIF(MATCH_W6!$B:$B,$B9,MATCH_W6!$I:$I)</f>
        <v>100383</v>
      </c>
      <c r="H9" s="11">
        <f>SUMIF(MATCH_W1!$B:$B,$B9,MATCH_W1!$J:$J)+SUMIF(MATCH_W2!$B:$B,$B9,MATCH_W2!$J:$J)+SUMIF(MATCH_W3!$B:$B,$B9,MATCH_W3!$J:$J)+SUMIF(MATCH_W4!$B:$B,$B9,MATCH_W4!$J:$J)+SUMIF(MATCH_W5!$B:$B,$B9,MATCH_W5!$J:$J)+SUMIF(MATCH_W6!$B:$B,$B9,MATCH_W6!$J:$J)</f>
        <v>8288</v>
      </c>
      <c r="I9" s="11">
        <f>SUMIF(MATCH_W1!$B:$B,$B9,MATCH_W1!$K:$K)+SUMIF(MATCH_W2!$B:$B,$B9,MATCH_W2!$K:$K)+SUMIF(MATCH_W3!$B:$B,$B9,MATCH_W3!$K:$K)+SUMIF(MATCH_W4!$B:$B,$B9,MATCH_W4!$K:$K)+SUMIF(MATCH_W5!$B:$B,$B9,MATCH_W5!$K:$K)+SUMIF(MATCH_W6!$B:$B,$B9,MATCH_W6!$K:$K)</f>
        <v>157453</v>
      </c>
      <c r="J9" s="10">
        <f t="shared" si="0"/>
        <v>2.3548387096774195</v>
      </c>
      <c r="K9" s="12">
        <f>SUMIF(MATCH_W1!$B:$B,$B9,MATCH_W1!$M:$M)+SUMIF(MATCH_W2!$B:$B,$B9,MATCH_W2!$M:$M)+SUMIF(MATCH_W3!$B:$B,$B9,MATCH_W3!$M:$M)+SUMIF(MATCH_W4!$B:$B,$B9,MATCH_W4!$M:$M)+SUMIF(MATCH_W5!$B:$B,$B9,MATCH_W5!$M:$M)+SUMIF(MATCH_W6!$B:$B,$B9,MATCH_W6!$M:$M)</f>
        <v>6694</v>
      </c>
    </row>
    <row r="10" spans="1:11">
      <c r="A10" s="8" t="s">
        <v>21</v>
      </c>
      <c r="B10" s="8" t="s">
        <v>116</v>
      </c>
      <c r="C10" s="8" t="s">
        <v>101</v>
      </c>
      <c r="D10" s="11">
        <f>SUMIF(MATCH_W1!$B:$B,$B10,MATCH_W1!$F:$F)+SUMIF(MATCH_W2!$B:$B,$B10,MATCH_W2!$F:$F)+SUMIF(MATCH_W3!$B:$B,$B10,MATCH_W3!$F:$F)+SUMIF(MATCH_W4!$B:$B,$B10,MATCH_W4!$F:$F)+SUMIF(MATCH_W5!$B:$B,$B10,MATCH_W5!$F:$F)+SUMIF(MATCH_W6!$B:$B,$B10,MATCH_W6!$F:$F)</f>
        <v>720</v>
      </c>
      <c r="E10" s="11">
        <f>SUMIF(MATCH_W1!$B:$B,$B10,MATCH_W1!$G:$G)+SUMIF(MATCH_W2!$B:$B,$B10,MATCH_W2!$G:$G)+SUMIF(MATCH_W3!$B:$B,$B10,MATCH_W3!$G:$G)+SUMIF(MATCH_W4!$B:$B,$B10,MATCH_W4!$G:$G)+SUMIF(MATCH_W5!$B:$B,$B10,MATCH_W5!$G:$G)+SUMIF(MATCH_W6!$B:$B,$B10,MATCH_W6!$G:$G)</f>
        <v>260</v>
      </c>
      <c r="F10" s="11">
        <f>SUMIF(MATCH_W1!$B:$B,$B10,MATCH_W1!$H:$H)+SUMIF(MATCH_W2!$B:$B,$B10,MATCH_W2!$H:$H)+SUMIF(MATCH_W3!$B:$B,$B10,MATCH_W3!$H:$H)+SUMIF(MATCH_W4!$B:$B,$B10,MATCH_W4!$H:$H)+SUMIF(MATCH_W5!$B:$B,$B10,MATCH_W5!$H:$H)+SUMIF(MATCH_W6!$B:$B,$B10,MATCH_W6!$H:$H)</f>
        <v>364</v>
      </c>
      <c r="G10" s="11">
        <f>SUMIF(MATCH_W1!$B:$B,$B10,MATCH_W1!$I:$I)+SUMIF(MATCH_W2!$B:$B,$B10,MATCH_W2!$I:$I)+SUMIF(MATCH_W3!$B:$B,$B10,MATCH_W3!$I:$I)+SUMIF(MATCH_W4!$B:$B,$B10,MATCH_W4!$I:$I)+SUMIF(MATCH_W5!$B:$B,$B10,MATCH_W5!$I:$I)+SUMIF(MATCH_W6!$B:$B,$B10,MATCH_W6!$I:$I)</f>
        <v>450128</v>
      </c>
      <c r="H10" s="11">
        <f>SUMIF(MATCH_W1!$B:$B,$B10,MATCH_W1!$J:$J)+SUMIF(MATCH_W2!$B:$B,$B10,MATCH_W2!$J:$J)+SUMIF(MATCH_W3!$B:$B,$B10,MATCH_W3!$J:$J)+SUMIF(MATCH_W4!$B:$B,$B10,MATCH_W4!$J:$J)+SUMIF(MATCH_W5!$B:$B,$B10,MATCH_W5!$J:$J)+SUMIF(MATCH_W6!$B:$B,$B10,MATCH_W6!$J:$J)</f>
        <v>79489</v>
      </c>
      <c r="I10" s="11">
        <f>SUMIF(MATCH_W1!$B:$B,$B10,MATCH_W1!$K:$K)+SUMIF(MATCH_W2!$B:$B,$B10,MATCH_W2!$K:$K)+SUMIF(MATCH_W3!$B:$B,$B10,MATCH_W3!$K:$K)+SUMIF(MATCH_W4!$B:$B,$B10,MATCH_W4!$K:$K)+SUMIF(MATCH_W5!$B:$B,$B10,MATCH_W5!$K:$K)+SUMIF(MATCH_W6!$B:$B,$B10,MATCH_W6!$K:$K)</f>
        <v>420194</v>
      </c>
      <c r="J10" s="10">
        <f t="shared" si="0"/>
        <v>2.7692307692307692</v>
      </c>
      <c r="K10" s="12">
        <f>SUMIF(MATCH_W1!$B:$B,$B10,MATCH_W1!$M:$M)+SUMIF(MATCH_W2!$B:$B,$B10,MATCH_W2!$M:$M)+SUMIF(MATCH_W3!$B:$B,$B10,MATCH_W3!$M:$M)+SUMIF(MATCH_W4!$B:$B,$B10,MATCH_W4!$M:$M)+SUMIF(MATCH_W5!$B:$B,$B10,MATCH_W5!$M:$M)+SUMIF(MATCH_W6!$B:$B,$B10,MATCH_W6!$M:$M)</f>
        <v>24508</v>
      </c>
    </row>
    <row r="11" spans="1:11">
      <c r="A11" s="8" t="s">
        <v>21</v>
      </c>
      <c r="B11" s="8" t="s">
        <v>117</v>
      </c>
      <c r="C11" s="8" t="s">
        <v>104</v>
      </c>
      <c r="D11" s="11">
        <f>SUMIF(MATCH_W1!$B:$B,$B11,MATCH_W1!$F:$F)+SUMIF(MATCH_W2!$B:$B,$B11,MATCH_W2!$F:$F)+SUMIF(MATCH_W3!$B:$B,$B11,MATCH_W3!$F:$F)+SUMIF(MATCH_W4!$B:$B,$B11,MATCH_W4!$F:$F)+SUMIF(MATCH_W5!$B:$B,$B11,MATCH_W5!$F:$F)+SUMIF(MATCH_W6!$B:$B,$B11,MATCH_W6!$F:$F)</f>
        <v>864</v>
      </c>
      <c r="E11" s="11">
        <f>SUMIF(MATCH_W1!$B:$B,$B11,MATCH_W1!$G:$G)+SUMIF(MATCH_W2!$B:$B,$B11,MATCH_W2!$G:$G)+SUMIF(MATCH_W3!$B:$B,$B11,MATCH_W3!$G:$G)+SUMIF(MATCH_W4!$B:$B,$B11,MATCH_W4!$G:$G)+SUMIF(MATCH_W5!$B:$B,$B11,MATCH_W5!$G:$G)+SUMIF(MATCH_W6!$B:$B,$B11,MATCH_W6!$G:$G)</f>
        <v>360</v>
      </c>
      <c r="F11" s="11">
        <f>SUMIF(MATCH_W1!$B:$B,$B11,MATCH_W1!$H:$H)+SUMIF(MATCH_W2!$B:$B,$B11,MATCH_W2!$H:$H)+SUMIF(MATCH_W3!$B:$B,$B11,MATCH_W3!$H:$H)+SUMIF(MATCH_W4!$B:$B,$B11,MATCH_W4!$H:$H)+SUMIF(MATCH_W5!$B:$B,$B11,MATCH_W5!$H:$H)+SUMIF(MATCH_W6!$B:$B,$B11,MATCH_W6!$H:$H)</f>
        <v>151</v>
      </c>
      <c r="G11" s="11">
        <f>SUMIF(MATCH_W1!$B:$B,$B11,MATCH_W1!$I:$I)+SUMIF(MATCH_W2!$B:$B,$B11,MATCH_W2!$I:$I)+SUMIF(MATCH_W3!$B:$B,$B11,MATCH_W3!$I:$I)+SUMIF(MATCH_W4!$B:$B,$B11,MATCH_W4!$I:$I)+SUMIF(MATCH_W5!$B:$B,$B11,MATCH_W5!$I:$I)+SUMIF(MATCH_W6!$B:$B,$B11,MATCH_W6!$I:$I)</f>
        <v>448453</v>
      </c>
      <c r="H11" s="11">
        <f>SUMIF(MATCH_W1!$B:$B,$B11,MATCH_W1!$J:$J)+SUMIF(MATCH_W2!$B:$B,$B11,MATCH_W2!$J:$J)+SUMIF(MATCH_W3!$B:$B,$B11,MATCH_W3!$J:$J)+SUMIF(MATCH_W4!$B:$B,$B11,MATCH_W4!$J:$J)+SUMIF(MATCH_W5!$B:$B,$B11,MATCH_W5!$J:$J)+SUMIF(MATCH_W6!$B:$B,$B11,MATCH_W6!$J:$J)</f>
        <v>37173</v>
      </c>
      <c r="I11" s="11">
        <f>SUMIF(MATCH_W1!$B:$B,$B11,MATCH_W1!$K:$K)+SUMIF(MATCH_W2!$B:$B,$B11,MATCH_W2!$K:$K)+SUMIF(MATCH_W3!$B:$B,$B11,MATCH_W3!$K:$K)+SUMIF(MATCH_W4!$B:$B,$B11,MATCH_W4!$K:$K)+SUMIF(MATCH_W5!$B:$B,$B11,MATCH_W5!$K:$K)+SUMIF(MATCH_W6!$B:$B,$B11,MATCH_W6!$K:$K)</f>
        <v>115626</v>
      </c>
      <c r="J11" s="10">
        <f t="shared" si="0"/>
        <v>2.4</v>
      </c>
      <c r="K11" s="12">
        <f>SUMIF(MATCH_W1!$B:$B,$B11,MATCH_W1!$M:$M)+SUMIF(MATCH_W2!$B:$B,$B11,MATCH_W2!$M:$M)+SUMIF(MATCH_W3!$B:$B,$B11,MATCH_W3!$M:$M)+SUMIF(MATCH_W4!$B:$B,$B11,MATCH_W4!$M:$M)+SUMIF(MATCH_W5!$B:$B,$B11,MATCH_W5!$M:$M)+SUMIF(MATCH_W6!$B:$B,$B11,MATCH_W6!$M:$M)</f>
        <v>31202</v>
      </c>
    </row>
    <row r="12" spans="1:11">
      <c r="A12" s="8" t="s">
        <v>21</v>
      </c>
      <c r="B12" s="8" t="s">
        <v>118</v>
      </c>
      <c r="C12" s="8" t="s">
        <v>104</v>
      </c>
      <c r="D12" s="11">
        <f>SUMIF(MATCH_W1!$B:$B,$B12,MATCH_W1!$F:$F)+SUMIF(MATCH_W2!$B:$B,$B12,MATCH_W2!$F:$F)+SUMIF(MATCH_W3!$B:$B,$B12,MATCH_W3!$F:$F)+SUMIF(MATCH_W4!$B:$B,$B12,MATCH_W4!$F:$F)+SUMIF(MATCH_W5!$B:$B,$B12,MATCH_W5!$F:$F)+SUMIF(MATCH_W6!$B:$B,$B12,MATCH_W6!$F:$F)</f>
        <v>311</v>
      </c>
      <c r="E12" s="11">
        <f>SUMIF(MATCH_W1!$B:$B,$B12,MATCH_W1!$G:$G)+SUMIF(MATCH_W2!$B:$B,$B12,MATCH_W2!$G:$G)+SUMIF(MATCH_W3!$B:$B,$B12,MATCH_W3!$G:$G)+SUMIF(MATCH_W4!$B:$B,$B12,MATCH_W4!$G:$G)+SUMIF(MATCH_W5!$B:$B,$B12,MATCH_W5!$G:$G)+SUMIF(MATCH_W6!$B:$B,$B12,MATCH_W6!$G:$G)</f>
        <v>153</v>
      </c>
      <c r="F12" s="11">
        <f>SUMIF(MATCH_W1!$B:$B,$B12,MATCH_W1!$H:$H)+SUMIF(MATCH_W2!$B:$B,$B12,MATCH_W2!$H:$H)+SUMIF(MATCH_W3!$B:$B,$B12,MATCH_W3!$H:$H)+SUMIF(MATCH_W4!$B:$B,$B12,MATCH_W4!$H:$H)+SUMIF(MATCH_W5!$B:$B,$B12,MATCH_W5!$H:$H)+SUMIF(MATCH_W6!$B:$B,$B12,MATCH_W6!$H:$H)</f>
        <v>19</v>
      </c>
      <c r="G12" s="11">
        <f>SUMIF(MATCH_W1!$B:$B,$B12,MATCH_W1!$I:$I)+SUMIF(MATCH_W2!$B:$B,$B12,MATCH_W2!$I:$I)+SUMIF(MATCH_W3!$B:$B,$B12,MATCH_W3!$I:$I)+SUMIF(MATCH_W4!$B:$B,$B12,MATCH_W4!$I:$I)+SUMIF(MATCH_W5!$B:$B,$B12,MATCH_W5!$I:$I)+SUMIF(MATCH_W6!$B:$B,$B12,MATCH_W6!$I:$I)</f>
        <v>207920</v>
      </c>
      <c r="H12" s="11">
        <f>SUMIF(MATCH_W1!$B:$B,$B12,MATCH_W1!$J:$J)+SUMIF(MATCH_W2!$B:$B,$B12,MATCH_W2!$J:$J)+SUMIF(MATCH_W3!$B:$B,$B12,MATCH_W3!$J:$J)+SUMIF(MATCH_W4!$B:$B,$B12,MATCH_W4!$J:$J)+SUMIF(MATCH_W5!$B:$B,$B12,MATCH_W5!$J:$J)+SUMIF(MATCH_W6!$B:$B,$B12,MATCH_W6!$J:$J)</f>
        <v>1263</v>
      </c>
      <c r="I12" s="11">
        <f>SUMIF(MATCH_W1!$B:$B,$B12,MATCH_W1!$K:$K)+SUMIF(MATCH_W2!$B:$B,$B12,MATCH_W2!$K:$K)+SUMIF(MATCH_W3!$B:$B,$B12,MATCH_W3!$K:$K)+SUMIF(MATCH_W4!$B:$B,$B12,MATCH_W4!$K:$K)+SUMIF(MATCH_W5!$B:$B,$B12,MATCH_W5!$K:$K)+SUMIF(MATCH_W6!$B:$B,$B12,MATCH_W6!$K:$K)</f>
        <v>6848</v>
      </c>
      <c r="J12" s="10">
        <f t="shared" si="0"/>
        <v>2.0326797385620914</v>
      </c>
      <c r="K12" s="12">
        <f>SUMIF(MATCH_W1!$B:$B,$B12,MATCH_W1!$M:$M)+SUMIF(MATCH_W2!$B:$B,$B12,MATCH_W2!$M:$M)+SUMIF(MATCH_W3!$B:$B,$B12,MATCH_W3!$M:$M)+SUMIF(MATCH_W4!$B:$B,$B12,MATCH_W4!$M:$M)+SUMIF(MATCH_W5!$B:$B,$B12,MATCH_W5!$M:$M)+SUMIF(MATCH_W6!$B:$B,$B12,MATCH_W6!$M:$M)</f>
        <v>12584</v>
      </c>
    </row>
    <row r="13" spans="1:11">
      <c r="A13" s="8" t="s">
        <v>21</v>
      </c>
      <c r="B13" s="8" t="s">
        <v>119</v>
      </c>
      <c r="C13" s="8" t="s">
        <v>104</v>
      </c>
      <c r="D13" s="11">
        <f>SUMIF(MATCH_W1!$B:$B,$B13,MATCH_W1!$F:$F)+SUMIF(MATCH_W2!$B:$B,$B13,MATCH_W2!$F:$F)+SUMIF(MATCH_W3!$B:$B,$B13,MATCH_W3!$F:$F)+SUMIF(MATCH_W4!$B:$B,$B13,MATCH_W4!$F:$F)+SUMIF(MATCH_W5!$B:$B,$B13,MATCH_W5!$F:$F)+SUMIF(MATCH_W6!$B:$B,$B13,MATCH_W6!$F:$F)</f>
        <v>594</v>
      </c>
      <c r="E13" s="11">
        <f>SUMIF(MATCH_W1!$B:$B,$B13,MATCH_W1!$G:$G)+SUMIF(MATCH_W2!$B:$B,$B13,MATCH_W2!$G:$G)+SUMIF(MATCH_W3!$B:$B,$B13,MATCH_W3!$G:$G)+SUMIF(MATCH_W4!$B:$B,$B13,MATCH_W4!$G:$G)+SUMIF(MATCH_W5!$B:$B,$B13,MATCH_W5!$G:$G)+SUMIF(MATCH_W6!$B:$B,$B13,MATCH_W6!$G:$G)</f>
        <v>196</v>
      </c>
      <c r="F13" s="11">
        <f>SUMIF(MATCH_W1!$B:$B,$B13,MATCH_W1!$H:$H)+SUMIF(MATCH_W2!$B:$B,$B13,MATCH_W2!$H:$H)+SUMIF(MATCH_W3!$B:$B,$B13,MATCH_W3!$H:$H)+SUMIF(MATCH_W4!$B:$B,$B13,MATCH_W4!$H:$H)+SUMIF(MATCH_W5!$B:$B,$B13,MATCH_W5!$H:$H)+SUMIF(MATCH_W6!$B:$B,$B13,MATCH_W6!$H:$H)</f>
        <v>60</v>
      </c>
      <c r="G13" s="11">
        <f>SUMIF(MATCH_W1!$B:$B,$B13,MATCH_W1!$I:$I)+SUMIF(MATCH_W2!$B:$B,$B13,MATCH_W2!$I:$I)+SUMIF(MATCH_W3!$B:$B,$B13,MATCH_W3!$I:$I)+SUMIF(MATCH_W4!$B:$B,$B13,MATCH_W4!$I:$I)+SUMIF(MATCH_W5!$B:$B,$B13,MATCH_W5!$I:$I)+SUMIF(MATCH_W6!$B:$B,$B13,MATCH_W6!$I:$I)</f>
        <v>345229</v>
      </c>
      <c r="H13" s="11">
        <f>SUMIF(MATCH_W1!$B:$B,$B13,MATCH_W1!$J:$J)+SUMIF(MATCH_W2!$B:$B,$B13,MATCH_W2!$J:$J)+SUMIF(MATCH_W3!$B:$B,$B13,MATCH_W3!$J:$J)+SUMIF(MATCH_W4!$B:$B,$B13,MATCH_W4!$J:$J)+SUMIF(MATCH_W5!$B:$B,$B13,MATCH_W5!$J:$J)+SUMIF(MATCH_W6!$B:$B,$B13,MATCH_W6!$J:$J)</f>
        <v>2982</v>
      </c>
      <c r="I13" s="11">
        <f>SUMIF(MATCH_W1!$B:$B,$B13,MATCH_W1!$K:$K)+SUMIF(MATCH_W2!$B:$B,$B13,MATCH_W2!$K:$K)+SUMIF(MATCH_W3!$B:$B,$B13,MATCH_W3!$K:$K)+SUMIF(MATCH_W4!$B:$B,$B13,MATCH_W4!$K:$K)+SUMIF(MATCH_W5!$B:$B,$B13,MATCH_W5!$K:$K)+SUMIF(MATCH_W6!$B:$B,$B13,MATCH_W6!$K:$K)</f>
        <v>13221</v>
      </c>
      <c r="J13" s="10">
        <f t="shared" si="0"/>
        <v>3.0306122448979593</v>
      </c>
      <c r="K13" s="12">
        <f>SUMIF(MATCH_W1!$B:$B,$B13,MATCH_W1!$M:$M)+SUMIF(MATCH_W2!$B:$B,$B13,MATCH_W2!$M:$M)+SUMIF(MATCH_W3!$B:$B,$B13,MATCH_W3!$M:$M)+SUMIF(MATCH_W4!$B:$B,$B13,MATCH_W4!$M:$M)+SUMIF(MATCH_W5!$B:$B,$B13,MATCH_W5!$M:$M)+SUMIF(MATCH_W6!$B:$B,$B13,MATCH_W6!$M:$M)</f>
        <v>18618</v>
      </c>
    </row>
    <row r="14" spans="1:11">
      <c r="A14" s="8" t="s">
        <v>21</v>
      </c>
      <c r="B14" s="8" t="s">
        <v>120</v>
      </c>
      <c r="C14" s="8" t="s">
        <v>109</v>
      </c>
      <c r="D14" s="11">
        <f>SUMIF(MATCH_W1!$B:$B,$B14,MATCH_W1!$F:$F)+SUMIF(MATCH_W2!$B:$B,$B14,MATCH_W2!$F:$F)+SUMIF(MATCH_W3!$B:$B,$B14,MATCH_W3!$F:$F)+SUMIF(MATCH_W4!$B:$B,$B14,MATCH_W4!$F:$F)+SUMIF(MATCH_W5!$B:$B,$B14,MATCH_W5!$F:$F)+SUMIF(MATCH_W6!$B:$B,$B14,MATCH_W6!$F:$F)</f>
        <v>619</v>
      </c>
      <c r="E14" s="11">
        <f>SUMIF(MATCH_W1!$B:$B,$B14,MATCH_W1!$G:$G)+SUMIF(MATCH_W2!$B:$B,$B14,MATCH_W2!$G:$G)+SUMIF(MATCH_W3!$B:$B,$B14,MATCH_W3!$G:$G)+SUMIF(MATCH_W4!$B:$B,$B14,MATCH_W4!$G:$G)+SUMIF(MATCH_W5!$B:$B,$B14,MATCH_W5!$G:$G)+SUMIF(MATCH_W6!$B:$B,$B14,MATCH_W6!$G:$G)</f>
        <v>337</v>
      </c>
      <c r="F14" s="11">
        <f>SUMIF(MATCH_W1!$B:$B,$B14,MATCH_W1!$H:$H)+SUMIF(MATCH_W2!$B:$B,$B14,MATCH_W2!$H:$H)+SUMIF(MATCH_W3!$B:$B,$B14,MATCH_W3!$H:$H)+SUMIF(MATCH_W4!$B:$B,$B14,MATCH_W4!$H:$H)+SUMIF(MATCH_W5!$B:$B,$B14,MATCH_W5!$H:$H)+SUMIF(MATCH_W6!$B:$B,$B14,MATCH_W6!$H:$H)</f>
        <v>675</v>
      </c>
      <c r="G14" s="11">
        <f>SUMIF(MATCH_W1!$B:$B,$B14,MATCH_W1!$I:$I)+SUMIF(MATCH_W2!$B:$B,$B14,MATCH_W2!$I:$I)+SUMIF(MATCH_W3!$B:$B,$B14,MATCH_W3!$I:$I)+SUMIF(MATCH_W4!$B:$B,$B14,MATCH_W4!$I:$I)+SUMIF(MATCH_W5!$B:$B,$B14,MATCH_W5!$I:$I)+SUMIF(MATCH_W6!$B:$B,$B14,MATCH_W6!$I:$I)</f>
        <v>197435</v>
      </c>
      <c r="H14" s="11">
        <f>SUMIF(MATCH_W1!$B:$B,$B14,MATCH_W1!$J:$J)+SUMIF(MATCH_W2!$B:$B,$B14,MATCH_W2!$J:$J)+SUMIF(MATCH_W3!$B:$B,$B14,MATCH_W3!$J:$J)+SUMIF(MATCH_W4!$B:$B,$B14,MATCH_W4!$J:$J)+SUMIF(MATCH_W5!$B:$B,$B14,MATCH_W5!$J:$J)+SUMIF(MATCH_W6!$B:$B,$B14,MATCH_W6!$J:$J)</f>
        <v>411062</v>
      </c>
      <c r="I14" s="11">
        <f>SUMIF(MATCH_W1!$B:$B,$B14,MATCH_W1!$K:$K)+SUMIF(MATCH_W2!$B:$B,$B14,MATCH_W2!$K:$K)+SUMIF(MATCH_W3!$B:$B,$B14,MATCH_W3!$K:$K)+SUMIF(MATCH_W4!$B:$B,$B14,MATCH_W4!$K:$K)+SUMIF(MATCH_W5!$B:$B,$B14,MATCH_W5!$K:$K)+SUMIF(MATCH_W6!$B:$B,$B14,MATCH_W6!$K:$K)</f>
        <v>71741</v>
      </c>
      <c r="J14" s="10">
        <f t="shared" si="0"/>
        <v>1.8367952522255193</v>
      </c>
      <c r="K14" s="12">
        <f>SUMIF(MATCH_W1!$B:$B,$B14,MATCH_W1!$M:$M)+SUMIF(MATCH_W2!$B:$B,$B14,MATCH_W2!$M:$M)+SUMIF(MATCH_W3!$B:$B,$B14,MATCH_W3!$M:$M)+SUMIF(MATCH_W4!$B:$B,$B14,MATCH_W4!$M:$M)+SUMIF(MATCH_W5!$B:$B,$B14,MATCH_W5!$M:$M)+SUMIF(MATCH_W6!$B:$B,$B14,MATCH_W6!$M:$M)</f>
        <v>31202</v>
      </c>
    </row>
    <row r="15" spans="1:11">
      <c r="A15" s="8" t="s">
        <v>21</v>
      </c>
      <c r="B15" s="8" t="s">
        <v>122</v>
      </c>
      <c r="C15" s="8" t="s">
        <v>109</v>
      </c>
      <c r="D15" s="11">
        <f>SUMIF(MATCH_W1!$B:$B,$B15,MATCH_W1!$F:$F)+SUMIF(MATCH_W2!$B:$B,$B15,MATCH_W2!$F:$F)+SUMIF(MATCH_W3!$B:$B,$B15,MATCH_W3!$F:$F)+SUMIF(MATCH_W4!$B:$B,$B15,MATCH_W4!$F:$F)+SUMIF(MATCH_W5!$B:$B,$B15,MATCH_W5!$F:$F)+SUMIF(MATCH_W6!$B:$B,$B15,MATCH_W6!$F:$F)</f>
        <v>567</v>
      </c>
      <c r="E15" s="11">
        <f>SUMIF(MATCH_W1!$B:$B,$B15,MATCH_W1!$G:$G)+SUMIF(MATCH_W2!$B:$B,$B15,MATCH_W2!$G:$G)+SUMIF(MATCH_W3!$B:$B,$B15,MATCH_W3!$G:$G)+SUMIF(MATCH_W4!$B:$B,$B15,MATCH_W4!$G:$G)+SUMIF(MATCH_W5!$B:$B,$B15,MATCH_W5!$G:$G)+SUMIF(MATCH_W6!$B:$B,$B15,MATCH_W6!$G:$G)</f>
        <v>293</v>
      </c>
      <c r="F15" s="11">
        <f>SUMIF(MATCH_W1!$B:$B,$B15,MATCH_W1!$H:$H)+SUMIF(MATCH_W2!$B:$B,$B15,MATCH_W2!$H:$H)+SUMIF(MATCH_W3!$B:$B,$B15,MATCH_W3!$H:$H)+SUMIF(MATCH_W4!$B:$B,$B15,MATCH_W4!$H:$H)+SUMIF(MATCH_W5!$B:$B,$B15,MATCH_W5!$H:$H)+SUMIF(MATCH_W6!$B:$B,$B15,MATCH_W6!$H:$H)</f>
        <v>893</v>
      </c>
      <c r="G15" s="11">
        <f>SUMIF(MATCH_W1!$B:$B,$B15,MATCH_W1!$I:$I)+SUMIF(MATCH_W2!$B:$B,$B15,MATCH_W2!$I:$I)+SUMIF(MATCH_W3!$B:$B,$B15,MATCH_W3!$I:$I)+SUMIF(MATCH_W4!$B:$B,$B15,MATCH_W4!$I:$I)+SUMIF(MATCH_W5!$B:$B,$B15,MATCH_W5!$I:$I)+SUMIF(MATCH_W6!$B:$B,$B15,MATCH_W6!$I:$I)</f>
        <v>220504</v>
      </c>
      <c r="H15" s="11">
        <f>SUMIF(MATCH_W1!$B:$B,$B15,MATCH_W1!$J:$J)+SUMIF(MATCH_W2!$B:$B,$B15,MATCH_W2!$J:$J)+SUMIF(MATCH_W3!$B:$B,$B15,MATCH_W3!$J:$J)+SUMIF(MATCH_W4!$B:$B,$B15,MATCH_W4!$J:$J)+SUMIF(MATCH_W5!$B:$B,$B15,MATCH_W5!$J:$J)+SUMIF(MATCH_W6!$B:$B,$B15,MATCH_W6!$J:$J)</f>
        <v>650995</v>
      </c>
      <c r="I15" s="11">
        <f>SUMIF(MATCH_W1!$B:$B,$B15,MATCH_W1!$K:$K)+SUMIF(MATCH_W2!$B:$B,$B15,MATCH_W2!$K:$K)+SUMIF(MATCH_W3!$B:$B,$B15,MATCH_W3!$K:$K)+SUMIF(MATCH_W4!$B:$B,$B15,MATCH_W4!$K:$K)+SUMIF(MATCH_W5!$B:$B,$B15,MATCH_W5!$K:$K)+SUMIF(MATCH_W6!$B:$B,$B15,MATCH_W6!$K:$K)</f>
        <v>5588</v>
      </c>
      <c r="J15" s="10">
        <f t="shared" si="0"/>
        <v>1.9351535836177474</v>
      </c>
      <c r="K15" s="12">
        <f>SUMIF(MATCH_W1!$B:$B,$B15,MATCH_W1!$M:$M)+SUMIF(MATCH_W2!$B:$B,$B15,MATCH_W2!$M:$M)+SUMIF(MATCH_W3!$B:$B,$B15,MATCH_W3!$M:$M)+SUMIF(MATCH_W4!$B:$B,$B15,MATCH_W4!$M:$M)+SUMIF(MATCH_W5!$B:$B,$B15,MATCH_W5!$M:$M)+SUMIF(MATCH_W6!$B:$B,$B15,MATCH_W6!$M:$M)</f>
        <v>31202</v>
      </c>
    </row>
    <row r="16" spans="1:11">
      <c r="A16" s="8" t="s">
        <v>51</v>
      </c>
      <c r="B16" s="8" t="s">
        <v>124</v>
      </c>
      <c r="C16" s="8" t="s">
        <v>101</v>
      </c>
      <c r="D16" s="11">
        <f>SUMIF(MATCH_W1!$B:$B,$B16,MATCH_W1!$F:$F)+SUMIF(MATCH_W2!$B:$B,$B16,MATCH_W2!$F:$F)+SUMIF(MATCH_W3!$B:$B,$B16,MATCH_W3!$F:$F)+SUMIF(MATCH_W4!$B:$B,$B16,MATCH_W4!$F:$F)+SUMIF(MATCH_W5!$B:$B,$B16,MATCH_W5!$F:$F)+SUMIF(MATCH_W6!$B:$B,$B16,MATCH_W6!$F:$F)</f>
        <v>163</v>
      </c>
      <c r="E16" s="11">
        <f>SUMIF(MATCH_W1!$B:$B,$B16,MATCH_W1!$G:$G)+SUMIF(MATCH_W2!$B:$B,$B16,MATCH_W2!$G:$G)+SUMIF(MATCH_W3!$B:$B,$B16,MATCH_W3!$G:$G)+SUMIF(MATCH_W4!$B:$B,$B16,MATCH_W4!$G:$G)+SUMIF(MATCH_W5!$B:$B,$B16,MATCH_W5!$G:$G)+SUMIF(MATCH_W6!$B:$B,$B16,MATCH_W6!$G:$G)</f>
        <v>64</v>
      </c>
      <c r="F16" s="11">
        <f>SUMIF(MATCH_W1!$B:$B,$B16,MATCH_W1!$H:$H)+SUMIF(MATCH_W2!$B:$B,$B16,MATCH_W2!$H:$H)+SUMIF(MATCH_W3!$B:$B,$B16,MATCH_W3!$H:$H)+SUMIF(MATCH_W4!$B:$B,$B16,MATCH_W4!$H:$H)+SUMIF(MATCH_W5!$B:$B,$B16,MATCH_W5!$H:$H)+SUMIF(MATCH_W6!$B:$B,$B16,MATCH_W6!$H:$H)</f>
        <v>88</v>
      </c>
      <c r="G16" s="11">
        <f>SUMIF(MATCH_W1!$B:$B,$B16,MATCH_W1!$I:$I)+SUMIF(MATCH_W2!$B:$B,$B16,MATCH_W2!$I:$I)+SUMIF(MATCH_W3!$B:$B,$B16,MATCH_W3!$I:$I)+SUMIF(MATCH_W4!$B:$B,$B16,MATCH_W4!$I:$I)+SUMIF(MATCH_W5!$B:$B,$B16,MATCH_W5!$I:$I)+SUMIF(MATCH_W6!$B:$B,$B16,MATCH_W6!$I:$I)</f>
        <v>100814</v>
      </c>
      <c r="H16" s="11">
        <f>SUMIF(MATCH_W1!$B:$B,$B16,MATCH_W1!$J:$J)+SUMIF(MATCH_W2!$B:$B,$B16,MATCH_W2!$J:$J)+SUMIF(MATCH_W3!$B:$B,$B16,MATCH_W3!$J:$J)+SUMIF(MATCH_W4!$B:$B,$B16,MATCH_W4!$J:$J)+SUMIF(MATCH_W5!$B:$B,$B16,MATCH_W5!$J:$J)+SUMIF(MATCH_W6!$B:$B,$B16,MATCH_W6!$J:$J)</f>
        <v>31670</v>
      </c>
      <c r="I16" s="11">
        <f>SUMIF(MATCH_W1!$B:$B,$B16,MATCH_W1!$K:$K)+SUMIF(MATCH_W2!$B:$B,$B16,MATCH_W2!$K:$K)+SUMIF(MATCH_W3!$B:$B,$B16,MATCH_W3!$K:$K)+SUMIF(MATCH_W4!$B:$B,$B16,MATCH_W4!$K:$K)+SUMIF(MATCH_W5!$B:$B,$B16,MATCH_W5!$K:$K)+SUMIF(MATCH_W6!$B:$B,$B16,MATCH_W6!$K:$K)</f>
        <v>53908</v>
      </c>
      <c r="J16" s="10">
        <f t="shared" si="0"/>
        <v>2.546875</v>
      </c>
      <c r="K16" s="12">
        <f>SUMIF(MATCH_W1!$B:$B,$B16,MATCH_W1!$M:$M)+SUMIF(MATCH_W2!$B:$B,$B16,MATCH_W2!$M:$M)+SUMIF(MATCH_W3!$B:$B,$B16,MATCH_W3!$M:$M)+SUMIF(MATCH_W4!$B:$B,$B16,MATCH_W4!$M:$M)+SUMIF(MATCH_W5!$B:$B,$B16,MATCH_W5!$M:$M)+SUMIF(MATCH_W6!$B:$B,$B16,MATCH_W6!$M:$M)</f>
        <v>6378</v>
      </c>
    </row>
    <row r="17" spans="1:11">
      <c r="A17" s="8" t="s">
        <v>51</v>
      </c>
      <c r="B17" s="8" t="s">
        <v>125</v>
      </c>
      <c r="C17" s="8" t="s">
        <v>101</v>
      </c>
      <c r="D17" s="11">
        <f>SUMIF(MATCH_W1!$B:$B,$B17,MATCH_W1!$F:$F)+SUMIF(MATCH_W2!$B:$B,$B17,MATCH_W2!$F:$F)+SUMIF(MATCH_W3!$B:$B,$B17,MATCH_W3!$F:$F)+SUMIF(MATCH_W4!$B:$B,$B17,MATCH_W4!$F:$F)+SUMIF(MATCH_W5!$B:$B,$B17,MATCH_W5!$F:$F)+SUMIF(MATCH_W6!$B:$B,$B17,MATCH_W6!$F:$F)</f>
        <v>365</v>
      </c>
      <c r="E17" s="11">
        <f>SUMIF(MATCH_W1!$B:$B,$B17,MATCH_W1!$G:$G)+SUMIF(MATCH_W2!$B:$B,$B17,MATCH_W2!$G:$G)+SUMIF(MATCH_W3!$B:$B,$B17,MATCH_W3!$G:$G)+SUMIF(MATCH_W4!$B:$B,$B17,MATCH_W4!$G:$G)+SUMIF(MATCH_W5!$B:$B,$B17,MATCH_W5!$G:$G)+SUMIF(MATCH_W6!$B:$B,$B17,MATCH_W6!$G:$G)</f>
        <v>139</v>
      </c>
      <c r="F17" s="11">
        <f>SUMIF(MATCH_W1!$B:$B,$B17,MATCH_W1!$H:$H)+SUMIF(MATCH_W2!$B:$B,$B17,MATCH_W2!$H:$H)+SUMIF(MATCH_W3!$B:$B,$B17,MATCH_W3!$H:$H)+SUMIF(MATCH_W4!$B:$B,$B17,MATCH_W4!$H:$H)+SUMIF(MATCH_W5!$B:$B,$B17,MATCH_W5!$H:$H)+SUMIF(MATCH_W6!$B:$B,$B17,MATCH_W6!$H:$H)</f>
        <v>153</v>
      </c>
      <c r="G17" s="11">
        <f>SUMIF(MATCH_W1!$B:$B,$B17,MATCH_W1!$I:$I)+SUMIF(MATCH_W2!$B:$B,$B17,MATCH_W2!$I:$I)+SUMIF(MATCH_W3!$B:$B,$B17,MATCH_W3!$I:$I)+SUMIF(MATCH_W4!$B:$B,$B17,MATCH_W4!$I:$I)+SUMIF(MATCH_W5!$B:$B,$B17,MATCH_W5!$I:$I)+SUMIF(MATCH_W6!$B:$B,$B17,MATCH_W6!$I:$I)</f>
        <v>263966</v>
      </c>
      <c r="H17" s="11">
        <f>SUMIF(MATCH_W1!$B:$B,$B17,MATCH_W1!$J:$J)+SUMIF(MATCH_W2!$B:$B,$B17,MATCH_W2!$J:$J)+SUMIF(MATCH_W3!$B:$B,$B17,MATCH_W3!$J:$J)+SUMIF(MATCH_W4!$B:$B,$B17,MATCH_W4!$J:$J)+SUMIF(MATCH_W5!$B:$B,$B17,MATCH_W5!$J:$J)+SUMIF(MATCH_W6!$B:$B,$B17,MATCH_W6!$J:$J)</f>
        <v>33067</v>
      </c>
      <c r="I17" s="11">
        <f>SUMIF(MATCH_W1!$B:$B,$B17,MATCH_W1!$K:$K)+SUMIF(MATCH_W2!$B:$B,$B17,MATCH_W2!$K:$K)+SUMIF(MATCH_W3!$B:$B,$B17,MATCH_W3!$K:$K)+SUMIF(MATCH_W4!$B:$B,$B17,MATCH_W4!$K:$K)+SUMIF(MATCH_W5!$B:$B,$B17,MATCH_W5!$K:$K)+SUMIF(MATCH_W6!$B:$B,$B17,MATCH_W6!$K:$K)</f>
        <v>341579</v>
      </c>
      <c r="J17" s="10">
        <f t="shared" si="0"/>
        <v>2.6258992805755397</v>
      </c>
      <c r="K17" s="12">
        <f>SUMIF(MATCH_W1!$B:$B,$B17,MATCH_W1!$M:$M)+SUMIF(MATCH_W2!$B:$B,$B17,MATCH_W2!$M:$M)+SUMIF(MATCH_W3!$B:$B,$B17,MATCH_W3!$M:$M)+SUMIF(MATCH_W4!$B:$B,$B17,MATCH_W4!$M:$M)+SUMIF(MATCH_W5!$B:$B,$B17,MATCH_W5!$M:$M)+SUMIF(MATCH_W6!$B:$B,$B17,MATCH_W6!$M:$M)</f>
        <v>13757</v>
      </c>
    </row>
    <row r="18" spans="1:11">
      <c r="A18" s="8" t="s">
        <v>51</v>
      </c>
      <c r="B18" s="8" t="s">
        <v>126</v>
      </c>
      <c r="C18" s="8" t="s">
        <v>104</v>
      </c>
      <c r="D18" s="11">
        <f>SUMIF(MATCH_W1!$B:$B,$B18,MATCH_W1!$F:$F)+SUMIF(MATCH_W2!$B:$B,$B18,MATCH_W2!$F:$F)+SUMIF(MATCH_W3!$B:$B,$B18,MATCH_W3!$F:$F)+SUMIF(MATCH_W4!$B:$B,$B18,MATCH_W4!$F:$F)+SUMIF(MATCH_W5!$B:$B,$B18,MATCH_W5!$F:$F)+SUMIF(MATCH_W6!$B:$B,$B18,MATCH_W6!$F:$F)</f>
        <v>538</v>
      </c>
      <c r="E18" s="11">
        <f>SUMIF(MATCH_W1!$B:$B,$B18,MATCH_W1!$G:$G)+SUMIF(MATCH_W2!$B:$B,$B18,MATCH_W2!$G:$G)+SUMIF(MATCH_W3!$B:$B,$B18,MATCH_W3!$G:$G)+SUMIF(MATCH_W4!$B:$B,$B18,MATCH_W4!$G:$G)+SUMIF(MATCH_W5!$B:$B,$B18,MATCH_W5!$G:$G)+SUMIF(MATCH_W6!$B:$B,$B18,MATCH_W6!$G:$G)</f>
        <v>196</v>
      </c>
      <c r="F18" s="11">
        <f>SUMIF(MATCH_W1!$B:$B,$B18,MATCH_W1!$H:$H)+SUMIF(MATCH_W2!$B:$B,$B18,MATCH_W2!$H:$H)+SUMIF(MATCH_W3!$B:$B,$B18,MATCH_W3!$H:$H)+SUMIF(MATCH_W4!$B:$B,$B18,MATCH_W4!$H:$H)+SUMIF(MATCH_W5!$B:$B,$B18,MATCH_W5!$H:$H)+SUMIF(MATCH_W6!$B:$B,$B18,MATCH_W6!$H:$H)</f>
        <v>67</v>
      </c>
      <c r="G18" s="11">
        <f>SUMIF(MATCH_W1!$B:$B,$B18,MATCH_W1!$I:$I)+SUMIF(MATCH_W2!$B:$B,$B18,MATCH_W2!$I:$I)+SUMIF(MATCH_W3!$B:$B,$B18,MATCH_W3!$I:$I)+SUMIF(MATCH_W4!$B:$B,$B18,MATCH_W4!$I:$I)+SUMIF(MATCH_W5!$B:$B,$B18,MATCH_W5!$I:$I)+SUMIF(MATCH_W6!$B:$B,$B18,MATCH_W6!$I:$I)</f>
        <v>297491</v>
      </c>
      <c r="H18" s="11">
        <f>SUMIF(MATCH_W1!$B:$B,$B18,MATCH_W1!$J:$J)+SUMIF(MATCH_W2!$B:$B,$B18,MATCH_W2!$J:$J)+SUMIF(MATCH_W3!$B:$B,$B18,MATCH_W3!$J:$J)+SUMIF(MATCH_W4!$B:$B,$B18,MATCH_W4!$J:$J)+SUMIF(MATCH_W5!$B:$B,$B18,MATCH_W5!$J:$J)+SUMIF(MATCH_W6!$B:$B,$B18,MATCH_W6!$J:$J)</f>
        <v>38957</v>
      </c>
      <c r="I18" s="11">
        <f>SUMIF(MATCH_W1!$B:$B,$B18,MATCH_W1!$K:$K)+SUMIF(MATCH_W2!$B:$B,$B18,MATCH_W2!$K:$K)+SUMIF(MATCH_W3!$B:$B,$B18,MATCH_W3!$K:$K)+SUMIF(MATCH_W4!$B:$B,$B18,MATCH_W4!$K:$K)+SUMIF(MATCH_W5!$B:$B,$B18,MATCH_W5!$K:$K)+SUMIF(MATCH_W6!$B:$B,$B18,MATCH_W6!$K:$K)</f>
        <v>52040</v>
      </c>
      <c r="J18" s="10">
        <f t="shared" si="0"/>
        <v>2.7448979591836733</v>
      </c>
      <c r="K18" s="12">
        <f>SUMIF(MATCH_W1!$B:$B,$B18,MATCH_W1!$M:$M)+SUMIF(MATCH_W2!$B:$B,$B18,MATCH_W2!$M:$M)+SUMIF(MATCH_W3!$B:$B,$B18,MATCH_W3!$M:$M)+SUMIF(MATCH_W4!$B:$B,$B18,MATCH_W4!$M:$M)+SUMIF(MATCH_W5!$B:$B,$B18,MATCH_W5!$M:$M)+SUMIF(MATCH_W6!$B:$B,$B18,MATCH_W6!$M:$M)</f>
        <v>20135</v>
      </c>
    </row>
    <row r="19" spans="1:11">
      <c r="A19" s="8" t="s">
        <v>51</v>
      </c>
      <c r="B19" s="8" t="s">
        <v>127</v>
      </c>
      <c r="C19" s="8" t="s">
        <v>104</v>
      </c>
      <c r="D19" s="11">
        <f>SUMIF(MATCH_W1!$B:$B,$B19,MATCH_W1!$F:$F)+SUMIF(MATCH_W2!$B:$B,$B19,MATCH_W2!$F:$F)+SUMIF(MATCH_W3!$B:$B,$B19,MATCH_W3!$F:$F)+SUMIF(MATCH_W4!$B:$B,$B19,MATCH_W4!$F:$F)+SUMIF(MATCH_W5!$B:$B,$B19,MATCH_W5!$F:$F)+SUMIF(MATCH_W6!$B:$B,$B19,MATCH_W6!$F:$F)</f>
        <v>524</v>
      </c>
      <c r="E19" s="11">
        <f>SUMIF(MATCH_W1!$B:$B,$B19,MATCH_W1!$G:$G)+SUMIF(MATCH_W2!$B:$B,$B19,MATCH_W2!$G:$G)+SUMIF(MATCH_W3!$B:$B,$B19,MATCH_W3!$G:$G)+SUMIF(MATCH_W4!$B:$B,$B19,MATCH_W4!$G:$G)+SUMIF(MATCH_W5!$B:$B,$B19,MATCH_W5!$G:$G)+SUMIF(MATCH_W6!$B:$B,$B19,MATCH_W6!$G:$G)</f>
        <v>231</v>
      </c>
      <c r="F19" s="11">
        <f>SUMIF(MATCH_W1!$B:$B,$B19,MATCH_W1!$H:$H)+SUMIF(MATCH_W2!$B:$B,$B19,MATCH_W2!$H:$H)+SUMIF(MATCH_W3!$B:$B,$B19,MATCH_W3!$H:$H)+SUMIF(MATCH_W4!$B:$B,$B19,MATCH_W4!$H:$H)+SUMIF(MATCH_W5!$B:$B,$B19,MATCH_W5!$H:$H)+SUMIF(MATCH_W6!$B:$B,$B19,MATCH_W6!$H:$H)</f>
        <v>38</v>
      </c>
      <c r="G19" s="11">
        <f>SUMIF(MATCH_W1!$B:$B,$B19,MATCH_W1!$I:$I)+SUMIF(MATCH_W2!$B:$B,$B19,MATCH_W2!$I:$I)+SUMIF(MATCH_W3!$B:$B,$B19,MATCH_W3!$I:$I)+SUMIF(MATCH_W4!$B:$B,$B19,MATCH_W4!$I:$I)+SUMIF(MATCH_W5!$B:$B,$B19,MATCH_W5!$I:$I)+SUMIF(MATCH_W6!$B:$B,$B19,MATCH_W6!$I:$I)</f>
        <v>336582</v>
      </c>
      <c r="H19" s="11">
        <f>SUMIF(MATCH_W1!$B:$B,$B19,MATCH_W1!$J:$J)+SUMIF(MATCH_W2!$B:$B,$B19,MATCH_W2!$J:$J)+SUMIF(MATCH_W3!$B:$B,$B19,MATCH_W3!$J:$J)+SUMIF(MATCH_W4!$B:$B,$B19,MATCH_W4!$J:$J)+SUMIF(MATCH_W5!$B:$B,$B19,MATCH_W5!$J:$J)+SUMIF(MATCH_W6!$B:$B,$B19,MATCH_W6!$J:$J)</f>
        <v>3210</v>
      </c>
      <c r="I19" s="11">
        <f>SUMIF(MATCH_W1!$B:$B,$B19,MATCH_W1!$K:$K)+SUMIF(MATCH_W2!$B:$B,$B19,MATCH_W2!$K:$K)+SUMIF(MATCH_W3!$B:$B,$B19,MATCH_W3!$K:$K)+SUMIF(MATCH_W4!$B:$B,$B19,MATCH_W4!$K:$K)+SUMIF(MATCH_W5!$B:$B,$B19,MATCH_W5!$K:$K)+SUMIF(MATCH_W6!$B:$B,$B19,MATCH_W6!$K:$K)</f>
        <v>20100</v>
      </c>
      <c r="J19" s="10">
        <f t="shared" si="0"/>
        <v>2.2683982683982684</v>
      </c>
      <c r="K19" s="12">
        <f>SUMIF(MATCH_W1!$B:$B,$B19,MATCH_W1!$M:$M)+SUMIF(MATCH_W2!$B:$B,$B19,MATCH_W2!$M:$M)+SUMIF(MATCH_W3!$B:$B,$B19,MATCH_W3!$M:$M)+SUMIF(MATCH_W4!$B:$B,$B19,MATCH_W4!$M:$M)+SUMIF(MATCH_W5!$B:$B,$B19,MATCH_W5!$M:$M)+SUMIF(MATCH_W6!$B:$B,$B19,MATCH_W6!$M:$M)</f>
        <v>20135</v>
      </c>
    </row>
    <row r="20" spans="1:11">
      <c r="A20" s="8" t="s">
        <v>51</v>
      </c>
      <c r="B20" s="8" t="s">
        <v>128</v>
      </c>
      <c r="C20" s="8" t="s">
        <v>109</v>
      </c>
      <c r="D20" s="11">
        <f>SUMIF(MATCH_W1!$B:$B,$B20,MATCH_W1!$F:$F)+SUMIF(MATCH_W2!$B:$B,$B20,MATCH_W2!$F:$F)+SUMIF(MATCH_W3!$B:$B,$B20,MATCH_W3!$F:$F)+SUMIF(MATCH_W4!$B:$B,$B20,MATCH_W4!$F:$F)+SUMIF(MATCH_W5!$B:$B,$B20,MATCH_W5!$F:$F)+SUMIF(MATCH_W6!$B:$B,$B20,MATCH_W6!$F:$F)</f>
        <v>424</v>
      </c>
      <c r="E20" s="11">
        <f>SUMIF(MATCH_W1!$B:$B,$B20,MATCH_W1!$G:$G)+SUMIF(MATCH_W2!$B:$B,$B20,MATCH_W2!$G:$G)+SUMIF(MATCH_W3!$B:$B,$B20,MATCH_W3!$G:$G)+SUMIF(MATCH_W4!$B:$B,$B20,MATCH_W4!$G:$G)+SUMIF(MATCH_W5!$B:$B,$B20,MATCH_W5!$G:$G)+SUMIF(MATCH_W6!$B:$B,$B20,MATCH_W6!$G:$G)</f>
        <v>176</v>
      </c>
      <c r="F20" s="11">
        <f>SUMIF(MATCH_W1!$B:$B,$B20,MATCH_W1!$H:$H)+SUMIF(MATCH_W2!$B:$B,$B20,MATCH_W2!$H:$H)+SUMIF(MATCH_W3!$B:$B,$B20,MATCH_W3!$H:$H)+SUMIF(MATCH_W4!$B:$B,$B20,MATCH_W4!$H:$H)+SUMIF(MATCH_W5!$B:$B,$B20,MATCH_W5!$H:$H)+SUMIF(MATCH_W6!$B:$B,$B20,MATCH_W6!$H:$H)</f>
        <v>410</v>
      </c>
      <c r="G20" s="11">
        <f>SUMIF(MATCH_W1!$B:$B,$B20,MATCH_W1!$I:$I)+SUMIF(MATCH_W2!$B:$B,$B20,MATCH_W2!$I:$I)+SUMIF(MATCH_W3!$B:$B,$B20,MATCH_W3!$I:$I)+SUMIF(MATCH_W4!$B:$B,$B20,MATCH_W4!$I:$I)+SUMIF(MATCH_W5!$B:$B,$B20,MATCH_W5!$I:$I)+SUMIF(MATCH_W6!$B:$B,$B20,MATCH_W6!$I:$I)</f>
        <v>156141</v>
      </c>
      <c r="H20" s="11">
        <f>SUMIF(MATCH_W1!$B:$B,$B20,MATCH_W1!$J:$J)+SUMIF(MATCH_W2!$B:$B,$B20,MATCH_W2!$J:$J)+SUMIF(MATCH_W3!$B:$B,$B20,MATCH_W3!$J:$J)+SUMIF(MATCH_W4!$B:$B,$B20,MATCH_W4!$J:$J)+SUMIF(MATCH_W5!$B:$B,$B20,MATCH_W5!$J:$J)+SUMIF(MATCH_W6!$B:$B,$B20,MATCH_W6!$J:$J)</f>
        <v>291932</v>
      </c>
      <c r="I20" s="11">
        <f>SUMIF(MATCH_W1!$B:$B,$B20,MATCH_W1!$K:$K)+SUMIF(MATCH_W2!$B:$B,$B20,MATCH_W2!$K:$K)+SUMIF(MATCH_W3!$B:$B,$B20,MATCH_W3!$K:$K)+SUMIF(MATCH_W4!$B:$B,$B20,MATCH_W4!$K:$K)+SUMIF(MATCH_W5!$B:$B,$B20,MATCH_W5!$K:$K)+SUMIF(MATCH_W6!$B:$B,$B20,MATCH_W6!$K:$K)</f>
        <v>30929</v>
      </c>
      <c r="J20" s="10">
        <f t="shared" si="0"/>
        <v>2.4090909090909092</v>
      </c>
      <c r="K20" s="12">
        <f>SUMIF(MATCH_W1!$B:$B,$B20,MATCH_W1!$M:$M)+SUMIF(MATCH_W2!$B:$B,$B20,MATCH_W2!$M:$M)+SUMIF(MATCH_W3!$B:$B,$B20,MATCH_W3!$M:$M)+SUMIF(MATCH_W4!$B:$B,$B20,MATCH_W4!$M:$M)+SUMIF(MATCH_W5!$B:$B,$B20,MATCH_W5!$M:$M)+SUMIF(MATCH_W6!$B:$B,$B20,MATCH_W6!$M:$M)</f>
        <v>20135</v>
      </c>
    </row>
    <row r="21" spans="1:11">
      <c r="A21" s="8" t="s">
        <v>51</v>
      </c>
      <c r="B21" s="8" t="s">
        <v>129</v>
      </c>
      <c r="C21" s="8" t="s">
        <v>109</v>
      </c>
      <c r="D21" s="11">
        <f>SUMIF(MATCH_W1!$B:$B,$B21,MATCH_W1!$F:$F)+SUMIF(MATCH_W2!$B:$B,$B21,MATCH_W2!$F:$F)+SUMIF(MATCH_W3!$B:$B,$B21,MATCH_W3!$F:$F)+SUMIF(MATCH_W4!$B:$B,$B21,MATCH_W4!$F:$F)+SUMIF(MATCH_W5!$B:$B,$B21,MATCH_W5!$F:$F)+SUMIF(MATCH_W6!$B:$B,$B21,MATCH_W6!$F:$F)</f>
        <v>300</v>
      </c>
      <c r="E21" s="11">
        <f>SUMIF(MATCH_W1!$B:$B,$B21,MATCH_W1!$G:$G)+SUMIF(MATCH_W2!$B:$B,$B21,MATCH_W2!$G:$G)+SUMIF(MATCH_W3!$B:$B,$B21,MATCH_W3!$G:$G)+SUMIF(MATCH_W4!$B:$B,$B21,MATCH_W4!$G:$G)+SUMIF(MATCH_W5!$B:$B,$B21,MATCH_W5!$G:$G)+SUMIF(MATCH_W6!$B:$B,$B21,MATCH_W6!$G:$G)</f>
        <v>179</v>
      </c>
      <c r="F21" s="11">
        <f>SUMIF(MATCH_W1!$B:$B,$B21,MATCH_W1!$H:$H)+SUMIF(MATCH_W2!$B:$B,$B21,MATCH_W2!$H:$H)+SUMIF(MATCH_W3!$B:$B,$B21,MATCH_W3!$H:$H)+SUMIF(MATCH_W4!$B:$B,$B21,MATCH_W4!$H:$H)+SUMIF(MATCH_W5!$B:$B,$B21,MATCH_W5!$H:$H)+SUMIF(MATCH_W6!$B:$B,$B21,MATCH_W6!$H:$H)</f>
        <v>543</v>
      </c>
      <c r="G21" s="11">
        <f>SUMIF(MATCH_W1!$B:$B,$B21,MATCH_W1!$I:$I)+SUMIF(MATCH_W2!$B:$B,$B21,MATCH_W2!$I:$I)+SUMIF(MATCH_W3!$B:$B,$B21,MATCH_W3!$I:$I)+SUMIF(MATCH_W4!$B:$B,$B21,MATCH_W4!$I:$I)+SUMIF(MATCH_W5!$B:$B,$B21,MATCH_W5!$I:$I)+SUMIF(MATCH_W6!$B:$B,$B21,MATCH_W6!$I:$I)</f>
        <v>145797</v>
      </c>
      <c r="H21" s="11">
        <f>SUMIF(MATCH_W1!$B:$B,$B21,MATCH_W1!$J:$J)+SUMIF(MATCH_W2!$B:$B,$B21,MATCH_W2!$J:$J)+SUMIF(MATCH_W3!$B:$B,$B21,MATCH_W3!$J:$J)+SUMIF(MATCH_W4!$B:$B,$B21,MATCH_W4!$J:$J)+SUMIF(MATCH_W5!$B:$B,$B21,MATCH_W5!$J:$J)+SUMIF(MATCH_W6!$B:$B,$B21,MATCH_W6!$J:$J)</f>
        <v>397930</v>
      </c>
      <c r="I21" s="11">
        <f>SUMIF(MATCH_W1!$B:$B,$B21,MATCH_W1!$K:$K)+SUMIF(MATCH_W2!$B:$B,$B21,MATCH_W2!$K:$K)+SUMIF(MATCH_W3!$B:$B,$B21,MATCH_W3!$K:$K)+SUMIF(MATCH_W4!$B:$B,$B21,MATCH_W4!$K:$K)+SUMIF(MATCH_W5!$B:$B,$B21,MATCH_W5!$K:$K)+SUMIF(MATCH_W6!$B:$B,$B21,MATCH_W6!$K:$K)</f>
        <v>3204</v>
      </c>
      <c r="J21" s="10">
        <f t="shared" si="0"/>
        <v>1.6759776536312849</v>
      </c>
      <c r="K21" s="12">
        <f>SUMIF(MATCH_W1!$B:$B,$B21,MATCH_W1!$M:$M)+SUMIF(MATCH_W2!$B:$B,$B21,MATCH_W2!$M:$M)+SUMIF(MATCH_W3!$B:$B,$B21,MATCH_W3!$M:$M)+SUMIF(MATCH_W4!$B:$B,$B21,MATCH_W4!$M:$M)+SUMIF(MATCH_W5!$B:$B,$B21,MATCH_W5!$M:$M)+SUMIF(MATCH_W6!$B:$B,$B21,MATCH_W6!$M:$M)</f>
        <v>20135</v>
      </c>
    </row>
    <row r="22" spans="1:11">
      <c r="A22" s="8" t="s">
        <v>50</v>
      </c>
      <c r="B22" s="8" t="s">
        <v>131</v>
      </c>
      <c r="C22" s="8" t="s">
        <v>101</v>
      </c>
      <c r="D22" s="11">
        <f>SUMIF(MATCH_W1!$B:$B,$B22,MATCH_W1!$F:$F)+SUMIF(MATCH_W2!$B:$B,$B22,MATCH_W2!$F:$F)+SUMIF(MATCH_W3!$B:$B,$B22,MATCH_W3!$F:$F)+SUMIF(MATCH_W4!$B:$B,$B22,MATCH_W4!$F:$F)+SUMIF(MATCH_W5!$B:$B,$B22,MATCH_W5!$F:$F)+SUMIF(MATCH_W6!$B:$B,$B22,MATCH_W6!$F:$F)</f>
        <v>294</v>
      </c>
      <c r="E22" s="11">
        <f>SUMIF(MATCH_W1!$B:$B,$B22,MATCH_W1!$G:$G)+SUMIF(MATCH_W2!$B:$B,$B22,MATCH_W2!$G:$G)+SUMIF(MATCH_W3!$B:$B,$B22,MATCH_W3!$G:$G)+SUMIF(MATCH_W4!$B:$B,$B22,MATCH_W4!$G:$G)+SUMIF(MATCH_W5!$B:$B,$B22,MATCH_W5!$G:$G)+SUMIF(MATCH_W6!$B:$B,$B22,MATCH_W6!$G:$G)</f>
        <v>166</v>
      </c>
      <c r="F22" s="11">
        <f>SUMIF(MATCH_W1!$B:$B,$B22,MATCH_W1!$H:$H)+SUMIF(MATCH_W2!$B:$B,$B22,MATCH_W2!$H:$H)+SUMIF(MATCH_W3!$B:$B,$B22,MATCH_W3!$H:$H)+SUMIF(MATCH_W4!$B:$B,$B22,MATCH_W4!$H:$H)+SUMIF(MATCH_W5!$B:$B,$B22,MATCH_W5!$H:$H)+SUMIF(MATCH_W6!$B:$B,$B22,MATCH_W6!$H:$H)</f>
        <v>117</v>
      </c>
      <c r="G22" s="11">
        <f>SUMIF(MATCH_W1!$B:$B,$B22,MATCH_W1!$I:$I)+SUMIF(MATCH_W2!$B:$B,$B22,MATCH_W2!$I:$I)+SUMIF(MATCH_W3!$B:$B,$B22,MATCH_W3!$I:$I)+SUMIF(MATCH_W4!$B:$B,$B22,MATCH_W4!$I:$I)+SUMIF(MATCH_W5!$B:$B,$B22,MATCH_W5!$I:$I)+SUMIF(MATCH_W6!$B:$B,$B22,MATCH_W6!$I:$I)</f>
        <v>221807</v>
      </c>
      <c r="H22" s="11">
        <f>SUMIF(MATCH_W1!$B:$B,$B22,MATCH_W1!$J:$J)+SUMIF(MATCH_W2!$B:$B,$B22,MATCH_W2!$J:$J)+SUMIF(MATCH_W3!$B:$B,$B22,MATCH_W3!$J:$J)+SUMIF(MATCH_W4!$B:$B,$B22,MATCH_W4!$J:$J)+SUMIF(MATCH_W5!$B:$B,$B22,MATCH_W5!$J:$J)+SUMIF(MATCH_W6!$B:$B,$B22,MATCH_W6!$J:$J)</f>
        <v>37904</v>
      </c>
      <c r="I22" s="11">
        <f>SUMIF(MATCH_W1!$B:$B,$B22,MATCH_W1!$K:$K)+SUMIF(MATCH_W2!$B:$B,$B22,MATCH_W2!$K:$K)+SUMIF(MATCH_W3!$B:$B,$B22,MATCH_W3!$K:$K)+SUMIF(MATCH_W4!$B:$B,$B22,MATCH_W4!$K:$K)+SUMIF(MATCH_W5!$B:$B,$B22,MATCH_W5!$K:$K)+SUMIF(MATCH_W6!$B:$B,$B22,MATCH_W6!$K:$K)</f>
        <v>233244</v>
      </c>
      <c r="J22" s="10">
        <f t="shared" si="0"/>
        <v>1.7710843373493976</v>
      </c>
      <c r="K22" s="12">
        <f>SUMIF(MATCH_W1!$B:$B,$B22,MATCH_W1!$M:$M)+SUMIF(MATCH_W2!$B:$B,$B22,MATCH_W2!$M:$M)+SUMIF(MATCH_W3!$B:$B,$B22,MATCH_W3!$M:$M)+SUMIF(MATCH_W4!$B:$B,$B22,MATCH_W4!$M:$M)+SUMIF(MATCH_W5!$B:$B,$B22,MATCH_W5!$M:$M)+SUMIF(MATCH_W6!$B:$B,$B22,MATCH_W6!$M:$M)</f>
        <v>14511</v>
      </c>
    </row>
    <row r="23" spans="1:11">
      <c r="A23" s="8" t="s">
        <v>50</v>
      </c>
      <c r="B23" s="8" t="s">
        <v>132</v>
      </c>
      <c r="C23" s="8" t="s">
        <v>101</v>
      </c>
      <c r="D23" s="11">
        <f>SUMIF(MATCH_W1!$B:$B,$B23,MATCH_W1!$F:$F)+SUMIF(MATCH_W2!$B:$B,$B23,MATCH_W2!$F:$F)+SUMIF(MATCH_W3!$B:$B,$B23,MATCH_W3!$F:$F)+SUMIF(MATCH_W4!$B:$B,$B23,MATCH_W4!$F:$F)+SUMIF(MATCH_W5!$B:$B,$B23,MATCH_W5!$F:$F)+SUMIF(MATCH_W6!$B:$B,$B23,MATCH_W6!$F:$F)</f>
        <v>6</v>
      </c>
      <c r="E23" s="11">
        <f>SUMIF(MATCH_W1!$B:$B,$B23,MATCH_W1!$G:$G)+SUMIF(MATCH_W2!$B:$B,$B23,MATCH_W2!$G:$G)+SUMIF(MATCH_W3!$B:$B,$B23,MATCH_W3!$G:$G)+SUMIF(MATCH_W4!$B:$B,$B23,MATCH_W4!$G:$G)+SUMIF(MATCH_W5!$B:$B,$B23,MATCH_W5!$G:$G)+SUMIF(MATCH_W6!$B:$B,$B23,MATCH_W6!$G:$G)</f>
        <v>8</v>
      </c>
      <c r="F23" s="11">
        <f>SUMIF(MATCH_W1!$B:$B,$B23,MATCH_W1!$H:$H)+SUMIF(MATCH_W2!$B:$B,$B23,MATCH_W2!$H:$H)+SUMIF(MATCH_W3!$B:$B,$B23,MATCH_W3!$H:$H)+SUMIF(MATCH_W4!$B:$B,$B23,MATCH_W4!$H:$H)+SUMIF(MATCH_W5!$B:$B,$B23,MATCH_W5!$H:$H)+SUMIF(MATCH_W6!$B:$B,$B23,MATCH_W6!$H:$H)</f>
        <v>3</v>
      </c>
      <c r="G23" s="11">
        <f>SUMIF(MATCH_W1!$B:$B,$B23,MATCH_W1!$I:$I)+SUMIF(MATCH_W2!$B:$B,$B23,MATCH_W2!$I:$I)+SUMIF(MATCH_W3!$B:$B,$B23,MATCH_W3!$I:$I)+SUMIF(MATCH_W4!$B:$B,$B23,MATCH_W4!$I:$I)+SUMIF(MATCH_W5!$B:$B,$B23,MATCH_W5!$I:$I)+SUMIF(MATCH_W6!$B:$B,$B23,MATCH_W6!$I:$I)</f>
        <v>4787</v>
      </c>
      <c r="H23" s="11">
        <f>SUMIF(MATCH_W1!$B:$B,$B23,MATCH_W1!$J:$J)+SUMIF(MATCH_W2!$B:$B,$B23,MATCH_W2!$J:$J)+SUMIF(MATCH_W3!$B:$B,$B23,MATCH_W3!$J:$J)+SUMIF(MATCH_W4!$B:$B,$B23,MATCH_W4!$J:$J)+SUMIF(MATCH_W5!$B:$B,$B23,MATCH_W5!$J:$J)+SUMIF(MATCH_W6!$B:$B,$B23,MATCH_W6!$J:$J)</f>
        <v>987</v>
      </c>
      <c r="I23" s="11">
        <f>SUMIF(MATCH_W1!$B:$B,$B23,MATCH_W1!$K:$K)+SUMIF(MATCH_W2!$B:$B,$B23,MATCH_W2!$K:$K)+SUMIF(MATCH_W3!$B:$B,$B23,MATCH_W3!$K:$K)+SUMIF(MATCH_W4!$B:$B,$B23,MATCH_W4!$K:$K)+SUMIF(MATCH_W5!$B:$B,$B23,MATCH_W5!$K:$K)+SUMIF(MATCH_W6!$B:$B,$B23,MATCH_W6!$K:$K)</f>
        <v>2960</v>
      </c>
      <c r="J23" s="10">
        <f t="shared" si="0"/>
        <v>0.75</v>
      </c>
      <c r="K23" s="12">
        <f>SUMIF(MATCH_W1!$B:$B,$B23,MATCH_W1!$M:$M)+SUMIF(MATCH_W2!$B:$B,$B23,MATCH_W2!$M:$M)+SUMIF(MATCH_W3!$B:$B,$B23,MATCH_W3!$M:$M)+SUMIF(MATCH_W4!$B:$B,$B23,MATCH_W4!$M:$M)+SUMIF(MATCH_W5!$B:$B,$B23,MATCH_W5!$M:$M)+SUMIF(MATCH_W6!$B:$B,$B23,MATCH_W6!$M:$M)</f>
        <v>347.00000000000006</v>
      </c>
    </row>
    <row r="24" spans="1:11">
      <c r="A24" s="8" t="s">
        <v>50</v>
      </c>
      <c r="B24" s="8" t="s">
        <v>133</v>
      </c>
      <c r="C24" s="8" t="s">
        <v>104</v>
      </c>
      <c r="D24" s="11">
        <f>SUMIF(MATCH_W1!$B:$B,$B24,MATCH_W1!$F:$F)+SUMIF(MATCH_W2!$B:$B,$B24,MATCH_W2!$F:$F)+SUMIF(MATCH_W3!$B:$B,$B24,MATCH_W3!$F:$F)+SUMIF(MATCH_W4!$B:$B,$B24,MATCH_W4!$F:$F)+SUMIF(MATCH_W5!$B:$B,$B24,MATCH_W5!$F:$F)+SUMIF(MATCH_W6!$B:$B,$B24,MATCH_W6!$F:$F)</f>
        <v>303</v>
      </c>
      <c r="E24" s="11">
        <f>SUMIF(MATCH_W1!$B:$B,$B24,MATCH_W1!$G:$G)+SUMIF(MATCH_W2!$B:$B,$B24,MATCH_W2!$G:$G)+SUMIF(MATCH_W3!$B:$B,$B24,MATCH_W3!$G:$G)+SUMIF(MATCH_W4!$B:$B,$B24,MATCH_W4!$G:$G)+SUMIF(MATCH_W5!$B:$B,$B24,MATCH_W5!$G:$G)+SUMIF(MATCH_W6!$B:$B,$B24,MATCH_W6!$G:$G)</f>
        <v>179</v>
      </c>
      <c r="F24" s="11">
        <f>SUMIF(MATCH_W1!$B:$B,$B24,MATCH_W1!$H:$H)+SUMIF(MATCH_W2!$B:$B,$B24,MATCH_W2!$H:$H)+SUMIF(MATCH_W3!$B:$B,$B24,MATCH_W3!$H:$H)+SUMIF(MATCH_W4!$B:$B,$B24,MATCH_W4!$H:$H)+SUMIF(MATCH_W5!$B:$B,$B24,MATCH_W5!$H:$H)+SUMIF(MATCH_W6!$B:$B,$B24,MATCH_W6!$H:$H)</f>
        <v>31</v>
      </c>
      <c r="G24" s="11">
        <f>SUMIF(MATCH_W1!$B:$B,$B24,MATCH_W1!$I:$I)+SUMIF(MATCH_W2!$B:$B,$B24,MATCH_W2!$I:$I)+SUMIF(MATCH_W3!$B:$B,$B24,MATCH_W3!$I:$I)+SUMIF(MATCH_W4!$B:$B,$B24,MATCH_W4!$I:$I)+SUMIF(MATCH_W5!$B:$B,$B24,MATCH_W5!$I:$I)+SUMIF(MATCH_W6!$B:$B,$B24,MATCH_W6!$I:$I)</f>
        <v>173857</v>
      </c>
      <c r="H24" s="11">
        <f>SUMIF(MATCH_W1!$B:$B,$B24,MATCH_W1!$J:$J)+SUMIF(MATCH_W2!$B:$B,$B24,MATCH_W2!$J:$J)+SUMIF(MATCH_W3!$B:$B,$B24,MATCH_W3!$J:$J)+SUMIF(MATCH_W4!$B:$B,$B24,MATCH_W4!$J:$J)+SUMIF(MATCH_W5!$B:$B,$B24,MATCH_W5!$J:$J)+SUMIF(MATCH_W6!$B:$B,$B24,MATCH_W6!$J:$J)</f>
        <v>9265</v>
      </c>
      <c r="I24" s="11">
        <f>SUMIF(MATCH_W1!$B:$B,$B24,MATCH_W1!$K:$K)+SUMIF(MATCH_W2!$B:$B,$B24,MATCH_W2!$K:$K)+SUMIF(MATCH_W3!$B:$B,$B24,MATCH_W3!$K:$K)+SUMIF(MATCH_W4!$B:$B,$B24,MATCH_W4!$K:$K)+SUMIF(MATCH_W5!$B:$B,$B24,MATCH_W5!$K:$K)+SUMIF(MATCH_W6!$B:$B,$B24,MATCH_W6!$K:$K)</f>
        <v>37356</v>
      </c>
      <c r="J24" s="10">
        <f t="shared" si="0"/>
        <v>1.6927374301675977</v>
      </c>
      <c r="K24" s="12">
        <f>SUMIF(MATCH_W1!$B:$B,$B24,MATCH_W1!$M:$M)+SUMIF(MATCH_W2!$B:$B,$B24,MATCH_W2!$M:$M)+SUMIF(MATCH_W3!$B:$B,$B24,MATCH_W3!$M:$M)+SUMIF(MATCH_W4!$B:$B,$B24,MATCH_W4!$M:$M)+SUMIF(MATCH_W5!$B:$B,$B24,MATCH_W5!$M:$M)+SUMIF(MATCH_W6!$B:$B,$B24,MATCH_W6!$M:$M)</f>
        <v>14858</v>
      </c>
    </row>
    <row r="25" spans="1:11">
      <c r="A25" s="8" t="s">
        <v>50</v>
      </c>
      <c r="B25" s="8" t="s">
        <v>134</v>
      </c>
      <c r="C25" s="8" t="s">
        <v>104</v>
      </c>
      <c r="D25" s="11">
        <f>SUMIF(MATCH_W1!$B:$B,$B25,MATCH_W1!$F:$F)+SUMIF(MATCH_W2!$B:$B,$B25,MATCH_W2!$F:$F)+SUMIF(MATCH_W3!$B:$B,$B25,MATCH_W3!$F:$F)+SUMIF(MATCH_W4!$B:$B,$B25,MATCH_W4!$F:$F)+SUMIF(MATCH_W5!$B:$B,$B25,MATCH_W5!$F:$F)+SUMIF(MATCH_W6!$B:$B,$B25,MATCH_W6!$F:$F)</f>
        <v>364</v>
      </c>
      <c r="E25" s="11">
        <f>SUMIF(MATCH_W1!$B:$B,$B25,MATCH_W1!$G:$G)+SUMIF(MATCH_W2!$B:$B,$B25,MATCH_W2!$G:$G)+SUMIF(MATCH_W3!$B:$B,$B25,MATCH_W3!$G:$G)+SUMIF(MATCH_W4!$B:$B,$B25,MATCH_W4!$G:$G)+SUMIF(MATCH_W5!$B:$B,$B25,MATCH_W5!$G:$G)+SUMIF(MATCH_W6!$B:$B,$B25,MATCH_W6!$G:$G)</f>
        <v>153</v>
      </c>
      <c r="F25" s="11">
        <f>SUMIF(MATCH_W1!$B:$B,$B25,MATCH_W1!$H:$H)+SUMIF(MATCH_W2!$B:$B,$B25,MATCH_W2!$H:$H)+SUMIF(MATCH_W3!$B:$B,$B25,MATCH_W3!$H:$H)+SUMIF(MATCH_W4!$B:$B,$B25,MATCH_W4!$H:$H)+SUMIF(MATCH_W5!$B:$B,$B25,MATCH_W5!$H:$H)+SUMIF(MATCH_W6!$B:$B,$B25,MATCH_W6!$H:$H)</f>
        <v>12</v>
      </c>
      <c r="G25" s="11">
        <f>SUMIF(MATCH_W1!$B:$B,$B25,MATCH_W1!$I:$I)+SUMIF(MATCH_W2!$B:$B,$B25,MATCH_W2!$I:$I)+SUMIF(MATCH_W3!$B:$B,$B25,MATCH_W3!$I:$I)+SUMIF(MATCH_W4!$B:$B,$B25,MATCH_W4!$I:$I)+SUMIF(MATCH_W5!$B:$B,$B25,MATCH_W5!$I:$I)+SUMIF(MATCH_W6!$B:$B,$B25,MATCH_W6!$I:$I)</f>
        <v>260104</v>
      </c>
      <c r="H25" s="11">
        <f>SUMIF(MATCH_W1!$B:$B,$B25,MATCH_W1!$J:$J)+SUMIF(MATCH_W2!$B:$B,$B25,MATCH_W2!$J:$J)+SUMIF(MATCH_W3!$B:$B,$B25,MATCH_W3!$J:$J)+SUMIF(MATCH_W4!$B:$B,$B25,MATCH_W4!$J:$J)+SUMIF(MATCH_W5!$B:$B,$B25,MATCH_W5!$J:$J)+SUMIF(MATCH_W6!$B:$B,$B25,MATCH_W6!$J:$J)</f>
        <v>765</v>
      </c>
      <c r="I25" s="11">
        <f>SUMIF(MATCH_W1!$B:$B,$B25,MATCH_W1!$K:$K)+SUMIF(MATCH_W2!$B:$B,$B25,MATCH_W2!$K:$K)+SUMIF(MATCH_W3!$B:$B,$B25,MATCH_W3!$K:$K)+SUMIF(MATCH_W4!$B:$B,$B25,MATCH_W4!$K:$K)+SUMIF(MATCH_W5!$B:$B,$B25,MATCH_W5!$K:$K)+SUMIF(MATCH_W6!$B:$B,$B25,MATCH_W6!$K:$K)</f>
        <v>5918</v>
      </c>
      <c r="J25" s="10">
        <f t="shared" si="0"/>
        <v>2.3790849673202614</v>
      </c>
      <c r="K25" s="12">
        <f>SUMIF(MATCH_W1!$B:$B,$B25,MATCH_W1!$M:$M)+SUMIF(MATCH_W2!$B:$B,$B25,MATCH_W2!$M:$M)+SUMIF(MATCH_W3!$B:$B,$B25,MATCH_W3!$M:$M)+SUMIF(MATCH_W4!$B:$B,$B25,MATCH_W4!$M:$M)+SUMIF(MATCH_W5!$B:$B,$B25,MATCH_W5!$M:$M)+SUMIF(MATCH_W6!$B:$B,$B25,MATCH_W6!$M:$M)</f>
        <v>14858</v>
      </c>
    </row>
    <row r="26" spans="1:11">
      <c r="A26" s="8" t="s">
        <v>50</v>
      </c>
      <c r="B26" s="8" t="s">
        <v>135</v>
      </c>
      <c r="C26" s="8" t="s">
        <v>109</v>
      </c>
      <c r="D26" s="11">
        <f>SUMIF(MATCH_W1!$B:$B,$B26,MATCH_W1!$F:$F)+SUMIF(MATCH_W2!$B:$B,$B26,MATCH_W2!$F:$F)+SUMIF(MATCH_W3!$B:$B,$B26,MATCH_W3!$F:$F)+SUMIF(MATCH_W4!$B:$B,$B26,MATCH_W4!$F:$F)+SUMIF(MATCH_W5!$B:$B,$B26,MATCH_W5!$F:$F)+SUMIF(MATCH_W6!$B:$B,$B26,MATCH_W6!$F:$F)</f>
        <v>217</v>
      </c>
      <c r="E26" s="11">
        <f>SUMIF(MATCH_W1!$B:$B,$B26,MATCH_W1!$G:$G)+SUMIF(MATCH_W2!$B:$B,$B26,MATCH_W2!$G:$G)+SUMIF(MATCH_W3!$B:$B,$B26,MATCH_W3!$G:$G)+SUMIF(MATCH_W4!$B:$B,$B26,MATCH_W4!$G:$G)+SUMIF(MATCH_W5!$B:$B,$B26,MATCH_W5!$G:$G)+SUMIF(MATCH_W6!$B:$B,$B26,MATCH_W6!$G:$G)</f>
        <v>150</v>
      </c>
      <c r="F26" s="11">
        <f>SUMIF(MATCH_W1!$B:$B,$B26,MATCH_W1!$H:$H)+SUMIF(MATCH_W2!$B:$B,$B26,MATCH_W2!$H:$H)+SUMIF(MATCH_W3!$B:$B,$B26,MATCH_W3!$H:$H)+SUMIF(MATCH_W4!$B:$B,$B26,MATCH_W4!$H:$H)+SUMIF(MATCH_W5!$B:$B,$B26,MATCH_W5!$H:$H)+SUMIF(MATCH_W6!$B:$B,$B26,MATCH_W6!$H:$H)</f>
        <v>282</v>
      </c>
      <c r="G26" s="11">
        <f>SUMIF(MATCH_W1!$B:$B,$B26,MATCH_W1!$I:$I)+SUMIF(MATCH_W2!$B:$B,$B26,MATCH_W2!$I:$I)+SUMIF(MATCH_W3!$B:$B,$B26,MATCH_W3!$I:$I)+SUMIF(MATCH_W4!$B:$B,$B26,MATCH_W4!$I:$I)+SUMIF(MATCH_W5!$B:$B,$B26,MATCH_W5!$I:$I)+SUMIF(MATCH_W6!$B:$B,$B26,MATCH_W6!$I:$I)</f>
        <v>91694</v>
      </c>
      <c r="H26" s="11">
        <f>SUMIF(MATCH_W1!$B:$B,$B26,MATCH_W1!$J:$J)+SUMIF(MATCH_W2!$B:$B,$B26,MATCH_W2!$J:$J)+SUMIF(MATCH_W3!$B:$B,$B26,MATCH_W3!$J:$J)+SUMIF(MATCH_W4!$B:$B,$B26,MATCH_W4!$J:$J)+SUMIF(MATCH_W5!$B:$B,$B26,MATCH_W5!$J:$J)+SUMIF(MATCH_W6!$B:$B,$B26,MATCH_W6!$J:$J)</f>
        <v>174441</v>
      </c>
      <c r="I26" s="11">
        <f>SUMIF(MATCH_W1!$B:$B,$B26,MATCH_W1!$K:$K)+SUMIF(MATCH_W2!$B:$B,$B26,MATCH_W2!$K:$K)+SUMIF(MATCH_W3!$B:$B,$B26,MATCH_W3!$K:$K)+SUMIF(MATCH_W4!$B:$B,$B26,MATCH_W4!$K:$K)+SUMIF(MATCH_W5!$B:$B,$B26,MATCH_W5!$K:$K)+SUMIF(MATCH_W6!$B:$B,$B26,MATCH_W6!$K:$K)</f>
        <v>35016</v>
      </c>
      <c r="J26" s="10">
        <f t="shared" si="0"/>
        <v>1.4466666666666668</v>
      </c>
      <c r="K26" s="12">
        <f>SUMIF(MATCH_W1!$B:$B,$B26,MATCH_W1!$M:$M)+SUMIF(MATCH_W2!$B:$B,$B26,MATCH_W2!$M:$M)+SUMIF(MATCH_W3!$B:$B,$B26,MATCH_W3!$M:$M)+SUMIF(MATCH_W4!$B:$B,$B26,MATCH_W4!$M:$M)+SUMIF(MATCH_W5!$B:$B,$B26,MATCH_W5!$M:$M)+SUMIF(MATCH_W6!$B:$B,$B26,MATCH_W6!$M:$M)</f>
        <v>14858</v>
      </c>
    </row>
    <row r="27" spans="1:11">
      <c r="A27" s="8" t="s">
        <v>50</v>
      </c>
      <c r="B27" s="8" t="s">
        <v>136</v>
      </c>
      <c r="C27" s="8" t="s">
        <v>109</v>
      </c>
      <c r="D27" s="11">
        <f>SUMIF(MATCH_W1!$B:$B,$B27,MATCH_W1!$F:$F)+SUMIF(MATCH_W2!$B:$B,$B27,MATCH_W2!$F:$F)+SUMIF(MATCH_W3!$B:$B,$B27,MATCH_W3!$F:$F)+SUMIF(MATCH_W4!$B:$B,$B27,MATCH_W4!$F:$F)+SUMIF(MATCH_W5!$B:$B,$B27,MATCH_W5!$F:$F)+SUMIF(MATCH_W6!$B:$B,$B27,MATCH_W6!$F:$F)</f>
        <v>152</v>
      </c>
      <c r="E27" s="11">
        <f>SUMIF(MATCH_W1!$B:$B,$B27,MATCH_W1!$G:$G)+SUMIF(MATCH_W2!$B:$B,$B27,MATCH_W2!$G:$G)+SUMIF(MATCH_W3!$B:$B,$B27,MATCH_W3!$G:$G)+SUMIF(MATCH_W4!$B:$B,$B27,MATCH_W4!$G:$G)+SUMIF(MATCH_W5!$B:$B,$B27,MATCH_W5!$G:$G)+SUMIF(MATCH_W6!$B:$B,$B27,MATCH_W6!$G:$G)</f>
        <v>158</v>
      </c>
      <c r="F27" s="11">
        <f>SUMIF(MATCH_W1!$B:$B,$B27,MATCH_W1!$H:$H)+SUMIF(MATCH_W2!$B:$B,$B27,MATCH_W2!$H:$H)+SUMIF(MATCH_W3!$B:$B,$B27,MATCH_W3!$H:$H)+SUMIF(MATCH_W4!$B:$B,$B27,MATCH_W4!$H:$H)+SUMIF(MATCH_W5!$B:$B,$B27,MATCH_W5!$H:$H)+SUMIF(MATCH_W6!$B:$B,$B27,MATCH_W6!$H:$H)</f>
        <v>342</v>
      </c>
      <c r="G27" s="11">
        <f>SUMIF(MATCH_W1!$B:$B,$B27,MATCH_W1!$I:$I)+SUMIF(MATCH_W2!$B:$B,$B27,MATCH_W2!$I:$I)+SUMIF(MATCH_W3!$B:$B,$B27,MATCH_W3!$I:$I)+SUMIF(MATCH_W4!$B:$B,$B27,MATCH_W4!$I:$I)+SUMIF(MATCH_W5!$B:$B,$B27,MATCH_W5!$I:$I)+SUMIF(MATCH_W6!$B:$B,$B27,MATCH_W6!$I:$I)</f>
        <v>69446</v>
      </c>
      <c r="H27" s="11">
        <f>SUMIF(MATCH_W1!$B:$B,$B27,MATCH_W1!$J:$J)+SUMIF(MATCH_W2!$B:$B,$B27,MATCH_W2!$J:$J)+SUMIF(MATCH_W3!$B:$B,$B27,MATCH_W3!$J:$J)+SUMIF(MATCH_W4!$B:$B,$B27,MATCH_W4!$J:$J)+SUMIF(MATCH_W5!$B:$B,$B27,MATCH_W5!$J:$J)+SUMIF(MATCH_W6!$B:$B,$B27,MATCH_W6!$J:$J)</f>
        <v>278309</v>
      </c>
      <c r="I27" s="11">
        <f>SUMIF(MATCH_W1!$B:$B,$B27,MATCH_W1!$K:$K)+SUMIF(MATCH_W2!$B:$B,$B27,MATCH_W2!$K:$K)+SUMIF(MATCH_W3!$B:$B,$B27,MATCH_W3!$K:$K)+SUMIF(MATCH_W4!$B:$B,$B27,MATCH_W4!$K:$K)+SUMIF(MATCH_W5!$B:$B,$B27,MATCH_W5!$K:$K)+SUMIF(MATCH_W6!$B:$B,$B27,MATCH_W6!$K:$K)</f>
        <v>0</v>
      </c>
      <c r="J27" s="10">
        <f t="shared" si="0"/>
        <v>0.96202531645569622</v>
      </c>
      <c r="K27" s="12">
        <f>SUMIF(MATCH_W1!$B:$B,$B27,MATCH_W1!$M:$M)+SUMIF(MATCH_W2!$B:$B,$B27,MATCH_W2!$M:$M)+SUMIF(MATCH_W3!$B:$B,$B27,MATCH_W3!$M:$M)+SUMIF(MATCH_W4!$B:$B,$B27,MATCH_W4!$M:$M)+SUMIF(MATCH_W5!$B:$B,$B27,MATCH_W5!$M:$M)+SUMIF(MATCH_W6!$B:$B,$B27,MATCH_W6!$M:$M)</f>
        <v>14858</v>
      </c>
    </row>
    <row r="28" spans="1:11">
      <c r="A28" s="8" t="s">
        <v>42</v>
      </c>
      <c r="B28" s="8" t="s">
        <v>138</v>
      </c>
      <c r="C28" s="8" t="s">
        <v>101</v>
      </c>
      <c r="D28" s="11">
        <f>SUMIF(MATCH_W1!$B:$B,$B28,MATCH_W1!$F:$F)+SUMIF(MATCH_W2!$B:$B,$B28,MATCH_W2!$F:$F)+SUMIF(MATCH_W3!$B:$B,$B28,MATCH_W3!$F:$F)+SUMIF(MATCH_W4!$B:$B,$B28,MATCH_W4!$F:$F)+SUMIF(MATCH_W5!$B:$B,$B28,MATCH_W5!$F:$F)+SUMIF(MATCH_W6!$B:$B,$B28,MATCH_W6!$F:$F)</f>
        <v>134</v>
      </c>
      <c r="E28" s="11">
        <f>SUMIF(MATCH_W1!$B:$B,$B28,MATCH_W1!$G:$G)+SUMIF(MATCH_W2!$B:$B,$B28,MATCH_W2!$G:$G)+SUMIF(MATCH_W3!$B:$B,$B28,MATCH_W3!$G:$G)+SUMIF(MATCH_W4!$B:$B,$B28,MATCH_W4!$G:$G)+SUMIF(MATCH_W5!$B:$B,$B28,MATCH_W5!$G:$G)+SUMIF(MATCH_W6!$B:$B,$B28,MATCH_W6!$G:$G)</f>
        <v>28</v>
      </c>
      <c r="F28" s="11">
        <f>SUMIF(MATCH_W1!$B:$B,$B28,MATCH_W1!$H:$H)+SUMIF(MATCH_W2!$B:$B,$B28,MATCH_W2!$H:$H)+SUMIF(MATCH_W3!$B:$B,$B28,MATCH_W3!$H:$H)+SUMIF(MATCH_W4!$B:$B,$B28,MATCH_W4!$H:$H)+SUMIF(MATCH_W5!$B:$B,$B28,MATCH_W5!$H:$H)+SUMIF(MATCH_W6!$B:$B,$B28,MATCH_W6!$H:$H)</f>
        <v>56</v>
      </c>
      <c r="G28" s="11">
        <f>SUMIF(MATCH_W1!$B:$B,$B28,MATCH_W1!$I:$I)+SUMIF(MATCH_W2!$B:$B,$B28,MATCH_W2!$I:$I)+SUMIF(MATCH_W3!$B:$B,$B28,MATCH_W3!$I:$I)+SUMIF(MATCH_W4!$B:$B,$B28,MATCH_W4!$I:$I)+SUMIF(MATCH_W5!$B:$B,$B28,MATCH_W5!$I:$I)+SUMIF(MATCH_W6!$B:$B,$B28,MATCH_W6!$I:$I)</f>
        <v>64929</v>
      </c>
      <c r="H28" s="11">
        <f>SUMIF(MATCH_W1!$B:$B,$B28,MATCH_W1!$J:$J)+SUMIF(MATCH_W2!$B:$B,$B28,MATCH_W2!$J:$J)+SUMIF(MATCH_W3!$B:$B,$B28,MATCH_W3!$J:$J)+SUMIF(MATCH_W4!$B:$B,$B28,MATCH_W4!$J:$J)+SUMIF(MATCH_W5!$B:$B,$B28,MATCH_W5!$J:$J)+SUMIF(MATCH_W6!$B:$B,$B28,MATCH_W6!$J:$J)</f>
        <v>13194</v>
      </c>
      <c r="I28" s="11">
        <f>SUMIF(MATCH_W1!$B:$B,$B28,MATCH_W1!$K:$K)+SUMIF(MATCH_W2!$B:$B,$B28,MATCH_W2!$K:$K)+SUMIF(MATCH_W3!$B:$B,$B28,MATCH_W3!$K:$K)+SUMIF(MATCH_W4!$B:$B,$B28,MATCH_W4!$K:$K)+SUMIF(MATCH_W5!$B:$B,$B28,MATCH_W5!$K:$K)+SUMIF(MATCH_W6!$B:$B,$B28,MATCH_W6!$K:$K)</f>
        <v>38785</v>
      </c>
      <c r="J28" s="10">
        <f t="shared" si="0"/>
        <v>4.7857142857142856</v>
      </c>
      <c r="K28" s="12">
        <f>SUMIF(MATCH_W1!$B:$B,$B28,MATCH_W1!$M:$M)+SUMIF(MATCH_W2!$B:$B,$B28,MATCH_W2!$M:$M)+SUMIF(MATCH_W3!$B:$B,$B28,MATCH_W3!$M:$M)+SUMIF(MATCH_W4!$B:$B,$B28,MATCH_W4!$M:$M)+SUMIF(MATCH_W5!$B:$B,$B28,MATCH_W5!$M:$M)+SUMIF(MATCH_W6!$B:$B,$B28,MATCH_W6!$M:$M)</f>
        <v>4189</v>
      </c>
    </row>
    <row r="29" spans="1:11">
      <c r="A29" s="8" t="s">
        <v>42</v>
      </c>
      <c r="B29" s="8" t="s">
        <v>139</v>
      </c>
      <c r="C29" s="8" t="s">
        <v>101</v>
      </c>
      <c r="D29" s="11">
        <f>SUMIF(MATCH_W1!$B:$B,$B29,MATCH_W1!$F:$F)+SUMIF(MATCH_W2!$B:$B,$B29,MATCH_W2!$F:$F)+SUMIF(MATCH_W3!$B:$B,$B29,MATCH_W3!$F:$F)+SUMIF(MATCH_W4!$B:$B,$B29,MATCH_W4!$F:$F)+SUMIF(MATCH_W5!$B:$B,$B29,MATCH_W5!$F:$F)+SUMIF(MATCH_W6!$B:$B,$B29,MATCH_W6!$F:$F)</f>
        <v>1524</v>
      </c>
      <c r="E29" s="11">
        <f>SUMIF(MATCH_W1!$B:$B,$B29,MATCH_W1!$G:$G)+SUMIF(MATCH_W2!$B:$B,$B29,MATCH_W2!$G:$G)+SUMIF(MATCH_W3!$B:$B,$B29,MATCH_W3!$G:$G)+SUMIF(MATCH_W4!$B:$B,$B29,MATCH_W4!$G:$G)+SUMIF(MATCH_W5!$B:$B,$B29,MATCH_W5!$G:$G)+SUMIF(MATCH_W6!$B:$B,$B29,MATCH_W6!$G:$G)</f>
        <v>366</v>
      </c>
      <c r="F29" s="11">
        <f>SUMIF(MATCH_W1!$B:$B,$B29,MATCH_W1!$H:$H)+SUMIF(MATCH_W2!$B:$B,$B29,MATCH_W2!$H:$H)+SUMIF(MATCH_W3!$B:$B,$B29,MATCH_W3!$H:$H)+SUMIF(MATCH_W4!$B:$B,$B29,MATCH_W4!$H:$H)+SUMIF(MATCH_W5!$B:$B,$B29,MATCH_W5!$H:$H)+SUMIF(MATCH_W6!$B:$B,$B29,MATCH_W6!$H:$H)</f>
        <v>766</v>
      </c>
      <c r="G29" s="11">
        <f>SUMIF(MATCH_W1!$B:$B,$B29,MATCH_W1!$I:$I)+SUMIF(MATCH_W2!$B:$B,$B29,MATCH_W2!$I:$I)+SUMIF(MATCH_W3!$B:$B,$B29,MATCH_W3!$I:$I)+SUMIF(MATCH_W4!$B:$B,$B29,MATCH_W4!$I:$I)+SUMIF(MATCH_W5!$B:$B,$B29,MATCH_W5!$I:$I)+SUMIF(MATCH_W6!$B:$B,$B29,MATCH_W6!$I:$I)</f>
        <v>679637</v>
      </c>
      <c r="H29" s="11">
        <f>SUMIF(MATCH_W1!$B:$B,$B29,MATCH_W1!$J:$J)+SUMIF(MATCH_W2!$B:$B,$B29,MATCH_W2!$J:$J)+SUMIF(MATCH_W3!$B:$B,$B29,MATCH_W3!$J:$J)+SUMIF(MATCH_W4!$B:$B,$B29,MATCH_W4!$J:$J)+SUMIF(MATCH_W5!$B:$B,$B29,MATCH_W5!$J:$J)+SUMIF(MATCH_W6!$B:$B,$B29,MATCH_W6!$J:$J)</f>
        <v>103656</v>
      </c>
      <c r="I29" s="11">
        <f>SUMIF(MATCH_W1!$B:$B,$B29,MATCH_W1!$K:$K)+SUMIF(MATCH_W2!$B:$B,$B29,MATCH_W2!$K:$K)+SUMIF(MATCH_W3!$B:$B,$B29,MATCH_W3!$K:$K)+SUMIF(MATCH_W4!$B:$B,$B29,MATCH_W4!$K:$K)+SUMIF(MATCH_W5!$B:$B,$B29,MATCH_W5!$K:$K)+SUMIF(MATCH_W6!$B:$B,$B29,MATCH_W6!$K:$K)</f>
        <v>632316</v>
      </c>
      <c r="J29" s="10">
        <f t="shared" si="0"/>
        <v>4.1639344262295079</v>
      </c>
      <c r="K29" s="12">
        <f>SUMIF(MATCH_W1!$B:$B,$B29,MATCH_W1!$M:$M)+SUMIF(MATCH_W2!$B:$B,$B29,MATCH_W2!$M:$M)+SUMIF(MATCH_W3!$B:$B,$B29,MATCH_W3!$M:$M)+SUMIF(MATCH_W4!$B:$B,$B29,MATCH_W4!$M:$M)+SUMIF(MATCH_W5!$B:$B,$B29,MATCH_W5!$M:$M)+SUMIF(MATCH_W6!$B:$B,$B29,MATCH_W6!$M:$M)</f>
        <v>35986</v>
      </c>
    </row>
    <row r="30" spans="1:11">
      <c r="A30" s="8" t="s">
        <v>42</v>
      </c>
      <c r="B30" s="8" t="s">
        <v>140</v>
      </c>
      <c r="C30" s="8" t="s">
        <v>104</v>
      </c>
      <c r="D30" s="11">
        <f>SUMIF(MATCH_W1!$B:$B,$B30,MATCH_W1!$F:$F)+SUMIF(MATCH_W2!$B:$B,$B30,MATCH_W2!$F:$F)+SUMIF(MATCH_W3!$B:$B,$B30,MATCH_W3!$F:$F)+SUMIF(MATCH_W4!$B:$B,$B30,MATCH_W4!$F:$F)+SUMIF(MATCH_W5!$B:$B,$B30,MATCH_W5!$F:$F)+SUMIF(MATCH_W6!$B:$B,$B30,MATCH_W6!$F:$F)</f>
        <v>1597</v>
      </c>
      <c r="E30" s="11">
        <f>SUMIF(MATCH_W1!$B:$B,$B30,MATCH_W1!$G:$G)+SUMIF(MATCH_W2!$B:$B,$B30,MATCH_W2!$G:$G)+SUMIF(MATCH_W3!$B:$B,$B30,MATCH_W3!$G:$G)+SUMIF(MATCH_W4!$B:$B,$B30,MATCH_W4!$G:$G)+SUMIF(MATCH_W5!$B:$B,$B30,MATCH_W5!$G:$G)+SUMIF(MATCH_W6!$B:$B,$B30,MATCH_W6!$G:$G)</f>
        <v>396</v>
      </c>
      <c r="F30" s="11">
        <f>SUMIF(MATCH_W1!$B:$B,$B30,MATCH_W1!$H:$H)+SUMIF(MATCH_W2!$B:$B,$B30,MATCH_W2!$H:$H)+SUMIF(MATCH_W3!$B:$B,$B30,MATCH_W3!$H:$H)+SUMIF(MATCH_W4!$B:$B,$B30,MATCH_W4!$H:$H)+SUMIF(MATCH_W5!$B:$B,$B30,MATCH_W5!$H:$H)+SUMIF(MATCH_W6!$B:$B,$B30,MATCH_W6!$H:$H)</f>
        <v>188</v>
      </c>
      <c r="G30" s="11">
        <f>SUMIF(MATCH_W1!$B:$B,$B30,MATCH_W1!$I:$I)+SUMIF(MATCH_W2!$B:$B,$B30,MATCH_W2!$I:$I)+SUMIF(MATCH_W3!$B:$B,$B30,MATCH_W3!$I:$I)+SUMIF(MATCH_W4!$B:$B,$B30,MATCH_W4!$I:$I)+SUMIF(MATCH_W5!$B:$B,$B30,MATCH_W5!$I:$I)+SUMIF(MATCH_W6!$B:$B,$B30,MATCH_W6!$I:$I)</f>
        <v>698105</v>
      </c>
      <c r="H30" s="11">
        <f>SUMIF(MATCH_W1!$B:$B,$B30,MATCH_W1!$J:$J)+SUMIF(MATCH_W2!$B:$B,$B30,MATCH_W2!$J:$J)+SUMIF(MATCH_W3!$B:$B,$B30,MATCH_W3!$J:$J)+SUMIF(MATCH_W4!$B:$B,$B30,MATCH_W4!$J:$J)+SUMIF(MATCH_W5!$B:$B,$B30,MATCH_W5!$J:$J)+SUMIF(MATCH_W6!$B:$B,$B30,MATCH_W6!$J:$J)</f>
        <v>27497</v>
      </c>
      <c r="I30" s="11">
        <f>SUMIF(MATCH_W1!$B:$B,$B30,MATCH_W1!$K:$K)+SUMIF(MATCH_W2!$B:$B,$B30,MATCH_W2!$K:$K)+SUMIF(MATCH_W3!$B:$B,$B30,MATCH_W3!$K:$K)+SUMIF(MATCH_W4!$B:$B,$B30,MATCH_W4!$K:$K)+SUMIF(MATCH_W5!$B:$B,$B30,MATCH_W5!$K:$K)+SUMIF(MATCH_W6!$B:$B,$B30,MATCH_W6!$K:$K)</f>
        <v>58633</v>
      </c>
      <c r="J30" s="10">
        <f t="shared" si="0"/>
        <v>4.0328282828282829</v>
      </c>
      <c r="K30" s="12">
        <f>SUMIF(MATCH_W1!$B:$B,$B30,MATCH_W1!$M:$M)+SUMIF(MATCH_W2!$B:$B,$B30,MATCH_W2!$M:$M)+SUMIF(MATCH_W3!$B:$B,$B30,MATCH_W3!$M:$M)+SUMIF(MATCH_W4!$B:$B,$B30,MATCH_W4!$M:$M)+SUMIF(MATCH_W5!$B:$B,$B30,MATCH_W5!$M:$M)+SUMIF(MATCH_W6!$B:$B,$B30,MATCH_W6!$M:$M)</f>
        <v>40175</v>
      </c>
    </row>
    <row r="31" spans="1:11">
      <c r="A31" s="8" t="s">
        <v>42</v>
      </c>
      <c r="B31" s="8" t="s">
        <v>141</v>
      </c>
      <c r="C31" s="8" t="s">
        <v>104</v>
      </c>
      <c r="D31" s="11">
        <f>SUMIF(MATCH_W1!$B:$B,$B31,MATCH_W1!$F:$F)+SUMIF(MATCH_W2!$B:$B,$B31,MATCH_W2!$F:$F)+SUMIF(MATCH_W3!$B:$B,$B31,MATCH_W3!$F:$F)+SUMIF(MATCH_W4!$B:$B,$B31,MATCH_W4!$F:$F)+SUMIF(MATCH_W5!$B:$B,$B31,MATCH_W5!$F:$F)+SUMIF(MATCH_W6!$B:$B,$B31,MATCH_W6!$F:$F)</f>
        <v>1526</v>
      </c>
      <c r="E31" s="11">
        <f>SUMIF(MATCH_W1!$B:$B,$B31,MATCH_W1!$G:$G)+SUMIF(MATCH_W2!$B:$B,$B31,MATCH_W2!$G:$G)+SUMIF(MATCH_W3!$B:$B,$B31,MATCH_W3!$G:$G)+SUMIF(MATCH_W4!$B:$B,$B31,MATCH_W4!$G:$G)+SUMIF(MATCH_W5!$B:$B,$B31,MATCH_W5!$G:$G)+SUMIF(MATCH_W6!$B:$B,$B31,MATCH_W6!$G:$G)</f>
        <v>470</v>
      </c>
      <c r="F31" s="11">
        <f>SUMIF(MATCH_W1!$B:$B,$B31,MATCH_W1!$H:$H)+SUMIF(MATCH_W2!$B:$B,$B31,MATCH_W2!$H:$H)+SUMIF(MATCH_W3!$B:$B,$B31,MATCH_W3!$H:$H)+SUMIF(MATCH_W4!$B:$B,$B31,MATCH_W4!$H:$H)+SUMIF(MATCH_W5!$B:$B,$B31,MATCH_W5!$H:$H)+SUMIF(MATCH_W6!$B:$B,$B31,MATCH_W6!$H:$H)</f>
        <v>108</v>
      </c>
      <c r="G31" s="11">
        <f>SUMIF(MATCH_W1!$B:$B,$B31,MATCH_W1!$I:$I)+SUMIF(MATCH_W2!$B:$B,$B31,MATCH_W2!$I:$I)+SUMIF(MATCH_W3!$B:$B,$B31,MATCH_W3!$I:$I)+SUMIF(MATCH_W4!$B:$B,$B31,MATCH_W4!$I:$I)+SUMIF(MATCH_W5!$B:$B,$B31,MATCH_W5!$I:$I)+SUMIF(MATCH_W6!$B:$B,$B31,MATCH_W6!$I:$I)</f>
        <v>691747</v>
      </c>
      <c r="H31" s="11">
        <f>SUMIF(MATCH_W1!$B:$B,$B31,MATCH_W1!$J:$J)+SUMIF(MATCH_W2!$B:$B,$B31,MATCH_W2!$J:$J)+SUMIF(MATCH_W3!$B:$B,$B31,MATCH_W3!$J:$J)+SUMIF(MATCH_W4!$B:$B,$B31,MATCH_W4!$J:$J)+SUMIF(MATCH_W5!$B:$B,$B31,MATCH_W5!$J:$J)+SUMIF(MATCH_W6!$B:$B,$B31,MATCH_W6!$J:$J)</f>
        <v>41602</v>
      </c>
      <c r="I31" s="11">
        <f>SUMIF(MATCH_W1!$B:$B,$B31,MATCH_W1!$K:$K)+SUMIF(MATCH_W2!$B:$B,$B31,MATCH_W2!$K:$K)+SUMIF(MATCH_W3!$B:$B,$B31,MATCH_W3!$K:$K)+SUMIF(MATCH_W4!$B:$B,$B31,MATCH_W4!$K:$K)+SUMIF(MATCH_W5!$B:$B,$B31,MATCH_W5!$K:$K)+SUMIF(MATCH_W6!$B:$B,$B31,MATCH_W6!$K:$K)</f>
        <v>50147</v>
      </c>
      <c r="J31" s="10">
        <f t="shared" si="0"/>
        <v>3.246808510638298</v>
      </c>
      <c r="K31" s="12">
        <f>SUMIF(MATCH_W1!$B:$B,$B31,MATCH_W1!$M:$M)+SUMIF(MATCH_W2!$B:$B,$B31,MATCH_W2!$M:$M)+SUMIF(MATCH_W3!$B:$B,$B31,MATCH_W3!$M:$M)+SUMIF(MATCH_W4!$B:$B,$B31,MATCH_W4!$M:$M)+SUMIF(MATCH_W5!$B:$B,$B31,MATCH_W5!$M:$M)+SUMIF(MATCH_W6!$B:$B,$B31,MATCH_W6!$M:$M)</f>
        <v>40175</v>
      </c>
    </row>
    <row r="32" spans="1:11">
      <c r="A32" s="8" t="s">
        <v>42</v>
      </c>
      <c r="B32" s="8" t="s">
        <v>142</v>
      </c>
      <c r="C32" s="8" t="s">
        <v>109</v>
      </c>
      <c r="D32" s="11">
        <f>SUMIF(MATCH_W1!$B:$B,$B32,MATCH_W1!$F:$F)+SUMIF(MATCH_W2!$B:$B,$B32,MATCH_W2!$F:$F)+SUMIF(MATCH_W3!$B:$B,$B32,MATCH_W3!$F:$F)+SUMIF(MATCH_W4!$B:$B,$B32,MATCH_W4!$F:$F)+SUMIF(MATCH_W5!$B:$B,$B32,MATCH_W5!$F:$F)+SUMIF(MATCH_W6!$B:$B,$B32,MATCH_W6!$F:$F)</f>
        <v>1319</v>
      </c>
      <c r="E32" s="11">
        <f>SUMIF(MATCH_W1!$B:$B,$B32,MATCH_W1!$G:$G)+SUMIF(MATCH_W2!$B:$B,$B32,MATCH_W2!$G:$G)+SUMIF(MATCH_W3!$B:$B,$B32,MATCH_W3!$G:$G)+SUMIF(MATCH_W4!$B:$B,$B32,MATCH_W4!$G:$G)+SUMIF(MATCH_W5!$B:$B,$B32,MATCH_W5!$G:$G)+SUMIF(MATCH_W6!$B:$B,$B32,MATCH_W6!$G:$G)</f>
        <v>409</v>
      </c>
      <c r="F32" s="11">
        <f>SUMIF(MATCH_W1!$B:$B,$B32,MATCH_W1!$H:$H)+SUMIF(MATCH_W2!$B:$B,$B32,MATCH_W2!$H:$H)+SUMIF(MATCH_W3!$B:$B,$B32,MATCH_W3!$H:$H)+SUMIF(MATCH_W4!$B:$B,$B32,MATCH_W4!$H:$H)+SUMIF(MATCH_W5!$B:$B,$B32,MATCH_W5!$H:$H)+SUMIF(MATCH_W6!$B:$B,$B32,MATCH_W6!$H:$H)</f>
        <v>1202</v>
      </c>
      <c r="G32" s="11">
        <f>SUMIF(MATCH_W1!$B:$B,$B32,MATCH_W1!$I:$I)+SUMIF(MATCH_W2!$B:$B,$B32,MATCH_W2!$I:$I)+SUMIF(MATCH_W3!$B:$B,$B32,MATCH_W3!$I:$I)+SUMIF(MATCH_W4!$B:$B,$B32,MATCH_W4!$I:$I)+SUMIF(MATCH_W5!$B:$B,$B32,MATCH_W5!$I:$I)+SUMIF(MATCH_W6!$B:$B,$B32,MATCH_W6!$I:$I)</f>
        <v>351520</v>
      </c>
      <c r="H32" s="11">
        <f>SUMIF(MATCH_W1!$B:$B,$B32,MATCH_W1!$J:$J)+SUMIF(MATCH_W2!$B:$B,$B32,MATCH_W2!$J:$J)+SUMIF(MATCH_W3!$B:$B,$B32,MATCH_W3!$J:$J)+SUMIF(MATCH_W4!$B:$B,$B32,MATCH_W4!$J:$J)+SUMIF(MATCH_W5!$B:$B,$B32,MATCH_W5!$J:$J)+SUMIF(MATCH_W6!$B:$B,$B32,MATCH_W6!$J:$J)</f>
        <v>573501</v>
      </c>
      <c r="I32" s="11">
        <f>SUMIF(MATCH_W1!$B:$B,$B32,MATCH_W1!$K:$K)+SUMIF(MATCH_W2!$B:$B,$B32,MATCH_W2!$K:$K)+SUMIF(MATCH_W3!$B:$B,$B32,MATCH_W3!$K:$K)+SUMIF(MATCH_W4!$B:$B,$B32,MATCH_W4!$K:$K)+SUMIF(MATCH_W5!$B:$B,$B32,MATCH_W5!$K:$K)+SUMIF(MATCH_W6!$B:$B,$B32,MATCH_W6!$K:$K)</f>
        <v>44085</v>
      </c>
      <c r="J32" s="10">
        <f t="shared" si="0"/>
        <v>3.2249388753056234</v>
      </c>
      <c r="K32" s="12">
        <f>SUMIF(MATCH_W1!$B:$B,$B32,MATCH_W1!$M:$M)+SUMIF(MATCH_W2!$B:$B,$B32,MATCH_W2!$M:$M)+SUMIF(MATCH_W3!$B:$B,$B32,MATCH_W3!$M:$M)+SUMIF(MATCH_W4!$B:$B,$B32,MATCH_W4!$M:$M)+SUMIF(MATCH_W5!$B:$B,$B32,MATCH_W5!$M:$M)+SUMIF(MATCH_W6!$B:$B,$B32,MATCH_W6!$M:$M)</f>
        <v>40175</v>
      </c>
    </row>
    <row r="33" spans="1:11">
      <c r="A33" s="8" t="s">
        <v>42</v>
      </c>
      <c r="B33" s="8" t="s">
        <v>143</v>
      </c>
      <c r="C33" s="8" t="s">
        <v>109</v>
      </c>
      <c r="D33" s="11">
        <f>SUMIF(MATCH_W1!$B:$B,$B33,MATCH_W1!$F:$F)+SUMIF(MATCH_W2!$B:$B,$B33,MATCH_W2!$F:$F)+SUMIF(MATCH_W3!$B:$B,$B33,MATCH_W3!$F:$F)+SUMIF(MATCH_W4!$B:$B,$B33,MATCH_W4!$F:$F)+SUMIF(MATCH_W5!$B:$B,$B33,MATCH_W5!$F:$F)+SUMIF(MATCH_W6!$B:$B,$B33,MATCH_W6!$F:$F)</f>
        <v>903</v>
      </c>
      <c r="E33" s="11">
        <f>SUMIF(MATCH_W1!$B:$B,$B33,MATCH_W1!$G:$G)+SUMIF(MATCH_W2!$B:$B,$B33,MATCH_W2!$G:$G)+SUMIF(MATCH_W3!$B:$B,$B33,MATCH_W3!$G:$G)+SUMIF(MATCH_W4!$B:$B,$B33,MATCH_W4!$G:$G)+SUMIF(MATCH_W5!$B:$B,$B33,MATCH_W5!$G:$G)+SUMIF(MATCH_W6!$B:$B,$B33,MATCH_W6!$G:$G)</f>
        <v>422</v>
      </c>
      <c r="F33" s="11">
        <f>SUMIF(MATCH_W1!$B:$B,$B33,MATCH_W1!$H:$H)+SUMIF(MATCH_W2!$B:$B,$B33,MATCH_W2!$H:$H)+SUMIF(MATCH_W3!$B:$B,$B33,MATCH_W3!$H:$H)+SUMIF(MATCH_W4!$B:$B,$B33,MATCH_W4!$H:$H)+SUMIF(MATCH_W5!$B:$B,$B33,MATCH_W5!$H:$H)+SUMIF(MATCH_W6!$B:$B,$B33,MATCH_W6!$H:$H)</f>
        <v>1571</v>
      </c>
      <c r="G33" s="11">
        <f>SUMIF(MATCH_W1!$B:$B,$B33,MATCH_W1!$I:$I)+SUMIF(MATCH_W2!$B:$B,$B33,MATCH_W2!$I:$I)+SUMIF(MATCH_W3!$B:$B,$B33,MATCH_W3!$I:$I)+SUMIF(MATCH_W4!$B:$B,$B33,MATCH_W4!$I:$I)+SUMIF(MATCH_W5!$B:$B,$B33,MATCH_W5!$I:$I)+SUMIF(MATCH_W6!$B:$B,$B33,MATCH_W6!$I:$I)</f>
        <v>306862</v>
      </c>
      <c r="H33" s="11">
        <f>SUMIF(MATCH_W1!$B:$B,$B33,MATCH_W1!$J:$J)+SUMIF(MATCH_W2!$B:$B,$B33,MATCH_W2!$J:$J)+SUMIF(MATCH_W3!$B:$B,$B33,MATCH_W3!$J:$J)+SUMIF(MATCH_W4!$B:$B,$B33,MATCH_W4!$J:$J)+SUMIF(MATCH_W5!$B:$B,$B33,MATCH_W5!$J:$J)+SUMIF(MATCH_W6!$B:$B,$B33,MATCH_W6!$J:$J)</f>
        <v>719517</v>
      </c>
      <c r="I33" s="11">
        <f>SUMIF(MATCH_W1!$B:$B,$B33,MATCH_W1!$K:$K)+SUMIF(MATCH_W2!$B:$B,$B33,MATCH_W2!$K:$K)+SUMIF(MATCH_W3!$B:$B,$B33,MATCH_W3!$K:$K)+SUMIF(MATCH_W4!$B:$B,$B33,MATCH_W4!$K:$K)+SUMIF(MATCH_W5!$B:$B,$B33,MATCH_W5!$K:$K)+SUMIF(MATCH_W6!$B:$B,$B33,MATCH_W6!$K:$K)</f>
        <v>20945</v>
      </c>
      <c r="J33" s="10">
        <f t="shared" si="0"/>
        <v>2.1398104265402842</v>
      </c>
      <c r="K33" s="12">
        <f>SUMIF(MATCH_W1!$B:$B,$B33,MATCH_W1!$M:$M)+SUMIF(MATCH_W2!$B:$B,$B33,MATCH_W2!$M:$M)+SUMIF(MATCH_W3!$B:$B,$B33,MATCH_W3!$M:$M)+SUMIF(MATCH_W4!$B:$B,$B33,MATCH_W4!$M:$M)+SUMIF(MATCH_W5!$B:$B,$B33,MATCH_W5!$M:$M)+SUMIF(MATCH_W6!$B:$B,$B33,MATCH_W6!$M:$M)</f>
        <v>40175</v>
      </c>
    </row>
    <row r="34" spans="1:11">
      <c r="A34" s="8" t="s">
        <v>32</v>
      </c>
      <c r="B34" s="8" t="s">
        <v>145</v>
      </c>
      <c r="C34" s="8" t="s">
        <v>101</v>
      </c>
      <c r="D34" s="11">
        <f>SUMIF(MATCH_W1!$B:$B,$B34,MATCH_W1!$F:$F)+SUMIF(MATCH_W2!$B:$B,$B34,MATCH_W2!$F:$F)+SUMIF(MATCH_W3!$B:$B,$B34,MATCH_W3!$F:$F)+SUMIF(MATCH_W4!$B:$B,$B34,MATCH_W4!$F:$F)+SUMIF(MATCH_W5!$B:$B,$B34,MATCH_W5!$F:$F)+SUMIF(MATCH_W6!$B:$B,$B34,MATCH_W6!$F:$F)</f>
        <v>135</v>
      </c>
      <c r="E34" s="11">
        <f>SUMIF(MATCH_W1!$B:$B,$B34,MATCH_W1!$G:$G)+SUMIF(MATCH_W2!$B:$B,$B34,MATCH_W2!$G:$G)+SUMIF(MATCH_W3!$B:$B,$B34,MATCH_W3!$G:$G)+SUMIF(MATCH_W4!$B:$B,$B34,MATCH_W4!$G:$G)+SUMIF(MATCH_W5!$B:$B,$B34,MATCH_W5!$G:$G)+SUMIF(MATCH_W6!$B:$B,$B34,MATCH_W6!$G:$G)</f>
        <v>27</v>
      </c>
      <c r="F34" s="11">
        <f>SUMIF(MATCH_W1!$B:$B,$B34,MATCH_W1!$H:$H)+SUMIF(MATCH_W2!$B:$B,$B34,MATCH_W2!$H:$H)+SUMIF(MATCH_W3!$B:$B,$B34,MATCH_W3!$H:$H)+SUMIF(MATCH_W4!$B:$B,$B34,MATCH_W4!$H:$H)+SUMIF(MATCH_W5!$B:$B,$B34,MATCH_W5!$H:$H)+SUMIF(MATCH_W6!$B:$B,$B34,MATCH_W6!$H:$H)</f>
        <v>59</v>
      </c>
      <c r="G34" s="11">
        <f>SUMIF(MATCH_W1!$B:$B,$B34,MATCH_W1!$I:$I)+SUMIF(MATCH_W2!$B:$B,$B34,MATCH_W2!$I:$I)+SUMIF(MATCH_W3!$B:$B,$B34,MATCH_W3!$I:$I)+SUMIF(MATCH_W4!$B:$B,$B34,MATCH_W4!$I:$I)+SUMIF(MATCH_W5!$B:$B,$B34,MATCH_W5!$I:$I)+SUMIF(MATCH_W6!$B:$B,$B34,MATCH_W6!$I:$I)</f>
        <v>58545</v>
      </c>
      <c r="H34" s="11">
        <f>SUMIF(MATCH_W1!$B:$B,$B34,MATCH_W1!$J:$J)+SUMIF(MATCH_W2!$B:$B,$B34,MATCH_W2!$J:$J)+SUMIF(MATCH_W3!$B:$B,$B34,MATCH_W3!$J:$J)+SUMIF(MATCH_W4!$B:$B,$B34,MATCH_W4!$J:$J)+SUMIF(MATCH_W5!$B:$B,$B34,MATCH_W5!$J:$J)+SUMIF(MATCH_W6!$B:$B,$B34,MATCH_W6!$J:$J)</f>
        <v>12596</v>
      </c>
      <c r="I34" s="11">
        <f>SUMIF(MATCH_W1!$B:$B,$B34,MATCH_W1!$K:$K)+SUMIF(MATCH_W2!$B:$B,$B34,MATCH_W2!$K:$K)+SUMIF(MATCH_W3!$B:$B,$B34,MATCH_W3!$K:$K)+SUMIF(MATCH_W4!$B:$B,$B34,MATCH_W4!$K:$K)+SUMIF(MATCH_W5!$B:$B,$B34,MATCH_W5!$K:$K)+SUMIF(MATCH_W6!$B:$B,$B34,MATCH_W6!$K:$K)</f>
        <v>32891</v>
      </c>
      <c r="J34" s="10">
        <f t="shared" ref="J34:J61" si="1">IFERROR(D34/E34,0)</f>
        <v>5</v>
      </c>
      <c r="K34" s="12">
        <f>SUMIF(MATCH_W1!$B:$B,$B34,MATCH_W1!$M:$M)+SUMIF(MATCH_W2!$B:$B,$B34,MATCH_W2!$M:$M)+SUMIF(MATCH_W3!$B:$B,$B34,MATCH_W3!$M:$M)+SUMIF(MATCH_W4!$B:$B,$B34,MATCH_W4!$M:$M)+SUMIF(MATCH_W5!$B:$B,$B34,MATCH_W5!$M:$M)+SUMIF(MATCH_W6!$B:$B,$B34,MATCH_W6!$M:$M)</f>
        <v>3446</v>
      </c>
    </row>
    <row r="35" spans="1:11">
      <c r="A35" s="8" t="s">
        <v>32</v>
      </c>
      <c r="B35" s="8" t="s">
        <v>146</v>
      </c>
      <c r="C35" s="8" t="s">
        <v>101</v>
      </c>
      <c r="D35" s="11">
        <f>SUMIF(MATCH_W1!$B:$B,$B35,MATCH_W1!$F:$F)+SUMIF(MATCH_W2!$B:$B,$B35,MATCH_W2!$F:$F)+SUMIF(MATCH_W3!$B:$B,$B35,MATCH_W3!$F:$F)+SUMIF(MATCH_W4!$B:$B,$B35,MATCH_W4!$F:$F)+SUMIF(MATCH_W5!$B:$B,$B35,MATCH_W5!$F:$F)+SUMIF(MATCH_W6!$B:$B,$B35,MATCH_W6!$F:$F)</f>
        <v>1250</v>
      </c>
      <c r="E35" s="11">
        <f>SUMIF(MATCH_W1!$B:$B,$B35,MATCH_W1!$G:$G)+SUMIF(MATCH_W2!$B:$B,$B35,MATCH_W2!$G:$G)+SUMIF(MATCH_W3!$B:$B,$B35,MATCH_W3!$G:$G)+SUMIF(MATCH_W4!$B:$B,$B35,MATCH_W4!$G:$G)+SUMIF(MATCH_W5!$B:$B,$B35,MATCH_W5!$G:$G)+SUMIF(MATCH_W6!$B:$B,$B35,MATCH_W6!$G:$G)</f>
        <v>250</v>
      </c>
      <c r="F35" s="11">
        <f>SUMIF(MATCH_W1!$B:$B,$B35,MATCH_W1!$H:$H)+SUMIF(MATCH_W2!$B:$B,$B35,MATCH_W2!$H:$H)+SUMIF(MATCH_W3!$B:$B,$B35,MATCH_W3!$H:$H)+SUMIF(MATCH_W4!$B:$B,$B35,MATCH_W4!$H:$H)+SUMIF(MATCH_W5!$B:$B,$B35,MATCH_W5!$H:$H)+SUMIF(MATCH_W6!$B:$B,$B35,MATCH_W6!$H:$H)</f>
        <v>573</v>
      </c>
      <c r="G35" s="11">
        <f>SUMIF(MATCH_W1!$B:$B,$B35,MATCH_W1!$I:$I)+SUMIF(MATCH_W2!$B:$B,$B35,MATCH_W2!$I:$I)+SUMIF(MATCH_W3!$B:$B,$B35,MATCH_W3!$I:$I)+SUMIF(MATCH_W4!$B:$B,$B35,MATCH_W4!$I:$I)+SUMIF(MATCH_W5!$B:$B,$B35,MATCH_W5!$I:$I)+SUMIF(MATCH_W6!$B:$B,$B35,MATCH_W6!$I:$I)</f>
        <v>599878</v>
      </c>
      <c r="H35" s="11">
        <f>SUMIF(MATCH_W1!$B:$B,$B35,MATCH_W1!$J:$J)+SUMIF(MATCH_W2!$B:$B,$B35,MATCH_W2!$J:$J)+SUMIF(MATCH_W3!$B:$B,$B35,MATCH_W3!$J:$J)+SUMIF(MATCH_W4!$B:$B,$B35,MATCH_W4!$J:$J)+SUMIF(MATCH_W5!$B:$B,$B35,MATCH_W5!$J:$J)+SUMIF(MATCH_W6!$B:$B,$B35,MATCH_W6!$J:$J)</f>
        <v>66239</v>
      </c>
      <c r="I35" s="11">
        <f>SUMIF(MATCH_W1!$B:$B,$B35,MATCH_W1!$K:$K)+SUMIF(MATCH_W2!$B:$B,$B35,MATCH_W2!$K:$K)+SUMIF(MATCH_W3!$B:$B,$B35,MATCH_W3!$K:$K)+SUMIF(MATCH_W4!$B:$B,$B35,MATCH_W4!$K:$K)+SUMIF(MATCH_W5!$B:$B,$B35,MATCH_W5!$K:$K)+SUMIF(MATCH_W6!$B:$B,$B35,MATCH_W6!$K:$K)</f>
        <v>720361</v>
      </c>
      <c r="J35" s="10">
        <f t="shared" si="1"/>
        <v>5</v>
      </c>
      <c r="K35" s="12">
        <f>SUMIF(MATCH_W1!$B:$B,$B35,MATCH_W1!$M:$M)+SUMIF(MATCH_W2!$B:$B,$B35,MATCH_W2!$M:$M)+SUMIF(MATCH_W3!$B:$B,$B35,MATCH_W3!$M:$M)+SUMIF(MATCH_W4!$B:$B,$B35,MATCH_W4!$M:$M)+SUMIF(MATCH_W5!$B:$B,$B35,MATCH_W5!$M:$M)+SUMIF(MATCH_W6!$B:$B,$B35,MATCH_W6!$M:$M)</f>
        <v>31081</v>
      </c>
    </row>
    <row r="36" spans="1:11">
      <c r="A36" s="8" t="s">
        <v>32</v>
      </c>
      <c r="B36" s="8" t="s">
        <v>147</v>
      </c>
      <c r="C36" s="8" t="s">
        <v>104</v>
      </c>
      <c r="D36" s="11">
        <f>SUMIF(MATCH_W1!$B:$B,$B36,MATCH_W1!$F:$F)+SUMIF(MATCH_W2!$B:$B,$B36,MATCH_W2!$F:$F)+SUMIF(MATCH_W3!$B:$B,$B36,MATCH_W3!$F:$F)+SUMIF(MATCH_W4!$B:$B,$B36,MATCH_W4!$F:$F)+SUMIF(MATCH_W5!$B:$B,$B36,MATCH_W5!$F:$F)+SUMIF(MATCH_W6!$B:$B,$B36,MATCH_W6!$F:$F)</f>
        <v>1175</v>
      </c>
      <c r="E36" s="11">
        <f>SUMIF(MATCH_W1!$B:$B,$B36,MATCH_W1!$G:$G)+SUMIF(MATCH_W2!$B:$B,$B36,MATCH_W2!$G:$G)+SUMIF(MATCH_W3!$B:$B,$B36,MATCH_W3!$G:$G)+SUMIF(MATCH_W4!$B:$B,$B36,MATCH_W4!$G:$G)+SUMIF(MATCH_W5!$B:$B,$B36,MATCH_W5!$G:$G)+SUMIF(MATCH_W6!$B:$B,$B36,MATCH_W6!$G:$G)</f>
        <v>310</v>
      </c>
      <c r="F36" s="11">
        <f>SUMIF(MATCH_W1!$B:$B,$B36,MATCH_W1!$H:$H)+SUMIF(MATCH_W2!$B:$B,$B36,MATCH_W2!$H:$H)+SUMIF(MATCH_W3!$B:$B,$B36,MATCH_W3!$H:$H)+SUMIF(MATCH_W4!$B:$B,$B36,MATCH_W4!$H:$H)+SUMIF(MATCH_W5!$B:$B,$B36,MATCH_W5!$H:$H)+SUMIF(MATCH_W6!$B:$B,$B36,MATCH_W6!$H:$H)</f>
        <v>188</v>
      </c>
      <c r="G36" s="11">
        <f>SUMIF(MATCH_W1!$B:$B,$B36,MATCH_W1!$I:$I)+SUMIF(MATCH_W2!$B:$B,$B36,MATCH_W2!$I:$I)+SUMIF(MATCH_W3!$B:$B,$B36,MATCH_W3!$I:$I)+SUMIF(MATCH_W4!$B:$B,$B36,MATCH_W4!$I:$I)+SUMIF(MATCH_W5!$B:$B,$B36,MATCH_W5!$I:$I)+SUMIF(MATCH_W6!$B:$B,$B36,MATCH_W6!$I:$I)</f>
        <v>499969</v>
      </c>
      <c r="H36" s="11">
        <f>SUMIF(MATCH_W1!$B:$B,$B36,MATCH_W1!$J:$J)+SUMIF(MATCH_W2!$B:$B,$B36,MATCH_W2!$J:$J)+SUMIF(MATCH_W3!$B:$B,$B36,MATCH_W3!$J:$J)+SUMIF(MATCH_W4!$B:$B,$B36,MATCH_W4!$J:$J)+SUMIF(MATCH_W5!$B:$B,$B36,MATCH_W5!$J:$J)+SUMIF(MATCH_W6!$B:$B,$B36,MATCH_W6!$J:$J)</f>
        <v>42805</v>
      </c>
      <c r="I36" s="11">
        <f>SUMIF(MATCH_W1!$B:$B,$B36,MATCH_W1!$K:$K)+SUMIF(MATCH_W2!$B:$B,$B36,MATCH_W2!$K:$K)+SUMIF(MATCH_W3!$B:$B,$B36,MATCH_W3!$K:$K)+SUMIF(MATCH_W4!$B:$B,$B36,MATCH_W4!$K:$K)+SUMIF(MATCH_W5!$B:$B,$B36,MATCH_W5!$K:$K)+SUMIF(MATCH_W6!$B:$B,$B36,MATCH_W6!$K:$K)</f>
        <v>100682</v>
      </c>
      <c r="J36" s="10">
        <f t="shared" si="1"/>
        <v>3.7903225806451615</v>
      </c>
      <c r="K36" s="12">
        <f>SUMIF(MATCH_W1!$B:$B,$B36,MATCH_W1!$M:$M)+SUMIF(MATCH_W2!$B:$B,$B36,MATCH_W2!$M:$M)+SUMIF(MATCH_W3!$B:$B,$B36,MATCH_W3!$M:$M)+SUMIF(MATCH_W4!$B:$B,$B36,MATCH_W4!$M:$M)+SUMIF(MATCH_W5!$B:$B,$B36,MATCH_W5!$M:$M)+SUMIF(MATCH_W6!$B:$B,$B36,MATCH_W6!$M:$M)</f>
        <v>30858</v>
      </c>
    </row>
    <row r="37" spans="1:11">
      <c r="A37" s="8" t="s">
        <v>32</v>
      </c>
      <c r="B37" s="8" t="s">
        <v>148</v>
      </c>
      <c r="C37" s="8" t="s">
        <v>104</v>
      </c>
      <c r="D37" s="11">
        <f>SUMIF(MATCH_W1!$B:$B,$B37,MATCH_W1!$F:$F)+SUMIF(MATCH_W2!$B:$B,$B37,MATCH_W2!$F:$F)+SUMIF(MATCH_W3!$B:$B,$B37,MATCH_W3!$F:$F)+SUMIF(MATCH_W4!$B:$B,$B37,MATCH_W4!$F:$F)+SUMIF(MATCH_W5!$B:$B,$B37,MATCH_W5!$F:$F)+SUMIF(MATCH_W6!$B:$B,$B37,MATCH_W6!$F:$F)</f>
        <v>409</v>
      </c>
      <c r="E37" s="11">
        <f>SUMIF(MATCH_W1!$B:$B,$B37,MATCH_W1!$G:$G)+SUMIF(MATCH_W2!$B:$B,$B37,MATCH_W2!$G:$G)+SUMIF(MATCH_W3!$B:$B,$B37,MATCH_W3!$G:$G)+SUMIF(MATCH_W4!$B:$B,$B37,MATCH_W4!$G:$G)+SUMIF(MATCH_W5!$B:$B,$B37,MATCH_W5!$G:$G)+SUMIF(MATCH_W6!$B:$B,$B37,MATCH_W6!$G:$G)</f>
        <v>98</v>
      </c>
      <c r="F37" s="11">
        <f>SUMIF(MATCH_W1!$B:$B,$B37,MATCH_W1!$H:$H)+SUMIF(MATCH_W2!$B:$B,$B37,MATCH_W2!$H:$H)+SUMIF(MATCH_W3!$B:$B,$B37,MATCH_W3!$H:$H)+SUMIF(MATCH_W4!$B:$B,$B37,MATCH_W4!$H:$H)+SUMIF(MATCH_W5!$B:$B,$B37,MATCH_W5!$H:$H)+SUMIF(MATCH_W6!$B:$B,$B37,MATCH_W6!$H:$H)</f>
        <v>43</v>
      </c>
      <c r="G37" s="11">
        <f>SUMIF(MATCH_W1!$B:$B,$B37,MATCH_W1!$I:$I)+SUMIF(MATCH_W2!$B:$B,$B37,MATCH_W2!$I:$I)+SUMIF(MATCH_W3!$B:$B,$B37,MATCH_W3!$I:$I)+SUMIF(MATCH_W4!$B:$B,$B37,MATCH_W4!$I:$I)+SUMIF(MATCH_W5!$B:$B,$B37,MATCH_W5!$I:$I)+SUMIF(MATCH_W6!$B:$B,$B37,MATCH_W6!$I:$I)</f>
        <v>194424</v>
      </c>
      <c r="H37" s="11">
        <f>SUMIF(MATCH_W1!$B:$B,$B37,MATCH_W1!$J:$J)+SUMIF(MATCH_W2!$B:$B,$B37,MATCH_W2!$J:$J)+SUMIF(MATCH_W3!$B:$B,$B37,MATCH_W3!$J:$J)+SUMIF(MATCH_W4!$B:$B,$B37,MATCH_W4!$J:$J)+SUMIF(MATCH_W5!$B:$B,$B37,MATCH_W5!$J:$J)+SUMIF(MATCH_W6!$B:$B,$B37,MATCH_W6!$J:$J)</f>
        <v>2368</v>
      </c>
      <c r="I37" s="11">
        <f>SUMIF(MATCH_W1!$B:$B,$B37,MATCH_W1!$K:$K)+SUMIF(MATCH_W2!$B:$B,$B37,MATCH_W2!$K:$K)+SUMIF(MATCH_W3!$B:$B,$B37,MATCH_W3!$K:$K)+SUMIF(MATCH_W4!$B:$B,$B37,MATCH_W4!$K:$K)+SUMIF(MATCH_W5!$B:$B,$B37,MATCH_W5!$K:$K)+SUMIF(MATCH_W6!$B:$B,$B37,MATCH_W6!$K:$K)</f>
        <v>4793</v>
      </c>
      <c r="J37" s="10">
        <f t="shared" si="1"/>
        <v>4.1734693877551017</v>
      </c>
      <c r="K37" s="12">
        <f>SUMIF(MATCH_W1!$B:$B,$B37,MATCH_W1!$M:$M)+SUMIF(MATCH_W2!$B:$B,$B37,MATCH_W2!$M:$M)+SUMIF(MATCH_W3!$B:$B,$B37,MATCH_W3!$M:$M)+SUMIF(MATCH_W4!$B:$B,$B37,MATCH_W4!$M:$M)+SUMIF(MATCH_W5!$B:$B,$B37,MATCH_W5!$M:$M)+SUMIF(MATCH_W6!$B:$B,$B37,MATCH_W6!$M:$M)</f>
        <v>10595</v>
      </c>
    </row>
    <row r="38" spans="1:11">
      <c r="A38" s="8" t="s">
        <v>32</v>
      </c>
      <c r="B38" s="8" t="s">
        <v>149</v>
      </c>
      <c r="C38" s="8" t="s">
        <v>104</v>
      </c>
      <c r="D38" s="11">
        <f>SUMIF(MATCH_W1!$B:$B,$B38,MATCH_W1!$F:$F)+SUMIF(MATCH_W2!$B:$B,$B38,MATCH_W2!$F:$F)+SUMIF(MATCH_W3!$B:$B,$B38,MATCH_W3!$F:$F)+SUMIF(MATCH_W4!$B:$B,$B38,MATCH_W4!$F:$F)+SUMIF(MATCH_W5!$B:$B,$B38,MATCH_W5!$F:$F)+SUMIF(MATCH_W6!$B:$B,$B38,MATCH_W6!$F:$F)</f>
        <v>1059</v>
      </c>
      <c r="E38" s="11">
        <f>SUMIF(MATCH_W1!$B:$B,$B38,MATCH_W1!$G:$G)+SUMIF(MATCH_W2!$B:$B,$B38,MATCH_W2!$G:$G)+SUMIF(MATCH_W3!$B:$B,$B38,MATCH_W3!$G:$G)+SUMIF(MATCH_W4!$B:$B,$B38,MATCH_W4!$G:$G)+SUMIF(MATCH_W5!$B:$B,$B38,MATCH_W5!$G:$G)+SUMIF(MATCH_W6!$B:$B,$B38,MATCH_W6!$G:$G)</f>
        <v>298</v>
      </c>
      <c r="F38" s="11">
        <f>SUMIF(MATCH_W1!$B:$B,$B38,MATCH_W1!$H:$H)+SUMIF(MATCH_W2!$B:$B,$B38,MATCH_W2!$H:$H)+SUMIF(MATCH_W3!$B:$B,$B38,MATCH_W3!$H:$H)+SUMIF(MATCH_W4!$B:$B,$B38,MATCH_W4!$H:$H)+SUMIF(MATCH_W5!$B:$B,$B38,MATCH_W5!$H:$H)+SUMIF(MATCH_W6!$B:$B,$B38,MATCH_W6!$H:$H)</f>
        <v>105</v>
      </c>
      <c r="G38" s="11">
        <f>SUMIF(MATCH_W1!$B:$B,$B38,MATCH_W1!$I:$I)+SUMIF(MATCH_W2!$B:$B,$B38,MATCH_W2!$I:$I)+SUMIF(MATCH_W3!$B:$B,$B38,MATCH_W3!$I:$I)+SUMIF(MATCH_W4!$B:$B,$B38,MATCH_W4!$I:$I)+SUMIF(MATCH_W5!$B:$B,$B38,MATCH_W5!$I:$I)+SUMIF(MATCH_W6!$B:$B,$B38,MATCH_W6!$I:$I)</f>
        <v>475987</v>
      </c>
      <c r="H38" s="11">
        <f>SUMIF(MATCH_W1!$B:$B,$B38,MATCH_W1!$J:$J)+SUMIF(MATCH_W2!$B:$B,$B38,MATCH_W2!$J:$J)+SUMIF(MATCH_W3!$B:$B,$B38,MATCH_W3!$J:$J)+SUMIF(MATCH_W4!$B:$B,$B38,MATCH_W4!$J:$J)+SUMIF(MATCH_W5!$B:$B,$B38,MATCH_W5!$J:$J)+SUMIF(MATCH_W6!$B:$B,$B38,MATCH_W6!$J:$J)</f>
        <v>9498</v>
      </c>
      <c r="I38" s="11">
        <f>SUMIF(MATCH_W1!$B:$B,$B38,MATCH_W1!$K:$K)+SUMIF(MATCH_W2!$B:$B,$B38,MATCH_W2!$K:$K)+SUMIF(MATCH_W3!$B:$B,$B38,MATCH_W3!$K:$K)+SUMIF(MATCH_W4!$B:$B,$B38,MATCH_W4!$K:$K)+SUMIF(MATCH_W5!$B:$B,$B38,MATCH_W5!$K:$K)+SUMIF(MATCH_W6!$B:$B,$B38,MATCH_W6!$K:$K)</f>
        <v>43066</v>
      </c>
      <c r="J38" s="10">
        <f t="shared" si="1"/>
        <v>3.5536912751677852</v>
      </c>
      <c r="K38" s="12">
        <f>SUMIF(MATCH_W1!$B:$B,$B38,MATCH_W1!$M:$M)+SUMIF(MATCH_W2!$B:$B,$B38,MATCH_W2!$M:$M)+SUMIF(MATCH_W3!$B:$B,$B38,MATCH_W3!$M:$M)+SUMIF(MATCH_W4!$B:$B,$B38,MATCH_W4!$M:$M)+SUMIF(MATCH_W5!$B:$B,$B38,MATCH_W5!$M:$M)+SUMIF(MATCH_W6!$B:$B,$B38,MATCH_W6!$M:$M)</f>
        <v>27601</v>
      </c>
    </row>
    <row r="39" spans="1:11">
      <c r="A39" s="8" t="s">
        <v>32</v>
      </c>
      <c r="B39" s="8" t="s">
        <v>150</v>
      </c>
      <c r="C39" s="8" t="s">
        <v>109</v>
      </c>
      <c r="D39" s="11">
        <f>SUMIF(MATCH_W1!$B:$B,$B39,MATCH_W1!$F:$F)+SUMIF(MATCH_W2!$B:$B,$B39,MATCH_W2!$F:$F)+SUMIF(MATCH_W3!$B:$B,$B39,MATCH_W3!$F:$F)+SUMIF(MATCH_W4!$B:$B,$B39,MATCH_W4!$F:$F)+SUMIF(MATCH_W5!$B:$B,$B39,MATCH_W5!$F:$F)+SUMIF(MATCH_W6!$B:$B,$B39,MATCH_W6!$F:$F)</f>
        <v>1122</v>
      </c>
      <c r="E39" s="11">
        <f>SUMIF(MATCH_W1!$B:$B,$B39,MATCH_W1!$G:$G)+SUMIF(MATCH_W2!$B:$B,$B39,MATCH_W2!$G:$G)+SUMIF(MATCH_W3!$B:$B,$B39,MATCH_W3!$G:$G)+SUMIF(MATCH_W4!$B:$B,$B39,MATCH_W4!$G:$G)+SUMIF(MATCH_W5!$B:$B,$B39,MATCH_W5!$G:$G)+SUMIF(MATCH_W6!$B:$B,$B39,MATCH_W6!$G:$G)</f>
        <v>330</v>
      </c>
      <c r="F39" s="11">
        <f>SUMIF(MATCH_W1!$B:$B,$B39,MATCH_W1!$H:$H)+SUMIF(MATCH_W2!$B:$B,$B39,MATCH_W2!$H:$H)+SUMIF(MATCH_W3!$B:$B,$B39,MATCH_W3!$H:$H)+SUMIF(MATCH_W4!$B:$B,$B39,MATCH_W4!$H:$H)+SUMIF(MATCH_W5!$B:$B,$B39,MATCH_W5!$H:$H)+SUMIF(MATCH_W6!$B:$B,$B39,MATCH_W6!$H:$H)</f>
        <v>1171</v>
      </c>
      <c r="G39" s="11">
        <f>SUMIF(MATCH_W1!$B:$B,$B39,MATCH_W1!$I:$I)+SUMIF(MATCH_W2!$B:$B,$B39,MATCH_W2!$I:$I)+SUMIF(MATCH_W3!$B:$B,$B39,MATCH_W3!$I:$I)+SUMIF(MATCH_W4!$B:$B,$B39,MATCH_W4!$I:$I)+SUMIF(MATCH_W5!$B:$B,$B39,MATCH_W5!$I:$I)+SUMIF(MATCH_W6!$B:$B,$B39,MATCH_W6!$I:$I)</f>
        <v>295633</v>
      </c>
      <c r="H39" s="11">
        <f>SUMIF(MATCH_W1!$B:$B,$B39,MATCH_W1!$J:$J)+SUMIF(MATCH_W2!$B:$B,$B39,MATCH_W2!$J:$J)+SUMIF(MATCH_W3!$B:$B,$B39,MATCH_W3!$J:$J)+SUMIF(MATCH_W4!$B:$B,$B39,MATCH_W4!$J:$J)+SUMIF(MATCH_W5!$B:$B,$B39,MATCH_W5!$J:$J)+SUMIF(MATCH_W6!$B:$B,$B39,MATCH_W6!$J:$J)</f>
        <v>470800</v>
      </c>
      <c r="I39" s="11">
        <f>SUMIF(MATCH_W1!$B:$B,$B39,MATCH_W1!$K:$K)+SUMIF(MATCH_W2!$B:$B,$B39,MATCH_W2!$K:$K)+SUMIF(MATCH_W3!$B:$B,$B39,MATCH_W3!$K:$K)+SUMIF(MATCH_W4!$B:$B,$B39,MATCH_W4!$K:$K)+SUMIF(MATCH_W5!$B:$B,$B39,MATCH_W5!$K:$K)+SUMIF(MATCH_W6!$B:$B,$B39,MATCH_W6!$K:$K)</f>
        <v>82377</v>
      </c>
      <c r="J39" s="10">
        <f t="shared" si="1"/>
        <v>3.4</v>
      </c>
      <c r="K39" s="12">
        <f>SUMIF(MATCH_W1!$B:$B,$B39,MATCH_W1!$M:$M)+SUMIF(MATCH_W2!$B:$B,$B39,MATCH_W2!$M:$M)+SUMIF(MATCH_W3!$B:$B,$B39,MATCH_W3!$M:$M)+SUMIF(MATCH_W4!$B:$B,$B39,MATCH_W4!$M:$M)+SUMIF(MATCH_W5!$B:$B,$B39,MATCH_W5!$M:$M)+SUMIF(MATCH_W6!$B:$B,$B39,MATCH_W6!$M:$M)</f>
        <v>34527</v>
      </c>
    </row>
    <row r="40" spans="1:11">
      <c r="A40" s="8" t="s">
        <v>32</v>
      </c>
      <c r="B40" s="8" t="s">
        <v>151</v>
      </c>
      <c r="C40" s="8" t="s">
        <v>109</v>
      </c>
      <c r="D40" s="11">
        <f>SUMIF(MATCH_W1!$B:$B,$B40,MATCH_W1!$F:$F)+SUMIF(MATCH_W2!$B:$B,$B40,MATCH_W2!$F:$F)+SUMIF(MATCH_W3!$B:$B,$B40,MATCH_W3!$F:$F)+SUMIF(MATCH_W4!$B:$B,$B40,MATCH_W4!$F:$F)+SUMIF(MATCH_W5!$B:$B,$B40,MATCH_W5!$F:$F)+SUMIF(MATCH_W6!$B:$B,$B40,MATCH_W6!$F:$F)</f>
        <v>846</v>
      </c>
      <c r="E40" s="11">
        <f>SUMIF(MATCH_W1!$B:$B,$B40,MATCH_W1!$G:$G)+SUMIF(MATCH_W2!$B:$B,$B40,MATCH_W2!$G:$G)+SUMIF(MATCH_W3!$B:$B,$B40,MATCH_W3!$G:$G)+SUMIF(MATCH_W4!$B:$B,$B40,MATCH_W4!$G:$G)+SUMIF(MATCH_W5!$B:$B,$B40,MATCH_W5!$G:$G)+SUMIF(MATCH_W6!$B:$B,$B40,MATCH_W6!$G:$G)</f>
        <v>312</v>
      </c>
      <c r="F40" s="11">
        <f>SUMIF(MATCH_W1!$B:$B,$B40,MATCH_W1!$H:$H)+SUMIF(MATCH_W2!$B:$B,$B40,MATCH_W2!$H:$H)+SUMIF(MATCH_W3!$B:$B,$B40,MATCH_W3!$H:$H)+SUMIF(MATCH_W4!$B:$B,$B40,MATCH_W4!$H:$H)+SUMIF(MATCH_W5!$B:$B,$B40,MATCH_W5!$H:$H)+SUMIF(MATCH_W6!$B:$B,$B40,MATCH_W6!$H:$H)</f>
        <v>1342</v>
      </c>
      <c r="G40" s="11">
        <f>SUMIF(MATCH_W1!$B:$B,$B40,MATCH_W1!$I:$I)+SUMIF(MATCH_W2!$B:$B,$B40,MATCH_W2!$I:$I)+SUMIF(MATCH_W3!$B:$B,$B40,MATCH_W3!$I:$I)+SUMIF(MATCH_W4!$B:$B,$B40,MATCH_W4!$I:$I)+SUMIF(MATCH_W5!$B:$B,$B40,MATCH_W5!$I:$I)+SUMIF(MATCH_W6!$B:$B,$B40,MATCH_W6!$I:$I)</f>
        <v>265037</v>
      </c>
      <c r="H40" s="11">
        <f>SUMIF(MATCH_W1!$B:$B,$B40,MATCH_W1!$J:$J)+SUMIF(MATCH_W2!$B:$B,$B40,MATCH_W2!$J:$J)+SUMIF(MATCH_W3!$B:$B,$B40,MATCH_W3!$J:$J)+SUMIF(MATCH_W4!$B:$B,$B40,MATCH_W4!$J:$J)+SUMIF(MATCH_W5!$B:$B,$B40,MATCH_W5!$J:$J)+SUMIF(MATCH_W6!$B:$B,$B40,MATCH_W6!$J:$J)</f>
        <v>700591</v>
      </c>
      <c r="I40" s="11">
        <f>SUMIF(MATCH_W1!$B:$B,$B40,MATCH_W1!$K:$K)+SUMIF(MATCH_W2!$B:$B,$B40,MATCH_W2!$K:$K)+SUMIF(MATCH_W3!$B:$B,$B40,MATCH_W3!$K:$K)+SUMIF(MATCH_W4!$B:$B,$B40,MATCH_W4!$K:$K)+SUMIF(MATCH_W5!$B:$B,$B40,MATCH_W5!$K:$K)+SUMIF(MATCH_W6!$B:$B,$B40,MATCH_W6!$K:$K)</f>
        <v>2654</v>
      </c>
      <c r="J40" s="10">
        <f t="shared" si="1"/>
        <v>2.7115384615384617</v>
      </c>
      <c r="K40" s="12">
        <f>SUMIF(MATCH_W1!$B:$B,$B40,MATCH_W1!$M:$M)+SUMIF(MATCH_W2!$B:$B,$B40,MATCH_W2!$M:$M)+SUMIF(MATCH_W3!$B:$B,$B40,MATCH_W3!$M:$M)+SUMIF(MATCH_W4!$B:$B,$B40,MATCH_W4!$M:$M)+SUMIF(MATCH_W5!$B:$B,$B40,MATCH_W5!$M:$M)+SUMIF(MATCH_W6!$B:$B,$B40,MATCH_W6!$M:$M)</f>
        <v>34527</v>
      </c>
    </row>
    <row r="41" spans="1:11">
      <c r="A41" s="8" t="s">
        <v>41</v>
      </c>
      <c r="B41" s="8" t="s">
        <v>152</v>
      </c>
      <c r="C41" s="8" t="s">
        <v>101</v>
      </c>
      <c r="D41" s="11">
        <f>SUMIF(MATCH_W1!$B:$B,$B41,MATCH_W1!$F:$F)+SUMIF(MATCH_W2!$B:$B,$B41,MATCH_W2!$F:$F)+SUMIF(MATCH_W3!$B:$B,$B41,MATCH_W3!$F:$F)+SUMIF(MATCH_W4!$B:$B,$B41,MATCH_W4!$F:$F)+SUMIF(MATCH_W5!$B:$B,$B41,MATCH_W5!$F:$F)+SUMIF(MATCH_W6!$B:$B,$B41,MATCH_W6!$F:$F)</f>
        <v>790</v>
      </c>
      <c r="E41" s="11">
        <f>SUMIF(MATCH_W1!$B:$B,$B41,MATCH_W1!$G:$G)+SUMIF(MATCH_W2!$B:$B,$B41,MATCH_W2!$G:$G)+SUMIF(MATCH_W3!$B:$B,$B41,MATCH_W3!$G:$G)+SUMIF(MATCH_W4!$B:$B,$B41,MATCH_W4!$G:$G)+SUMIF(MATCH_W5!$B:$B,$B41,MATCH_W5!$G:$G)+SUMIF(MATCH_W6!$B:$B,$B41,MATCH_W6!$G:$G)</f>
        <v>193</v>
      </c>
      <c r="F41" s="11">
        <f>SUMIF(MATCH_W1!$B:$B,$B41,MATCH_W1!$H:$H)+SUMIF(MATCH_W2!$B:$B,$B41,MATCH_W2!$H:$H)+SUMIF(MATCH_W3!$B:$B,$B41,MATCH_W3!$H:$H)+SUMIF(MATCH_W4!$B:$B,$B41,MATCH_W4!$H:$H)+SUMIF(MATCH_W5!$B:$B,$B41,MATCH_W5!$H:$H)+SUMIF(MATCH_W6!$B:$B,$B41,MATCH_W6!$H:$H)</f>
        <v>441</v>
      </c>
      <c r="G41" s="11">
        <f>SUMIF(MATCH_W1!$B:$B,$B41,MATCH_W1!$I:$I)+SUMIF(MATCH_W2!$B:$B,$B41,MATCH_W2!$I:$I)+SUMIF(MATCH_W3!$B:$B,$B41,MATCH_W3!$I:$I)+SUMIF(MATCH_W4!$B:$B,$B41,MATCH_W4!$I:$I)+SUMIF(MATCH_W5!$B:$B,$B41,MATCH_W5!$I:$I)+SUMIF(MATCH_W6!$B:$B,$B41,MATCH_W6!$I:$I)</f>
        <v>379444</v>
      </c>
      <c r="H41" s="11">
        <f>SUMIF(MATCH_W1!$B:$B,$B41,MATCH_W1!$J:$J)+SUMIF(MATCH_W2!$B:$B,$B41,MATCH_W2!$J:$J)+SUMIF(MATCH_W3!$B:$B,$B41,MATCH_W3!$J:$J)+SUMIF(MATCH_W4!$B:$B,$B41,MATCH_W4!$J:$J)+SUMIF(MATCH_W5!$B:$B,$B41,MATCH_W5!$J:$J)+SUMIF(MATCH_W6!$B:$B,$B41,MATCH_W6!$J:$J)</f>
        <v>85079</v>
      </c>
      <c r="I41" s="11">
        <f>SUMIF(MATCH_W1!$B:$B,$B41,MATCH_W1!$K:$K)+SUMIF(MATCH_W2!$B:$B,$B41,MATCH_W2!$K:$K)+SUMIF(MATCH_W3!$B:$B,$B41,MATCH_W3!$K:$K)+SUMIF(MATCH_W4!$B:$B,$B41,MATCH_W4!$K:$K)+SUMIF(MATCH_W5!$B:$B,$B41,MATCH_W5!$K:$K)+SUMIF(MATCH_W6!$B:$B,$B41,MATCH_W6!$K:$K)</f>
        <v>244794</v>
      </c>
      <c r="J41" s="10">
        <f t="shared" si="1"/>
        <v>4.0932642487046635</v>
      </c>
      <c r="K41" s="12">
        <f>SUMIF(MATCH_W1!$B:$B,$B41,MATCH_W1!$M:$M)+SUMIF(MATCH_W2!$B:$B,$B41,MATCH_W2!$M:$M)+SUMIF(MATCH_W3!$B:$B,$B41,MATCH_W3!$M:$M)+SUMIF(MATCH_W4!$B:$B,$B41,MATCH_W4!$M:$M)+SUMIF(MATCH_W5!$B:$B,$B41,MATCH_W5!$M:$M)+SUMIF(MATCH_W6!$B:$B,$B41,MATCH_W6!$M:$M)</f>
        <v>20247</v>
      </c>
    </row>
    <row r="42" spans="1:11">
      <c r="A42" s="8" t="s">
        <v>41</v>
      </c>
      <c r="B42" s="8" t="s">
        <v>153</v>
      </c>
      <c r="C42" s="8" t="s">
        <v>101</v>
      </c>
      <c r="D42" s="11">
        <f>SUMIF(MATCH_W1!$B:$B,$B42,MATCH_W1!$F:$F)+SUMIF(MATCH_W2!$B:$B,$B42,MATCH_W2!$F:$F)+SUMIF(MATCH_W3!$B:$B,$B42,MATCH_W3!$F:$F)+SUMIF(MATCH_W4!$B:$B,$B42,MATCH_W4!$F:$F)+SUMIF(MATCH_W5!$B:$B,$B42,MATCH_W5!$F:$F)+SUMIF(MATCH_W6!$B:$B,$B42,MATCH_W6!$F:$F)</f>
        <v>362</v>
      </c>
      <c r="E42" s="11">
        <f>SUMIF(MATCH_W1!$B:$B,$B42,MATCH_W1!$G:$G)+SUMIF(MATCH_W2!$B:$B,$B42,MATCH_W2!$G:$G)+SUMIF(MATCH_W3!$B:$B,$B42,MATCH_W3!$G:$G)+SUMIF(MATCH_W4!$B:$B,$B42,MATCH_W4!$G:$G)+SUMIF(MATCH_W5!$B:$B,$B42,MATCH_W5!$G:$G)+SUMIF(MATCH_W6!$B:$B,$B42,MATCH_W6!$G:$G)</f>
        <v>88</v>
      </c>
      <c r="F42" s="11">
        <f>SUMIF(MATCH_W1!$B:$B,$B42,MATCH_W1!$H:$H)+SUMIF(MATCH_W2!$B:$B,$B42,MATCH_W2!$H:$H)+SUMIF(MATCH_W3!$B:$B,$B42,MATCH_W3!$H:$H)+SUMIF(MATCH_W4!$B:$B,$B42,MATCH_W4!$H:$H)+SUMIF(MATCH_W5!$B:$B,$B42,MATCH_W5!$H:$H)+SUMIF(MATCH_W6!$B:$B,$B42,MATCH_W6!$H:$H)</f>
        <v>96</v>
      </c>
      <c r="G42" s="11">
        <f>SUMIF(MATCH_W1!$B:$B,$B42,MATCH_W1!$I:$I)+SUMIF(MATCH_W2!$B:$B,$B42,MATCH_W2!$I:$I)+SUMIF(MATCH_W3!$B:$B,$B42,MATCH_W3!$I:$I)+SUMIF(MATCH_W4!$B:$B,$B42,MATCH_W4!$I:$I)+SUMIF(MATCH_W5!$B:$B,$B42,MATCH_W5!$I:$I)+SUMIF(MATCH_W6!$B:$B,$B42,MATCH_W6!$I:$I)</f>
        <v>199444</v>
      </c>
      <c r="H42" s="11">
        <f>SUMIF(MATCH_W1!$B:$B,$B42,MATCH_W1!$J:$J)+SUMIF(MATCH_W2!$B:$B,$B42,MATCH_W2!$J:$J)+SUMIF(MATCH_W3!$B:$B,$B42,MATCH_W3!$J:$J)+SUMIF(MATCH_W4!$B:$B,$B42,MATCH_W4!$J:$J)+SUMIF(MATCH_W5!$B:$B,$B42,MATCH_W5!$J:$J)+SUMIF(MATCH_W6!$B:$B,$B42,MATCH_W6!$J:$J)</f>
        <v>10628</v>
      </c>
      <c r="I42" s="11">
        <f>SUMIF(MATCH_W1!$B:$B,$B42,MATCH_W1!$K:$K)+SUMIF(MATCH_W2!$B:$B,$B42,MATCH_W2!$K:$K)+SUMIF(MATCH_W3!$B:$B,$B42,MATCH_W3!$K:$K)+SUMIF(MATCH_W4!$B:$B,$B42,MATCH_W4!$K:$K)+SUMIF(MATCH_W5!$B:$B,$B42,MATCH_W5!$K:$K)+SUMIF(MATCH_W6!$B:$B,$B42,MATCH_W6!$K:$K)</f>
        <v>254863</v>
      </c>
      <c r="J42" s="10">
        <f t="shared" si="1"/>
        <v>4.1136363636363633</v>
      </c>
      <c r="K42" s="12">
        <f>SUMIF(MATCH_W1!$B:$B,$B42,MATCH_W1!$M:$M)+SUMIF(MATCH_W2!$B:$B,$B42,MATCH_W2!$M:$M)+SUMIF(MATCH_W3!$B:$B,$B42,MATCH_W3!$M:$M)+SUMIF(MATCH_W4!$B:$B,$B42,MATCH_W4!$M:$M)+SUMIF(MATCH_W5!$B:$B,$B42,MATCH_W5!$M:$M)+SUMIF(MATCH_W6!$B:$B,$B42,MATCH_W6!$M:$M)</f>
        <v>11019</v>
      </c>
    </row>
    <row r="43" spans="1:11">
      <c r="A43" s="8" t="s">
        <v>41</v>
      </c>
      <c r="B43" s="8" t="s">
        <v>154</v>
      </c>
      <c r="C43" s="8" t="s">
        <v>104</v>
      </c>
      <c r="D43" s="11">
        <f>SUMIF(MATCH_W1!$B:$B,$B43,MATCH_W1!$F:$F)+SUMIF(MATCH_W2!$B:$B,$B43,MATCH_W2!$F:$F)+SUMIF(MATCH_W3!$B:$B,$B43,MATCH_W3!$F:$F)+SUMIF(MATCH_W4!$B:$B,$B43,MATCH_W4!$F:$F)+SUMIF(MATCH_W5!$B:$B,$B43,MATCH_W5!$F:$F)+SUMIF(MATCH_W6!$B:$B,$B43,MATCH_W6!$F:$F)</f>
        <v>1117</v>
      </c>
      <c r="E43" s="11">
        <f>SUMIF(MATCH_W1!$B:$B,$B43,MATCH_W1!$G:$G)+SUMIF(MATCH_W2!$B:$B,$B43,MATCH_W2!$G:$G)+SUMIF(MATCH_W3!$B:$B,$B43,MATCH_W3!$G:$G)+SUMIF(MATCH_W4!$B:$B,$B43,MATCH_W4!$G:$G)+SUMIF(MATCH_W5!$B:$B,$B43,MATCH_W5!$G:$G)+SUMIF(MATCH_W6!$B:$B,$B43,MATCH_W6!$G:$G)</f>
        <v>315</v>
      </c>
      <c r="F43" s="11">
        <f>SUMIF(MATCH_W1!$B:$B,$B43,MATCH_W1!$H:$H)+SUMIF(MATCH_W2!$B:$B,$B43,MATCH_W2!$H:$H)+SUMIF(MATCH_W3!$B:$B,$B43,MATCH_W3!$H:$H)+SUMIF(MATCH_W4!$B:$B,$B43,MATCH_W4!$H:$H)+SUMIF(MATCH_W5!$B:$B,$B43,MATCH_W5!$H:$H)+SUMIF(MATCH_W6!$B:$B,$B43,MATCH_W6!$H:$H)</f>
        <v>147</v>
      </c>
      <c r="G43" s="11">
        <f>SUMIF(MATCH_W1!$B:$B,$B43,MATCH_W1!$I:$I)+SUMIF(MATCH_W2!$B:$B,$B43,MATCH_W2!$I:$I)+SUMIF(MATCH_W3!$B:$B,$B43,MATCH_W3!$I:$I)+SUMIF(MATCH_W4!$B:$B,$B43,MATCH_W4!$I:$I)+SUMIF(MATCH_W5!$B:$B,$B43,MATCH_W5!$I:$I)+SUMIF(MATCH_W6!$B:$B,$B43,MATCH_W6!$I:$I)</f>
        <v>466751</v>
      </c>
      <c r="H43" s="11">
        <f>SUMIF(MATCH_W1!$B:$B,$B43,MATCH_W1!$J:$J)+SUMIF(MATCH_W2!$B:$B,$B43,MATCH_W2!$J:$J)+SUMIF(MATCH_W3!$B:$B,$B43,MATCH_W3!$J:$J)+SUMIF(MATCH_W4!$B:$B,$B43,MATCH_W4!$J:$J)+SUMIF(MATCH_W5!$B:$B,$B43,MATCH_W5!$J:$J)+SUMIF(MATCH_W6!$B:$B,$B43,MATCH_W6!$J:$J)</f>
        <v>32522</v>
      </c>
      <c r="I43" s="11">
        <f>SUMIF(MATCH_W1!$B:$B,$B43,MATCH_W1!$K:$K)+SUMIF(MATCH_W2!$B:$B,$B43,MATCH_W2!$K:$K)+SUMIF(MATCH_W3!$B:$B,$B43,MATCH_W3!$K:$K)+SUMIF(MATCH_W4!$B:$B,$B43,MATCH_W4!$K:$K)+SUMIF(MATCH_W5!$B:$B,$B43,MATCH_W5!$K:$K)+SUMIF(MATCH_W6!$B:$B,$B43,MATCH_W6!$K:$K)</f>
        <v>48950</v>
      </c>
      <c r="J43" s="10">
        <f t="shared" si="1"/>
        <v>3.5460317460317459</v>
      </c>
      <c r="K43" s="12">
        <f>SUMIF(MATCH_W1!$B:$B,$B43,MATCH_W1!$M:$M)+SUMIF(MATCH_W2!$B:$B,$B43,MATCH_W2!$M:$M)+SUMIF(MATCH_W3!$B:$B,$B43,MATCH_W3!$M:$M)+SUMIF(MATCH_W4!$B:$B,$B43,MATCH_W4!$M:$M)+SUMIF(MATCH_W5!$B:$B,$B43,MATCH_W5!$M:$M)+SUMIF(MATCH_W6!$B:$B,$B43,MATCH_W6!$M:$M)</f>
        <v>31266</v>
      </c>
    </row>
    <row r="44" spans="1:11">
      <c r="A44" s="8" t="s">
        <v>41</v>
      </c>
      <c r="B44" s="8" t="s">
        <v>155</v>
      </c>
      <c r="C44" s="8" t="s">
        <v>104</v>
      </c>
      <c r="D44" s="11">
        <f>SUMIF(MATCH_W1!$B:$B,$B44,MATCH_W1!$F:$F)+SUMIF(MATCH_W2!$B:$B,$B44,MATCH_W2!$F:$F)+SUMIF(MATCH_W3!$B:$B,$B44,MATCH_W3!$F:$F)+SUMIF(MATCH_W4!$B:$B,$B44,MATCH_W4!$F:$F)+SUMIF(MATCH_W5!$B:$B,$B44,MATCH_W5!$F:$F)+SUMIF(MATCH_W6!$B:$B,$B44,MATCH_W6!$F:$F)</f>
        <v>1161</v>
      </c>
      <c r="E44" s="11">
        <f>SUMIF(MATCH_W1!$B:$B,$B44,MATCH_W1!$G:$G)+SUMIF(MATCH_W2!$B:$B,$B44,MATCH_W2!$G:$G)+SUMIF(MATCH_W3!$B:$B,$B44,MATCH_W3!$G:$G)+SUMIF(MATCH_W4!$B:$B,$B44,MATCH_W4!$G:$G)+SUMIF(MATCH_W5!$B:$B,$B44,MATCH_W5!$G:$G)+SUMIF(MATCH_W6!$B:$B,$B44,MATCH_W6!$G:$G)</f>
        <v>339</v>
      </c>
      <c r="F44" s="11">
        <f>SUMIF(MATCH_W1!$B:$B,$B44,MATCH_W1!$H:$H)+SUMIF(MATCH_W2!$B:$B,$B44,MATCH_W2!$H:$H)+SUMIF(MATCH_W3!$B:$B,$B44,MATCH_W3!$H:$H)+SUMIF(MATCH_W4!$B:$B,$B44,MATCH_W4!$H:$H)+SUMIF(MATCH_W5!$B:$B,$B44,MATCH_W5!$H:$H)+SUMIF(MATCH_W6!$B:$B,$B44,MATCH_W6!$H:$H)</f>
        <v>88</v>
      </c>
      <c r="G44" s="11">
        <f>SUMIF(MATCH_W1!$B:$B,$B44,MATCH_W1!$I:$I)+SUMIF(MATCH_W2!$B:$B,$B44,MATCH_W2!$I:$I)+SUMIF(MATCH_W3!$B:$B,$B44,MATCH_W3!$I:$I)+SUMIF(MATCH_W4!$B:$B,$B44,MATCH_W4!$I:$I)+SUMIF(MATCH_W5!$B:$B,$B44,MATCH_W5!$I:$I)+SUMIF(MATCH_W6!$B:$B,$B44,MATCH_W6!$I:$I)</f>
        <v>569124</v>
      </c>
      <c r="H44" s="11">
        <f>SUMIF(MATCH_W1!$B:$B,$B44,MATCH_W1!$J:$J)+SUMIF(MATCH_W2!$B:$B,$B44,MATCH_W2!$J:$J)+SUMIF(MATCH_W3!$B:$B,$B44,MATCH_W3!$J:$J)+SUMIF(MATCH_W4!$B:$B,$B44,MATCH_W4!$J:$J)+SUMIF(MATCH_W5!$B:$B,$B44,MATCH_W5!$J:$J)+SUMIF(MATCH_W6!$B:$B,$B44,MATCH_W6!$J:$J)</f>
        <v>3202</v>
      </c>
      <c r="I44" s="11">
        <f>SUMIF(MATCH_W1!$B:$B,$B44,MATCH_W1!$K:$K)+SUMIF(MATCH_W2!$B:$B,$B44,MATCH_W2!$K:$K)+SUMIF(MATCH_W3!$B:$B,$B44,MATCH_W3!$K:$K)+SUMIF(MATCH_W4!$B:$B,$B44,MATCH_W4!$K:$K)+SUMIF(MATCH_W5!$B:$B,$B44,MATCH_W5!$K:$K)+SUMIF(MATCH_W6!$B:$B,$B44,MATCH_W6!$K:$K)</f>
        <v>28237</v>
      </c>
      <c r="J44" s="10">
        <f t="shared" si="1"/>
        <v>3.4247787610619471</v>
      </c>
      <c r="K44" s="12">
        <f>SUMIF(MATCH_W1!$B:$B,$B44,MATCH_W1!$M:$M)+SUMIF(MATCH_W2!$B:$B,$B44,MATCH_W2!$M:$M)+SUMIF(MATCH_W3!$B:$B,$B44,MATCH_W3!$M:$M)+SUMIF(MATCH_W4!$B:$B,$B44,MATCH_W4!$M:$M)+SUMIF(MATCH_W5!$B:$B,$B44,MATCH_W5!$M:$M)+SUMIF(MATCH_W6!$B:$B,$B44,MATCH_W6!$M:$M)</f>
        <v>31266</v>
      </c>
    </row>
    <row r="45" spans="1:11">
      <c r="A45" s="8" t="s">
        <v>41</v>
      </c>
      <c r="B45" s="8" t="s">
        <v>156</v>
      </c>
      <c r="C45" s="8" t="s">
        <v>104</v>
      </c>
      <c r="D45" s="11">
        <f>SUMIF(MATCH_W1!$B:$B,$B45,MATCH_W1!$F:$F)+SUMIF(MATCH_W2!$B:$B,$B45,MATCH_W2!$F:$F)+SUMIF(MATCH_W3!$B:$B,$B45,MATCH_W3!$F:$F)+SUMIF(MATCH_W4!$B:$B,$B45,MATCH_W4!$F:$F)+SUMIF(MATCH_W5!$B:$B,$B45,MATCH_W5!$F:$F)+SUMIF(MATCH_W6!$B:$B,$B45,MATCH_W6!$F:$F)</f>
        <v>11</v>
      </c>
      <c r="E45" s="11">
        <f>SUMIF(MATCH_W1!$B:$B,$B45,MATCH_W1!$G:$G)+SUMIF(MATCH_W2!$B:$B,$B45,MATCH_W2!$G:$G)+SUMIF(MATCH_W3!$B:$B,$B45,MATCH_W3!$G:$G)+SUMIF(MATCH_W4!$B:$B,$B45,MATCH_W4!$G:$G)+SUMIF(MATCH_W5!$B:$B,$B45,MATCH_W5!$G:$G)+SUMIF(MATCH_W6!$B:$B,$B45,MATCH_W6!$G:$G)</f>
        <v>3</v>
      </c>
      <c r="F45" s="11">
        <f>SUMIF(MATCH_W1!$B:$B,$B45,MATCH_W1!$H:$H)+SUMIF(MATCH_W2!$B:$B,$B45,MATCH_W2!$H:$H)+SUMIF(MATCH_W3!$B:$B,$B45,MATCH_W3!$H:$H)+SUMIF(MATCH_W4!$B:$B,$B45,MATCH_W4!$H:$H)+SUMIF(MATCH_W5!$B:$B,$B45,MATCH_W5!$H:$H)+SUMIF(MATCH_W6!$B:$B,$B45,MATCH_W6!$H:$H)</f>
        <v>22</v>
      </c>
      <c r="G45" s="11">
        <f>SUMIF(MATCH_W1!$B:$B,$B45,MATCH_W1!$I:$I)+SUMIF(MATCH_W2!$B:$B,$B45,MATCH_W2!$I:$I)+SUMIF(MATCH_W3!$B:$B,$B45,MATCH_W3!$I:$I)+SUMIF(MATCH_W4!$B:$B,$B45,MATCH_W4!$I:$I)+SUMIF(MATCH_W5!$B:$B,$B45,MATCH_W5!$I:$I)+SUMIF(MATCH_W6!$B:$B,$B45,MATCH_W6!$I:$I)</f>
        <v>1471</v>
      </c>
      <c r="H45" s="11">
        <f>SUMIF(MATCH_W1!$B:$B,$B45,MATCH_W1!$J:$J)+SUMIF(MATCH_W2!$B:$B,$B45,MATCH_W2!$J:$J)+SUMIF(MATCH_W3!$B:$B,$B45,MATCH_W3!$J:$J)+SUMIF(MATCH_W4!$B:$B,$B45,MATCH_W4!$J:$J)+SUMIF(MATCH_W5!$B:$B,$B45,MATCH_W5!$J:$J)+SUMIF(MATCH_W6!$B:$B,$B45,MATCH_W6!$J:$J)</f>
        <v>5991</v>
      </c>
      <c r="I45" s="11">
        <f>SUMIF(MATCH_W1!$B:$B,$B45,MATCH_W1!$K:$K)+SUMIF(MATCH_W2!$B:$B,$B45,MATCH_W2!$K:$K)+SUMIF(MATCH_W3!$B:$B,$B45,MATCH_W3!$K:$K)+SUMIF(MATCH_W4!$B:$B,$B45,MATCH_W4!$K:$K)+SUMIF(MATCH_W5!$B:$B,$B45,MATCH_W5!$K:$K)+SUMIF(MATCH_W6!$B:$B,$B45,MATCH_W6!$K:$K)</f>
        <v>0</v>
      </c>
      <c r="J45" s="10">
        <f t="shared" si="1"/>
        <v>3.6666666666666665</v>
      </c>
      <c r="K45" s="12">
        <f>SUMIF(MATCH_W1!$B:$B,$B45,MATCH_W1!$M:$M)+SUMIF(MATCH_W2!$B:$B,$B45,MATCH_W2!$M:$M)+SUMIF(MATCH_W3!$B:$B,$B45,MATCH_W3!$M:$M)+SUMIF(MATCH_W4!$B:$B,$B45,MATCH_W4!$M:$M)+SUMIF(MATCH_W5!$B:$B,$B45,MATCH_W5!$M:$M)+SUMIF(MATCH_W6!$B:$B,$B45,MATCH_W6!$M:$M)</f>
        <v>398</v>
      </c>
    </row>
    <row r="46" spans="1:11">
      <c r="A46" s="8" t="s">
        <v>41</v>
      </c>
      <c r="B46" s="8" t="s">
        <v>157</v>
      </c>
      <c r="C46" s="8" t="s">
        <v>109</v>
      </c>
      <c r="D46" s="11">
        <f>SUMIF(MATCH_W1!$B:$B,$B46,MATCH_W1!$F:$F)+SUMIF(MATCH_W2!$B:$B,$B46,MATCH_W2!$F:$F)+SUMIF(MATCH_W3!$B:$B,$B46,MATCH_W3!$F:$F)+SUMIF(MATCH_W4!$B:$B,$B46,MATCH_W4!$F:$F)+SUMIF(MATCH_W5!$B:$B,$B46,MATCH_W5!$F:$F)+SUMIF(MATCH_W6!$B:$B,$B46,MATCH_W6!$F:$F)</f>
        <v>873</v>
      </c>
      <c r="E46" s="11">
        <f>SUMIF(MATCH_W1!$B:$B,$B46,MATCH_W1!$G:$G)+SUMIF(MATCH_W2!$B:$B,$B46,MATCH_W2!$G:$G)+SUMIF(MATCH_W3!$B:$B,$B46,MATCH_W3!$G:$G)+SUMIF(MATCH_W4!$B:$B,$B46,MATCH_W4!$G:$G)+SUMIF(MATCH_W5!$B:$B,$B46,MATCH_W5!$G:$G)+SUMIF(MATCH_W6!$B:$B,$B46,MATCH_W6!$G:$G)</f>
        <v>277</v>
      </c>
      <c r="F46" s="11">
        <f>SUMIF(MATCH_W1!$B:$B,$B46,MATCH_W1!$H:$H)+SUMIF(MATCH_W2!$B:$B,$B46,MATCH_W2!$H:$H)+SUMIF(MATCH_W3!$B:$B,$B46,MATCH_W3!$H:$H)+SUMIF(MATCH_W4!$B:$B,$B46,MATCH_W4!$H:$H)+SUMIF(MATCH_W5!$B:$B,$B46,MATCH_W5!$H:$H)+SUMIF(MATCH_W6!$B:$B,$B46,MATCH_W6!$H:$H)</f>
        <v>983</v>
      </c>
      <c r="G46" s="11">
        <f>SUMIF(MATCH_W1!$B:$B,$B46,MATCH_W1!$I:$I)+SUMIF(MATCH_W2!$B:$B,$B46,MATCH_W2!$I:$I)+SUMIF(MATCH_W3!$B:$B,$B46,MATCH_W3!$I:$I)+SUMIF(MATCH_W4!$B:$B,$B46,MATCH_W4!$I:$I)+SUMIF(MATCH_W5!$B:$B,$B46,MATCH_W5!$I:$I)+SUMIF(MATCH_W6!$B:$B,$B46,MATCH_W6!$I:$I)</f>
        <v>206375</v>
      </c>
      <c r="H46" s="11">
        <f>SUMIF(MATCH_W1!$B:$B,$B46,MATCH_W1!$J:$J)+SUMIF(MATCH_W2!$B:$B,$B46,MATCH_W2!$J:$J)+SUMIF(MATCH_W3!$B:$B,$B46,MATCH_W3!$J:$J)+SUMIF(MATCH_W4!$B:$B,$B46,MATCH_W4!$J:$J)+SUMIF(MATCH_W5!$B:$B,$B46,MATCH_W5!$J:$J)+SUMIF(MATCH_W6!$B:$B,$B46,MATCH_W6!$J:$J)</f>
        <v>409868</v>
      </c>
      <c r="I46" s="11">
        <f>SUMIF(MATCH_W1!$B:$B,$B46,MATCH_W1!$K:$K)+SUMIF(MATCH_W2!$B:$B,$B46,MATCH_W2!$K:$K)+SUMIF(MATCH_W3!$B:$B,$B46,MATCH_W3!$K:$K)+SUMIF(MATCH_W4!$B:$B,$B46,MATCH_W4!$K:$K)+SUMIF(MATCH_W5!$B:$B,$B46,MATCH_W5!$K:$K)+SUMIF(MATCH_W6!$B:$B,$B46,MATCH_W6!$K:$K)</f>
        <v>58722</v>
      </c>
      <c r="J46" s="10">
        <f t="shared" si="1"/>
        <v>3.151624548736462</v>
      </c>
      <c r="K46" s="12">
        <f>SUMIF(MATCH_W1!$B:$B,$B46,MATCH_W1!$M:$M)+SUMIF(MATCH_W2!$B:$B,$B46,MATCH_W2!$M:$M)+SUMIF(MATCH_W3!$B:$B,$B46,MATCH_W3!$M:$M)+SUMIF(MATCH_W4!$B:$B,$B46,MATCH_W4!$M:$M)+SUMIF(MATCH_W5!$B:$B,$B46,MATCH_W5!$M:$M)+SUMIF(MATCH_W6!$B:$B,$B46,MATCH_W6!$M:$M)</f>
        <v>30868</v>
      </c>
    </row>
    <row r="47" spans="1:11">
      <c r="A47" s="8" t="s">
        <v>41</v>
      </c>
      <c r="B47" s="8" t="s">
        <v>158</v>
      </c>
      <c r="C47" s="8" t="s">
        <v>109</v>
      </c>
      <c r="D47" s="11">
        <f>SUMIF(MATCH_W1!$B:$B,$B47,MATCH_W1!$F:$F)+SUMIF(MATCH_W2!$B:$B,$B47,MATCH_W2!$F:$F)+SUMIF(MATCH_W3!$B:$B,$B47,MATCH_W3!$F:$F)+SUMIF(MATCH_W4!$B:$B,$B47,MATCH_W4!$F:$F)+SUMIF(MATCH_W5!$B:$B,$B47,MATCH_W5!$F:$F)+SUMIF(MATCH_W6!$B:$B,$B47,MATCH_W6!$F:$F)</f>
        <v>735</v>
      </c>
      <c r="E47" s="11">
        <f>SUMIF(MATCH_W1!$B:$B,$B47,MATCH_W1!$G:$G)+SUMIF(MATCH_W2!$B:$B,$B47,MATCH_W2!$G:$G)+SUMIF(MATCH_W3!$B:$B,$B47,MATCH_W3!$G:$G)+SUMIF(MATCH_W4!$B:$B,$B47,MATCH_W4!$G:$G)+SUMIF(MATCH_W5!$B:$B,$B47,MATCH_W5!$G:$G)+SUMIF(MATCH_W6!$B:$B,$B47,MATCH_W6!$G:$G)</f>
        <v>279</v>
      </c>
      <c r="F47" s="11">
        <f>SUMIF(MATCH_W1!$B:$B,$B47,MATCH_W1!$H:$H)+SUMIF(MATCH_W2!$B:$B,$B47,MATCH_W2!$H:$H)+SUMIF(MATCH_W3!$B:$B,$B47,MATCH_W3!$H:$H)+SUMIF(MATCH_W4!$B:$B,$B47,MATCH_W4!$H:$H)+SUMIF(MATCH_W5!$B:$B,$B47,MATCH_W5!$H:$H)+SUMIF(MATCH_W6!$B:$B,$B47,MATCH_W6!$H:$H)</f>
        <v>1121</v>
      </c>
      <c r="G47" s="11">
        <f>SUMIF(MATCH_W1!$B:$B,$B47,MATCH_W1!$I:$I)+SUMIF(MATCH_W2!$B:$B,$B47,MATCH_W2!$I:$I)+SUMIF(MATCH_W3!$B:$B,$B47,MATCH_W3!$I:$I)+SUMIF(MATCH_W4!$B:$B,$B47,MATCH_W4!$I:$I)+SUMIF(MATCH_W5!$B:$B,$B47,MATCH_W5!$I:$I)+SUMIF(MATCH_W6!$B:$B,$B47,MATCH_W6!$I:$I)</f>
        <v>253689</v>
      </c>
      <c r="H47" s="11">
        <f>SUMIF(MATCH_W1!$B:$B,$B47,MATCH_W1!$J:$J)+SUMIF(MATCH_W2!$B:$B,$B47,MATCH_W2!$J:$J)+SUMIF(MATCH_W3!$B:$B,$B47,MATCH_W3!$J:$J)+SUMIF(MATCH_W4!$B:$B,$B47,MATCH_W4!$J:$J)+SUMIF(MATCH_W5!$B:$B,$B47,MATCH_W5!$J:$J)+SUMIF(MATCH_W6!$B:$B,$B47,MATCH_W6!$J:$J)</f>
        <v>577452</v>
      </c>
      <c r="I47" s="11">
        <f>SUMIF(MATCH_W1!$B:$B,$B47,MATCH_W1!$K:$K)+SUMIF(MATCH_W2!$B:$B,$B47,MATCH_W2!$K:$K)+SUMIF(MATCH_W3!$B:$B,$B47,MATCH_W3!$K:$K)+SUMIF(MATCH_W4!$B:$B,$B47,MATCH_W4!$K:$K)+SUMIF(MATCH_W5!$B:$B,$B47,MATCH_W5!$K:$K)+SUMIF(MATCH_W6!$B:$B,$B47,MATCH_W6!$K:$K)</f>
        <v>6852</v>
      </c>
      <c r="J47" s="10">
        <f t="shared" si="1"/>
        <v>2.6344086021505375</v>
      </c>
      <c r="K47" s="12">
        <f>SUMIF(MATCH_W1!$B:$B,$B47,MATCH_W1!$M:$M)+SUMIF(MATCH_W2!$B:$B,$B47,MATCH_W2!$M:$M)+SUMIF(MATCH_W3!$B:$B,$B47,MATCH_W3!$M:$M)+SUMIF(MATCH_W4!$B:$B,$B47,MATCH_W4!$M:$M)+SUMIF(MATCH_W5!$B:$B,$B47,MATCH_W5!$M:$M)+SUMIF(MATCH_W6!$B:$B,$B47,MATCH_W6!$M:$M)</f>
        <v>31266</v>
      </c>
    </row>
    <row r="48" spans="1:11">
      <c r="A48" s="8" t="s">
        <v>31</v>
      </c>
      <c r="B48" s="8" t="s">
        <v>160</v>
      </c>
      <c r="C48" s="8" t="s">
        <v>101</v>
      </c>
      <c r="D48" s="11">
        <f>SUMIF(MATCH_W1!$B:$B,$B48,MATCH_W1!$F:$F)+SUMIF(MATCH_W2!$B:$B,$B48,MATCH_W2!$F:$F)+SUMIF(MATCH_W3!$B:$B,$B48,MATCH_W3!$F:$F)+SUMIF(MATCH_W4!$B:$B,$B48,MATCH_W4!$F:$F)+SUMIF(MATCH_W5!$B:$B,$B48,MATCH_W5!$F:$F)+SUMIF(MATCH_W6!$B:$B,$B48,MATCH_W6!$F:$F)</f>
        <v>456</v>
      </c>
      <c r="E48" s="11">
        <f>SUMIF(MATCH_W1!$B:$B,$B48,MATCH_W1!$G:$G)+SUMIF(MATCH_W2!$B:$B,$B48,MATCH_W2!$G:$G)+SUMIF(MATCH_W3!$B:$B,$B48,MATCH_W3!$G:$G)+SUMIF(MATCH_W4!$B:$B,$B48,MATCH_W4!$G:$G)+SUMIF(MATCH_W5!$B:$B,$B48,MATCH_W5!$G:$G)+SUMIF(MATCH_W6!$B:$B,$B48,MATCH_W6!$G:$G)</f>
        <v>124</v>
      </c>
      <c r="F48" s="11">
        <f>SUMIF(MATCH_W1!$B:$B,$B48,MATCH_W1!$H:$H)+SUMIF(MATCH_W2!$B:$B,$B48,MATCH_W2!$H:$H)+SUMIF(MATCH_W3!$B:$B,$B48,MATCH_W3!$H:$H)+SUMIF(MATCH_W4!$B:$B,$B48,MATCH_W4!$H:$H)+SUMIF(MATCH_W5!$B:$B,$B48,MATCH_W5!$H:$H)+SUMIF(MATCH_W6!$B:$B,$B48,MATCH_W6!$H:$H)</f>
        <v>94</v>
      </c>
      <c r="G48" s="11">
        <f>SUMIF(MATCH_W1!$B:$B,$B48,MATCH_W1!$I:$I)+SUMIF(MATCH_W2!$B:$B,$B48,MATCH_W2!$I:$I)+SUMIF(MATCH_W3!$B:$B,$B48,MATCH_W3!$I:$I)+SUMIF(MATCH_W4!$B:$B,$B48,MATCH_W4!$I:$I)+SUMIF(MATCH_W5!$B:$B,$B48,MATCH_W5!$I:$I)+SUMIF(MATCH_W6!$B:$B,$B48,MATCH_W6!$I:$I)</f>
        <v>276608</v>
      </c>
      <c r="H48" s="11">
        <f>SUMIF(MATCH_W1!$B:$B,$B48,MATCH_W1!$J:$J)+SUMIF(MATCH_W2!$B:$B,$B48,MATCH_W2!$J:$J)+SUMIF(MATCH_W3!$B:$B,$B48,MATCH_W3!$J:$J)+SUMIF(MATCH_W4!$B:$B,$B48,MATCH_W4!$J:$J)+SUMIF(MATCH_W5!$B:$B,$B48,MATCH_W5!$J:$J)+SUMIF(MATCH_W6!$B:$B,$B48,MATCH_W6!$J:$J)</f>
        <v>9755</v>
      </c>
      <c r="I48" s="11">
        <f>SUMIF(MATCH_W1!$B:$B,$B48,MATCH_W1!$K:$K)+SUMIF(MATCH_W2!$B:$B,$B48,MATCH_W2!$K:$K)+SUMIF(MATCH_W3!$B:$B,$B48,MATCH_W3!$K:$K)+SUMIF(MATCH_W4!$B:$B,$B48,MATCH_W4!$K:$K)+SUMIF(MATCH_W5!$B:$B,$B48,MATCH_W5!$K:$K)+SUMIF(MATCH_W6!$B:$B,$B48,MATCH_W6!$K:$K)</f>
        <v>431979</v>
      </c>
      <c r="J48" s="10">
        <f t="shared" si="1"/>
        <v>3.6774193548387095</v>
      </c>
      <c r="K48" s="12">
        <f>SUMIF(MATCH_W1!$B:$B,$B48,MATCH_W1!$M:$M)+SUMIF(MATCH_W2!$B:$B,$B48,MATCH_W2!$M:$M)+SUMIF(MATCH_W3!$B:$B,$B48,MATCH_W3!$M:$M)+SUMIF(MATCH_W4!$B:$B,$B48,MATCH_W4!$M:$M)+SUMIF(MATCH_W5!$B:$B,$B48,MATCH_W5!$M:$M)+SUMIF(MATCH_W6!$B:$B,$B48,MATCH_W6!$M:$M)</f>
        <v>14331</v>
      </c>
    </row>
    <row r="49" spans="1:11">
      <c r="A49" s="8" t="s">
        <v>31</v>
      </c>
      <c r="B49" s="8" t="s">
        <v>161</v>
      </c>
      <c r="C49" s="8" t="s">
        <v>101</v>
      </c>
      <c r="D49" s="11">
        <f>SUMIF(MATCH_W1!$B:$B,$B49,MATCH_W1!$F:$F)+SUMIF(MATCH_W2!$B:$B,$B49,MATCH_W2!$F:$F)+SUMIF(MATCH_W3!$B:$B,$B49,MATCH_W3!$F:$F)+SUMIF(MATCH_W4!$B:$B,$B49,MATCH_W4!$F:$F)+SUMIF(MATCH_W5!$B:$B,$B49,MATCH_W5!$F:$F)+SUMIF(MATCH_W6!$B:$B,$B49,MATCH_W6!$F:$F)</f>
        <v>476</v>
      </c>
      <c r="E49" s="11">
        <f>SUMIF(MATCH_W1!$B:$B,$B49,MATCH_W1!$G:$G)+SUMIF(MATCH_W2!$B:$B,$B49,MATCH_W2!$G:$G)+SUMIF(MATCH_W3!$B:$B,$B49,MATCH_W3!$G:$G)+SUMIF(MATCH_W4!$B:$B,$B49,MATCH_W4!$G:$G)+SUMIF(MATCH_W5!$B:$B,$B49,MATCH_W5!$G:$G)+SUMIF(MATCH_W6!$B:$B,$B49,MATCH_W6!$G:$G)</f>
        <v>125</v>
      </c>
      <c r="F49" s="11">
        <f>SUMIF(MATCH_W1!$B:$B,$B49,MATCH_W1!$H:$H)+SUMIF(MATCH_W2!$B:$B,$B49,MATCH_W2!$H:$H)+SUMIF(MATCH_W3!$B:$B,$B49,MATCH_W3!$H:$H)+SUMIF(MATCH_W4!$B:$B,$B49,MATCH_W4!$H:$H)+SUMIF(MATCH_W5!$B:$B,$B49,MATCH_W5!$H:$H)+SUMIF(MATCH_W6!$B:$B,$B49,MATCH_W6!$H:$H)</f>
        <v>313</v>
      </c>
      <c r="G49" s="11">
        <f>SUMIF(MATCH_W1!$B:$B,$B49,MATCH_W1!$I:$I)+SUMIF(MATCH_W2!$B:$B,$B49,MATCH_W2!$I:$I)+SUMIF(MATCH_W3!$B:$B,$B49,MATCH_W3!$I:$I)+SUMIF(MATCH_W4!$B:$B,$B49,MATCH_W4!$I:$I)+SUMIF(MATCH_W5!$B:$B,$B49,MATCH_W5!$I:$I)+SUMIF(MATCH_W6!$B:$B,$B49,MATCH_W6!$I:$I)</f>
        <v>227828</v>
      </c>
      <c r="H49" s="11">
        <f>SUMIF(MATCH_W1!$B:$B,$B49,MATCH_W1!$J:$J)+SUMIF(MATCH_W2!$B:$B,$B49,MATCH_W2!$J:$J)+SUMIF(MATCH_W3!$B:$B,$B49,MATCH_W3!$J:$J)+SUMIF(MATCH_W4!$B:$B,$B49,MATCH_W4!$J:$J)+SUMIF(MATCH_W5!$B:$B,$B49,MATCH_W5!$J:$J)+SUMIF(MATCH_W6!$B:$B,$B49,MATCH_W6!$J:$J)</f>
        <v>60873</v>
      </c>
      <c r="I49" s="11">
        <f>SUMIF(MATCH_W1!$B:$B,$B49,MATCH_W1!$K:$K)+SUMIF(MATCH_W2!$B:$B,$B49,MATCH_W2!$K:$K)+SUMIF(MATCH_W3!$B:$B,$B49,MATCH_W3!$K:$K)+SUMIF(MATCH_W4!$B:$B,$B49,MATCH_W4!$K:$K)+SUMIF(MATCH_W5!$B:$B,$B49,MATCH_W5!$K:$K)+SUMIF(MATCH_W6!$B:$B,$B49,MATCH_W6!$K:$K)</f>
        <v>225351</v>
      </c>
      <c r="J49" s="10">
        <f t="shared" si="1"/>
        <v>3.8079999999999998</v>
      </c>
      <c r="K49" s="12">
        <f>SUMIF(MATCH_W1!$B:$B,$B49,MATCH_W1!$M:$M)+SUMIF(MATCH_W2!$B:$B,$B49,MATCH_W2!$M:$M)+SUMIF(MATCH_W3!$B:$B,$B49,MATCH_W3!$M:$M)+SUMIF(MATCH_W4!$B:$B,$B49,MATCH_W4!$M:$M)+SUMIF(MATCH_W5!$B:$B,$B49,MATCH_W5!$M:$M)+SUMIF(MATCH_W6!$B:$B,$B49,MATCH_W6!$M:$M)</f>
        <v>12861</v>
      </c>
    </row>
    <row r="50" spans="1:11">
      <c r="A50" s="8" t="s">
        <v>31</v>
      </c>
      <c r="B50" s="8" t="s">
        <v>162</v>
      </c>
      <c r="C50" s="8" t="s">
        <v>104</v>
      </c>
      <c r="D50" s="11">
        <f>SUMIF(MATCH_W1!$B:$B,$B50,MATCH_W1!$F:$F)+SUMIF(MATCH_W2!$B:$B,$B50,MATCH_W2!$F:$F)+SUMIF(MATCH_W3!$B:$B,$B50,MATCH_W3!$F:$F)+SUMIF(MATCH_W4!$B:$B,$B50,MATCH_W4!$F:$F)+SUMIF(MATCH_W5!$B:$B,$B50,MATCH_W5!$F:$F)+SUMIF(MATCH_W6!$B:$B,$B50,MATCH_W6!$F:$F)</f>
        <v>665</v>
      </c>
      <c r="E50" s="11">
        <f>SUMIF(MATCH_W1!$B:$B,$B50,MATCH_W1!$G:$G)+SUMIF(MATCH_W2!$B:$B,$B50,MATCH_W2!$G:$G)+SUMIF(MATCH_W3!$B:$B,$B50,MATCH_W3!$G:$G)+SUMIF(MATCH_W4!$B:$B,$B50,MATCH_W4!$G:$G)+SUMIF(MATCH_W5!$B:$B,$B50,MATCH_W5!$G:$G)+SUMIF(MATCH_W6!$B:$B,$B50,MATCH_W6!$G:$G)</f>
        <v>242</v>
      </c>
      <c r="F50" s="11">
        <f>SUMIF(MATCH_W1!$B:$B,$B50,MATCH_W1!$H:$H)+SUMIF(MATCH_W2!$B:$B,$B50,MATCH_W2!$H:$H)+SUMIF(MATCH_W3!$B:$B,$B50,MATCH_W3!$H:$H)+SUMIF(MATCH_W4!$B:$B,$B50,MATCH_W4!$H:$H)+SUMIF(MATCH_W5!$B:$B,$B50,MATCH_W5!$H:$H)+SUMIF(MATCH_W6!$B:$B,$B50,MATCH_W6!$H:$H)</f>
        <v>75</v>
      </c>
      <c r="G50" s="11">
        <f>SUMIF(MATCH_W1!$B:$B,$B50,MATCH_W1!$I:$I)+SUMIF(MATCH_W2!$B:$B,$B50,MATCH_W2!$I:$I)+SUMIF(MATCH_W3!$B:$B,$B50,MATCH_W3!$I:$I)+SUMIF(MATCH_W4!$B:$B,$B50,MATCH_W4!$I:$I)+SUMIF(MATCH_W5!$B:$B,$B50,MATCH_W5!$I:$I)+SUMIF(MATCH_W6!$B:$B,$B50,MATCH_W6!$I:$I)</f>
        <v>334496</v>
      </c>
      <c r="H50" s="11">
        <f>SUMIF(MATCH_W1!$B:$B,$B50,MATCH_W1!$J:$J)+SUMIF(MATCH_W2!$B:$B,$B50,MATCH_W2!$J:$J)+SUMIF(MATCH_W3!$B:$B,$B50,MATCH_W3!$J:$J)+SUMIF(MATCH_W4!$B:$B,$B50,MATCH_W4!$J:$J)+SUMIF(MATCH_W5!$B:$B,$B50,MATCH_W5!$J:$J)+SUMIF(MATCH_W6!$B:$B,$B50,MATCH_W6!$J:$J)</f>
        <v>11710</v>
      </c>
      <c r="I50" s="11">
        <f>SUMIF(MATCH_W1!$B:$B,$B50,MATCH_W1!$K:$K)+SUMIF(MATCH_W2!$B:$B,$B50,MATCH_W2!$K:$K)+SUMIF(MATCH_W3!$B:$B,$B50,MATCH_W3!$K:$K)+SUMIF(MATCH_W4!$B:$B,$B50,MATCH_W4!$K:$K)+SUMIF(MATCH_W5!$B:$B,$B50,MATCH_W5!$K:$K)+SUMIF(MATCH_W6!$B:$B,$B50,MATCH_W6!$K:$K)</f>
        <v>23311</v>
      </c>
      <c r="J50" s="10">
        <f t="shared" si="1"/>
        <v>2.7479338842975207</v>
      </c>
      <c r="K50" s="12">
        <f>SUMIF(MATCH_W1!$B:$B,$B50,MATCH_W1!$M:$M)+SUMIF(MATCH_W2!$B:$B,$B50,MATCH_W2!$M:$M)+SUMIF(MATCH_W3!$B:$B,$B50,MATCH_W3!$M:$M)+SUMIF(MATCH_W4!$B:$B,$B50,MATCH_W4!$M:$M)+SUMIF(MATCH_W5!$B:$B,$B50,MATCH_W5!$M:$M)+SUMIF(MATCH_W6!$B:$B,$B50,MATCH_W6!$M:$M)</f>
        <v>20938</v>
      </c>
    </row>
    <row r="51" spans="1:11">
      <c r="A51" s="8" t="s">
        <v>31</v>
      </c>
      <c r="B51" s="8" t="s">
        <v>163</v>
      </c>
      <c r="C51" s="8" t="s">
        <v>104</v>
      </c>
      <c r="D51" s="11">
        <f>SUMIF(MATCH_W1!$B:$B,$B51,MATCH_W1!$F:$F)+SUMIF(MATCH_W2!$B:$B,$B51,MATCH_W2!$F:$F)+SUMIF(MATCH_W3!$B:$B,$B51,MATCH_W3!$F:$F)+SUMIF(MATCH_W4!$B:$B,$B51,MATCH_W4!$F:$F)+SUMIF(MATCH_W5!$B:$B,$B51,MATCH_W5!$F:$F)+SUMIF(MATCH_W6!$B:$B,$B51,MATCH_W6!$F:$F)</f>
        <v>553</v>
      </c>
      <c r="E51" s="11">
        <f>SUMIF(MATCH_W1!$B:$B,$B51,MATCH_W1!$G:$G)+SUMIF(MATCH_W2!$B:$B,$B51,MATCH_W2!$G:$G)+SUMIF(MATCH_W3!$B:$B,$B51,MATCH_W3!$G:$G)+SUMIF(MATCH_W4!$B:$B,$B51,MATCH_W4!$G:$G)+SUMIF(MATCH_W5!$B:$B,$B51,MATCH_W5!$G:$G)+SUMIF(MATCH_W6!$B:$B,$B51,MATCH_W6!$G:$G)</f>
        <v>210</v>
      </c>
      <c r="F51" s="11">
        <f>SUMIF(MATCH_W1!$B:$B,$B51,MATCH_W1!$H:$H)+SUMIF(MATCH_W2!$B:$B,$B51,MATCH_W2!$H:$H)+SUMIF(MATCH_W3!$B:$B,$B51,MATCH_W3!$H:$H)+SUMIF(MATCH_W4!$B:$B,$B51,MATCH_W4!$H:$H)+SUMIF(MATCH_W5!$B:$B,$B51,MATCH_W5!$H:$H)+SUMIF(MATCH_W6!$B:$B,$B51,MATCH_W6!$H:$H)</f>
        <v>113</v>
      </c>
      <c r="G51" s="11">
        <f>SUMIF(MATCH_W1!$B:$B,$B51,MATCH_W1!$I:$I)+SUMIF(MATCH_W2!$B:$B,$B51,MATCH_W2!$I:$I)+SUMIF(MATCH_W3!$B:$B,$B51,MATCH_W3!$I:$I)+SUMIF(MATCH_W4!$B:$B,$B51,MATCH_W4!$I:$I)+SUMIF(MATCH_W5!$B:$B,$B51,MATCH_W5!$I:$I)+SUMIF(MATCH_W6!$B:$B,$B51,MATCH_W6!$I:$I)</f>
        <v>267398</v>
      </c>
      <c r="H51" s="11">
        <f>SUMIF(MATCH_W1!$B:$B,$B51,MATCH_W1!$J:$J)+SUMIF(MATCH_W2!$B:$B,$B51,MATCH_W2!$J:$J)+SUMIF(MATCH_W3!$B:$B,$B51,MATCH_W3!$J:$J)+SUMIF(MATCH_W4!$B:$B,$B51,MATCH_W4!$J:$J)+SUMIF(MATCH_W5!$B:$B,$B51,MATCH_W5!$J:$J)+SUMIF(MATCH_W6!$B:$B,$B51,MATCH_W6!$J:$J)</f>
        <v>27351</v>
      </c>
      <c r="I51" s="11">
        <f>SUMIF(MATCH_W1!$B:$B,$B51,MATCH_W1!$K:$K)+SUMIF(MATCH_W2!$B:$B,$B51,MATCH_W2!$K:$K)+SUMIF(MATCH_W3!$B:$B,$B51,MATCH_W3!$K:$K)+SUMIF(MATCH_W4!$B:$B,$B51,MATCH_W4!$K:$K)+SUMIF(MATCH_W5!$B:$B,$B51,MATCH_W5!$K:$K)+SUMIF(MATCH_W6!$B:$B,$B51,MATCH_W6!$K:$K)</f>
        <v>107990</v>
      </c>
      <c r="J51" s="10">
        <f t="shared" si="1"/>
        <v>2.6333333333333333</v>
      </c>
      <c r="K51" s="12">
        <f>SUMIF(MATCH_W1!$B:$B,$B51,MATCH_W1!$M:$M)+SUMIF(MATCH_W2!$B:$B,$B51,MATCH_W2!$M:$M)+SUMIF(MATCH_W3!$B:$B,$B51,MATCH_W3!$M:$M)+SUMIF(MATCH_W4!$B:$B,$B51,MATCH_W4!$M:$M)+SUMIF(MATCH_W5!$B:$B,$B51,MATCH_W5!$M:$M)+SUMIF(MATCH_W6!$B:$B,$B51,MATCH_W6!$M:$M)</f>
        <v>18567</v>
      </c>
    </row>
    <row r="52" spans="1:11">
      <c r="A52" s="8" t="s">
        <v>31</v>
      </c>
      <c r="B52" s="8" t="s">
        <v>164</v>
      </c>
      <c r="C52" s="8" t="s">
        <v>104</v>
      </c>
      <c r="D52" s="11">
        <f>SUMIF(MATCH_W1!$B:$B,$B52,MATCH_W1!$F:$F)+SUMIF(MATCH_W2!$B:$B,$B52,MATCH_W2!$F:$F)+SUMIF(MATCH_W3!$B:$B,$B52,MATCH_W3!$F:$F)+SUMIF(MATCH_W4!$B:$B,$B52,MATCH_W4!$F:$F)+SUMIF(MATCH_W5!$B:$B,$B52,MATCH_W5!$F:$F)+SUMIF(MATCH_W6!$B:$B,$B52,MATCH_W6!$F:$F)</f>
        <v>504</v>
      </c>
      <c r="E52" s="11">
        <f>SUMIF(MATCH_W1!$B:$B,$B52,MATCH_W1!$G:$G)+SUMIF(MATCH_W2!$B:$B,$B52,MATCH_W2!$G:$G)+SUMIF(MATCH_W3!$B:$B,$B52,MATCH_W3!$G:$G)+SUMIF(MATCH_W4!$B:$B,$B52,MATCH_W4!$G:$G)+SUMIF(MATCH_W5!$B:$B,$B52,MATCH_W5!$G:$G)+SUMIF(MATCH_W6!$B:$B,$B52,MATCH_W6!$G:$G)</f>
        <v>162</v>
      </c>
      <c r="F52" s="11">
        <f>SUMIF(MATCH_W1!$B:$B,$B52,MATCH_W1!$H:$H)+SUMIF(MATCH_W2!$B:$B,$B52,MATCH_W2!$H:$H)+SUMIF(MATCH_W3!$B:$B,$B52,MATCH_W3!$H:$H)+SUMIF(MATCH_W4!$B:$B,$B52,MATCH_W4!$H:$H)+SUMIF(MATCH_W5!$B:$B,$B52,MATCH_W5!$H:$H)+SUMIF(MATCH_W6!$B:$B,$B52,MATCH_W6!$H:$H)</f>
        <v>37</v>
      </c>
      <c r="G52" s="11">
        <f>SUMIF(MATCH_W1!$B:$B,$B52,MATCH_W1!$I:$I)+SUMIF(MATCH_W2!$B:$B,$B52,MATCH_W2!$I:$I)+SUMIF(MATCH_W3!$B:$B,$B52,MATCH_W3!$I:$I)+SUMIF(MATCH_W4!$B:$B,$B52,MATCH_W4!$I:$I)+SUMIF(MATCH_W5!$B:$B,$B52,MATCH_W5!$I:$I)+SUMIF(MATCH_W6!$B:$B,$B52,MATCH_W6!$I:$I)</f>
        <v>290856</v>
      </c>
      <c r="H52" s="11">
        <f>SUMIF(MATCH_W1!$B:$B,$B52,MATCH_W1!$J:$J)+SUMIF(MATCH_W2!$B:$B,$B52,MATCH_W2!$J:$J)+SUMIF(MATCH_W3!$B:$B,$B52,MATCH_W3!$J:$J)+SUMIF(MATCH_W4!$B:$B,$B52,MATCH_W4!$J:$J)+SUMIF(MATCH_W5!$B:$B,$B52,MATCH_W5!$J:$J)+SUMIF(MATCH_W6!$B:$B,$B52,MATCH_W6!$J:$J)</f>
        <v>3943</v>
      </c>
      <c r="I52" s="11">
        <f>SUMIF(MATCH_W1!$B:$B,$B52,MATCH_W1!$K:$K)+SUMIF(MATCH_W2!$B:$B,$B52,MATCH_W2!$K:$K)+SUMIF(MATCH_W3!$B:$B,$B52,MATCH_W3!$K:$K)+SUMIF(MATCH_W4!$B:$B,$B52,MATCH_W4!$K:$K)+SUMIF(MATCH_W5!$B:$B,$B52,MATCH_W5!$K:$K)+SUMIF(MATCH_W6!$B:$B,$B52,MATCH_W6!$K:$K)</f>
        <v>17029</v>
      </c>
      <c r="J52" s="10">
        <f t="shared" si="1"/>
        <v>3.1111111111111112</v>
      </c>
      <c r="K52" s="12">
        <f>SUMIF(MATCH_W1!$B:$B,$B52,MATCH_W1!$M:$M)+SUMIF(MATCH_W2!$B:$B,$B52,MATCH_W2!$M:$M)+SUMIF(MATCH_W3!$B:$B,$B52,MATCH_W3!$M:$M)+SUMIF(MATCH_W4!$B:$B,$B52,MATCH_W4!$M:$M)+SUMIF(MATCH_W5!$B:$B,$B52,MATCH_W5!$M:$M)+SUMIF(MATCH_W6!$B:$B,$B52,MATCH_W6!$M:$M)</f>
        <v>14879</v>
      </c>
    </row>
    <row r="53" spans="1:11">
      <c r="A53" s="8" t="s">
        <v>31</v>
      </c>
      <c r="B53" s="8" t="s">
        <v>165</v>
      </c>
      <c r="C53" s="8" t="s">
        <v>109</v>
      </c>
      <c r="D53" s="11">
        <f>SUMIF(MATCH_W1!$B:$B,$B53,MATCH_W1!$F:$F)+SUMIF(MATCH_W2!$B:$B,$B53,MATCH_W2!$F:$F)+SUMIF(MATCH_W3!$B:$B,$B53,MATCH_W3!$F:$F)+SUMIF(MATCH_W4!$B:$B,$B53,MATCH_W4!$F:$F)+SUMIF(MATCH_W5!$B:$B,$B53,MATCH_W5!$F:$F)+SUMIF(MATCH_W6!$B:$B,$B53,MATCH_W6!$F:$F)</f>
        <v>675</v>
      </c>
      <c r="E53" s="11">
        <f>SUMIF(MATCH_W1!$B:$B,$B53,MATCH_W1!$G:$G)+SUMIF(MATCH_W2!$B:$B,$B53,MATCH_W2!$G:$G)+SUMIF(MATCH_W3!$B:$B,$B53,MATCH_W3!$G:$G)+SUMIF(MATCH_W4!$B:$B,$B53,MATCH_W4!$G:$G)+SUMIF(MATCH_W5!$B:$B,$B53,MATCH_W5!$G:$G)+SUMIF(MATCH_W6!$B:$B,$B53,MATCH_W6!$G:$G)</f>
        <v>253</v>
      </c>
      <c r="F53" s="11">
        <f>SUMIF(MATCH_W1!$B:$B,$B53,MATCH_W1!$H:$H)+SUMIF(MATCH_W2!$B:$B,$B53,MATCH_W2!$H:$H)+SUMIF(MATCH_W3!$B:$B,$B53,MATCH_W3!$H:$H)+SUMIF(MATCH_W4!$B:$B,$B53,MATCH_W4!$H:$H)+SUMIF(MATCH_W5!$B:$B,$B53,MATCH_W5!$H:$H)+SUMIF(MATCH_W6!$B:$B,$B53,MATCH_W6!$H:$H)</f>
        <v>691</v>
      </c>
      <c r="G53" s="11">
        <f>SUMIF(MATCH_W1!$B:$B,$B53,MATCH_W1!$I:$I)+SUMIF(MATCH_W2!$B:$B,$B53,MATCH_W2!$I:$I)+SUMIF(MATCH_W3!$B:$B,$B53,MATCH_W3!$I:$I)+SUMIF(MATCH_W4!$B:$B,$B53,MATCH_W4!$I:$I)+SUMIF(MATCH_W5!$B:$B,$B53,MATCH_W5!$I:$I)+SUMIF(MATCH_W6!$B:$B,$B53,MATCH_W6!$I:$I)</f>
        <v>197963</v>
      </c>
      <c r="H53" s="11">
        <f>SUMIF(MATCH_W1!$B:$B,$B53,MATCH_W1!$J:$J)+SUMIF(MATCH_W2!$B:$B,$B53,MATCH_W2!$J:$J)+SUMIF(MATCH_W3!$B:$B,$B53,MATCH_W3!$J:$J)+SUMIF(MATCH_W4!$B:$B,$B53,MATCH_W4!$J:$J)+SUMIF(MATCH_W5!$B:$B,$B53,MATCH_W5!$J:$J)+SUMIF(MATCH_W6!$B:$B,$B53,MATCH_W6!$J:$J)</f>
        <v>431444</v>
      </c>
      <c r="I53" s="11">
        <f>SUMIF(MATCH_W1!$B:$B,$B53,MATCH_W1!$K:$K)+SUMIF(MATCH_W2!$B:$B,$B53,MATCH_W2!$K:$K)+SUMIF(MATCH_W3!$B:$B,$B53,MATCH_W3!$K:$K)+SUMIF(MATCH_W4!$B:$B,$B53,MATCH_W4!$K:$K)+SUMIF(MATCH_W5!$B:$B,$B53,MATCH_W5!$K:$K)+SUMIF(MATCH_W6!$B:$B,$B53,MATCH_W6!$K:$K)</f>
        <v>39627</v>
      </c>
      <c r="J53" s="10">
        <f t="shared" si="1"/>
        <v>2.6679841897233203</v>
      </c>
      <c r="K53" s="12">
        <f>SUMIF(MATCH_W1!$B:$B,$B53,MATCH_W1!$M:$M)+SUMIF(MATCH_W2!$B:$B,$B53,MATCH_W2!$M:$M)+SUMIF(MATCH_W3!$B:$B,$B53,MATCH_W3!$M:$M)+SUMIF(MATCH_W4!$B:$B,$B53,MATCH_W4!$M:$M)+SUMIF(MATCH_W5!$B:$B,$B53,MATCH_W5!$M:$M)+SUMIF(MATCH_W6!$B:$B,$B53,MATCH_W6!$M:$M)</f>
        <v>27192</v>
      </c>
    </row>
    <row r="54" spans="1:11">
      <c r="A54" s="8" t="s">
        <v>31</v>
      </c>
      <c r="B54" s="8" t="s">
        <v>166</v>
      </c>
      <c r="C54" s="8" t="s">
        <v>109</v>
      </c>
      <c r="D54" s="11">
        <f>SUMIF(MATCH_W1!$B:$B,$B54,MATCH_W1!$F:$F)+SUMIF(MATCH_W2!$B:$B,$B54,MATCH_W2!$F:$F)+SUMIF(MATCH_W3!$B:$B,$B54,MATCH_W3!$F:$F)+SUMIF(MATCH_W4!$B:$B,$B54,MATCH_W4!$F:$F)+SUMIF(MATCH_W5!$B:$B,$B54,MATCH_W5!$F:$F)+SUMIF(MATCH_W6!$B:$B,$B54,MATCH_W6!$F:$F)</f>
        <v>549</v>
      </c>
      <c r="E54" s="11">
        <f>SUMIF(MATCH_W1!$B:$B,$B54,MATCH_W1!$G:$G)+SUMIF(MATCH_W2!$B:$B,$B54,MATCH_W2!$G:$G)+SUMIF(MATCH_W3!$B:$B,$B54,MATCH_W3!$G:$G)+SUMIF(MATCH_W4!$B:$B,$B54,MATCH_W4!$G:$G)+SUMIF(MATCH_W5!$B:$B,$B54,MATCH_W5!$G:$G)+SUMIF(MATCH_W6!$B:$B,$B54,MATCH_W6!$G:$G)</f>
        <v>279</v>
      </c>
      <c r="F54" s="11">
        <f>SUMIF(MATCH_W1!$B:$B,$B54,MATCH_W1!$H:$H)+SUMIF(MATCH_W2!$B:$B,$B54,MATCH_W2!$H:$H)+SUMIF(MATCH_W3!$B:$B,$B54,MATCH_W3!$H:$H)+SUMIF(MATCH_W4!$B:$B,$B54,MATCH_W4!$H:$H)+SUMIF(MATCH_W5!$B:$B,$B54,MATCH_W5!$H:$H)+SUMIF(MATCH_W6!$B:$B,$B54,MATCH_W6!$H:$H)</f>
        <v>944</v>
      </c>
      <c r="G54" s="11">
        <f>SUMIF(MATCH_W1!$B:$B,$B54,MATCH_W1!$I:$I)+SUMIF(MATCH_W2!$B:$B,$B54,MATCH_W2!$I:$I)+SUMIF(MATCH_W3!$B:$B,$B54,MATCH_W3!$I:$I)+SUMIF(MATCH_W4!$B:$B,$B54,MATCH_W4!$I:$I)+SUMIF(MATCH_W5!$B:$B,$B54,MATCH_W5!$I:$I)+SUMIF(MATCH_W6!$B:$B,$B54,MATCH_W6!$I:$I)</f>
        <v>203962</v>
      </c>
      <c r="H54" s="11">
        <f>SUMIF(MATCH_W1!$B:$B,$B54,MATCH_W1!$J:$J)+SUMIF(MATCH_W2!$B:$B,$B54,MATCH_W2!$J:$J)+SUMIF(MATCH_W3!$B:$B,$B54,MATCH_W3!$J:$J)+SUMIF(MATCH_W4!$B:$B,$B54,MATCH_W4!$J:$J)+SUMIF(MATCH_W5!$B:$B,$B54,MATCH_W5!$J:$J)+SUMIF(MATCH_W6!$B:$B,$B54,MATCH_W6!$J:$J)</f>
        <v>526168</v>
      </c>
      <c r="I54" s="11">
        <f>SUMIF(MATCH_W1!$B:$B,$B54,MATCH_W1!$K:$K)+SUMIF(MATCH_W2!$B:$B,$B54,MATCH_W2!$K:$K)+SUMIF(MATCH_W3!$B:$B,$B54,MATCH_W3!$K:$K)+SUMIF(MATCH_W4!$B:$B,$B54,MATCH_W4!$K:$K)+SUMIF(MATCH_W5!$B:$B,$B54,MATCH_W5!$K:$K)+SUMIF(MATCH_W6!$B:$B,$B54,MATCH_W6!$K:$K)</f>
        <v>19439</v>
      </c>
      <c r="J54" s="10">
        <f t="shared" si="1"/>
        <v>1.967741935483871</v>
      </c>
      <c r="K54" s="12">
        <f>SUMIF(MATCH_W1!$B:$B,$B54,MATCH_W1!$M:$M)+SUMIF(MATCH_W2!$B:$B,$B54,MATCH_W2!$M:$M)+SUMIF(MATCH_W3!$B:$B,$B54,MATCH_W3!$M:$M)+SUMIF(MATCH_W4!$B:$B,$B54,MATCH_W4!$M:$M)+SUMIF(MATCH_W5!$B:$B,$B54,MATCH_W5!$M:$M)+SUMIF(MATCH_W6!$B:$B,$B54,MATCH_W6!$M:$M)</f>
        <v>27192</v>
      </c>
    </row>
    <row r="55" spans="1:11">
      <c r="A55" s="8" t="s">
        <v>53</v>
      </c>
      <c r="B55" s="8" t="s">
        <v>168</v>
      </c>
      <c r="C55" s="8" t="s">
        <v>101</v>
      </c>
      <c r="D55" s="11">
        <f>SUMIF(MATCH_W1!$B:$B,$B55,MATCH_W1!$F:$F)+SUMIF(MATCH_W2!$B:$B,$B55,MATCH_W2!$F:$F)+SUMIF(MATCH_W3!$B:$B,$B55,MATCH_W3!$F:$F)+SUMIF(MATCH_W4!$B:$B,$B55,MATCH_W4!$F:$F)+SUMIF(MATCH_W5!$B:$B,$B55,MATCH_W5!$F:$F)+SUMIF(MATCH_W6!$B:$B,$B55,MATCH_W6!$F:$F)</f>
        <v>260</v>
      </c>
      <c r="E55" s="11">
        <f>SUMIF(MATCH_W1!$B:$B,$B55,MATCH_W1!$G:$G)+SUMIF(MATCH_W2!$B:$B,$B55,MATCH_W2!$G:$G)+SUMIF(MATCH_W3!$B:$B,$B55,MATCH_W3!$G:$G)+SUMIF(MATCH_W4!$B:$B,$B55,MATCH_W4!$G:$G)+SUMIF(MATCH_W5!$B:$B,$B55,MATCH_W5!$G:$G)+SUMIF(MATCH_W6!$B:$B,$B55,MATCH_W6!$G:$G)</f>
        <v>86</v>
      </c>
      <c r="F55" s="11">
        <f>SUMIF(MATCH_W1!$B:$B,$B55,MATCH_W1!$H:$H)+SUMIF(MATCH_W2!$B:$B,$B55,MATCH_W2!$H:$H)+SUMIF(MATCH_W3!$B:$B,$B55,MATCH_W3!$H:$H)+SUMIF(MATCH_W4!$B:$B,$B55,MATCH_W4!$H:$H)+SUMIF(MATCH_W5!$B:$B,$B55,MATCH_W5!$H:$H)+SUMIF(MATCH_W6!$B:$B,$B55,MATCH_W6!$H:$H)</f>
        <v>95</v>
      </c>
      <c r="G55" s="11">
        <f>SUMIF(MATCH_W1!$B:$B,$B55,MATCH_W1!$I:$I)+SUMIF(MATCH_W2!$B:$B,$B55,MATCH_W2!$I:$I)+SUMIF(MATCH_W3!$B:$B,$B55,MATCH_W3!$I:$I)+SUMIF(MATCH_W4!$B:$B,$B55,MATCH_W4!$I:$I)+SUMIF(MATCH_W5!$B:$B,$B55,MATCH_W5!$I:$I)+SUMIF(MATCH_W6!$B:$B,$B55,MATCH_W6!$I:$I)</f>
        <v>185336</v>
      </c>
      <c r="H55" s="11">
        <f>SUMIF(MATCH_W1!$B:$B,$B55,MATCH_W1!$J:$J)+SUMIF(MATCH_W2!$B:$B,$B55,MATCH_W2!$J:$J)+SUMIF(MATCH_W3!$B:$B,$B55,MATCH_W3!$J:$J)+SUMIF(MATCH_W4!$B:$B,$B55,MATCH_W4!$J:$J)+SUMIF(MATCH_W5!$B:$B,$B55,MATCH_W5!$J:$J)+SUMIF(MATCH_W6!$B:$B,$B55,MATCH_W6!$J:$J)</f>
        <v>22646</v>
      </c>
      <c r="I55" s="11">
        <f>SUMIF(MATCH_W1!$B:$B,$B55,MATCH_W1!$K:$K)+SUMIF(MATCH_W2!$B:$B,$B55,MATCH_W2!$K:$K)+SUMIF(MATCH_W3!$B:$B,$B55,MATCH_W3!$K:$K)+SUMIF(MATCH_W4!$B:$B,$B55,MATCH_W4!$K:$K)+SUMIF(MATCH_W5!$B:$B,$B55,MATCH_W5!$K:$K)+SUMIF(MATCH_W6!$B:$B,$B55,MATCH_W6!$K:$K)</f>
        <v>205594</v>
      </c>
      <c r="J55" s="10">
        <f t="shared" si="1"/>
        <v>3.0232558139534884</v>
      </c>
      <c r="K55" s="12">
        <f>SUMIF(MATCH_W1!$B:$B,$B55,MATCH_W1!$M:$M)+SUMIF(MATCH_W2!$B:$B,$B55,MATCH_W2!$M:$M)+SUMIF(MATCH_W3!$B:$B,$B55,MATCH_W3!$M:$M)+SUMIF(MATCH_W4!$B:$B,$B55,MATCH_W4!$M:$M)+SUMIF(MATCH_W5!$B:$B,$B55,MATCH_W5!$M:$M)+SUMIF(MATCH_W6!$B:$B,$B55,MATCH_W6!$M:$M)</f>
        <v>9624</v>
      </c>
    </row>
    <row r="56" spans="1:11">
      <c r="A56" s="8" t="s">
        <v>53</v>
      </c>
      <c r="B56" s="8" t="s">
        <v>169</v>
      </c>
      <c r="C56" s="8" t="s">
        <v>101</v>
      </c>
      <c r="D56" s="11">
        <f>SUMIF(MATCH_W1!$B:$B,$B56,MATCH_W1!$F:$F)+SUMIF(MATCH_W2!$B:$B,$B56,MATCH_W2!$F:$F)+SUMIF(MATCH_W3!$B:$B,$B56,MATCH_W3!$F:$F)+SUMIF(MATCH_W4!$B:$B,$B56,MATCH_W4!$F:$F)+SUMIF(MATCH_W5!$B:$B,$B56,MATCH_W5!$F:$F)+SUMIF(MATCH_W6!$B:$B,$B56,MATCH_W6!$F:$F)</f>
        <v>182</v>
      </c>
      <c r="E56" s="11">
        <f>SUMIF(MATCH_W1!$B:$B,$B56,MATCH_W1!$G:$G)+SUMIF(MATCH_W2!$B:$B,$B56,MATCH_W2!$G:$G)+SUMIF(MATCH_W3!$B:$B,$B56,MATCH_W3!$G:$G)+SUMIF(MATCH_W4!$B:$B,$B56,MATCH_W4!$G:$G)+SUMIF(MATCH_W5!$B:$B,$B56,MATCH_W5!$G:$G)+SUMIF(MATCH_W6!$B:$B,$B56,MATCH_W6!$G:$G)</f>
        <v>96</v>
      </c>
      <c r="F56" s="11">
        <f>SUMIF(MATCH_W1!$B:$B,$B56,MATCH_W1!$H:$H)+SUMIF(MATCH_W2!$B:$B,$B56,MATCH_W2!$H:$H)+SUMIF(MATCH_W3!$B:$B,$B56,MATCH_W3!$H:$H)+SUMIF(MATCH_W4!$B:$B,$B56,MATCH_W4!$H:$H)+SUMIF(MATCH_W5!$B:$B,$B56,MATCH_W5!$H:$H)+SUMIF(MATCH_W6!$B:$B,$B56,MATCH_W6!$H:$H)</f>
        <v>51</v>
      </c>
      <c r="G56" s="11">
        <f>SUMIF(MATCH_W1!$B:$B,$B56,MATCH_W1!$I:$I)+SUMIF(MATCH_W2!$B:$B,$B56,MATCH_W2!$I:$I)+SUMIF(MATCH_W3!$B:$B,$B56,MATCH_W3!$I:$I)+SUMIF(MATCH_W4!$B:$B,$B56,MATCH_W4!$I:$I)+SUMIF(MATCH_W5!$B:$B,$B56,MATCH_W5!$I:$I)+SUMIF(MATCH_W6!$B:$B,$B56,MATCH_W6!$I:$I)</f>
        <v>151292</v>
      </c>
      <c r="H56" s="11">
        <f>SUMIF(MATCH_W1!$B:$B,$B56,MATCH_W1!$J:$J)+SUMIF(MATCH_W2!$B:$B,$B56,MATCH_W2!$J:$J)+SUMIF(MATCH_W3!$B:$B,$B56,MATCH_W3!$J:$J)+SUMIF(MATCH_W4!$B:$B,$B56,MATCH_W4!$J:$J)+SUMIF(MATCH_W5!$B:$B,$B56,MATCH_W5!$J:$J)+SUMIF(MATCH_W6!$B:$B,$B56,MATCH_W6!$J:$J)</f>
        <v>9354</v>
      </c>
      <c r="I56" s="11">
        <f>SUMIF(MATCH_W1!$B:$B,$B56,MATCH_W1!$K:$K)+SUMIF(MATCH_W2!$B:$B,$B56,MATCH_W2!$K:$K)+SUMIF(MATCH_W3!$B:$B,$B56,MATCH_W3!$K:$K)+SUMIF(MATCH_W4!$B:$B,$B56,MATCH_W4!$K:$K)+SUMIF(MATCH_W5!$B:$B,$B56,MATCH_W5!$K:$K)+SUMIF(MATCH_W6!$B:$B,$B56,MATCH_W6!$K:$K)</f>
        <v>241953</v>
      </c>
      <c r="J56" s="10">
        <f t="shared" si="1"/>
        <v>1.8958333333333333</v>
      </c>
      <c r="K56" s="12">
        <f>SUMIF(MATCH_W1!$B:$B,$B56,MATCH_W1!$M:$M)+SUMIF(MATCH_W2!$B:$B,$B56,MATCH_W2!$M:$M)+SUMIF(MATCH_W3!$B:$B,$B56,MATCH_W3!$M:$M)+SUMIF(MATCH_W4!$B:$B,$B56,MATCH_W4!$M:$M)+SUMIF(MATCH_W5!$B:$B,$B56,MATCH_W5!$M:$M)+SUMIF(MATCH_W6!$B:$B,$B56,MATCH_W6!$M:$M)</f>
        <v>9379</v>
      </c>
    </row>
    <row r="57" spans="1:11">
      <c r="A57" s="8" t="s">
        <v>53</v>
      </c>
      <c r="B57" s="8" t="s">
        <v>170</v>
      </c>
      <c r="C57" s="8" t="s">
        <v>104</v>
      </c>
      <c r="D57" s="11">
        <f>SUMIF(MATCH_W1!$B:$B,$B57,MATCH_W1!$F:$F)+SUMIF(MATCH_W2!$B:$B,$B57,MATCH_W2!$F:$F)+SUMIF(MATCH_W3!$B:$B,$B57,MATCH_W3!$F:$F)+SUMIF(MATCH_W4!$B:$B,$B57,MATCH_W4!$F:$F)+SUMIF(MATCH_W5!$B:$B,$B57,MATCH_W5!$F:$F)+SUMIF(MATCH_W6!$B:$B,$B57,MATCH_W6!$F:$F)</f>
        <v>362</v>
      </c>
      <c r="E57" s="11">
        <f>SUMIF(MATCH_W1!$B:$B,$B57,MATCH_W1!$G:$G)+SUMIF(MATCH_W2!$B:$B,$B57,MATCH_W2!$G:$G)+SUMIF(MATCH_W3!$B:$B,$B57,MATCH_W3!$G:$G)+SUMIF(MATCH_W4!$B:$B,$B57,MATCH_W4!$G:$G)+SUMIF(MATCH_W5!$B:$B,$B57,MATCH_W5!$G:$G)+SUMIF(MATCH_W6!$B:$B,$B57,MATCH_W6!$G:$G)</f>
        <v>169</v>
      </c>
      <c r="F57" s="11">
        <f>SUMIF(MATCH_W1!$B:$B,$B57,MATCH_W1!$H:$H)+SUMIF(MATCH_W2!$B:$B,$B57,MATCH_W2!$H:$H)+SUMIF(MATCH_W3!$B:$B,$B57,MATCH_W3!$H:$H)+SUMIF(MATCH_W4!$B:$B,$B57,MATCH_W4!$H:$H)+SUMIF(MATCH_W5!$B:$B,$B57,MATCH_W5!$H:$H)+SUMIF(MATCH_W6!$B:$B,$B57,MATCH_W6!$H:$H)</f>
        <v>61</v>
      </c>
      <c r="G57" s="11">
        <f>SUMIF(MATCH_W1!$B:$B,$B57,MATCH_W1!$I:$I)+SUMIF(MATCH_W2!$B:$B,$B57,MATCH_W2!$I:$I)+SUMIF(MATCH_W3!$B:$B,$B57,MATCH_W3!$I:$I)+SUMIF(MATCH_W4!$B:$B,$B57,MATCH_W4!$I:$I)+SUMIF(MATCH_W5!$B:$B,$B57,MATCH_W5!$I:$I)+SUMIF(MATCH_W6!$B:$B,$B57,MATCH_W6!$I:$I)</f>
        <v>201098</v>
      </c>
      <c r="H57" s="11">
        <f>SUMIF(MATCH_W1!$B:$B,$B57,MATCH_W1!$J:$J)+SUMIF(MATCH_W2!$B:$B,$B57,MATCH_W2!$J:$J)+SUMIF(MATCH_W3!$B:$B,$B57,MATCH_W3!$J:$J)+SUMIF(MATCH_W4!$B:$B,$B57,MATCH_W4!$J:$J)+SUMIF(MATCH_W5!$B:$B,$B57,MATCH_W5!$J:$J)+SUMIF(MATCH_W6!$B:$B,$B57,MATCH_W6!$J:$J)</f>
        <v>18341</v>
      </c>
      <c r="I57" s="11">
        <f>SUMIF(MATCH_W1!$B:$B,$B57,MATCH_W1!$K:$K)+SUMIF(MATCH_W2!$B:$B,$B57,MATCH_W2!$K:$K)+SUMIF(MATCH_W3!$B:$B,$B57,MATCH_W3!$K:$K)+SUMIF(MATCH_W4!$B:$B,$B57,MATCH_W4!$K:$K)+SUMIF(MATCH_W5!$B:$B,$B57,MATCH_W5!$K:$K)+SUMIF(MATCH_W6!$B:$B,$B57,MATCH_W6!$K:$K)</f>
        <v>28402</v>
      </c>
      <c r="J57" s="10">
        <f t="shared" si="1"/>
        <v>2.1420118343195265</v>
      </c>
      <c r="K57" s="12">
        <f>SUMIF(MATCH_W1!$B:$B,$B57,MATCH_W1!$M:$M)+SUMIF(MATCH_W2!$B:$B,$B57,MATCH_W2!$M:$M)+SUMIF(MATCH_W3!$B:$B,$B57,MATCH_W3!$M:$M)+SUMIF(MATCH_W4!$B:$B,$B57,MATCH_W4!$M:$M)+SUMIF(MATCH_W5!$B:$B,$B57,MATCH_W5!$M:$M)+SUMIF(MATCH_W6!$B:$B,$B57,MATCH_W6!$M:$M)</f>
        <v>14362</v>
      </c>
    </row>
    <row r="58" spans="1:11">
      <c r="A58" s="8" t="s">
        <v>53</v>
      </c>
      <c r="B58" s="8" t="s">
        <v>171</v>
      </c>
      <c r="C58" s="8" t="s">
        <v>104</v>
      </c>
      <c r="D58" s="11">
        <f>SUMIF(MATCH_W1!$B:$B,$B58,MATCH_W1!$F:$F)+SUMIF(MATCH_W2!$B:$B,$B58,MATCH_W2!$F:$F)+SUMIF(MATCH_W3!$B:$B,$B58,MATCH_W3!$F:$F)+SUMIF(MATCH_W4!$B:$B,$B58,MATCH_W4!$F:$F)+SUMIF(MATCH_W5!$B:$B,$B58,MATCH_W5!$F:$F)+SUMIF(MATCH_W6!$B:$B,$B58,MATCH_W6!$F:$F)</f>
        <v>423</v>
      </c>
      <c r="E58" s="11">
        <f>SUMIF(MATCH_W1!$B:$B,$B58,MATCH_W1!$G:$G)+SUMIF(MATCH_W2!$B:$B,$B58,MATCH_W2!$G:$G)+SUMIF(MATCH_W3!$B:$B,$B58,MATCH_W3!$G:$G)+SUMIF(MATCH_W4!$B:$B,$B58,MATCH_W4!$G:$G)+SUMIF(MATCH_W5!$B:$B,$B58,MATCH_W5!$G:$G)+SUMIF(MATCH_W6!$B:$B,$B58,MATCH_W6!$G:$G)</f>
        <v>250</v>
      </c>
      <c r="F58" s="11">
        <f>SUMIF(MATCH_W1!$B:$B,$B58,MATCH_W1!$H:$H)+SUMIF(MATCH_W2!$B:$B,$B58,MATCH_W2!$H:$H)+SUMIF(MATCH_W3!$B:$B,$B58,MATCH_W3!$H:$H)+SUMIF(MATCH_W4!$B:$B,$B58,MATCH_W4!$H:$H)+SUMIF(MATCH_W5!$B:$B,$B58,MATCH_W5!$H:$H)+SUMIF(MATCH_W6!$B:$B,$B58,MATCH_W6!$H:$H)</f>
        <v>24</v>
      </c>
      <c r="G58" s="11">
        <f>SUMIF(MATCH_W1!$B:$B,$B58,MATCH_W1!$I:$I)+SUMIF(MATCH_W2!$B:$B,$B58,MATCH_W2!$I:$I)+SUMIF(MATCH_W3!$B:$B,$B58,MATCH_W3!$I:$I)+SUMIF(MATCH_W4!$B:$B,$B58,MATCH_W4!$I:$I)+SUMIF(MATCH_W5!$B:$B,$B58,MATCH_W5!$I:$I)+SUMIF(MATCH_W6!$B:$B,$B58,MATCH_W6!$I:$I)</f>
        <v>272416</v>
      </c>
      <c r="H58" s="11">
        <f>SUMIF(MATCH_W1!$B:$B,$B58,MATCH_W1!$J:$J)+SUMIF(MATCH_W2!$B:$B,$B58,MATCH_W2!$J:$J)+SUMIF(MATCH_W3!$B:$B,$B58,MATCH_W3!$J:$J)+SUMIF(MATCH_W4!$B:$B,$B58,MATCH_W4!$J:$J)+SUMIF(MATCH_W5!$B:$B,$B58,MATCH_W5!$J:$J)+SUMIF(MATCH_W6!$B:$B,$B58,MATCH_W6!$J:$J)</f>
        <v>2550</v>
      </c>
      <c r="I58" s="11">
        <f>SUMIF(MATCH_W1!$B:$B,$B58,MATCH_W1!$K:$K)+SUMIF(MATCH_W2!$B:$B,$B58,MATCH_W2!$K:$K)+SUMIF(MATCH_W3!$B:$B,$B58,MATCH_W3!$K:$K)+SUMIF(MATCH_W4!$B:$B,$B58,MATCH_W4!$K:$K)+SUMIF(MATCH_W5!$B:$B,$B58,MATCH_W5!$K:$K)+SUMIF(MATCH_W6!$B:$B,$B58,MATCH_W6!$K:$K)</f>
        <v>10556</v>
      </c>
      <c r="J58" s="10">
        <f t="shared" si="1"/>
        <v>1.6919999999999999</v>
      </c>
      <c r="K58" s="12">
        <f>SUMIF(MATCH_W1!$B:$B,$B58,MATCH_W1!$M:$M)+SUMIF(MATCH_W2!$B:$B,$B58,MATCH_W2!$M:$M)+SUMIF(MATCH_W3!$B:$B,$B58,MATCH_W3!$M:$M)+SUMIF(MATCH_W4!$B:$B,$B58,MATCH_W4!$M:$M)+SUMIF(MATCH_W5!$B:$B,$B58,MATCH_W5!$M:$M)+SUMIF(MATCH_W6!$B:$B,$B58,MATCH_W6!$M:$M)</f>
        <v>19003</v>
      </c>
    </row>
    <row r="59" spans="1:11">
      <c r="A59" s="8" t="s">
        <v>53</v>
      </c>
      <c r="B59" s="8" t="s">
        <v>172</v>
      </c>
      <c r="C59" s="8" t="s">
        <v>109</v>
      </c>
      <c r="D59" s="11">
        <f>SUMIF(MATCH_W1!$B:$B,$B59,MATCH_W1!$F:$F)+SUMIF(MATCH_W2!$B:$B,$B59,MATCH_W2!$F:$F)+SUMIF(MATCH_W3!$B:$B,$B59,MATCH_W3!$F:$F)+SUMIF(MATCH_W4!$B:$B,$B59,MATCH_W4!$F:$F)+SUMIF(MATCH_W5!$B:$B,$B59,MATCH_W5!$F:$F)+SUMIF(MATCH_W6!$B:$B,$B59,MATCH_W6!$F:$F)</f>
        <v>304</v>
      </c>
      <c r="E59" s="11">
        <f>SUMIF(MATCH_W1!$B:$B,$B59,MATCH_W1!$G:$G)+SUMIF(MATCH_W2!$B:$B,$B59,MATCH_W2!$G:$G)+SUMIF(MATCH_W3!$B:$B,$B59,MATCH_W3!$G:$G)+SUMIF(MATCH_W4!$B:$B,$B59,MATCH_W4!$G:$G)+SUMIF(MATCH_W5!$B:$B,$B59,MATCH_W5!$G:$G)+SUMIF(MATCH_W6!$B:$B,$B59,MATCH_W6!$G:$G)</f>
        <v>183</v>
      </c>
      <c r="F59" s="11">
        <f>SUMIF(MATCH_W1!$B:$B,$B59,MATCH_W1!$H:$H)+SUMIF(MATCH_W2!$B:$B,$B59,MATCH_W2!$H:$H)+SUMIF(MATCH_W3!$B:$B,$B59,MATCH_W3!$H:$H)+SUMIF(MATCH_W4!$B:$B,$B59,MATCH_W4!$H:$H)+SUMIF(MATCH_W5!$B:$B,$B59,MATCH_W5!$H:$H)+SUMIF(MATCH_W6!$B:$B,$B59,MATCH_W6!$H:$H)</f>
        <v>300</v>
      </c>
      <c r="G59" s="11">
        <f>SUMIF(MATCH_W1!$B:$B,$B59,MATCH_W1!$I:$I)+SUMIF(MATCH_W2!$B:$B,$B59,MATCH_W2!$I:$I)+SUMIF(MATCH_W3!$B:$B,$B59,MATCH_W3!$I:$I)+SUMIF(MATCH_W4!$B:$B,$B59,MATCH_W4!$I:$I)+SUMIF(MATCH_W5!$B:$B,$B59,MATCH_W5!$I:$I)+SUMIF(MATCH_W6!$B:$B,$B59,MATCH_W6!$I:$I)</f>
        <v>134190</v>
      </c>
      <c r="H59" s="11">
        <f>SUMIF(MATCH_W1!$B:$B,$B59,MATCH_W1!$J:$J)+SUMIF(MATCH_W2!$B:$B,$B59,MATCH_W2!$J:$J)+SUMIF(MATCH_W3!$B:$B,$B59,MATCH_W3!$J:$J)+SUMIF(MATCH_W4!$B:$B,$B59,MATCH_W4!$J:$J)+SUMIF(MATCH_W5!$B:$B,$B59,MATCH_W5!$J:$J)+SUMIF(MATCH_W6!$B:$B,$B59,MATCH_W6!$J:$J)</f>
        <v>195259</v>
      </c>
      <c r="I59" s="11">
        <f>SUMIF(MATCH_W1!$B:$B,$B59,MATCH_W1!$K:$K)+SUMIF(MATCH_W2!$B:$B,$B59,MATCH_W2!$K:$K)+SUMIF(MATCH_W3!$B:$B,$B59,MATCH_W3!$K:$K)+SUMIF(MATCH_W4!$B:$B,$B59,MATCH_W4!$K:$K)+SUMIF(MATCH_W5!$B:$B,$B59,MATCH_W5!$K:$K)+SUMIF(MATCH_W6!$B:$B,$B59,MATCH_W6!$K:$K)</f>
        <v>50889</v>
      </c>
      <c r="J59" s="10">
        <f t="shared" si="1"/>
        <v>1.6612021857923498</v>
      </c>
      <c r="K59" s="12">
        <f>SUMIF(MATCH_W1!$B:$B,$B59,MATCH_W1!$M:$M)+SUMIF(MATCH_W2!$B:$B,$B59,MATCH_W2!$M:$M)+SUMIF(MATCH_W3!$B:$B,$B59,MATCH_W3!$M:$M)+SUMIF(MATCH_W4!$B:$B,$B59,MATCH_W4!$M:$M)+SUMIF(MATCH_W5!$B:$B,$B59,MATCH_W5!$M:$M)+SUMIF(MATCH_W6!$B:$B,$B59,MATCH_W6!$M:$M)</f>
        <v>17014</v>
      </c>
    </row>
    <row r="60" spans="1:11">
      <c r="A60" s="8" t="s">
        <v>53</v>
      </c>
      <c r="B60" s="8" t="s">
        <v>173</v>
      </c>
      <c r="C60" s="8" t="s">
        <v>109</v>
      </c>
      <c r="D60" s="11">
        <f>SUMIF(MATCH_W1!$B:$B,$B60,MATCH_W1!$F:$F)+SUMIF(MATCH_W2!$B:$B,$B60,MATCH_W2!$F:$F)+SUMIF(MATCH_W3!$B:$B,$B60,MATCH_W3!$F:$F)+SUMIF(MATCH_W4!$B:$B,$B60,MATCH_W4!$F:$F)+SUMIF(MATCH_W5!$B:$B,$B60,MATCH_W5!$F:$F)+SUMIF(MATCH_W6!$B:$B,$B60,MATCH_W6!$F:$F)</f>
        <v>70</v>
      </c>
      <c r="E60" s="11">
        <f>SUMIF(MATCH_W1!$B:$B,$B60,MATCH_W1!$G:$G)+SUMIF(MATCH_W2!$B:$B,$B60,MATCH_W2!$G:$G)+SUMIF(MATCH_W3!$B:$B,$B60,MATCH_W3!$G:$G)+SUMIF(MATCH_W4!$B:$B,$B60,MATCH_W4!$G:$G)+SUMIF(MATCH_W5!$B:$B,$B60,MATCH_W5!$G:$G)+SUMIF(MATCH_W6!$B:$B,$B60,MATCH_W6!$G:$G)</f>
        <v>68</v>
      </c>
      <c r="F60" s="11">
        <f>SUMIF(MATCH_W1!$B:$B,$B60,MATCH_W1!$H:$H)+SUMIF(MATCH_W2!$B:$B,$B60,MATCH_W2!$H:$H)+SUMIF(MATCH_W3!$B:$B,$B60,MATCH_W3!$H:$H)+SUMIF(MATCH_W4!$B:$B,$B60,MATCH_W4!$H:$H)+SUMIF(MATCH_W5!$B:$B,$B60,MATCH_W5!$H:$H)+SUMIF(MATCH_W6!$B:$B,$B60,MATCH_W6!$H:$H)</f>
        <v>99</v>
      </c>
      <c r="G60" s="11">
        <f>SUMIF(MATCH_W1!$B:$B,$B60,MATCH_W1!$I:$I)+SUMIF(MATCH_W2!$B:$B,$B60,MATCH_W2!$I:$I)+SUMIF(MATCH_W3!$B:$B,$B60,MATCH_W3!$I:$I)+SUMIF(MATCH_W4!$B:$B,$B60,MATCH_W4!$I:$I)+SUMIF(MATCH_W5!$B:$B,$B60,MATCH_W5!$I:$I)+SUMIF(MATCH_W6!$B:$B,$B60,MATCH_W6!$I:$I)</f>
        <v>41309</v>
      </c>
      <c r="H60" s="11">
        <f>SUMIF(MATCH_W1!$B:$B,$B60,MATCH_W1!$J:$J)+SUMIF(MATCH_W2!$B:$B,$B60,MATCH_W2!$J:$J)+SUMIF(MATCH_W3!$B:$B,$B60,MATCH_W3!$J:$J)+SUMIF(MATCH_W4!$B:$B,$B60,MATCH_W4!$J:$J)+SUMIF(MATCH_W5!$B:$B,$B60,MATCH_W5!$J:$J)+SUMIF(MATCH_W6!$B:$B,$B60,MATCH_W6!$J:$J)</f>
        <v>90266</v>
      </c>
      <c r="I60" s="11">
        <f>SUMIF(MATCH_W1!$B:$B,$B60,MATCH_W1!$K:$K)+SUMIF(MATCH_W2!$B:$B,$B60,MATCH_W2!$K:$K)+SUMIF(MATCH_W3!$B:$B,$B60,MATCH_W3!$K:$K)+SUMIF(MATCH_W4!$B:$B,$B60,MATCH_W4!$K:$K)+SUMIF(MATCH_W5!$B:$B,$B60,MATCH_W5!$K:$K)+SUMIF(MATCH_W6!$B:$B,$B60,MATCH_W6!$K:$K)</f>
        <v>14461</v>
      </c>
      <c r="J60" s="10">
        <f t="shared" si="1"/>
        <v>1.0294117647058822</v>
      </c>
      <c r="K60" s="12">
        <f>SUMIF(MATCH_W1!$B:$B,$B60,MATCH_W1!$M:$M)+SUMIF(MATCH_W2!$B:$B,$B60,MATCH_W2!$M:$M)+SUMIF(MATCH_W3!$B:$B,$B60,MATCH_W3!$M:$M)+SUMIF(MATCH_W4!$B:$B,$B60,MATCH_W4!$M:$M)+SUMIF(MATCH_W5!$B:$B,$B60,MATCH_W5!$M:$M)+SUMIF(MATCH_W6!$B:$B,$B60,MATCH_W6!$M:$M)</f>
        <v>6630</v>
      </c>
    </row>
    <row r="61" spans="1:11">
      <c r="A61" s="8" t="s">
        <v>53</v>
      </c>
      <c r="B61" s="8" t="s">
        <v>174</v>
      </c>
      <c r="C61" s="8" t="s">
        <v>109</v>
      </c>
      <c r="D61" s="11">
        <f>SUMIF(MATCH_W1!$B:$B,$B61,MATCH_W1!$F:$F)+SUMIF(MATCH_W2!$B:$B,$B61,MATCH_W2!$F:$F)+SUMIF(MATCH_W3!$B:$B,$B61,MATCH_W3!$F:$F)+SUMIF(MATCH_W4!$B:$B,$B61,MATCH_W4!$F:$F)+SUMIF(MATCH_W5!$B:$B,$B61,MATCH_W5!$F:$F)+SUMIF(MATCH_W6!$B:$B,$B61,MATCH_W6!$F:$F)</f>
        <v>256</v>
      </c>
      <c r="E61" s="11">
        <f>SUMIF(MATCH_W1!$B:$B,$B61,MATCH_W1!$G:$G)+SUMIF(MATCH_W2!$B:$B,$B61,MATCH_W2!$G:$G)+SUMIF(MATCH_W3!$B:$B,$B61,MATCH_W3!$G:$G)+SUMIF(MATCH_W4!$B:$B,$B61,MATCH_W4!$G:$G)+SUMIF(MATCH_W5!$B:$B,$B61,MATCH_W5!$G:$G)+SUMIF(MATCH_W6!$B:$B,$B61,MATCH_W6!$G:$G)</f>
        <v>210</v>
      </c>
      <c r="F61" s="11">
        <f>SUMIF(MATCH_W1!$B:$B,$B61,MATCH_W1!$H:$H)+SUMIF(MATCH_W2!$B:$B,$B61,MATCH_W2!$H:$H)+SUMIF(MATCH_W3!$B:$B,$B61,MATCH_W3!$H:$H)+SUMIF(MATCH_W4!$B:$B,$B61,MATCH_W4!$H:$H)+SUMIF(MATCH_W5!$B:$B,$B61,MATCH_W5!$H:$H)+SUMIF(MATCH_W6!$B:$B,$B61,MATCH_W6!$H:$H)</f>
        <v>439</v>
      </c>
      <c r="G61" s="11">
        <f>SUMIF(MATCH_W1!$B:$B,$B61,MATCH_W1!$I:$I)+SUMIF(MATCH_W2!$B:$B,$B61,MATCH_W2!$I:$I)+SUMIF(MATCH_W3!$B:$B,$B61,MATCH_W3!$I:$I)+SUMIF(MATCH_W4!$B:$B,$B61,MATCH_W4!$I:$I)+SUMIF(MATCH_W5!$B:$B,$B61,MATCH_W5!$I:$I)+SUMIF(MATCH_W6!$B:$B,$B61,MATCH_W6!$I:$I)</f>
        <v>118991</v>
      </c>
      <c r="H61" s="11">
        <f>SUMIF(MATCH_W1!$B:$B,$B61,MATCH_W1!$J:$J)+SUMIF(MATCH_W2!$B:$B,$B61,MATCH_W2!$J:$J)+SUMIF(MATCH_W3!$B:$B,$B61,MATCH_W3!$J:$J)+SUMIF(MATCH_W4!$B:$B,$B61,MATCH_W4!$J:$J)+SUMIF(MATCH_W5!$B:$B,$B61,MATCH_W5!$J:$J)+SUMIF(MATCH_W6!$B:$B,$B61,MATCH_W6!$J:$J)</f>
        <v>364139</v>
      </c>
      <c r="I61" s="11">
        <f>SUMIF(MATCH_W1!$B:$B,$B61,MATCH_W1!$K:$K)+SUMIF(MATCH_W2!$B:$B,$B61,MATCH_W2!$K:$K)+SUMIF(MATCH_W3!$B:$B,$B61,MATCH_W3!$K:$K)+SUMIF(MATCH_W4!$B:$B,$B61,MATCH_W4!$K:$K)+SUMIF(MATCH_W5!$B:$B,$B61,MATCH_W5!$K:$K)+SUMIF(MATCH_W6!$B:$B,$B61,MATCH_W6!$K:$K)</f>
        <v>4194</v>
      </c>
      <c r="J61" s="10">
        <f t="shared" si="1"/>
        <v>1.2190476190476192</v>
      </c>
      <c r="K61" s="12">
        <f>SUMIF(MATCH_W1!$B:$B,$B61,MATCH_W1!$M:$M)+SUMIF(MATCH_W2!$B:$B,$B61,MATCH_W2!$M:$M)+SUMIF(MATCH_W3!$B:$B,$B61,MATCH_W3!$M:$M)+SUMIF(MATCH_W4!$B:$B,$B61,MATCH_W4!$M:$M)+SUMIF(MATCH_W5!$B:$B,$B61,MATCH_W5!$M:$M)+SUMIF(MATCH_W6!$B:$B,$B61,MATCH_W6!$M:$M)</f>
        <v>19003</v>
      </c>
    </row>
  </sheetData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6"/>
  <sheetViews>
    <sheetView workbookViewId="0"/>
  </sheetViews>
  <sheetFormatPr baseColWidth="10" defaultRowHeight="18"/>
  <cols>
    <col min="4" max="10" width="14.7109375" style="3" customWidth="1"/>
  </cols>
  <sheetData>
    <row r="1" spans="1:10">
      <c r="A1" s="22" t="s">
        <v>175</v>
      </c>
      <c r="B1" s="22" t="s">
        <v>176</v>
      </c>
      <c r="C1" s="22" t="s">
        <v>177</v>
      </c>
      <c r="D1" s="22" t="s">
        <v>369</v>
      </c>
      <c r="E1" s="22" t="s">
        <v>370</v>
      </c>
      <c r="F1" s="22" t="s">
        <v>371</v>
      </c>
      <c r="G1" s="22" t="s">
        <v>372</v>
      </c>
      <c r="H1" s="22" t="s">
        <v>373</v>
      </c>
      <c r="I1" s="22" t="s">
        <v>374</v>
      </c>
      <c r="J1" s="22" t="s">
        <v>375</v>
      </c>
    </row>
    <row r="2" spans="1:10">
      <c r="A2" t="s">
        <v>20</v>
      </c>
      <c r="B2" t="s">
        <v>100</v>
      </c>
      <c r="C2" t="s">
        <v>101</v>
      </c>
      <c r="D2" s="50">
        <f>'TOTAL STATISTICS'!K2/60</f>
        <v>179.5</v>
      </c>
      <c r="E2" s="50">
        <f>IFERROR('TOTAL STATISTICS'!D2/'TOTAL STATISTICS'!K2*600,0)</f>
        <v>19.442896935933145</v>
      </c>
      <c r="F2" s="50">
        <f>IFERROR('TOTAL STATISTICS'!E2/'TOTAL STATISTICS'!K2*600,0)</f>
        <v>6.6852367688022287</v>
      </c>
      <c r="G2" s="50">
        <f>IFERROR('TOTAL STATISTICS'!F2/'TOTAL STATISTICS'!K2*600,0)</f>
        <v>11.866295264623956</v>
      </c>
      <c r="H2" s="50">
        <f>IFERROR('TOTAL STATISTICS'!G2/'TOTAL STATISTICS'!K2*600,0)</f>
        <v>12272.033426183843</v>
      </c>
      <c r="I2" s="50">
        <f>IFERROR('TOTAL STATISTICS'!H2/'TOTAL STATISTICS'!K2*600,0)</f>
        <v>2859.6657381615596</v>
      </c>
      <c r="J2" s="50">
        <f>IFERROR('TOTAL STATISTICS'!I2/'TOTAL STATISTICS'!K2*600,0)</f>
        <v>7175.8217270194991</v>
      </c>
    </row>
    <row r="3" spans="1:10">
      <c r="A3" t="s">
        <v>20</v>
      </c>
      <c r="B3" t="s">
        <v>102</v>
      </c>
      <c r="C3" t="s">
        <v>101</v>
      </c>
      <c r="D3" s="50">
        <f>'TOTAL STATISTICS'!K3/60</f>
        <v>227.73333333333332</v>
      </c>
      <c r="E3" s="50">
        <f>IFERROR('TOTAL STATISTICS'!D3/'TOTAL STATISTICS'!K3*600,0)</f>
        <v>15.149297423887589</v>
      </c>
      <c r="F3" s="50">
        <f>IFERROR('TOTAL STATISTICS'!E3/'TOTAL STATISTICS'!K3*600,0)</f>
        <v>6.0158079625292746</v>
      </c>
      <c r="G3" s="50">
        <f>IFERROR('TOTAL STATISTICS'!F3/'TOTAL STATISTICS'!K3*600,0)</f>
        <v>4.8741217798594851</v>
      </c>
      <c r="H3" s="50">
        <f>IFERROR('TOTAL STATISTICS'!G3/'TOTAL STATISTICS'!K3*600,0)</f>
        <v>10096.282201405153</v>
      </c>
      <c r="I3" s="50">
        <f>IFERROR('TOTAL STATISTICS'!H3/'TOTAL STATISTICS'!K3*600,0)</f>
        <v>748.28747072599538</v>
      </c>
      <c r="J3" s="50">
        <f>IFERROR('TOTAL STATISTICS'!I3/'TOTAL STATISTICS'!K3*600,0)</f>
        <v>15766.071428571429</v>
      </c>
    </row>
    <row r="4" spans="1:10">
      <c r="A4" t="s">
        <v>20</v>
      </c>
      <c r="B4" t="s">
        <v>103</v>
      </c>
      <c r="C4" t="s">
        <v>104</v>
      </c>
      <c r="D4" s="50">
        <f>'TOTAL STATISTICS'!K4/60</f>
        <v>407.23333333333335</v>
      </c>
      <c r="E4" s="50">
        <f>IFERROR('TOTAL STATISTICS'!D4/'TOTAL STATISTICS'!K4*600,0)</f>
        <v>15.814029630842271</v>
      </c>
      <c r="F4" s="50">
        <f>IFERROR('TOTAL STATISTICS'!E4/'TOTAL STATISTICS'!K4*600,0)</f>
        <v>6.9247769501514282</v>
      </c>
      <c r="G4" s="50">
        <f>IFERROR('TOTAL STATISTICS'!F4/'TOTAL STATISTICS'!K4*600,0)</f>
        <v>1.3751330113775888</v>
      </c>
      <c r="H4" s="50">
        <f>IFERROR('TOTAL STATISTICS'!G4/'TOTAL STATISTICS'!K4*600,0)</f>
        <v>8545.7886551526553</v>
      </c>
      <c r="I4" s="50">
        <f>IFERROR('TOTAL STATISTICS'!H4/'TOTAL STATISTICS'!K4*600,0)</f>
        <v>897.00417451092744</v>
      </c>
      <c r="J4" s="50">
        <f>IFERROR('TOTAL STATISTICS'!I4/'TOTAL STATISTICS'!K4*600,0)</f>
        <v>740.28812310714568</v>
      </c>
    </row>
    <row r="5" spans="1:10">
      <c r="A5" t="s">
        <v>20</v>
      </c>
      <c r="B5" t="s">
        <v>106</v>
      </c>
      <c r="C5" t="s">
        <v>104</v>
      </c>
      <c r="D5" s="50">
        <f>'TOTAL STATISTICS'!K5/60</f>
        <v>407.23333333333335</v>
      </c>
      <c r="E5" s="50">
        <f>IFERROR('TOTAL STATISTICS'!D5/'TOTAL STATISTICS'!K5*600,0)</f>
        <v>16.378816403372351</v>
      </c>
      <c r="F5" s="50">
        <f>IFERROR('TOTAL STATISTICS'!E5/'TOTAL STATISTICS'!K5*600,0)</f>
        <v>6.8019972169927154</v>
      </c>
      <c r="G5" s="50">
        <f>IFERROR('TOTAL STATISTICS'!F5/'TOTAL STATISTICS'!K5*600,0)</f>
        <v>2.0135876238028976</v>
      </c>
      <c r="H5" s="50">
        <f>IFERROR('TOTAL STATISTICS'!G5/'TOTAL STATISTICS'!K5*600,0)</f>
        <v>9241.3849553900309</v>
      </c>
      <c r="I5" s="50">
        <f>IFERROR('TOTAL STATISTICS'!H5/'TOTAL STATISTICS'!K5*600,0)</f>
        <v>109.86330523041664</v>
      </c>
      <c r="J5" s="50">
        <f>IFERROR('TOTAL STATISTICS'!I5/'TOTAL STATISTICS'!K5*600,0)</f>
        <v>455.29180649914053</v>
      </c>
    </row>
    <row r="6" spans="1:10">
      <c r="A6" t="s">
        <v>20</v>
      </c>
      <c r="B6" t="s">
        <v>108</v>
      </c>
      <c r="C6" t="s">
        <v>109</v>
      </c>
      <c r="D6" s="50">
        <f>'TOTAL STATISTICS'!K6/60</f>
        <v>407.23333333333335</v>
      </c>
      <c r="E6" s="50">
        <f>IFERROR('TOTAL STATISTICS'!D6/'TOTAL STATISTICS'!K6*600,0)</f>
        <v>12.302529262503068</v>
      </c>
      <c r="F6" s="50">
        <f>IFERROR('TOTAL STATISTICS'!E6/'TOTAL STATISTICS'!K6*600,0)</f>
        <v>5.8197593517230093</v>
      </c>
      <c r="G6" s="50">
        <f>IFERROR('TOTAL STATISTICS'!F6/'TOTAL STATISTICS'!K6*600,0)</f>
        <v>12.155193582712613</v>
      </c>
      <c r="H6" s="50">
        <f>IFERROR('TOTAL STATISTICS'!G6/'TOTAL STATISTICS'!K6*600,0)</f>
        <v>3906.7283293770979</v>
      </c>
      <c r="I6" s="50">
        <f>IFERROR('TOTAL STATISTICS'!H6/'TOTAL STATISTICS'!K6*600,0)</f>
        <v>7468.6666120978962</v>
      </c>
      <c r="J6" s="50">
        <f>IFERROR('TOTAL STATISTICS'!I6/'TOTAL STATISTICS'!K6*600,0)</f>
        <v>936.02357370876643</v>
      </c>
    </row>
    <row r="7" spans="1:10">
      <c r="A7" t="s">
        <v>20</v>
      </c>
      <c r="B7" t="s">
        <v>111</v>
      </c>
      <c r="C7" t="s">
        <v>109</v>
      </c>
      <c r="D7" s="50">
        <f>'TOTAL STATISTICS'!K7/60</f>
        <v>271.73333333333335</v>
      </c>
      <c r="E7" s="50">
        <f>IFERROR('TOTAL STATISTICS'!D7/'TOTAL STATISTICS'!K7*600,0)</f>
        <v>10.525024533856721</v>
      </c>
      <c r="F7" s="50">
        <f>IFERROR('TOTAL STATISTICS'!E7/'TOTAL STATISTICS'!K7*600,0)</f>
        <v>7.838567222767419</v>
      </c>
      <c r="G7" s="50">
        <f>IFERROR('TOTAL STATISTICS'!F7/'TOTAL STATISTICS'!K7*600,0)</f>
        <v>14.131501472031402</v>
      </c>
      <c r="H7" s="50">
        <f>IFERROR('TOTAL STATISTICS'!G7/'TOTAL STATISTICS'!K7*600,0)</f>
        <v>4183.6604514229639</v>
      </c>
      <c r="I7" s="50">
        <f>IFERROR('TOTAL STATISTICS'!H7/'TOTAL STATISTICS'!K7*600,0)</f>
        <v>11075.785083415114</v>
      </c>
      <c r="J7" s="50">
        <f>IFERROR('TOTAL STATISTICS'!I7/'TOTAL STATISTICS'!K7*600,0)</f>
        <v>66.425417075564283</v>
      </c>
    </row>
    <row r="8" spans="1:10">
      <c r="A8" t="s">
        <v>20</v>
      </c>
      <c r="B8" t="s">
        <v>113</v>
      </c>
      <c r="C8" t="s">
        <v>109</v>
      </c>
      <c r="D8" s="50">
        <f>'TOTAL STATISTICS'!K8/60</f>
        <v>135.5</v>
      </c>
      <c r="E8" s="50">
        <f>IFERROR('TOTAL STATISTICS'!D8/'TOTAL STATISTICS'!K8*600,0)</f>
        <v>11.07011070110701</v>
      </c>
      <c r="F8" s="50">
        <f>IFERROR('TOTAL STATISTICS'!E8/'TOTAL STATISTICS'!K8*600,0)</f>
        <v>5.7564575645756459</v>
      </c>
      <c r="G8" s="50">
        <f>IFERROR('TOTAL STATISTICS'!F8/'TOTAL STATISTICS'!K8*600,0)</f>
        <v>18.671586715867157</v>
      </c>
      <c r="H8" s="50">
        <f>IFERROR('TOTAL STATISTICS'!G8/'TOTAL STATISTICS'!K8*600,0)</f>
        <v>4941.2546125461258</v>
      </c>
      <c r="I8" s="50">
        <f>IFERROR('TOTAL STATISTICS'!H8/'TOTAL STATISTICS'!K8*600,0)</f>
        <v>13104.649446494464</v>
      </c>
      <c r="J8" s="50">
        <f>IFERROR('TOTAL STATISTICS'!I8/'TOTAL STATISTICS'!K8*600,0)</f>
        <v>0</v>
      </c>
    </row>
    <row r="9" spans="1:10">
      <c r="A9" t="s">
        <v>21</v>
      </c>
      <c r="B9" t="s">
        <v>115</v>
      </c>
      <c r="C9" t="s">
        <v>101</v>
      </c>
      <c r="D9" s="50">
        <f>'TOTAL STATISTICS'!K9/60</f>
        <v>111.56666666666666</v>
      </c>
      <c r="E9" s="50">
        <f>IFERROR('TOTAL STATISTICS'!D9/'TOTAL STATISTICS'!K9*600,0)</f>
        <v>13.086345981475947</v>
      </c>
      <c r="F9" s="50">
        <f>IFERROR('TOTAL STATISTICS'!E9/'TOTAL STATISTICS'!K9*600,0)</f>
        <v>5.5572154167911556</v>
      </c>
      <c r="G9" s="50">
        <f>IFERROR('TOTAL STATISTICS'!F9/'TOTAL STATISTICS'!K9*600,0)</f>
        <v>4.2127278159545858</v>
      </c>
      <c r="H9" s="50">
        <f>IFERROR('TOTAL STATISTICS'!G9/'TOTAL STATISTICS'!K9*600,0)</f>
        <v>8997.5799223184949</v>
      </c>
      <c r="I9" s="50">
        <f>IFERROR('TOTAL STATISTICS'!H9/'TOTAL STATISTICS'!K9*600,0)</f>
        <v>742.87421571556615</v>
      </c>
      <c r="J9" s="50">
        <f>IFERROR('TOTAL STATISTICS'!I9/'TOTAL STATISTICS'!K9*600,0)</f>
        <v>14112.907080968031</v>
      </c>
    </row>
    <row r="10" spans="1:10">
      <c r="A10" t="s">
        <v>21</v>
      </c>
      <c r="B10" t="s">
        <v>116</v>
      </c>
      <c r="C10" t="s">
        <v>101</v>
      </c>
      <c r="D10" s="50">
        <f>'TOTAL STATISTICS'!K10/60</f>
        <v>408.46666666666664</v>
      </c>
      <c r="E10" s="50">
        <f>IFERROR('TOTAL STATISTICS'!D10/'TOTAL STATISTICS'!K10*600,0)</f>
        <v>17.626897339644199</v>
      </c>
      <c r="F10" s="50">
        <f>IFERROR('TOTAL STATISTICS'!E10/'TOTAL STATISTICS'!K10*600,0)</f>
        <v>6.3652684837604045</v>
      </c>
      <c r="G10" s="50">
        <f>IFERROR('TOTAL STATISTICS'!F10/'TOTAL STATISTICS'!K10*600,0)</f>
        <v>8.9113758772645664</v>
      </c>
      <c r="H10" s="50">
        <f>IFERROR('TOTAL STATISTICS'!G10/'TOTAL STATISTICS'!K10*600,0)</f>
        <v>11019.944507915781</v>
      </c>
      <c r="I10" s="50">
        <f>IFERROR('TOTAL STATISTICS'!H10/'TOTAL STATISTICS'!K10*600,0)</f>
        <v>1946.0339480985801</v>
      </c>
      <c r="J10" s="50">
        <f>IFERROR('TOTAL STATISTICS'!I10/'TOTAL STATISTICS'!K10*600,0)</f>
        <v>10287.106251020075</v>
      </c>
    </row>
    <row r="11" spans="1:10">
      <c r="A11" t="s">
        <v>21</v>
      </c>
      <c r="B11" t="s">
        <v>117</v>
      </c>
      <c r="C11" t="s">
        <v>104</v>
      </c>
      <c r="D11" s="50">
        <f>'TOTAL STATISTICS'!K11/60</f>
        <v>520.0333333333333</v>
      </c>
      <c r="E11" s="50">
        <f>IFERROR('TOTAL STATISTICS'!D11/'TOTAL STATISTICS'!K11*600,0)</f>
        <v>16.614319594897761</v>
      </c>
      <c r="F11" s="50">
        <f>IFERROR('TOTAL STATISTICS'!E11/'TOTAL STATISTICS'!K11*600,0)</f>
        <v>6.9226331645407342</v>
      </c>
      <c r="G11" s="50">
        <f>IFERROR('TOTAL STATISTICS'!F11/'TOTAL STATISTICS'!K11*600,0)</f>
        <v>2.9036600217934745</v>
      </c>
      <c r="H11" s="50">
        <f>IFERROR('TOTAL STATISTICS'!G11/'TOTAL STATISTICS'!K11*600,0)</f>
        <v>8623.5433626049617</v>
      </c>
      <c r="I11" s="50">
        <f>IFERROR('TOTAL STATISTICS'!H11/'TOTAL STATISTICS'!K11*600,0)</f>
        <v>714.81956284853538</v>
      </c>
      <c r="J11" s="50">
        <f>IFERROR('TOTAL STATISTICS'!I11/'TOTAL STATISTICS'!K11*600,0)</f>
        <v>2223.4343952310751</v>
      </c>
    </row>
    <row r="12" spans="1:10">
      <c r="A12" t="s">
        <v>21</v>
      </c>
      <c r="B12" t="s">
        <v>118</v>
      </c>
      <c r="C12" t="s">
        <v>104</v>
      </c>
      <c r="D12" s="50">
        <f>'TOTAL STATISTICS'!K12/60</f>
        <v>209.73333333333332</v>
      </c>
      <c r="E12" s="50">
        <f>IFERROR('TOTAL STATISTICS'!D12/'TOTAL STATISTICS'!K12*600,0)</f>
        <v>14.828353464717102</v>
      </c>
      <c r="F12" s="50">
        <f>IFERROR('TOTAL STATISTICS'!E12/'TOTAL STATISTICS'!K12*600,0)</f>
        <v>7.2949777495232038</v>
      </c>
      <c r="G12" s="50">
        <f>IFERROR('TOTAL STATISTICS'!F12/'TOTAL STATISTICS'!K12*600,0)</f>
        <v>0.90591226954863324</v>
      </c>
      <c r="H12" s="50">
        <f>IFERROR('TOTAL STATISTICS'!G12/'TOTAL STATISTICS'!K12*600,0)</f>
        <v>9913.541004450095</v>
      </c>
      <c r="I12" s="50">
        <f>IFERROR('TOTAL STATISTICS'!H12/'TOTAL STATISTICS'!K12*600,0)</f>
        <v>60.219326128417038</v>
      </c>
      <c r="J12" s="50">
        <f>IFERROR('TOTAL STATISTICS'!I12/'TOTAL STATISTICS'!K12*600,0)</f>
        <v>326.50985378258105</v>
      </c>
    </row>
    <row r="13" spans="1:10">
      <c r="A13" t="s">
        <v>21</v>
      </c>
      <c r="B13" t="s">
        <v>119</v>
      </c>
      <c r="C13" t="s">
        <v>104</v>
      </c>
      <c r="D13" s="50">
        <f>'TOTAL STATISTICS'!K13/60</f>
        <v>310.3</v>
      </c>
      <c r="E13" s="50">
        <f>IFERROR('TOTAL STATISTICS'!D13/'TOTAL STATISTICS'!K13*600,0)</f>
        <v>19.142765066065099</v>
      </c>
      <c r="F13" s="50">
        <f>IFERROR('TOTAL STATISTICS'!E13/'TOTAL STATISTICS'!K13*600,0)</f>
        <v>6.3164679342571706</v>
      </c>
      <c r="G13" s="50">
        <f>IFERROR('TOTAL STATISTICS'!F13/'TOTAL STATISTICS'!K13*600,0)</f>
        <v>1.9336126329358685</v>
      </c>
      <c r="H13" s="50">
        <f>IFERROR('TOTAL STATISTICS'!G13/'TOTAL STATISTICS'!K13*600,0)</f>
        <v>11125.652594263616</v>
      </c>
      <c r="I13" s="50">
        <f>IFERROR('TOTAL STATISTICS'!H13/'TOTAL STATISTICS'!K13*600,0)</f>
        <v>96.100547856912655</v>
      </c>
      <c r="J13" s="50">
        <f>IFERROR('TOTAL STATISTICS'!I13/'TOTAL STATISTICS'!K13*600,0)</f>
        <v>426.07154366741861</v>
      </c>
    </row>
    <row r="14" spans="1:10">
      <c r="A14" t="s">
        <v>21</v>
      </c>
      <c r="B14" t="s">
        <v>120</v>
      </c>
      <c r="C14" t="s">
        <v>109</v>
      </c>
      <c r="D14" s="50">
        <f>'TOTAL STATISTICS'!K14/60</f>
        <v>520.0333333333333</v>
      </c>
      <c r="E14" s="50">
        <f>IFERROR('TOTAL STATISTICS'!D14/'TOTAL STATISTICS'!K14*600,0)</f>
        <v>11.903083135696429</v>
      </c>
      <c r="F14" s="50">
        <f>IFERROR('TOTAL STATISTICS'!E14/'TOTAL STATISTICS'!K14*600,0)</f>
        <v>6.4803538234728544</v>
      </c>
      <c r="G14" s="50">
        <f>IFERROR('TOTAL STATISTICS'!F14/'TOTAL STATISTICS'!K14*600,0)</f>
        <v>12.979937183513877</v>
      </c>
      <c r="H14" s="50">
        <f>IFERROR('TOTAL STATISTICS'!G14/'TOTAL STATISTICS'!K14*600,0)</f>
        <v>3796.5835523363885</v>
      </c>
      <c r="I14" s="50">
        <f>IFERROR('TOTAL STATISTICS'!H14/'TOTAL STATISTICS'!K14*600,0)</f>
        <v>7904.5317607845654</v>
      </c>
      <c r="J14" s="50">
        <f>IFERROR('TOTAL STATISTICS'!I14/'TOTAL STATISTICS'!K14*600,0)</f>
        <v>1379.5461829369913</v>
      </c>
    </row>
    <row r="15" spans="1:10">
      <c r="A15" t="s">
        <v>21</v>
      </c>
      <c r="B15" t="s">
        <v>122</v>
      </c>
      <c r="C15" t="s">
        <v>109</v>
      </c>
      <c r="D15" s="50">
        <f>'TOTAL STATISTICS'!K15/60</f>
        <v>520.0333333333333</v>
      </c>
      <c r="E15" s="50">
        <f>IFERROR('TOTAL STATISTICS'!D15/'TOTAL STATISTICS'!K15*600,0)</f>
        <v>10.903147234151657</v>
      </c>
      <c r="F15" s="50">
        <f>IFERROR('TOTAL STATISTICS'!E15/'TOTAL STATISTICS'!K15*600,0)</f>
        <v>5.6342542144734304</v>
      </c>
      <c r="G15" s="50">
        <f>IFERROR('TOTAL STATISTICS'!F15/'TOTAL STATISTICS'!K15*600,0)</f>
        <v>17.171976155374654</v>
      </c>
      <c r="H15" s="50">
        <f>IFERROR('TOTAL STATISTICS'!G15/'TOTAL STATISTICS'!K15*600,0)</f>
        <v>4240.189731427472</v>
      </c>
      <c r="I15" s="50">
        <f>IFERROR('TOTAL STATISTICS'!H15/'TOTAL STATISTICS'!K15*600,0)</f>
        <v>12518.332158194988</v>
      </c>
      <c r="J15" s="50">
        <f>IFERROR('TOTAL STATISTICS'!I15/'TOTAL STATISTICS'!K15*600,0)</f>
        <v>107.45465034292673</v>
      </c>
    </row>
    <row r="16" spans="1:10">
      <c r="A16" t="s">
        <v>51</v>
      </c>
      <c r="B16" t="s">
        <v>124</v>
      </c>
      <c r="C16" t="s">
        <v>101</v>
      </c>
      <c r="D16" s="50">
        <f>'TOTAL STATISTICS'!K16/60</f>
        <v>106.3</v>
      </c>
      <c r="E16" s="50">
        <f>IFERROR('TOTAL STATISTICS'!D16/'TOTAL STATISTICS'!K16*600,0)</f>
        <v>15.33396048918156</v>
      </c>
      <c r="F16" s="50">
        <f>IFERROR('TOTAL STATISTICS'!E16/'TOTAL STATISTICS'!K16*600,0)</f>
        <v>6.0206961429915333</v>
      </c>
      <c r="G16" s="50">
        <f>IFERROR('TOTAL STATISTICS'!F16/'TOTAL STATISTICS'!K16*600,0)</f>
        <v>8.278457196613358</v>
      </c>
      <c r="H16" s="50">
        <f>IFERROR('TOTAL STATISTICS'!G16/'TOTAL STATISTICS'!K16*600,0)</f>
        <v>9483.913452492945</v>
      </c>
      <c r="I16" s="50">
        <f>IFERROR('TOTAL STATISTICS'!H16/'TOTAL STATISTICS'!K16*600,0)</f>
        <v>2979.3038570084664</v>
      </c>
      <c r="J16" s="50">
        <f>IFERROR('TOTAL STATISTICS'!I16/'TOTAL STATISTICS'!K16*600,0)</f>
        <v>5071.3076199435563</v>
      </c>
    </row>
    <row r="17" spans="1:10">
      <c r="A17" t="s">
        <v>51</v>
      </c>
      <c r="B17" t="s">
        <v>125</v>
      </c>
      <c r="C17" t="s">
        <v>101</v>
      </c>
      <c r="D17" s="50">
        <f>'TOTAL STATISTICS'!K17/60</f>
        <v>229.28333333333333</v>
      </c>
      <c r="E17" s="50">
        <f>IFERROR('TOTAL STATISTICS'!D17/'TOTAL STATISTICS'!K17*600,0)</f>
        <v>15.919168423348113</v>
      </c>
      <c r="F17" s="50">
        <f>IFERROR('TOTAL STATISTICS'!E17/'TOTAL STATISTICS'!K17*600,0)</f>
        <v>6.062368248891473</v>
      </c>
      <c r="G17" s="50">
        <f>IFERROR('TOTAL STATISTICS'!F17/'TOTAL STATISTICS'!K17*600,0)</f>
        <v>6.6729664897870178</v>
      </c>
      <c r="H17" s="50">
        <f>IFERROR('TOTAL STATISTICS'!G17/'TOTAL STATISTICS'!K17*600,0)</f>
        <v>11512.655375445229</v>
      </c>
      <c r="I17" s="50">
        <f>IFERROR('TOTAL STATISTICS'!H17/'TOTAL STATISTICS'!K17*600,0)</f>
        <v>1442.1894308352112</v>
      </c>
      <c r="J17" s="50">
        <f>IFERROR('TOTAL STATISTICS'!I17/'TOTAL STATISTICS'!K17*600,0)</f>
        <v>14897.681180489932</v>
      </c>
    </row>
    <row r="18" spans="1:10">
      <c r="A18" t="s">
        <v>51</v>
      </c>
      <c r="B18" t="s">
        <v>126</v>
      </c>
      <c r="C18" t="s">
        <v>104</v>
      </c>
      <c r="D18" s="50">
        <f>'TOTAL STATISTICS'!K18/60</f>
        <v>335.58333333333331</v>
      </c>
      <c r="E18" s="50">
        <f>IFERROR('TOTAL STATISTICS'!D18/'TOTAL STATISTICS'!K18*600,0)</f>
        <v>16.031785448224483</v>
      </c>
      <c r="F18" s="50">
        <f>IFERROR('TOTAL STATISTICS'!E18/'TOTAL STATISTICS'!K18*600,0)</f>
        <v>5.8405761112490691</v>
      </c>
      <c r="G18" s="50">
        <f>IFERROR('TOTAL STATISTICS'!F18/'TOTAL STATISTICS'!K18*600,0)</f>
        <v>1.996523466600447</v>
      </c>
      <c r="H18" s="50">
        <f>IFERROR('TOTAL STATISTICS'!G18/'TOTAL STATISTICS'!K18*600,0)</f>
        <v>8864.8919791408007</v>
      </c>
      <c r="I18" s="50">
        <f>IFERROR('TOTAL STATISTICS'!H18/'TOTAL STATISTICS'!K18*600,0)</f>
        <v>1160.8740998261733</v>
      </c>
      <c r="J18" s="50">
        <f>IFERROR('TOTAL STATISTICS'!I18/'TOTAL STATISTICS'!K18*600,0)</f>
        <v>1550.7325552520488</v>
      </c>
    </row>
    <row r="19" spans="1:10">
      <c r="A19" t="s">
        <v>51</v>
      </c>
      <c r="B19" t="s">
        <v>127</v>
      </c>
      <c r="C19" t="s">
        <v>104</v>
      </c>
      <c r="D19" s="50">
        <f>'TOTAL STATISTICS'!K19/60</f>
        <v>335.58333333333331</v>
      </c>
      <c r="E19" s="50">
        <f>IFERROR('TOTAL STATISTICS'!D19/'TOTAL STATISTICS'!K19*600,0)</f>
        <v>15.614601440278122</v>
      </c>
      <c r="F19" s="50">
        <f>IFERROR('TOTAL STATISTICS'!E19/'TOTAL STATISTICS'!K19*600,0)</f>
        <v>6.8835361311149743</v>
      </c>
      <c r="G19" s="50">
        <f>IFERROR('TOTAL STATISTICS'!F19/'TOTAL STATISTICS'!K19*600,0)</f>
        <v>1.1323565929972685</v>
      </c>
      <c r="H19" s="50">
        <f>IFERROR('TOTAL STATISTICS'!G19/'TOTAL STATISTICS'!K19*600,0)</f>
        <v>10029.759125900173</v>
      </c>
      <c r="I19" s="50">
        <f>IFERROR('TOTAL STATISTICS'!H19/'TOTAL STATISTICS'!K19*600,0)</f>
        <v>95.654333250558736</v>
      </c>
      <c r="J19" s="50">
        <f>IFERROR('TOTAL STATISTICS'!I19/'TOTAL STATISTICS'!K19*600,0)</f>
        <v>598.95703998013414</v>
      </c>
    </row>
    <row r="20" spans="1:10">
      <c r="A20" t="s">
        <v>51</v>
      </c>
      <c r="B20" t="s">
        <v>128</v>
      </c>
      <c r="C20" t="s">
        <v>109</v>
      </c>
      <c r="D20" s="50">
        <f>'TOTAL STATISTICS'!K20/60</f>
        <v>335.58333333333331</v>
      </c>
      <c r="E20" s="50">
        <f>IFERROR('TOTAL STATISTICS'!D20/'TOTAL STATISTICS'!K20*600,0)</f>
        <v>12.634715669232678</v>
      </c>
      <c r="F20" s="50">
        <f>IFERROR('TOTAL STATISTICS'!E20/'TOTAL STATISTICS'!K20*600,0)</f>
        <v>5.2445989570399796</v>
      </c>
      <c r="G20" s="50">
        <f>IFERROR('TOTAL STATISTICS'!F20/'TOTAL STATISTICS'!K20*600,0)</f>
        <v>12.217531661286317</v>
      </c>
      <c r="H20" s="50">
        <f>IFERROR('TOTAL STATISTICS'!G20/'TOTAL STATISTICS'!K20*600,0)</f>
        <v>4652.823441768066</v>
      </c>
      <c r="I20" s="50">
        <f>IFERROR('TOTAL STATISTICS'!H20/'TOTAL STATISTICS'!K20*600,0)</f>
        <v>8699.2401291283823</v>
      </c>
      <c r="J20" s="50">
        <f>IFERROR('TOTAL STATISTICS'!I20/'TOTAL STATISTICS'!K20*600,0)</f>
        <v>921.64887012664519</v>
      </c>
    </row>
    <row r="21" spans="1:10">
      <c r="A21" t="s">
        <v>51</v>
      </c>
      <c r="B21" t="s">
        <v>129</v>
      </c>
      <c r="C21" t="s">
        <v>109</v>
      </c>
      <c r="D21" s="50">
        <f>'TOTAL STATISTICS'!K21/60</f>
        <v>335.58333333333331</v>
      </c>
      <c r="E21" s="50">
        <f>IFERROR('TOTAL STATISTICS'!D21/'TOTAL STATISTICS'!K21*600,0)</f>
        <v>8.9396573131363297</v>
      </c>
      <c r="F21" s="50">
        <f>IFERROR('TOTAL STATISTICS'!E21/'TOTAL STATISTICS'!K21*600,0)</f>
        <v>5.3339955301713431</v>
      </c>
      <c r="G21" s="50">
        <f>IFERROR('TOTAL STATISTICS'!F21/'TOTAL STATISTICS'!K21*600,0)</f>
        <v>16.180779736776756</v>
      </c>
      <c r="H21" s="50">
        <f>IFERROR('TOTAL STATISTICS'!G21/'TOTAL STATISTICS'!K21*600,0)</f>
        <v>4344.584057611125</v>
      </c>
      <c r="I21" s="50">
        <f>IFERROR('TOTAL STATISTICS'!H21/'TOTAL STATISTICS'!K21*600,0)</f>
        <v>11857.859448721132</v>
      </c>
      <c r="J21" s="50">
        <f>IFERROR('TOTAL STATISTICS'!I21/'TOTAL STATISTICS'!K21*600,0)</f>
        <v>95.475540104296002</v>
      </c>
    </row>
    <row r="22" spans="1:10">
      <c r="A22" t="s">
        <v>50</v>
      </c>
      <c r="B22" t="s">
        <v>131</v>
      </c>
      <c r="C22" t="s">
        <v>101</v>
      </c>
      <c r="D22" s="50">
        <f>'TOTAL STATISTICS'!K22/60</f>
        <v>241.85</v>
      </c>
      <c r="E22" s="50">
        <f>IFERROR('TOTAL STATISTICS'!D22/'TOTAL STATISTICS'!K22*600,0)</f>
        <v>12.15629522431259</v>
      </c>
      <c r="F22" s="50">
        <f>IFERROR('TOTAL STATISTICS'!E22/'TOTAL STATISTICS'!K22*600,0)</f>
        <v>6.8637585280132321</v>
      </c>
      <c r="G22" s="50">
        <f>IFERROR('TOTAL STATISTICS'!F22/'TOTAL STATISTICS'!K22*600,0)</f>
        <v>4.8377093239611337</v>
      </c>
      <c r="H22" s="50">
        <f>IFERROR('TOTAL STATISTICS'!G22/'TOTAL STATISTICS'!K22*600,0)</f>
        <v>9171.263179656813</v>
      </c>
      <c r="I22" s="50">
        <f>IFERROR('TOTAL STATISTICS'!H22/'TOTAL STATISTICS'!K22*600,0)</f>
        <v>1567.2524291916477</v>
      </c>
      <c r="J22" s="50">
        <f>IFERROR('TOTAL STATISTICS'!I22/'TOTAL STATISTICS'!K22*600,0)</f>
        <v>9644.1596030597484</v>
      </c>
    </row>
    <row r="23" spans="1:10">
      <c r="A23" t="s">
        <v>50</v>
      </c>
      <c r="B23" t="s">
        <v>132</v>
      </c>
      <c r="C23" t="s">
        <v>101</v>
      </c>
      <c r="D23" s="50">
        <f>'TOTAL STATISTICS'!K23/60</f>
        <v>5.7833333333333341</v>
      </c>
      <c r="E23" s="50">
        <f>IFERROR('TOTAL STATISTICS'!D23/'TOTAL STATISTICS'!K23*600,0)</f>
        <v>10.374639769452449</v>
      </c>
      <c r="F23" s="50">
        <f>IFERROR('TOTAL STATISTICS'!E23/'TOTAL STATISTICS'!K23*600,0)</f>
        <v>13.832853025936597</v>
      </c>
      <c r="G23" s="50">
        <f>IFERROR('TOTAL STATISTICS'!F23/'TOTAL STATISTICS'!K23*600,0)</f>
        <v>5.1873198847262243</v>
      </c>
      <c r="H23" s="50">
        <f>IFERROR('TOTAL STATISTICS'!G23/'TOTAL STATISTICS'!K23*600,0)</f>
        <v>8277.2334293948115</v>
      </c>
      <c r="I23" s="50">
        <f>IFERROR('TOTAL STATISTICS'!H23/'TOTAL STATISTICS'!K23*600,0)</f>
        <v>1706.6282420749276</v>
      </c>
      <c r="J23" s="50">
        <f>IFERROR('TOTAL STATISTICS'!I23/'TOTAL STATISTICS'!K23*600,0)</f>
        <v>5118.1556195965413</v>
      </c>
    </row>
    <row r="24" spans="1:10">
      <c r="A24" t="s">
        <v>50</v>
      </c>
      <c r="B24" t="s">
        <v>133</v>
      </c>
      <c r="C24" t="s">
        <v>104</v>
      </c>
      <c r="D24" s="50">
        <f>'TOTAL STATISTICS'!K24/60</f>
        <v>247.63333333333333</v>
      </c>
      <c r="E24" s="50">
        <f>IFERROR('TOTAL STATISTICS'!D24/'TOTAL STATISTICS'!K24*600,0)</f>
        <v>12.235832548122223</v>
      </c>
      <c r="F24" s="50">
        <f>IFERROR('TOTAL STATISTICS'!E24/'TOTAL STATISTICS'!K24*600,0)</f>
        <v>7.2284291290887071</v>
      </c>
      <c r="G24" s="50">
        <f>IFERROR('TOTAL STATISTICS'!F24/'TOTAL STATISTICS'!K24*600,0)</f>
        <v>1.2518508547583793</v>
      </c>
      <c r="H24" s="50">
        <f>IFERROR('TOTAL STATISTICS'!G24/'TOTAL STATISTICS'!K24*600,0)</f>
        <v>7020.7430340557275</v>
      </c>
      <c r="I24" s="50">
        <f>IFERROR('TOTAL STATISTICS'!H24/'TOTAL STATISTICS'!K24*600,0)</f>
        <v>374.14187643020597</v>
      </c>
      <c r="J24" s="50">
        <f>IFERROR('TOTAL STATISTICS'!I24/'TOTAL STATISTICS'!K24*600,0)</f>
        <v>1508.5206622694845</v>
      </c>
    </row>
    <row r="25" spans="1:10">
      <c r="A25" t="s">
        <v>50</v>
      </c>
      <c r="B25" t="s">
        <v>134</v>
      </c>
      <c r="C25" t="s">
        <v>104</v>
      </c>
      <c r="D25" s="50">
        <f>'TOTAL STATISTICS'!K25/60</f>
        <v>247.63333333333333</v>
      </c>
      <c r="E25" s="50">
        <f>IFERROR('TOTAL STATISTICS'!D25/'TOTAL STATISTICS'!K25*600,0)</f>
        <v>14.699151972001614</v>
      </c>
      <c r="F25" s="50">
        <f>IFERROR('TOTAL STATISTICS'!E25/'TOTAL STATISTICS'!K25*600,0)</f>
        <v>6.1784897025171626</v>
      </c>
      <c r="G25" s="50">
        <f>IFERROR('TOTAL STATISTICS'!F25/'TOTAL STATISTICS'!K25*600,0)</f>
        <v>0.4845874276484049</v>
      </c>
      <c r="H25" s="50">
        <f>IFERROR('TOTAL STATISTICS'!G25/'TOTAL STATISTICS'!K25*600,0)</f>
        <v>10503.594023421725</v>
      </c>
      <c r="I25" s="50">
        <f>IFERROR('TOTAL STATISTICS'!H25/'TOTAL STATISTICS'!K25*600,0)</f>
        <v>30.892448512585812</v>
      </c>
      <c r="J25" s="50">
        <f>IFERROR('TOTAL STATISTICS'!I25/'TOTAL STATISTICS'!K25*600,0)</f>
        <v>238.98236640193835</v>
      </c>
    </row>
    <row r="26" spans="1:10">
      <c r="A26" t="s">
        <v>50</v>
      </c>
      <c r="B26" t="s">
        <v>135</v>
      </c>
      <c r="C26" t="s">
        <v>109</v>
      </c>
      <c r="D26" s="50">
        <f>'TOTAL STATISTICS'!K26/60</f>
        <v>247.63333333333333</v>
      </c>
      <c r="E26" s="50">
        <f>IFERROR('TOTAL STATISTICS'!D26/'TOTAL STATISTICS'!K26*600,0)</f>
        <v>8.7629559833086557</v>
      </c>
      <c r="F26" s="50">
        <f>IFERROR('TOTAL STATISTICS'!E26/'TOTAL STATISTICS'!K26*600,0)</f>
        <v>6.0573428456050609</v>
      </c>
      <c r="G26" s="50">
        <f>IFERROR('TOTAL STATISTICS'!F26/'TOTAL STATISTICS'!K26*600,0)</f>
        <v>11.387804549737515</v>
      </c>
      <c r="H26" s="50">
        <f>IFERROR('TOTAL STATISTICS'!G26/'TOTAL STATISTICS'!K26*600,0)</f>
        <v>3702.8132992327369</v>
      </c>
      <c r="I26" s="50">
        <f>IFERROR('TOTAL STATISTICS'!H26/'TOTAL STATISTICS'!K26*600,0)</f>
        <v>7044.3262888679501</v>
      </c>
      <c r="J26" s="50">
        <f>IFERROR('TOTAL STATISTICS'!I26/'TOTAL STATISTICS'!K26*600,0)</f>
        <v>1414.0261138780454</v>
      </c>
    </row>
    <row r="27" spans="1:10">
      <c r="A27" t="s">
        <v>50</v>
      </c>
      <c r="B27" t="s">
        <v>136</v>
      </c>
      <c r="C27" t="s">
        <v>109</v>
      </c>
      <c r="D27" s="50">
        <f>'TOTAL STATISTICS'!K27/60</f>
        <v>247.63333333333333</v>
      </c>
      <c r="E27" s="50">
        <f>IFERROR('TOTAL STATISTICS'!D27/'TOTAL STATISTICS'!K27*600,0)</f>
        <v>6.1381074168797962</v>
      </c>
      <c r="F27" s="50">
        <f>IFERROR('TOTAL STATISTICS'!E27/'TOTAL STATISTICS'!K27*600,0)</f>
        <v>6.3804011307039978</v>
      </c>
      <c r="G27" s="50">
        <f>IFERROR('TOTAL STATISTICS'!F27/'TOTAL STATISTICS'!K27*600,0)</f>
        <v>13.81074168797954</v>
      </c>
      <c r="H27" s="50">
        <f>IFERROR('TOTAL STATISTICS'!G27/'TOTAL STATISTICS'!K27*600,0)</f>
        <v>2804.3882083725939</v>
      </c>
      <c r="I27" s="50">
        <f>IFERROR('TOTAL STATISTICS'!H27/'TOTAL STATISTICS'!K27*600,0)</f>
        <v>11238.753533449993</v>
      </c>
      <c r="J27" s="50">
        <f>IFERROR('TOTAL STATISTICS'!I27/'TOTAL STATISTICS'!K27*600,0)</f>
        <v>0</v>
      </c>
    </row>
    <row r="28" spans="1:10">
      <c r="A28" t="s">
        <v>42</v>
      </c>
      <c r="B28" t="s">
        <v>138</v>
      </c>
      <c r="C28" t="s">
        <v>101</v>
      </c>
      <c r="D28" s="50">
        <f>'TOTAL STATISTICS'!K28/60</f>
        <v>69.816666666666663</v>
      </c>
      <c r="E28" s="50">
        <f>IFERROR('TOTAL STATISTICS'!D28/'TOTAL STATISTICS'!K28*600,0)</f>
        <v>19.193124850799713</v>
      </c>
      <c r="F28" s="50">
        <f>IFERROR('TOTAL STATISTICS'!E28/'TOTAL STATISTICS'!K28*600,0)</f>
        <v>4.0105037001671047</v>
      </c>
      <c r="G28" s="50">
        <f>IFERROR('TOTAL STATISTICS'!F28/'TOTAL STATISTICS'!K28*600,0)</f>
        <v>8.0210074003342093</v>
      </c>
      <c r="H28" s="50">
        <f>IFERROR('TOTAL STATISTICS'!G28/'TOTAL STATISTICS'!K28*600,0)</f>
        <v>9299.928383862496</v>
      </c>
      <c r="I28" s="50">
        <f>IFERROR('TOTAL STATISTICS'!H28/'TOTAL STATISTICS'!K28*600,0)</f>
        <v>1889.806636428742</v>
      </c>
      <c r="J28" s="50">
        <f>IFERROR('TOTAL STATISTICS'!I28/'TOTAL STATISTICS'!K28*600,0)</f>
        <v>5555.2637861064695</v>
      </c>
    </row>
    <row r="29" spans="1:10">
      <c r="A29" t="s">
        <v>42</v>
      </c>
      <c r="B29" t="s">
        <v>139</v>
      </c>
      <c r="C29" t="s">
        <v>101</v>
      </c>
      <c r="D29" s="50">
        <f>'TOTAL STATISTICS'!K29/60</f>
        <v>599.76666666666665</v>
      </c>
      <c r="E29" s="50">
        <f>IFERROR('TOTAL STATISTICS'!D29/'TOTAL STATISTICS'!K29*600,0)</f>
        <v>25.409881620630248</v>
      </c>
      <c r="F29" s="50">
        <f>IFERROR('TOTAL STATISTICS'!E29/'TOTAL STATISTICS'!K29*600,0)</f>
        <v>6.1023731451119874</v>
      </c>
      <c r="G29" s="50">
        <f>IFERROR('TOTAL STATISTICS'!F29/'TOTAL STATISTICS'!K29*600,0)</f>
        <v>12.771633412993943</v>
      </c>
      <c r="H29" s="50">
        <f>IFERROR('TOTAL STATISTICS'!G29/'TOTAL STATISTICS'!K29*600,0)</f>
        <v>11331.690101706219</v>
      </c>
      <c r="I29" s="50">
        <f>IFERROR('TOTAL STATISTICS'!H29/'TOTAL STATISTICS'!K29*600,0)</f>
        <v>1728.2721058189295</v>
      </c>
      <c r="J29" s="50">
        <f>IFERROR('TOTAL STATISTICS'!I29/'TOTAL STATISTICS'!K29*600,0)</f>
        <v>10542.699938865115</v>
      </c>
    </row>
    <row r="30" spans="1:10">
      <c r="A30" t="s">
        <v>42</v>
      </c>
      <c r="B30" t="s">
        <v>140</v>
      </c>
      <c r="C30" t="s">
        <v>104</v>
      </c>
      <c r="D30" s="50">
        <f>'TOTAL STATISTICS'!K30/60</f>
        <v>669.58333333333337</v>
      </c>
      <c r="E30" s="50">
        <f>IFERROR('TOTAL STATISTICS'!D30/'TOTAL STATISTICS'!K30*600,0)</f>
        <v>23.850653391412571</v>
      </c>
      <c r="F30" s="50">
        <f>IFERROR('TOTAL STATISTICS'!E30/'TOTAL STATISTICS'!K30*600,0)</f>
        <v>5.9141257000622272</v>
      </c>
      <c r="G30" s="50">
        <f>IFERROR('TOTAL STATISTICS'!F30/'TOTAL STATISTICS'!K30*600,0)</f>
        <v>2.8077162414436838</v>
      </c>
      <c r="H30" s="50">
        <f>IFERROR('TOTAL STATISTICS'!G30/'TOTAL STATISTICS'!K30*600,0)</f>
        <v>10425.961418792782</v>
      </c>
      <c r="I30" s="50">
        <f>IFERROR('TOTAL STATISTICS'!H30/'TOTAL STATISTICS'!K30*600,0)</f>
        <v>410.65836963285625</v>
      </c>
      <c r="J30" s="50">
        <f>IFERROR('TOTAL STATISTICS'!I30/'TOTAL STATISTICS'!K30*600,0)</f>
        <v>875.66397013067819</v>
      </c>
    </row>
    <row r="31" spans="1:10">
      <c r="A31" t="s">
        <v>42</v>
      </c>
      <c r="B31" t="s">
        <v>141</v>
      </c>
      <c r="C31" t="s">
        <v>104</v>
      </c>
      <c r="D31" s="50">
        <f>'TOTAL STATISTICS'!K31/60</f>
        <v>669.58333333333337</v>
      </c>
      <c r="E31" s="50">
        <f>IFERROR('TOTAL STATISTICS'!D31/'TOTAL STATISTICS'!K31*600,0)</f>
        <v>22.790292470441816</v>
      </c>
      <c r="F31" s="50">
        <f>IFERROR('TOTAL STATISTICS'!E31/'TOTAL STATISTICS'!K31*600,0)</f>
        <v>7.0192906036092095</v>
      </c>
      <c r="G31" s="50">
        <f>IFERROR('TOTAL STATISTICS'!F31/'TOTAL STATISTICS'!K31*600,0)</f>
        <v>1.6129433727442439</v>
      </c>
      <c r="H31" s="50">
        <f>IFERROR('TOTAL STATISTICS'!G31/'TOTAL STATISTICS'!K31*600,0)</f>
        <v>10331.006845052894</v>
      </c>
      <c r="I31" s="50">
        <f>IFERROR('TOTAL STATISTICS'!H31/'TOTAL STATISTICS'!K31*600,0)</f>
        <v>621.31176104542624</v>
      </c>
      <c r="J31" s="50">
        <f>IFERROR('TOTAL STATISTICS'!I31/'TOTAL STATISTICS'!K31*600,0)</f>
        <v>748.92843808338523</v>
      </c>
    </row>
    <row r="32" spans="1:10">
      <c r="A32" t="s">
        <v>42</v>
      </c>
      <c r="B32" t="s">
        <v>142</v>
      </c>
      <c r="C32" t="s">
        <v>109</v>
      </c>
      <c r="D32" s="50">
        <f>'TOTAL STATISTICS'!K32/60</f>
        <v>669.58333333333337</v>
      </c>
      <c r="E32" s="50">
        <f>IFERROR('TOTAL STATISTICS'!D32/'TOTAL STATISTICS'!K32*600,0)</f>
        <v>19.698817672682015</v>
      </c>
      <c r="F32" s="50">
        <f>IFERROR('TOTAL STATISTICS'!E32/'TOTAL STATISTICS'!K32*600,0)</f>
        <v>6.1082762912258861</v>
      </c>
      <c r="G32" s="50">
        <f>IFERROR('TOTAL STATISTICS'!F32/'TOTAL STATISTICS'!K32*600,0)</f>
        <v>17.951462352209088</v>
      </c>
      <c r="H32" s="50">
        <f>IFERROR('TOTAL STATISTICS'!G32/'TOTAL STATISTICS'!K32*600,0)</f>
        <v>5249.8319850653397</v>
      </c>
      <c r="I32" s="50">
        <f>IFERROR('TOTAL STATISTICS'!H32/'TOTAL STATISTICS'!K32*600,0)</f>
        <v>8565.0429371499686</v>
      </c>
      <c r="J32" s="50">
        <f>IFERROR('TOTAL STATISTICS'!I32/'TOTAL STATISTICS'!K32*600,0)</f>
        <v>658.39452395768512</v>
      </c>
    </row>
    <row r="33" spans="1:10">
      <c r="A33" t="s">
        <v>42</v>
      </c>
      <c r="B33" t="s">
        <v>143</v>
      </c>
      <c r="C33" t="s">
        <v>109</v>
      </c>
      <c r="D33" s="50">
        <f>'TOTAL STATISTICS'!K33/60</f>
        <v>669.58333333333337</v>
      </c>
      <c r="E33" s="50">
        <f>IFERROR('TOTAL STATISTICS'!D33/'TOTAL STATISTICS'!K33*600,0)</f>
        <v>13.485998755444928</v>
      </c>
      <c r="F33" s="50">
        <f>IFERROR('TOTAL STATISTICS'!E33/'TOTAL STATISTICS'!K33*600,0)</f>
        <v>6.3024268823895451</v>
      </c>
      <c r="G33" s="50">
        <f>IFERROR('TOTAL STATISTICS'!F33/'TOTAL STATISTICS'!K33*600,0)</f>
        <v>23.462352209085253</v>
      </c>
      <c r="H33" s="50">
        <f>IFERROR('TOTAL STATISTICS'!G33/'TOTAL STATISTICS'!K33*600,0)</f>
        <v>4582.8799004355942</v>
      </c>
      <c r="I33" s="50">
        <f>IFERROR('TOTAL STATISTICS'!H33/'TOTAL STATISTICS'!K33*600,0)</f>
        <v>10745.742377100187</v>
      </c>
      <c r="J33" s="50">
        <f>IFERROR('TOTAL STATISTICS'!I33/'TOTAL STATISTICS'!K33*600,0)</f>
        <v>312.80647168637211</v>
      </c>
    </row>
    <row r="34" spans="1:10">
      <c r="A34" t="s">
        <v>32</v>
      </c>
      <c r="B34" t="s">
        <v>145</v>
      </c>
      <c r="C34" t="s">
        <v>101</v>
      </c>
      <c r="D34" s="50">
        <f>'TOTAL STATISTICS'!K34/60</f>
        <v>57.43333333333333</v>
      </c>
      <c r="E34" s="50">
        <f>IFERROR('TOTAL STATISTICS'!D34/'TOTAL STATISTICS'!K34*600,0)</f>
        <v>23.505513639001741</v>
      </c>
      <c r="F34" s="50">
        <f>IFERROR('TOTAL STATISTICS'!E34/'TOTAL STATISTICS'!K34*600,0)</f>
        <v>4.7011027278003485</v>
      </c>
      <c r="G34" s="50">
        <f>IFERROR('TOTAL STATISTICS'!F34/'TOTAL STATISTICS'!K34*600,0)</f>
        <v>10.272780034822983</v>
      </c>
      <c r="H34" s="50">
        <f>IFERROR('TOTAL STATISTICS'!G34/'TOTAL STATISTICS'!K34*600,0)</f>
        <v>10193.557748113755</v>
      </c>
      <c r="I34" s="50">
        <f>IFERROR('TOTAL STATISTICS'!H34/'TOTAL STATISTICS'!K34*600,0)</f>
        <v>2193.1514799767847</v>
      </c>
      <c r="J34" s="50">
        <f>IFERROR('TOTAL STATISTICS'!I34/'TOTAL STATISTICS'!K34*600,0)</f>
        <v>5726.8136970400474</v>
      </c>
    </row>
    <row r="35" spans="1:10">
      <c r="A35" t="s">
        <v>32</v>
      </c>
      <c r="B35" t="s">
        <v>146</v>
      </c>
      <c r="C35" t="s">
        <v>101</v>
      </c>
      <c r="D35" s="50">
        <f>'TOTAL STATISTICS'!K35/60</f>
        <v>518.01666666666665</v>
      </c>
      <c r="E35" s="50">
        <f>IFERROR('TOTAL STATISTICS'!D35/'TOTAL STATISTICS'!K35*600,0)</f>
        <v>24.130497731733215</v>
      </c>
      <c r="F35" s="50">
        <f>IFERROR('TOTAL STATISTICS'!E35/'TOTAL STATISTICS'!K35*600,0)</f>
        <v>4.8260995463466427</v>
      </c>
      <c r="G35" s="50">
        <f>IFERROR('TOTAL STATISTICS'!F35/'TOTAL STATISTICS'!K35*600,0)</f>
        <v>11.061420160226504</v>
      </c>
      <c r="H35" s="50">
        <f>IFERROR('TOTAL STATISTICS'!G35/'TOTAL STATISTICS'!K35*600,0)</f>
        <v>11580.283774653324</v>
      </c>
      <c r="I35" s="50">
        <f>IFERROR('TOTAL STATISTICS'!H35/'TOTAL STATISTICS'!K35*600,0)</f>
        <v>1278.7040314018211</v>
      </c>
      <c r="J35" s="50">
        <f>IFERROR('TOTAL STATISTICS'!I35/'TOTAL STATISTICS'!K35*600,0)</f>
        <v>13906.135581223254</v>
      </c>
    </row>
    <row r="36" spans="1:10">
      <c r="A36" t="s">
        <v>32</v>
      </c>
      <c r="B36" t="s">
        <v>147</v>
      </c>
      <c r="C36" t="s">
        <v>104</v>
      </c>
      <c r="D36" s="50">
        <f>'TOTAL STATISTICS'!K36/60</f>
        <v>514.29999999999995</v>
      </c>
      <c r="E36" s="50">
        <f>IFERROR('TOTAL STATISTICS'!D36/'TOTAL STATISTICS'!K36*600,0)</f>
        <v>22.846587594789035</v>
      </c>
      <c r="F36" s="50">
        <f>IFERROR('TOTAL STATISTICS'!E36/'TOTAL STATISTICS'!K36*600,0)</f>
        <v>6.0276103441571065</v>
      </c>
      <c r="G36" s="50">
        <f>IFERROR('TOTAL STATISTICS'!F36/'TOTAL STATISTICS'!K36*600,0)</f>
        <v>3.6554540151662454</v>
      </c>
      <c r="H36" s="50">
        <f>IFERROR('TOTAL STATISTICS'!G36/'TOTAL STATISTICS'!K36*600,0)</f>
        <v>9721.3494069609187</v>
      </c>
      <c r="I36" s="50">
        <f>IFERROR('TOTAL STATISTICS'!H36/'TOTAL STATISTICS'!K36*600,0)</f>
        <v>832.29632510208057</v>
      </c>
      <c r="J36" s="50">
        <f>IFERROR('TOTAL STATISTICS'!I36/'TOTAL STATISTICS'!K36*600,0)</f>
        <v>1957.6511763562121</v>
      </c>
    </row>
    <row r="37" spans="1:10">
      <c r="A37" t="s">
        <v>32</v>
      </c>
      <c r="B37" t="s">
        <v>148</v>
      </c>
      <c r="C37" t="s">
        <v>104</v>
      </c>
      <c r="D37" s="50">
        <f>'TOTAL STATISTICS'!K37/60</f>
        <v>176.58333333333334</v>
      </c>
      <c r="E37" s="50">
        <f>IFERROR('TOTAL STATISTICS'!D37/'TOTAL STATISTICS'!K37*600,0)</f>
        <v>23.161868806040584</v>
      </c>
      <c r="F37" s="50">
        <f>IFERROR('TOTAL STATISTICS'!E37/'TOTAL STATISTICS'!K37*600,0)</f>
        <v>5.5497876356772062</v>
      </c>
      <c r="G37" s="50">
        <f>IFERROR('TOTAL STATISTICS'!F37/'TOTAL STATISTICS'!K37*600,0)</f>
        <v>2.4351109013685699</v>
      </c>
      <c r="H37" s="50">
        <f>IFERROR('TOTAL STATISTICS'!G37/'TOTAL STATISTICS'!K37*600,0)</f>
        <v>11010.32562529495</v>
      </c>
      <c r="I37" s="50">
        <f>IFERROR('TOTAL STATISTICS'!H37/'TOTAL STATISTICS'!K37*600,0)</f>
        <v>134.10099103350638</v>
      </c>
      <c r="J37" s="50">
        <f>IFERROR('TOTAL STATISTICS'!I37/'TOTAL STATISTICS'!K37*600,0)</f>
        <v>271.42991977347805</v>
      </c>
    </row>
    <row r="38" spans="1:10">
      <c r="A38" t="s">
        <v>32</v>
      </c>
      <c r="B38" t="s">
        <v>149</v>
      </c>
      <c r="C38" t="s">
        <v>104</v>
      </c>
      <c r="D38" s="50">
        <f>'TOTAL STATISTICS'!K38/60</f>
        <v>460.01666666666665</v>
      </c>
      <c r="E38" s="50">
        <f>IFERROR('TOTAL STATISTICS'!D38/'TOTAL STATISTICS'!K38*600,0)</f>
        <v>23.020905039672478</v>
      </c>
      <c r="F38" s="50">
        <f>IFERROR('TOTAL STATISTICS'!E38/'TOTAL STATISTICS'!K38*600,0)</f>
        <v>6.4780261584725194</v>
      </c>
      <c r="G38" s="50">
        <f>IFERROR('TOTAL STATISTICS'!F38/'TOTAL STATISTICS'!K38*600,0)</f>
        <v>2.2825259954349479</v>
      </c>
      <c r="H38" s="50">
        <f>IFERROR('TOTAL STATISTICS'!G38/'TOTAL STATISTICS'!K38*600,0)</f>
        <v>10347.16858084852</v>
      </c>
      <c r="I38" s="50">
        <f>IFERROR('TOTAL STATISTICS'!H38/'TOTAL STATISTICS'!K38*600,0)</f>
        <v>206.47078004420132</v>
      </c>
      <c r="J38" s="50">
        <f>IFERROR('TOTAL STATISTICS'!I38/'TOTAL STATISTICS'!K38*600,0)</f>
        <v>936.18347161334736</v>
      </c>
    </row>
    <row r="39" spans="1:10">
      <c r="A39" t="s">
        <v>32</v>
      </c>
      <c r="B39" t="s">
        <v>150</v>
      </c>
      <c r="C39" t="s">
        <v>109</v>
      </c>
      <c r="D39" s="50">
        <f>'TOTAL STATISTICS'!K39/60</f>
        <v>575.45000000000005</v>
      </c>
      <c r="E39" s="50">
        <f>IFERROR('TOTAL STATISTICS'!D39/'TOTAL STATISTICS'!K39*600,0)</f>
        <v>19.49778434268833</v>
      </c>
      <c r="F39" s="50">
        <f>IFERROR('TOTAL STATISTICS'!E39/'TOTAL STATISTICS'!K39*600,0)</f>
        <v>5.7346424537318619</v>
      </c>
      <c r="G39" s="50">
        <f>IFERROR('TOTAL STATISTICS'!F39/'TOTAL STATISTICS'!K39*600,0)</f>
        <v>20.349291858545485</v>
      </c>
      <c r="H39" s="50">
        <f>IFERROR('TOTAL STATISTICS'!G39/'TOTAL STATISTICS'!K39*600,0)</f>
        <v>5137.4228864367024</v>
      </c>
      <c r="I39" s="50">
        <f>IFERROR('TOTAL STATISTICS'!H39/'TOTAL STATISTICS'!K39*600,0)</f>
        <v>8181.4232339907903</v>
      </c>
      <c r="J39" s="50">
        <f>IFERROR('TOTAL STATISTICS'!I39/'TOTAL STATISTICS'!K39*600,0)</f>
        <v>1431.52315579112</v>
      </c>
    </row>
    <row r="40" spans="1:10">
      <c r="A40" t="s">
        <v>32</v>
      </c>
      <c r="B40" t="s">
        <v>151</v>
      </c>
      <c r="C40" t="s">
        <v>109</v>
      </c>
      <c r="D40" s="50">
        <f>'TOTAL STATISTICS'!K40/60</f>
        <v>575.45000000000005</v>
      </c>
      <c r="E40" s="50">
        <f>IFERROR('TOTAL STATISTICS'!D40/'TOTAL STATISTICS'!K40*600,0)</f>
        <v>14.701537926839865</v>
      </c>
      <c r="F40" s="50">
        <f>IFERROR('TOTAL STATISTICS'!E40/'TOTAL STATISTICS'!K40*600,0)</f>
        <v>5.4218437744373968</v>
      </c>
      <c r="G40" s="50">
        <f>IFERROR('TOTAL STATISTICS'!F40/'TOTAL STATISTICS'!K40*600,0)</f>
        <v>23.320879311842905</v>
      </c>
      <c r="H40" s="50">
        <f>IFERROR('TOTAL STATISTICS'!G40/'TOTAL STATISTICS'!K40*600,0)</f>
        <v>4605.7346424537318</v>
      </c>
      <c r="I40" s="50">
        <f>IFERROR('TOTAL STATISTICS'!H40/'TOTAL STATISTICS'!K40*600,0)</f>
        <v>12174.663306977147</v>
      </c>
      <c r="J40" s="50">
        <f>IFERROR('TOTAL STATISTICS'!I40/'TOTAL STATISTICS'!K40*600,0)</f>
        <v>46.120427491528368</v>
      </c>
    </row>
    <row r="41" spans="1:10">
      <c r="A41" t="s">
        <v>41</v>
      </c>
      <c r="B41" t="s">
        <v>152</v>
      </c>
      <c r="C41" t="s">
        <v>101</v>
      </c>
      <c r="D41" s="50">
        <f>'TOTAL STATISTICS'!K41/60</f>
        <v>337.45</v>
      </c>
      <c r="E41" s="50">
        <f>IFERROR('TOTAL STATISTICS'!D41/'TOTAL STATISTICS'!K41*600,0)</f>
        <v>23.410875685286712</v>
      </c>
      <c r="F41" s="50">
        <f>IFERROR('TOTAL STATISTICS'!E41/'TOTAL STATISTICS'!K41*600,0)</f>
        <v>5.7193658319751073</v>
      </c>
      <c r="G41" s="50">
        <f>IFERROR('TOTAL STATISTICS'!F41/'TOTAL STATISTICS'!K41*600,0)</f>
        <v>13.068602755963846</v>
      </c>
      <c r="H41" s="50">
        <f>IFERROR('TOTAL STATISTICS'!G41/'TOTAL STATISTICS'!K41*600,0)</f>
        <v>11244.451029782189</v>
      </c>
      <c r="I41" s="50">
        <f>IFERROR('TOTAL STATISTICS'!H41/'TOTAL STATISTICS'!K41*600,0)</f>
        <v>2521.2327752259594</v>
      </c>
      <c r="J41" s="50">
        <f>IFERROR('TOTAL STATISTICS'!I41/'TOTAL STATISTICS'!K41*600,0)</f>
        <v>7254.230256334271</v>
      </c>
    </row>
    <row r="42" spans="1:10">
      <c r="A42" t="s">
        <v>41</v>
      </c>
      <c r="B42" t="s">
        <v>153</v>
      </c>
      <c r="C42" t="s">
        <v>101</v>
      </c>
      <c r="D42" s="50">
        <f>'TOTAL STATISTICS'!K42/60</f>
        <v>183.65</v>
      </c>
      <c r="E42" s="50">
        <f>IFERROR('TOTAL STATISTICS'!D42/'TOTAL STATISTICS'!K42*600,0)</f>
        <v>19.711407568744896</v>
      </c>
      <c r="F42" s="50">
        <f>IFERROR('TOTAL STATISTICS'!E42/'TOTAL STATISTICS'!K42*600,0)</f>
        <v>4.7917233868772122</v>
      </c>
      <c r="G42" s="50">
        <f>IFERROR('TOTAL STATISTICS'!F42/'TOTAL STATISTICS'!K42*600,0)</f>
        <v>5.2273346038660495</v>
      </c>
      <c r="H42" s="50">
        <f>IFERROR('TOTAL STATISTICS'!G42/'TOTAL STATISTICS'!K42*600,0)</f>
        <v>10860.005445140212</v>
      </c>
      <c r="I42" s="50">
        <f>IFERROR('TOTAL STATISTICS'!H42/'TOTAL STATISTICS'!K42*600,0)</f>
        <v>578.70950176967051</v>
      </c>
      <c r="J42" s="50">
        <f>IFERROR('TOTAL STATISTICS'!I42/'TOTAL STATISTICS'!K42*600,0)</f>
        <v>13877.64769942826</v>
      </c>
    </row>
    <row r="43" spans="1:10">
      <c r="A43" t="s">
        <v>41</v>
      </c>
      <c r="B43" t="s">
        <v>154</v>
      </c>
      <c r="C43" t="s">
        <v>104</v>
      </c>
      <c r="D43" s="50">
        <f>'TOTAL STATISTICS'!K43/60</f>
        <v>521.1</v>
      </c>
      <c r="E43" s="50">
        <f>IFERROR('TOTAL STATISTICS'!D43/'TOTAL STATISTICS'!K43*600,0)</f>
        <v>21.435425062368065</v>
      </c>
      <c r="F43" s="50">
        <f>IFERROR('TOTAL STATISTICS'!E43/'TOTAL STATISTICS'!K43*600,0)</f>
        <v>6.0449050086355784</v>
      </c>
      <c r="G43" s="50">
        <f>IFERROR('TOTAL STATISTICS'!F43/'TOTAL STATISTICS'!K43*600,0)</f>
        <v>2.8209556706966032</v>
      </c>
      <c r="H43" s="50">
        <f>IFERROR('TOTAL STATISTICS'!G43/'TOTAL STATISTICS'!K43*600,0)</f>
        <v>8957.0331990021114</v>
      </c>
      <c r="I43" s="50">
        <f>IFERROR('TOTAL STATISTICS'!H43/'TOTAL STATISTICS'!K43*600,0)</f>
        <v>624.10285933601995</v>
      </c>
      <c r="J43" s="50">
        <f>IFERROR('TOTAL STATISTICS'!I43/'TOTAL STATISTICS'!K43*600,0)</f>
        <v>939.3590481673383</v>
      </c>
    </row>
    <row r="44" spans="1:10">
      <c r="A44" t="s">
        <v>41</v>
      </c>
      <c r="B44" t="s">
        <v>155</v>
      </c>
      <c r="C44" t="s">
        <v>104</v>
      </c>
      <c r="D44" s="50">
        <f>'TOTAL STATISTICS'!K44/60</f>
        <v>521.1</v>
      </c>
      <c r="E44" s="50">
        <f>IFERROR('TOTAL STATISTICS'!D44/'TOTAL STATISTICS'!K44*600,0)</f>
        <v>22.279792746113991</v>
      </c>
      <c r="F44" s="50">
        <f>IFERROR('TOTAL STATISTICS'!E44/'TOTAL STATISTICS'!K44*600,0)</f>
        <v>6.5054691997697178</v>
      </c>
      <c r="G44" s="50">
        <f>IFERROR('TOTAL STATISTICS'!F44/'TOTAL STATISTICS'!K44*600,0)</f>
        <v>1.6887353674918442</v>
      </c>
      <c r="H44" s="50">
        <f>IFERROR('TOTAL STATISTICS'!G44/'TOTAL STATISTICS'!K44*600,0)</f>
        <v>10921.588946459413</v>
      </c>
      <c r="I44" s="50">
        <f>IFERROR('TOTAL STATISTICS'!H44/'TOTAL STATISTICS'!K44*600,0)</f>
        <v>61.446939167146418</v>
      </c>
      <c r="J44" s="50">
        <f>IFERROR('TOTAL STATISTICS'!I44/'TOTAL STATISTICS'!K44*600,0)</f>
        <v>541.87296104394557</v>
      </c>
    </row>
    <row r="45" spans="1:10">
      <c r="A45" t="s">
        <v>41</v>
      </c>
      <c r="B45" t="s">
        <v>156</v>
      </c>
      <c r="C45" t="s">
        <v>104</v>
      </c>
      <c r="D45" s="50">
        <f>'TOTAL STATISTICS'!K45/60</f>
        <v>6.6333333333333337</v>
      </c>
      <c r="E45" s="50">
        <f>IFERROR('TOTAL STATISTICS'!D45/'TOTAL STATISTICS'!K45*600,0)</f>
        <v>16.582914572864322</v>
      </c>
      <c r="F45" s="50">
        <f>IFERROR('TOTAL STATISTICS'!E45/'TOTAL STATISTICS'!K45*600,0)</f>
        <v>4.5226130653266328</v>
      </c>
      <c r="G45" s="50">
        <f>IFERROR('TOTAL STATISTICS'!F45/'TOTAL STATISTICS'!K45*600,0)</f>
        <v>33.165829145728644</v>
      </c>
      <c r="H45" s="50">
        <f>IFERROR('TOTAL STATISTICS'!G45/'TOTAL STATISTICS'!K45*600,0)</f>
        <v>2217.5879396984924</v>
      </c>
      <c r="I45" s="50">
        <f>IFERROR('TOTAL STATISTICS'!H45/'TOTAL STATISTICS'!K45*600,0)</f>
        <v>9031.6582914572864</v>
      </c>
      <c r="J45" s="50">
        <f>IFERROR('TOTAL STATISTICS'!I45/'TOTAL STATISTICS'!K45*600,0)</f>
        <v>0</v>
      </c>
    </row>
    <row r="46" spans="1:10">
      <c r="A46" t="s">
        <v>41</v>
      </c>
      <c r="B46" t="s">
        <v>157</v>
      </c>
      <c r="C46" t="s">
        <v>109</v>
      </c>
      <c r="D46" s="50">
        <f>'TOTAL STATISTICS'!K46/60</f>
        <v>514.4666666666667</v>
      </c>
      <c r="E46" s="50">
        <f>IFERROR('TOTAL STATISTICS'!D46/'TOTAL STATISTICS'!K46*600,0)</f>
        <v>16.969029415575999</v>
      </c>
      <c r="F46" s="50">
        <f>IFERROR('TOTAL STATISTICS'!E46/'TOTAL STATISTICS'!K46*600,0)</f>
        <v>5.3842166645069325</v>
      </c>
      <c r="G46" s="50">
        <f>IFERROR('TOTAL STATISTICS'!F46/'TOTAL STATISTICS'!K46*600,0)</f>
        <v>19.107165997149149</v>
      </c>
      <c r="H46" s="50">
        <f>IFERROR('TOTAL STATISTICS'!G46/'TOTAL STATISTICS'!K46*600,0)</f>
        <v>4011.4357911105353</v>
      </c>
      <c r="I46" s="50">
        <f>IFERROR('TOTAL STATISTICS'!H46/'TOTAL STATISTICS'!K46*600,0)</f>
        <v>7966.8524037838533</v>
      </c>
      <c r="J46" s="50">
        <f>IFERROR('TOTAL STATISTICS'!I46/'TOTAL STATISTICS'!K46*600,0)</f>
        <v>1141.4150576648956</v>
      </c>
    </row>
    <row r="47" spans="1:10">
      <c r="A47" t="s">
        <v>41</v>
      </c>
      <c r="B47" t="s">
        <v>158</v>
      </c>
      <c r="C47" t="s">
        <v>109</v>
      </c>
      <c r="D47" s="50">
        <f>'TOTAL STATISTICS'!K47/60</f>
        <v>521.1</v>
      </c>
      <c r="E47" s="50">
        <f>IFERROR('TOTAL STATISTICS'!D47/'TOTAL STATISTICS'!K47*600,0)</f>
        <v>14.104778353483018</v>
      </c>
      <c r="F47" s="50">
        <f>IFERROR('TOTAL STATISTICS'!E47/'TOTAL STATISTICS'!K47*600,0)</f>
        <v>5.3540587219343694</v>
      </c>
      <c r="G47" s="50">
        <f>IFERROR('TOTAL STATISTICS'!F47/'TOTAL STATISTICS'!K47*600,0)</f>
        <v>21.512185760890425</v>
      </c>
      <c r="H47" s="50">
        <f>IFERROR('TOTAL STATISTICS'!G47/'TOTAL STATISTICS'!K47*600,0)</f>
        <v>4868.3362118595287</v>
      </c>
      <c r="I47" s="50">
        <f>IFERROR('TOTAL STATISTICS'!H47/'TOTAL STATISTICS'!K47*600,0)</f>
        <v>11081.404720782959</v>
      </c>
      <c r="J47" s="50">
        <f>IFERROR('TOTAL STATISTICS'!I47/'TOTAL STATISTICS'!K47*600,0)</f>
        <v>131.49107656879679</v>
      </c>
    </row>
    <row r="48" spans="1:10">
      <c r="A48" t="s">
        <v>31</v>
      </c>
      <c r="B48" t="s">
        <v>160</v>
      </c>
      <c r="C48" t="s">
        <v>101</v>
      </c>
      <c r="D48" s="50">
        <f>'TOTAL STATISTICS'!K48/60</f>
        <v>238.85</v>
      </c>
      <c r="E48" s="50">
        <f>IFERROR('TOTAL STATISTICS'!D48/'TOTAL STATISTICS'!K48*600,0)</f>
        <v>19.091480008373455</v>
      </c>
      <c r="F48" s="50">
        <f>IFERROR('TOTAL STATISTICS'!E48/'TOTAL STATISTICS'!K48*600,0)</f>
        <v>5.1915428092945364</v>
      </c>
      <c r="G48" s="50">
        <f>IFERROR('TOTAL STATISTICS'!F48/'TOTAL STATISTICS'!K48*600,0)</f>
        <v>3.9355243876910198</v>
      </c>
      <c r="H48" s="50">
        <f>IFERROR('TOTAL STATISTICS'!G48/'TOTAL STATISTICS'!K48*600,0)</f>
        <v>11580.824785430186</v>
      </c>
      <c r="I48" s="50">
        <f>IFERROR('TOTAL STATISTICS'!H48/'TOTAL STATISTICS'!K48*600,0)</f>
        <v>408.41532342474352</v>
      </c>
      <c r="J48" s="50">
        <f>IFERROR('TOTAL STATISTICS'!I48/'TOTAL STATISTICS'!K48*600,0)</f>
        <v>18085.786058195521</v>
      </c>
    </row>
    <row r="49" spans="1:10">
      <c r="A49" t="s">
        <v>31</v>
      </c>
      <c r="B49" t="s">
        <v>161</v>
      </c>
      <c r="C49" t="s">
        <v>101</v>
      </c>
      <c r="D49" s="50">
        <f>'TOTAL STATISTICS'!K49/60</f>
        <v>214.35</v>
      </c>
      <c r="E49" s="50">
        <f>IFERROR('TOTAL STATISTICS'!D49/'TOTAL STATISTICS'!K49*600,0)</f>
        <v>22.206671331933752</v>
      </c>
      <c r="F49" s="50">
        <f>IFERROR('TOTAL STATISTICS'!E49/'TOTAL STATISTICS'!K49*600,0)</f>
        <v>5.8315838581758808</v>
      </c>
      <c r="G49" s="50">
        <f>IFERROR('TOTAL STATISTICS'!F49/'TOTAL STATISTICS'!K49*600,0)</f>
        <v>14.602285980872406</v>
      </c>
      <c r="H49" s="50">
        <f>IFERROR('TOTAL STATISTICS'!G49/'TOTAL STATISTICS'!K49*600,0)</f>
        <v>10628.784697923957</v>
      </c>
      <c r="I49" s="50">
        <f>IFERROR('TOTAL STATISTICS'!H49/'TOTAL STATISTICS'!K49*600,0)</f>
        <v>2839.888033589923</v>
      </c>
      <c r="J49" s="50">
        <f>IFERROR('TOTAL STATISTICS'!I49/'TOTAL STATISTICS'!K49*600,0)</f>
        <v>10513.226032190343</v>
      </c>
    </row>
    <row r="50" spans="1:10">
      <c r="A50" t="s">
        <v>31</v>
      </c>
      <c r="B50" t="s">
        <v>162</v>
      </c>
      <c r="C50" t="s">
        <v>104</v>
      </c>
      <c r="D50" s="50">
        <f>'TOTAL STATISTICS'!K50/60</f>
        <v>348.96666666666664</v>
      </c>
      <c r="E50" s="50">
        <f>IFERROR('TOTAL STATISTICS'!D50/'TOTAL STATISTICS'!K50*600,0)</f>
        <v>19.056261343012704</v>
      </c>
      <c r="F50" s="50">
        <f>IFERROR('TOTAL STATISTICS'!E50/'TOTAL STATISTICS'!K50*600,0)</f>
        <v>6.9347597669309389</v>
      </c>
      <c r="G50" s="50">
        <f>IFERROR('TOTAL STATISTICS'!F50/'TOTAL STATISTICS'!K50*600,0)</f>
        <v>2.1492024071066962</v>
      </c>
      <c r="H50" s="50">
        <f>IFERROR('TOTAL STATISTICS'!G50/'TOTAL STATISTICS'!K50*600,0)</f>
        <v>9585.3281115674854</v>
      </c>
      <c r="I50" s="50">
        <f>IFERROR('TOTAL STATISTICS'!H50/'TOTAL STATISTICS'!K50*600,0)</f>
        <v>335.56213582959214</v>
      </c>
      <c r="J50" s="50">
        <f>IFERROR('TOTAL STATISTICS'!I50/'TOTAL STATISTICS'!K50*600,0)</f>
        <v>668.00076416085585</v>
      </c>
    </row>
    <row r="51" spans="1:10">
      <c r="A51" t="s">
        <v>31</v>
      </c>
      <c r="B51" t="s">
        <v>163</v>
      </c>
      <c r="C51" t="s">
        <v>104</v>
      </c>
      <c r="D51" s="50">
        <f>'TOTAL STATISTICS'!K51/60</f>
        <v>309.45</v>
      </c>
      <c r="E51" s="50">
        <f>IFERROR('TOTAL STATISTICS'!D51/'TOTAL STATISTICS'!K51*600,0)</f>
        <v>17.870415252867993</v>
      </c>
      <c r="F51" s="50">
        <f>IFERROR('TOTAL STATISTICS'!E51/'TOTAL STATISTICS'!K51*600,0)</f>
        <v>6.7862336403296171</v>
      </c>
      <c r="G51" s="50">
        <f>IFERROR('TOTAL STATISTICS'!F51/'TOTAL STATISTICS'!K51*600,0)</f>
        <v>3.6516400064630794</v>
      </c>
      <c r="H51" s="50">
        <f>IFERROR('TOTAL STATISTICS'!G51/'TOTAL STATISTICS'!K51*600,0)</f>
        <v>8641.0728712231376</v>
      </c>
      <c r="I51" s="50">
        <f>IFERROR('TOTAL STATISTICS'!H51/'TOTAL STATISTICS'!K51*600,0)</f>
        <v>883.85845855550178</v>
      </c>
      <c r="J51" s="50">
        <f>IFERROR('TOTAL STATISTICS'!I51/'TOTAL STATISTICS'!K51*600,0)</f>
        <v>3489.7398610437872</v>
      </c>
    </row>
    <row r="52" spans="1:10">
      <c r="A52" t="s">
        <v>31</v>
      </c>
      <c r="B52" t="s">
        <v>164</v>
      </c>
      <c r="C52" t="s">
        <v>104</v>
      </c>
      <c r="D52" s="50">
        <f>'TOTAL STATISTICS'!K52/60</f>
        <v>247.98333333333332</v>
      </c>
      <c r="E52" s="50">
        <f>IFERROR('TOTAL STATISTICS'!D52/'TOTAL STATISTICS'!K52*600,0)</f>
        <v>20.32394650178103</v>
      </c>
      <c r="F52" s="50">
        <f>IFERROR('TOTAL STATISTICS'!E52/'TOTAL STATISTICS'!K52*600,0)</f>
        <v>6.53269708985819</v>
      </c>
      <c r="G52" s="50">
        <f>IFERROR('TOTAL STATISTICS'!F52/'TOTAL STATISTICS'!K52*600,0)</f>
        <v>1.4920357550910681</v>
      </c>
      <c r="H52" s="50">
        <f>IFERROR('TOTAL STATISTICS'!G52/'TOTAL STATISTICS'!K52*600,0)</f>
        <v>11728.852745480206</v>
      </c>
      <c r="I52" s="50">
        <f>IFERROR('TOTAL STATISTICS'!H52/'TOTAL STATISTICS'!K52*600,0)</f>
        <v>159.00262114389406</v>
      </c>
      <c r="J52" s="50">
        <f>IFERROR('TOTAL STATISTICS'!I52/'TOTAL STATISTICS'!K52*600,0)</f>
        <v>686.69937495799445</v>
      </c>
    </row>
    <row r="53" spans="1:10">
      <c r="A53" t="s">
        <v>31</v>
      </c>
      <c r="B53" t="s">
        <v>165</v>
      </c>
      <c r="C53" t="s">
        <v>109</v>
      </c>
      <c r="D53" s="50">
        <f>'TOTAL STATISTICS'!K53/60</f>
        <v>453.2</v>
      </c>
      <c r="E53" s="50">
        <f>IFERROR('TOTAL STATISTICS'!D53/'TOTAL STATISTICS'!K53*600,0)</f>
        <v>14.894086496028244</v>
      </c>
      <c r="F53" s="50">
        <f>IFERROR('TOTAL STATISTICS'!E53/'TOTAL STATISTICS'!K53*600,0)</f>
        <v>5.5825242718446608</v>
      </c>
      <c r="G53" s="50">
        <f>IFERROR('TOTAL STATISTICS'!F53/'TOTAL STATISTICS'!K53*600,0)</f>
        <v>15.247131509267431</v>
      </c>
      <c r="H53" s="50">
        <f>IFERROR('TOTAL STATISTICS'!G53/'TOTAL STATISTICS'!K53*600,0)</f>
        <v>4368.1156222418358</v>
      </c>
      <c r="I53" s="50">
        <f>IFERROR('TOTAL STATISTICS'!H53/'TOTAL STATISTICS'!K53*600,0)</f>
        <v>9519.9470432480139</v>
      </c>
      <c r="J53" s="50">
        <f>IFERROR('TOTAL STATISTICS'!I53/'TOTAL STATISTICS'!K53*600,0)</f>
        <v>874.38217122683136</v>
      </c>
    </row>
    <row r="54" spans="1:10">
      <c r="A54" t="s">
        <v>31</v>
      </c>
      <c r="B54" t="s">
        <v>166</v>
      </c>
      <c r="C54" t="s">
        <v>109</v>
      </c>
      <c r="D54" s="50">
        <f>'TOTAL STATISTICS'!K54/60</f>
        <v>453.2</v>
      </c>
      <c r="E54" s="50">
        <f>IFERROR('TOTAL STATISTICS'!D54/'TOTAL STATISTICS'!K54*600,0)</f>
        <v>12.113857016769638</v>
      </c>
      <c r="F54" s="50">
        <f>IFERROR('TOTAL STATISTICS'!E54/'TOTAL STATISTICS'!K54*600,0)</f>
        <v>6.1562224183583405</v>
      </c>
      <c r="G54" s="50">
        <f>IFERROR('TOTAL STATISTICS'!F54/'TOTAL STATISTICS'!K54*600,0)</f>
        <v>20.829655781112091</v>
      </c>
      <c r="H54" s="50">
        <f>IFERROR('TOTAL STATISTICS'!G54/'TOTAL STATISTICS'!K54*600,0)</f>
        <v>4500.4854368932038</v>
      </c>
      <c r="I54" s="50">
        <f>IFERROR('TOTAL STATISTICS'!H54/'TOTAL STATISTICS'!K54*600,0)</f>
        <v>11610.061782877317</v>
      </c>
      <c r="J54" s="50">
        <f>IFERROR('TOTAL STATISTICS'!I54/'TOTAL STATISTICS'!K54*600,0)</f>
        <v>428.92762577228598</v>
      </c>
    </row>
    <row r="55" spans="1:10">
      <c r="A55" t="s">
        <v>53</v>
      </c>
      <c r="B55" t="s">
        <v>168</v>
      </c>
      <c r="C55" t="s">
        <v>101</v>
      </c>
      <c r="D55" s="50">
        <f>'TOTAL STATISTICS'!K55/60</f>
        <v>160.4</v>
      </c>
      <c r="E55" s="50">
        <f>IFERROR('TOTAL STATISTICS'!D55/'TOTAL STATISTICS'!K55*600,0)</f>
        <v>16.209476309226932</v>
      </c>
      <c r="F55" s="50">
        <f>IFERROR('TOTAL STATISTICS'!E55/'TOTAL STATISTICS'!K55*600,0)</f>
        <v>5.3615960099750621</v>
      </c>
      <c r="G55" s="50">
        <f>IFERROR('TOTAL STATISTICS'!F55/'TOTAL STATISTICS'!K55*600,0)</f>
        <v>5.9226932668329182</v>
      </c>
      <c r="H55" s="50">
        <f>IFERROR('TOTAL STATISTICS'!G55/'TOTAL STATISTICS'!K55*600,0)</f>
        <v>11554.613466334165</v>
      </c>
      <c r="I55" s="50">
        <f>IFERROR('TOTAL STATISTICS'!H55/'TOTAL STATISTICS'!K55*600,0)</f>
        <v>1411.845386533666</v>
      </c>
      <c r="J55" s="50">
        <f>IFERROR('TOTAL STATISTICS'!I55/'TOTAL STATISTICS'!K55*600,0)</f>
        <v>12817.581047381547</v>
      </c>
    </row>
    <row r="56" spans="1:10">
      <c r="A56" t="s">
        <v>53</v>
      </c>
      <c r="B56" t="s">
        <v>169</v>
      </c>
      <c r="C56" t="s">
        <v>101</v>
      </c>
      <c r="D56" s="50">
        <f>'TOTAL STATISTICS'!K56/60</f>
        <v>156.31666666666666</v>
      </c>
      <c r="E56" s="50">
        <f>IFERROR('TOTAL STATISTICS'!D56/'TOTAL STATISTICS'!K56*600,0)</f>
        <v>11.643032306216014</v>
      </c>
      <c r="F56" s="50">
        <f>IFERROR('TOTAL STATISTICS'!E56/'TOTAL STATISTICS'!K56*600,0)</f>
        <v>6.1413796780040517</v>
      </c>
      <c r="G56" s="50">
        <f>IFERROR('TOTAL STATISTICS'!F56/'TOTAL STATISTICS'!K56*600,0)</f>
        <v>3.2626079539396526</v>
      </c>
      <c r="H56" s="50">
        <f>IFERROR('TOTAL STATISTICS'!G56/'TOTAL STATISTICS'!K56*600,0)</f>
        <v>9678.55848171447</v>
      </c>
      <c r="I56" s="50">
        <f>IFERROR('TOTAL STATISTICS'!H56/'TOTAL STATISTICS'!K56*600,0)</f>
        <v>598.40068237551975</v>
      </c>
      <c r="J56" s="50">
        <f>IFERROR('TOTAL STATISTICS'!I56/'TOTAL STATISTICS'!K56*600,0)</f>
        <v>15478.387887834524</v>
      </c>
    </row>
    <row r="57" spans="1:10">
      <c r="A57" t="s">
        <v>53</v>
      </c>
      <c r="B57" t="s">
        <v>170</v>
      </c>
      <c r="C57" t="s">
        <v>104</v>
      </c>
      <c r="D57" s="50">
        <f>'TOTAL STATISTICS'!K57/60</f>
        <v>239.36666666666667</v>
      </c>
      <c r="E57" s="50">
        <f>IFERROR('TOTAL STATISTICS'!D57/'TOTAL STATISTICS'!K57*600,0)</f>
        <v>15.123241888316389</v>
      </c>
      <c r="F57" s="50">
        <f>IFERROR('TOTAL STATISTICS'!E57/'TOTAL STATISTICS'!K57*600,0)</f>
        <v>7.0602980086338949</v>
      </c>
      <c r="G57" s="50">
        <f>IFERROR('TOTAL STATISTICS'!F57/'TOTAL STATISTICS'!K57*600,0)</f>
        <v>2.5483915889151931</v>
      </c>
      <c r="H57" s="50">
        <f>IFERROR('TOTAL STATISTICS'!G57/'TOTAL STATISTICS'!K57*600,0)</f>
        <v>8401.2533073388113</v>
      </c>
      <c r="I57" s="50">
        <f>IFERROR('TOTAL STATISTICS'!H57/'TOTAL STATISTICS'!K57*600,0)</f>
        <v>766.23033003759929</v>
      </c>
      <c r="J57" s="50">
        <f>IFERROR('TOTAL STATISTICS'!I57/'TOTAL STATISTICS'!K57*600,0)</f>
        <v>1186.5478345634313</v>
      </c>
    </row>
    <row r="58" spans="1:10">
      <c r="A58" t="s">
        <v>53</v>
      </c>
      <c r="B58" t="s">
        <v>171</v>
      </c>
      <c r="C58" t="s">
        <v>104</v>
      </c>
      <c r="D58" s="50">
        <f>'TOTAL STATISTICS'!K58/60</f>
        <v>316.71666666666664</v>
      </c>
      <c r="E58" s="50">
        <f>IFERROR('TOTAL STATISTICS'!D58/'TOTAL STATISTICS'!K58*600,0)</f>
        <v>13.355785928537598</v>
      </c>
      <c r="F58" s="50">
        <f>IFERROR('TOTAL STATISTICS'!E58/'TOTAL STATISTICS'!K58*600,0)</f>
        <v>7.8934905014997625</v>
      </c>
      <c r="G58" s="50">
        <f>IFERROR('TOTAL STATISTICS'!F58/'TOTAL STATISTICS'!K58*600,0)</f>
        <v>0.75777508814397732</v>
      </c>
      <c r="H58" s="50">
        <f>IFERROR('TOTAL STATISTICS'!G58/'TOTAL STATISTICS'!K58*600,0)</f>
        <v>8601.2524338262392</v>
      </c>
      <c r="I58" s="50">
        <f>IFERROR('TOTAL STATISTICS'!H58/'TOTAL STATISTICS'!K58*600,0)</f>
        <v>80.513603115297585</v>
      </c>
      <c r="J58" s="50">
        <f>IFERROR('TOTAL STATISTICS'!I58/'TOTAL STATISTICS'!K58*600,0)</f>
        <v>333.29474293532604</v>
      </c>
    </row>
    <row r="59" spans="1:10">
      <c r="A59" t="s">
        <v>53</v>
      </c>
      <c r="B59" t="s">
        <v>172</v>
      </c>
      <c r="C59" t="s">
        <v>109</v>
      </c>
      <c r="D59" s="50">
        <f>'TOTAL STATISTICS'!K59/60</f>
        <v>283.56666666666666</v>
      </c>
      <c r="E59" s="50">
        <f>IFERROR('TOTAL STATISTICS'!D59/'TOTAL STATISTICS'!K59*600,0)</f>
        <v>10.720583049253555</v>
      </c>
      <c r="F59" s="50">
        <f>IFERROR('TOTAL STATISTICS'!E59/'TOTAL STATISTICS'!K59*600,0)</f>
        <v>6.4535088750440819</v>
      </c>
      <c r="G59" s="50">
        <f>IFERROR('TOTAL STATISTICS'!F59/'TOTAL STATISTICS'!K59*600,0)</f>
        <v>10.579522745973904</v>
      </c>
      <c r="H59" s="50">
        <f>IFERROR('TOTAL STATISTICS'!G59/'TOTAL STATISTICS'!K59*600,0)</f>
        <v>4732.2205242741275</v>
      </c>
      <c r="I59" s="50">
        <f>IFERROR('TOTAL STATISTICS'!H59/'TOTAL STATISTICS'!K59*600,0)</f>
        <v>6885.8234395203945</v>
      </c>
      <c r="J59" s="50">
        <f>IFERROR('TOTAL STATISTICS'!I59/'TOTAL STATISTICS'!K59*600,0)</f>
        <v>1794.6044433995535</v>
      </c>
    </row>
    <row r="60" spans="1:10">
      <c r="A60" t="s">
        <v>53</v>
      </c>
      <c r="B60" t="s">
        <v>173</v>
      </c>
      <c r="C60" t="s">
        <v>109</v>
      </c>
      <c r="D60" s="50">
        <f>'TOTAL STATISTICS'!K60/60</f>
        <v>110.5</v>
      </c>
      <c r="E60" s="50">
        <f>IFERROR('TOTAL STATISTICS'!D60/'TOTAL STATISTICS'!K60*600,0)</f>
        <v>6.3348416289592766</v>
      </c>
      <c r="F60" s="50">
        <f>IFERROR('TOTAL STATISTICS'!E60/'TOTAL STATISTICS'!K60*600,0)</f>
        <v>6.1538461538461542</v>
      </c>
      <c r="G60" s="50">
        <f>IFERROR('TOTAL STATISTICS'!F60/'TOTAL STATISTICS'!K60*600,0)</f>
        <v>8.9592760180995477</v>
      </c>
      <c r="H60" s="50">
        <f>IFERROR('TOTAL STATISTICS'!G60/'TOTAL STATISTICS'!K60*600,0)</f>
        <v>3738.3710407239819</v>
      </c>
      <c r="I60" s="50">
        <f>IFERROR('TOTAL STATISTICS'!H60/'TOTAL STATISTICS'!K60*600,0)</f>
        <v>8168.8687782805428</v>
      </c>
      <c r="J60" s="50">
        <f>IFERROR('TOTAL STATISTICS'!I60/'TOTAL STATISTICS'!K60*600,0)</f>
        <v>1308.6877828054298</v>
      </c>
    </row>
    <row r="61" spans="1:10">
      <c r="A61" t="s">
        <v>53</v>
      </c>
      <c r="B61" t="s">
        <v>174</v>
      </c>
      <c r="C61" t="s">
        <v>109</v>
      </c>
      <c r="D61" s="50">
        <f>'TOTAL STATISTICS'!K61/60</f>
        <v>316.71666666666664</v>
      </c>
      <c r="E61" s="50">
        <f>IFERROR('TOTAL STATISTICS'!D61/'TOTAL STATISTICS'!K61*600,0)</f>
        <v>8.0829342735357574</v>
      </c>
      <c r="F61" s="50">
        <f>IFERROR('TOTAL STATISTICS'!E61/'TOTAL STATISTICS'!K61*600,0)</f>
        <v>6.6305320212598007</v>
      </c>
      <c r="G61" s="50">
        <f>IFERROR('TOTAL STATISTICS'!F61/'TOTAL STATISTICS'!K61*600,0)</f>
        <v>13.860969320633584</v>
      </c>
      <c r="H61" s="50">
        <f>IFERROR('TOTAL STATISTICS'!G61/'TOTAL STATISTICS'!K61*600,0)</f>
        <v>3757.0173130558333</v>
      </c>
      <c r="I61" s="50">
        <f>IFERROR('TOTAL STATISTICS'!H61/'TOTAL STATISTICS'!K61*600,0)</f>
        <v>11497.310950902489</v>
      </c>
      <c r="J61" s="50">
        <f>IFERROR('TOTAL STATISTICS'!I61/'TOTAL STATISTICS'!K61*600,0)</f>
        <v>132.42119665316002</v>
      </c>
    </row>
    <row r="66" spans="1:10">
      <c r="A66" s="27"/>
      <c r="B66" s="27"/>
      <c r="C66" s="27"/>
      <c r="D66" s="28"/>
      <c r="E66" s="28"/>
      <c r="F66" s="28"/>
      <c r="G66" s="28"/>
      <c r="H66" s="28"/>
      <c r="I66" s="28"/>
      <c r="J66" s="28"/>
    </row>
  </sheetData>
  <phoneticPr fontId="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2"/>
  <sheetViews>
    <sheetView workbookViewId="0"/>
  </sheetViews>
  <sheetFormatPr baseColWidth="10" defaultRowHeight="18"/>
  <sheetData>
    <row r="1" spans="1:4">
      <c r="A1" s="7" t="s">
        <v>376</v>
      </c>
      <c r="B1" s="7" t="s">
        <v>377</v>
      </c>
      <c r="C1" s="7" t="s">
        <v>378</v>
      </c>
      <c r="D1" s="7" t="s">
        <v>177</v>
      </c>
    </row>
    <row r="2" spans="1:4">
      <c r="A2" s="7" t="s">
        <v>379</v>
      </c>
      <c r="B2" s="7" t="s">
        <v>380</v>
      </c>
      <c r="C2" s="7" t="s">
        <v>103</v>
      </c>
      <c r="D2" s="7" t="s">
        <v>104</v>
      </c>
    </row>
    <row r="3" spans="1:4">
      <c r="A3" s="7" t="s">
        <v>379</v>
      </c>
      <c r="B3" s="7" t="s">
        <v>381</v>
      </c>
      <c r="C3" s="7" t="s">
        <v>146</v>
      </c>
      <c r="D3" s="7" t="s">
        <v>101</v>
      </c>
    </row>
    <row r="4" spans="1:4">
      <c r="A4" s="7" t="s">
        <v>379</v>
      </c>
      <c r="B4" s="7" t="s">
        <v>382</v>
      </c>
      <c r="C4" s="7" t="s">
        <v>155</v>
      </c>
      <c r="D4" s="7" t="s">
        <v>104</v>
      </c>
    </row>
    <row r="5" spans="1:4">
      <c r="A5" s="7" t="s">
        <v>383</v>
      </c>
      <c r="B5" s="7" t="s">
        <v>384</v>
      </c>
      <c r="C5" s="7" t="s">
        <v>127</v>
      </c>
      <c r="D5" s="7" t="s">
        <v>104</v>
      </c>
    </row>
    <row r="6" spans="1:4">
      <c r="A6" s="7" t="s">
        <v>383</v>
      </c>
      <c r="B6" s="7" t="s">
        <v>385</v>
      </c>
      <c r="C6" s="7" t="s">
        <v>155</v>
      </c>
      <c r="D6" s="7" t="s">
        <v>104</v>
      </c>
    </row>
    <row r="7" spans="1:4">
      <c r="A7" s="7" t="s">
        <v>383</v>
      </c>
      <c r="B7" s="7" t="s">
        <v>386</v>
      </c>
      <c r="C7" s="7" t="s">
        <v>162</v>
      </c>
      <c r="D7" s="7" t="s">
        <v>104</v>
      </c>
    </row>
    <row r="8" spans="1:4">
      <c r="A8" s="7" t="s">
        <v>387</v>
      </c>
      <c r="B8" s="7" t="s">
        <v>388</v>
      </c>
      <c r="C8" s="7" t="s">
        <v>106</v>
      </c>
      <c r="D8" s="7" t="s">
        <v>104</v>
      </c>
    </row>
    <row r="9" spans="1:4">
      <c r="A9" s="7" t="s">
        <v>387</v>
      </c>
      <c r="B9" s="7" t="s">
        <v>389</v>
      </c>
      <c r="C9" s="7" t="s">
        <v>142</v>
      </c>
      <c r="D9" s="7" t="s">
        <v>109</v>
      </c>
    </row>
    <row r="10" spans="1:4">
      <c r="A10" s="7" t="s">
        <v>387</v>
      </c>
      <c r="B10" s="7" t="s">
        <v>390</v>
      </c>
      <c r="C10" s="7" t="s">
        <v>146</v>
      </c>
      <c r="D10" s="7" t="s">
        <v>101</v>
      </c>
    </row>
    <row r="11" spans="1:4">
      <c r="A11" s="7" t="s">
        <v>391</v>
      </c>
      <c r="B11" s="7" t="s">
        <v>392</v>
      </c>
      <c r="C11" s="7" t="s">
        <v>125</v>
      </c>
      <c r="D11" s="7" t="s">
        <v>101</v>
      </c>
    </row>
    <row r="12" spans="1:4">
      <c r="A12" s="7" t="s">
        <v>391</v>
      </c>
      <c r="B12" s="7" t="s">
        <v>393</v>
      </c>
      <c r="C12" s="7" t="s">
        <v>140</v>
      </c>
      <c r="D12" s="7" t="s">
        <v>104</v>
      </c>
    </row>
    <row r="13" spans="1:4">
      <c r="A13" s="7" t="s">
        <v>391</v>
      </c>
      <c r="B13" s="7" t="s">
        <v>394</v>
      </c>
      <c r="C13" s="7" t="s">
        <v>148</v>
      </c>
      <c r="D13" s="7" t="s">
        <v>104</v>
      </c>
    </row>
    <row r="14" spans="1:4">
      <c r="A14" s="7" t="s">
        <v>395</v>
      </c>
      <c r="B14" s="7" t="s">
        <v>396</v>
      </c>
      <c r="C14" s="7" t="s">
        <v>162</v>
      </c>
      <c r="D14" s="7" t="s">
        <v>104</v>
      </c>
    </row>
    <row r="15" spans="1:4">
      <c r="A15" s="7" t="s">
        <v>395</v>
      </c>
      <c r="B15" s="7" t="s">
        <v>397</v>
      </c>
      <c r="C15" s="7" t="s">
        <v>155</v>
      </c>
      <c r="D15" s="7" t="s">
        <v>104</v>
      </c>
    </row>
    <row r="16" spans="1:4">
      <c r="A16" s="7" t="s">
        <v>395</v>
      </c>
      <c r="B16" s="7" t="s">
        <v>398</v>
      </c>
      <c r="C16" s="7" t="s">
        <v>140</v>
      </c>
      <c r="D16" s="7" t="s">
        <v>104</v>
      </c>
    </row>
    <row r="17" spans="1:4">
      <c r="A17" s="7" t="s">
        <v>399</v>
      </c>
      <c r="B17" s="7" t="s">
        <v>400</v>
      </c>
      <c r="C17" s="7" t="s">
        <v>118</v>
      </c>
      <c r="D17" s="7" t="s">
        <v>104</v>
      </c>
    </row>
    <row r="18" spans="1:4">
      <c r="A18" s="7" t="s">
        <v>399</v>
      </c>
      <c r="B18" s="7" t="s">
        <v>401</v>
      </c>
      <c r="C18" s="7" t="s">
        <v>146</v>
      </c>
      <c r="D18" s="7" t="s">
        <v>101</v>
      </c>
    </row>
    <row r="19" spans="1:4">
      <c r="A19" s="7" t="s">
        <v>399</v>
      </c>
      <c r="B19" s="7" t="s">
        <v>402</v>
      </c>
      <c r="C19" s="7" t="s">
        <v>162</v>
      </c>
      <c r="D19" s="7" t="s">
        <v>104</v>
      </c>
    </row>
    <row r="20" spans="1:4">
      <c r="A20" s="7" t="s">
        <v>403</v>
      </c>
      <c r="B20" s="7" t="s">
        <v>404</v>
      </c>
      <c r="C20" s="7" t="s">
        <v>118</v>
      </c>
      <c r="D20" s="7" t="s">
        <v>104</v>
      </c>
    </row>
    <row r="21" spans="1:4">
      <c r="A21" s="7" t="s">
        <v>403</v>
      </c>
      <c r="B21" s="7" t="s">
        <v>405</v>
      </c>
      <c r="C21" s="7" t="s">
        <v>162</v>
      </c>
      <c r="D21" s="7" t="s">
        <v>104</v>
      </c>
    </row>
    <row r="22" spans="1:4">
      <c r="A22" s="7" t="s">
        <v>403</v>
      </c>
      <c r="B22" s="7" t="s">
        <v>406</v>
      </c>
      <c r="C22" s="7" t="s">
        <v>149</v>
      </c>
      <c r="D22" s="7" t="s">
        <v>104</v>
      </c>
    </row>
    <row r="23" spans="1:4">
      <c r="A23" s="7" t="s">
        <v>407</v>
      </c>
      <c r="B23" s="7" t="s">
        <v>408</v>
      </c>
      <c r="C23" s="7" t="s">
        <v>168</v>
      </c>
      <c r="D23" s="7" t="s">
        <v>101</v>
      </c>
    </row>
    <row r="24" spans="1:4">
      <c r="A24" s="7" t="s">
        <v>407</v>
      </c>
      <c r="B24" s="7" t="s">
        <v>409</v>
      </c>
      <c r="C24" s="7" t="s">
        <v>140</v>
      </c>
      <c r="D24" s="7" t="s">
        <v>104</v>
      </c>
    </row>
    <row r="25" spans="1:4">
      <c r="A25" s="7" t="s">
        <v>407</v>
      </c>
      <c r="B25" s="7" t="s">
        <v>410</v>
      </c>
      <c r="C25" s="7" t="s">
        <v>155</v>
      </c>
      <c r="D25" s="7" t="s">
        <v>104</v>
      </c>
    </row>
    <row r="26" spans="1:4">
      <c r="A26" s="7" t="s">
        <v>411</v>
      </c>
      <c r="B26" s="7" t="s">
        <v>412</v>
      </c>
      <c r="C26" s="7" t="s">
        <v>164</v>
      </c>
      <c r="D26" s="7" t="s">
        <v>104</v>
      </c>
    </row>
    <row r="27" spans="1:4">
      <c r="A27" s="7" t="s">
        <v>411</v>
      </c>
      <c r="B27" s="7" t="s">
        <v>413</v>
      </c>
      <c r="C27" s="7" t="s">
        <v>148</v>
      </c>
      <c r="D27" s="7" t="s">
        <v>104</v>
      </c>
    </row>
    <row r="28" spans="1:4">
      <c r="A28" s="7" t="s">
        <v>411</v>
      </c>
      <c r="B28" s="7" t="s">
        <v>414</v>
      </c>
      <c r="C28" s="7" t="s">
        <v>140</v>
      </c>
      <c r="D28" s="7" t="s">
        <v>104</v>
      </c>
    </row>
    <row r="29" spans="1:4">
      <c r="A29" s="7" t="s">
        <v>415</v>
      </c>
      <c r="B29" s="7" t="s">
        <v>416</v>
      </c>
      <c r="C29" s="7" t="s">
        <v>113</v>
      </c>
      <c r="D29" s="7" t="s">
        <v>109</v>
      </c>
    </row>
    <row r="30" spans="1:4">
      <c r="A30" s="7" t="s">
        <v>415</v>
      </c>
      <c r="B30" s="7" t="s">
        <v>417</v>
      </c>
      <c r="C30" s="7" t="s">
        <v>142</v>
      </c>
      <c r="D30" s="7" t="s">
        <v>109</v>
      </c>
    </row>
    <row r="31" spans="1:4">
      <c r="A31" s="7" t="s">
        <v>415</v>
      </c>
      <c r="B31" s="7" t="s">
        <v>418</v>
      </c>
      <c r="C31" s="7" t="s">
        <v>117</v>
      </c>
      <c r="D31" s="7" t="s">
        <v>104</v>
      </c>
    </row>
    <row r="32" spans="1:4">
      <c r="A32" s="7" t="s">
        <v>419</v>
      </c>
      <c r="B32" s="7" t="s">
        <v>420</v>
      </c>
      <c r="C32" s="7" t="s">
        <v>153</v>
      </c>
      <c r="D32" s="7" t="s">
        <v>101</v>
      </c>
    </row>
    <row r="33" spans="1:4">
      <c r="A33" s="7" t="s">
        <v>419</v>
      </c>
      <c r="B33" s="7" t="s">
        <v>421</v>
      </c>
      <c r="C33" s="7" t="s">
        <v>165</v>
      </c>
      <c r="D33" s="7" t="s">
        <v>109</v>
      </c>
    </row>
    <row r="34" spans="1:4">
      <c r="A34" s="7" t="s">
        <v>419</v>
      </c>
      <c r="B34" s="7" t="s">
        <v>422</v>
      </c>
      <c r="C34" s="7" t="s">
        <v>149</v>
      </c>
      <c r="D34" s="7" t="s">
        <v>104</v>
      </c>
    </row>
    <row r="35" spans="1:4">
      <c r="A35" s="7" t="s">
        <v>423</v>
      </c>
      <c r="B35" s="7" t="s">
        <v>424</v>
      </c>
      <c r="C35" s="7" t="s">
        <v>106</v>
      </c>
      <c r="D35" s="7" t="s">
        <v>104</v>
      </c>
    </row>
    <row r="36" spans="1:4">
      <c r="A36" s="7" t="s">
        <v>423</v>
      </c>
      <c r="B36" s="7" t="s">
        <v>425</v>
      </c>
      <c r="C36" s="7" t="s">
        <v>152</v>
      </c>
      <c r="D36" s="7" t="s">
        <v>101</v>
      </c>
    </row>
    <row r="37" spans="1:4">
      <c r="A37" s="7" t="s">
        <v>423</v>
      </c>
      <c r="B37" s="7" t="s">
        <v>426</v>
      </c>
      <c r="C37" s="7" t="s">
        <v>139</v>
      </c>
      <c r="D37" s="7" t="s">
        <v>101</v>
      </c>
    </row>
    <row r="38" spans="1:4">
      <c r="A38" s="7" t="s">
        <v>427</v>
      </c>
      <c r="B38" s="7" t="s">
        <v>380</v>
      </c>
      <c r="C38" s="7" t="s">
        <v>122</v>
      </c>
      <c r="D38" s="7" t="s">
        <v>109</v>
      </c>
    </row>
    <row r="39" spans="1:4">
      <c r="A39" s="7" t="s">
        <v>427</v>
      </c>
      <c r="B39" s="7" t="s">
        <v>428</v>
      </c>
      <c r="C39" s="7" t="s">
        <v>147</v>
      </c>
      <c r="D39" s="7" t="s">
        <v>104</v>
      </c>
    </row>
    <row r="40" spans="1:4">
      <c r="A40" s="7" t="s">
        <v>427</v>
      </c>
      <c r="B40" s="7" t="s">
        <v>429</v>
      </c>
      <c r="C40" s="7" t="s">
        <v>154</v>
      </c>
      <c r="D40" s="7" t="s">
        <v>104</v>
      </c>
    </row>
    <row r="41" spans="1:4">
      <c r="A41" s="7" t="s">
        <v>430</v>
      </c>
      <c r="B41" s="7" t="s">
        <v>392</v>
      </c>
      <c r="C41" s="7" t="s">
        <v>127</v>
      </c>
      <c r="D41" s="7" t="s">
        <v>104</v>
      </c>
    </row>
    <row r="42" spans="1:4">
      <c r="A42" s="7" t="s">
        <v>430</v>
      </c>
      <c r="B42" s="7" t="s">
        <v>431</v>
      </c>
      <c r="C42" s="7" t="s">
        <v>147</v>
      </c>
      <c r="D42" s="7" t="s">
        <v>104</v>
      </c>
    </row>
    <row r="43" spans="1:4">
      <c r="A43" s="7" t="s">
        <v>430</v>
      </c>
      <c r="B43" s="7" t="s">
        <v>417</v>
      </c>
      <c r="C43" s="7" t="s">
        <v>142</v>
      </c>
      <c r="D43" s="7" t="s">
        <v>109</v>
      </c>
    </row>
    <row r="44" spans="1:4">
      <c r="A44" s="7" t="s">
        <v>432</v>
      </c>
      <c r="B44" s="7" t="s">
        <v>433</v>
      </c>
      <c r="C44" s="7" t="s">
        <v>100</v>
      </c>
      <c r="D44" s="7" t="s">
        <v>101</v>
      </c>
    </row>
    <row r="45" spans="1:4">
      <c r="A45" s="7" t="s">
        <v>432</v>
      </c>
      <c r="B45" s="7" t="s">
        <v>426</v>
      </c>
      <c r="C45" s="7" t="s">
        <v>150</v>
      </c>
      <c r="D45" s="7" t="s">
        <v>109</v>
      </c>
    </row>
    <row r="46" spans="1:4">
      <c r="A46" s="7" t="s">
        <v>432</v>
      </c>
      <c r="B46" s="7" t="s">
        <v>434</v>
      </c>
      <c r="C46" s="7" t="s">
        <v>157</v>
      </c>
      <c r="D46" s="7" t="s">
        <v>109</v>
      </c>
    </row>
    <row r="47" spans="1:4">
      <c r="A47" s="7" t="s">
        <v>435</v>
      </c>
      <c r="B47" s="7" t="s">
        <v>436</v>
      </c>
      <c r="C47" s="7" t="s">
        <v>117</v>
      </c>
      <c r="D47" s="7" t="s">
        <v>104</v>
      </c>
    </row>
    <row r="48" spans="1:4">
      <c r="A48" s="7" t="s">
        <v>435</v>
      </c>
      <c r="B48" s="7" t="s">
        <v>437</v>
      </c>
      <c r="C48" s="7" t="s">
        <v>142</v>
      </c>
      <c r="D48" s="7" t="s">
        <v>109</v>
      </c>
    </row>
    <row r="49" spans="1:4">
      <c r="A49" s="7" t="s">
        <v>438</v>
      </c>
      <c r="B49" s="7" t="s">
        <v>394</v>
      </c>
      <c r="C49" s="7" t="s">
        <v>147</v>
      </c>
      <c r="D49" s="7" t="s">
        <v>104</v>
      </c>
    </row>
    <row r="50" spans="1:4">
      <c r="A50" s="7" t="s">
        <v>438</v>
      </c>
      <c r="B50" s="7" t="s">
        <v>382</v>
      </c>
      <c r="C50" s="7" t="s">
        <v>141</v>
      </c>
      <c r="D50" s="7" t="s">
        <v>104</v>
      </c>
    </row>
    <row r="51" spans="1:4">
      <c r="A51" s="7" t="s">
        <v>439</v>
      </c>
      <c r="B51" s="7" t="s">
        <v>425</v>
      </c>
      <c r="C51" s="7" t="s">
        <v>152</v>
      </c>
      <c r="D51" s="7" t="s">
        <v>101</v>
      </c>
    </row>
    <row r="52" spans="1:4">
      <c r="A52" s="7" t="s">
        <v>439</v>
      </c>
      <c r="B52" s="7" t="s">
        <v>426</v>
      </c>
      <c r="C52" s="7" t="s">
        <v>140</v>
      </c>
      <c r="D52" s="7" t="s">
        <v>104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TEAM INFO</vt:lpstr>
      <vt:lpstr>MATCH INFO</vt:lpstr>
      <vt:lpstr>MATCH_W1</vt:lpstr>
      <vt:lpstr>MATCH_W2</vt:lpstr>
      <vt:lpstr>MATCH_W3</vt:lpstr>
      <vt:lpstr>MATCH_W4</vt:lpstr>
      <vt:lpstr>MATCH_W5</vt:lpstr>
      <vt:lpstr>MATCH_W6</vt:lpstr>
      <vt:lpstr>TOTAL STATISTICS</vt:lpstr>
      <vt:lpstr>Per10 STATISTICS</vt:lpstr>
      <vt:lpstr>POTM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Her</cp:lastModifiedBy>
  <dcterms:created xsi:type="dcterms:W3CDTF">2026-09-24T02:19:06Z</dcterms:created>
  <dcterms:modified xsi:type="dcterms:W3CDTF">2026-09-29T01:45:36Z</dcterms:modified>
</cp:coreProperties>
</file>