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1" autoFilterDateGrouping="1"/>
  </bookViews>
  <sheets>
    <sheet xmlns:r="http://schemas.openxmlformats.org/officeDocument/2006/relationships" name="TEAM INFO" sheetId="1" state="visible" r:id="rId1"/>
    <sheet xmlns:r="http://schemas.openxmlformats.org/officeDocument/2006/relationships" name="MATCH INFO" sheetId="2" state="visible" r:id="rId2"/>
    <sheet xmlns:r="http://schemas.openxmlformats.org/officeDocument/2006/relationships" name="MATCH_W1" sheetId="3" state="visible" r:id="rId3"/>
    <sheet xmlns:r="http://schemas.openxmlformats.org/officeDocument/2006/relationships" name="MATCH_W2" sheetId="4" state="visible" r:id="rId4"/>
    <sheet xmlns:r="http://schemas.openxmlformats.org/officeDocument/2006/relationships" name="MATCH_W3" sheetId="5" state="visible" r:id="rId5"/>
    <sheet xmlns:r="http://schemas.openxmlformats.org/officeDocument/2006/relationships" name="MATCH_W4" sheetId="6" state="visible" r:id="rId6"/>
    <sheet xmlns:r="http://schemas.openxmlformats.org/officeDocument/2006/relationships" name="MATCH_W5" sheetId="7" state="visible" r:id="rId7"/>
    <sheet xmlns:r="http://schemas.openxmlformats.org/officeDocument/2006/relationships" name="MATCH_W6" sheetId="8" state="visible" r:id="rId8"/>
    <sheet xmlns:r="http://schemas.openxmlformats.org/officeDocument/2006/relationships" name="TOTAL STATISTICS" sheetId="9" state="visible" r:id="rId9"/>
    <sheet xmlns:r="http://schemas.openxmlformats.org/officeDocument/2006/relationships" name="Per10 STATISTICS" sheetId="10" state="visible" r:id="rId10"/>
    <sheet xmlns:r="http://schemas.openxmlformats.org/officeDocument/2006/relationships" name="POT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#,##0.00_ "/>
    <numFmt numFmtId="166" formatCode="#,##0_ "/>
  </numFmts>
  <fonts count="9">
    <font>
      <name val="맑은 고딕"/>
      <color theme="1"/>
      <sz val="12"/>
    </font>
    <font>
      <name val="맑은 고딕"/>
      <charset val="129"/>
      <family val="2"/>
      <color rgb="FF000000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2"/>
    </font>
    <font>
      <name val="맑은 고딕"/>
      <charset val="129"/>
      <family val="2"/>
      <b val="1"/>
      <sz val="12"/>
    </font>
    <font>
      <name val="맑은 고딕"/>
      <charset val="129"/>
      <family val="2"/>
      <b val="1"/>
      <color theme="1"/>
      <sz val="12"/>
    </font>
    <font>
      <name val="맑은 고딕"/>
      <charset val="129"/>
      <family val="2"/>
      <b val="1"/>
      <sz val="11"/>
    </font>
    <font>
      <name val="맑은 고딕"/>
      <charset val="129"/>
      <family val="2"/>
      <color theme="1"/>
      <sz val="12"/>
    </font>
    <font>
      <name val="굴림"/>
      <charset val="129"/>
      <family val="2"/>
      <sz val="8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45" fontId="0" fillId="0" borderId="2" applyAlignment="1" pivotButton="0" quotePrefix="0" xfId="0">
      <alignment vertical="center"/>
    </xf>
    <xf numFmtId="14" fontId="0" fillId="0" borderId="0" pivotButton="0" quotePrefix="0" xfId="0"/>
    <xf numFmtId="0" fontId="0" fillId="0" borderId="5" pivotButton="0" quotePrefix="0" xfId="0"/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14" fontId="0" fillId="2" borderId="2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5" fontId="0" fillId="2" borderId="2" applyAlignment="1" pivotButton="0" quotePrefix="0" xfId="0">
      <alignment vertical="center"/>
    </xf>
    <xf numFmtId="14" fontId="1" fillId="2" borderId="2" applyAlignment="1" pivotButton="0" quotePrefix="0" xfId="0">
      <alignment vertical="center"/>
    </xf>
    <xf numFmtId="0" fontId="0" fillId="2" borderId="2" pivotButton="0" quotePrefix="0" xfId="0"/>
    <xf numFmtId="0" fontId="1" fillId="2" borderId="5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4" fontId="0" fillId="2" borderId="0" pivotButton="0" quotePrefix="0" xfId="0"/>
    <xf numFmtId="0" fontId="0" fillId="2" borderId="0" pivotButton="0" quotePrefix="0" xfId="0"/>
    <xf numFmtId="0" fontId="0" fillId="2" borderId="5" pivotButton="0" quotePrefix="0" xfId="0"/>
    <xf numFmtId="0" fontId="0" fillId="0" borderId="6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4" fontId="0" fillId="0" borderId="2" pivotButton="0" quotePrefix="0" xfId="0"/>
    <xf numFmtId="14" fontId="0" fillId="2" borderId="2" pivotButton="0" quotePrefix="0" xfId="0"/>
    <xf numFmtId="0" fontId="0" fillId="2" borderId="4" pivotButton="0" quotePrefix="0" xfId="0"/>
    <xf numFmtId="0" fontId="0" fillId="2" borderId="3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2" fontId="0" fillId="0" borderId="0" pivotButton="0" quotePrefix="0" xfId="0"/>
    <xf numFmtId="0" fontId="7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표준" xfId="0" builtinId="0"/>
  </cellStyles>
  <dxfs count="12"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  <dxf>
      <fill>
        <patternFill>
          <bgColor theme="0" tint="-0.249946592608417"/>
        </patternFill>
      </fill>
    </dxf>
    <dxf>
      <border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topLeftCell="A53" workbookViewId="0">
      <selection activeCell="H70" sqref="H70"/>
    </sheetView>
  </sheetViews>
  <sheetFormatPr baseColWidth="10" defaultRowHeight="18"/>
  <cols>
    <col width="11.28515625" customWidth="1" style="3" min="1" max="1"/>
    <col width="13.140625" customWidth="1" style="3" min="3" max="3"/>
    <col width="12.28515625" customWidth="1" style="3" min="4" max="4"/>
  </cols>
  <sheetData>
    <row r="1">
      <c r="A1" s="5" t="inlineStr">
        <is>
          <t>Team Name</t>
        </is>
      </c>
      <c r="B1" s="5" t="inlineStr">
        <is>
          <t>Shortened</t>
        </is>
      </c>
      <c r="C1" s="5" t="inlineStr">
        <is>
          <t>Player Name</t>
        </is>
      </c>
      <c r="D1" s="5" t="inlineStr">
        <is>
          <t>Player Position</t>
        </is>
      </c>
      <c r="E1" s="5" t="inlineStr">
        <is>
          <t>Detailed</t>
        </is>
      </c>
    </row>
    <row r="2">
      <c r="A2" s="5" t="inlineStr">
        <is>
          <t>Crazy Raccoon</t>
        </is>
      </c>
      <c r="B2" s="5" t="inlineStr">
        <is>
          <t>CR</t>
        </is>
      </c>
      <c r="C2" s="5" t="inlineStr">
        <is>
          <t>JUNBIN</t>
        </is>
      </c>
      <c r="D2" s="5" t="inlineStr">
        <is>
          <t>TANK</t>
        </is>
      </c>
      <c r="E2" s="7" t="inlineStr">
        <is>
          <t>TANK</t>
        </is>
      </c>
    </row>
    <row r="3">
      <c r="A3" s="52" t="n"/>
      <c r="C3" s="5" t="inlineStr">
        <is>
          <t>MAX</t>
        </is>
      </c>
      <c r="D3" s="5" t="inlineStr">
        <is>
          <t>TANK</t>
        </is>
      </c>
      <c r="E3" s="7" t="inlineStr">
        <is>
          <t>TANK</t>
        </is>
      </c>
    </row>
    <row r="4">
      <c r="C4" s="5" t="inlineStr">
        <is>
          <t>HEESANG</t>
        </is>
      </c>
      <c r="D4" s="5" t="inlineStr">
        <is>
          <t>DPS</t>
        </is>
      </c>
      <c r="E4" s="7" t="inlineStr">
        <is>
          <t>FLEX DPS</t>
        </is>
      </c>
    </row>
    <row r="5">
      <c r="C5" s="5" t="inlineStr">
        <is>
          <t>LIP</t>
        </is>
      </c>
      <c r="D5" s="5" t="inlineStr">
        <is>
          <t>DPS</t>
        </is>
      </c>
      <c r="E5" s="51" t="inlineStr">
        <is>
          <t>MAIN DPS</t>
        </is>
      </c>
    </row>
    <row r="6">
      <c r="C6" s="5" t="inlineStr">
        <is>
          <t>STALK3R</t>
        </is>
      </c>
      <c r="D6" s="5" t="inlineStr">
        <is>
          <t>DPS</t>
        </is>
      </c>
      <c r="E6" s="51" t="inlineStr">
        <is>
          <t>MAIN DPS</t>
        </is>
      </c>
    </row>
    <row r="7">
      <c r="C7" s="5" t="inlineStr">
        <is>
          <t>CH0R0NG</t>
        </is>
      </c>
      <c r="D7" s="5" t="inlineStr">
        <is>
          <t>SPT</t>
        </is>
      </c>
      <c r="E7" s="51" t="inlineStr">
        <is>
          <t>MAIN SPT</t>
        </is>
      </c>
    </row>
    <row r="8">
      <c r="C8" s="5" t="inlineStr">
        <is>
          <t>VIGILANTE</t>
        </is>
      </c>
      <c r="D8" s="5" t="inlineStr">
        <is>
          <t>SPT</t>
        </is>
      </c>
      <c r="E8" s="51" t="inlineStr">
        <is>
          <t>FLEX SPT</t>
        </is>
      </c>
    </row>
    <row r="9">
      <c r="A9" t="inlineStr">
        <is>
          <t>Team Falcons</t>
        </is>
      </c>
      <c r="B9" t="inlineStr">
        <is>
          <t>FLC</t>
        </is>
      </c>
      <c r="C9" s="5" t="inlineStr">
        <is>
          <t>SOMEONE</t>
        </is>
      </c>
      <c r="D9" s="5" t="inlineStr">
        <is>
          <t>TANK</t>
        </is>
      </c>
      <c r="E9" s="51" t="inlineStr">
        <is>
          <t>TANK</t>
        </is>
      </c>
    </row>
    <row r="10">
      <c r="A10" s="5" t="n"/>
      <c r="B10" s="5" t="n"/>
      <c r="C10" s="5" t="inlineStr">
        <is>
          <t>HANBIN</t>
        </is>
      </c>
      <c r="D10" s="5" t="inlineStr">
        <is>
          <t>TANK</t>
        </is>
      </c>
      <c r="E10" s="7" t="inlineStr">
        <is>
          <t>TANK</t>
        </is>
      </c>
    </row>
    <row r="11">
      <c r="A11" s="52" t="n"/>
      <c r="C11" s="5" t="inlineStr">
        <is>
          <t>CHECKMATE</t>
        </is>
      </c>
      <c r="D11" s="5" t="inlineStr">
        <is>
          <t>DPS</t>
        </is>
      </c>
      <c r="E11" s="7" t="inlineStr">
        <is>
          <t>FLEX DPS</t>
        </is>
      </c>
    </row>
    <row r="12">
      <c r="C12" s="5" t="inlineStr">
        <is>
          <t>SP1NT</t>
        </is>
      </c>
      <c r="D12" s="5" t="inlineStr">
        <is>
          <t>DPS</t>
        </is>
      </c>
      <c r="E12" s="7" t="inlineStr">
        <is>
          <t>FLEX DPS</t>
        </is>
      </c>
    </row>
    <row r="13">
      <c r="C13" s="5" t="inlineStr">
        <is>
          <t>MER1T</t>
        </is>
      </c>
      <c r="D13" s="5" t="inlineStr">
        <is>
          <t>DPS</t>
        </is>
      </c>
      <c r="E13" s="51" t="inlineStr">
        <is>
          <t>MAIN DPS</t>
        </is>
      </c>
    </row>
    <row r="14">
      <c r="C14" s="5" t="inlineStr">
        <is>
          <t>CHIYO</t>
        </is>
      </c>
      <c r="D14" s="5" t="inlineStr">
        <is>
          <t>SPT</t>
        </is>
      </c>
      <c r="E14" s="51" t="inlineStr">
        <is>
          <t>MAIN SPT</t>
        </is>
      </c>
    </row>
    <row r="15">
      <c r="C15" s="5" t="inlineStr">
        <is>
          <t>FIELDER</t>
        </is>
      </c>
      <c r="D15" s="5" t="inlineStr">
        <is>
          <t>SPT</t>
        </is>
      </c>
      <c r="E15" s="51" t="inlineStr">
        <is>
          <t>FLEX SPT</t>
        </is>
      </c>
    </row>
    <row r="16">
      <c r="A16" t="inlineStr">
        <is>
          <t>T1</t>
        </is>
      </c>
      <c r="B16" t="inlineStr">
        <is>
          <t>T1</t>
        </is>
      </c>
      <c r="C16" s="5" t="inlineStr">
        <is>
          <t>DONGHAK</t>
        </is>
      </c>
      <c r="D16" s="5" t="inlineStr">
        <is>
          <t>TANK</t>
        </is>
      </c>
      <c r="E16" s="51" t="inlineStr">
        <is>
          <t>TANK</t>
        </is>
      </c>
    </row>
    <row r="17">
      <c r="C17" s="5" t="inlineStr">
        <is>
          <t>JASM1NE</t>
        </is>
      </c>
      <c r="D17" s="5" t="inlineStr">
        <is>
          <t>TANK</t>
        </is>
      </c>
      <c r="E17" s="51" t="inlineStr">
        <is>
          <t>TANK</t>
        </is>
      </c>
    </row>
    <row r="18">
      <c r="A18" s="5" t="n"/>
      <c r="B18" s="5" t="n"/>
      <c r="C18" s="5" t="inlineStr">
        <is>
          <t>ZEST</t>
        </is>
      </c>
      <c r="D18" s="5" t="inlineStr">
        <is>
          <t>DPS</t>
        </is>
      </c>
      <c r="E18" s="7" t="inlineStr">
        <is>
          <t>FLEX DPS</t>
        </is>
      </c>
    </row>
    <row r="19">
      <c r="A19" s="52" t="n"/>
      <c r="C19" s="5" t="inlineStr">
        <is>
          <t>PROUD</t>
        </is>
      </c>
      <c r="D19" s="5" t="inlineStr">
        <is>
          <t>DPS</t>
        </is>
      </c>
      <c r="E19" s="7" t="inlineStr">
        <is>
          <t>MAIN DPS</t>
        </is>
      </c>
    </row>
    <row r="20">
      <c r="C20" s="5" t="inlineStr">
        <is>
          <t>BLISS</t>
        </is>
      </c>
      <c r="D20" s="5" t="inlineStr">
        <is>
          <t>SPT</t>
        </is>
      </c>
      <c r="E20" s="7" t="inlineStr">
        <is>
          <t>MAIN SPT</t>
        </is>
      </c>
    </row>
    <row r="21">
      <c r="C21" s="5" t="inlineStr">
        <is>
          <t>SKEWED</t>
        </is>
      </c>
      <c r="D21" s="5" t="inlineStr">
        <is>
          <t>SPT</t>
        </is>
      </c>
      <c r="E21" s="51" t="inlineStr">
        <is>
          <t>FLEX SPT</t>
        </is>
      </c>
    </row>
    <row r="22">
      <c r="C22" s="5" t="inlineStr">
        <is>
          <t>FLETA</t>
        </is>
      </c>
      <c r="D22" s="5" t="inlineStr">
        <is>
          <t>SPT</t>
        </is>
      </c>
      <c r="E22" s="51" t="inlineStr">
        <is>
          <t>FLEX SPT</t>
        </is>
      </c>
    </row>
    <row r="23">
      <c r="A23" t="inlineStr">
        <is>
          <t>ZETA DIVISION</t>
        </is>
      </c>
      <c r="B23" t="inlineStr">
        <is>
          <t>ZETA</t>
        </is>
      </c>
      <c r="C23" s="5" t="inlineStr">
        <is>
          <t>BERNAR</t>
        </is>
      </c>
      <c r="D23" s="5" t="inlineStr">
        <is>
          <t>TANK</t>
        </is>
      </c>
      <c r="E23" s="51" t="inlineStr">
        <is>
          <t>TANK</t>
        </is>
      </c>
    </row>
    <row r="24">
      <c r="C24" s="5" t="inlineStr">
        <is>
          <t>MEALGARU</t>
        </is>
      </c>
      <c r="D24" s="5" t="inlineStr">
        <is>
          <t>TANK</t>
        </is>
      </c>
      <c r="E24" s="51" t="inlineStr">
        <is>
          <t>TANK</t>
        </is>
      </c>
    </row>
    <row r="25">
      <c r="A25" s="5" t="n"/>
      <c r="B25" s="5" t="n"/>
      <c r="C25" s="5" t="inlineStr">
        <is>
          <t>PROPER</t>
        </is>
      </c>
      <c r="D25" s="5" t="inlineStr">
        <is>
          <t>DPS</t>
        </is>
      </c>
      <c r="E25" s="7" t="inlineStr">
        <is>
          <t>FLEX DPS</t>
        </is>
      </c>
    </row>
    <row r="26">
      <c r="A26" s="52" t="n"/>
      <c r="C26" s="5" t="inlineStr">
        <is>
          <t>KNIFE</t>
        </is>
      </c>
      <c r="D26" s="5" t="inlineStr">
        <is>
          <t>DPS</t>
        </is>
      </c>
      <c r="E26" s="7" t="inlineStr">
        <is>
          <t>MAIN DPS</t>
        </is>
      </c>
    </row>
    <row r="27">
      <c r="C27" s="5" t="inlineStr">
        <is>
          <t>VIOL2T</t>
        </is>
      </c>
      <c r="D27" s="5" t="inlineStr">
        <is>
          <t>SPT</t>
        </is>
      </c>
      <c r="E27" s="7" t="inlineStr">
        <is>
          <t>MAIN SPT</t>
        </is>
      </c>
    </row>
    <row r="28">
      <c r="C28" s="5" t="inlineStr">
        <is>
          <t>SHU</t>
        </is>
      </c>
      <c r="D28" s="5" t="inlineStr">
        <is>
          <t>SPT</t>
        </is>
      </c>
      <c r="E28" s="51" t="inlineStr">
        <is>
          <t>FLEX SPT</t>
        </is>
      </c>
    </row>
    <row r="29">
      <c r="A29" t="inlineStr">
        <is>
          <t>Poker Face</t>
        </is>
      </c>
      <c r="B29" t="inlineStr">
        <is>
          <t>PF</t>
        </is>
      </c>
      <c r="C29" s="5" t="inlineStr">
        <is>
          <t>F1NALLY</t>
        </is>
      </c>
      <c r="D29" s="5" t="inlineStr">
        <is>
          <t>TANK</t>
        </is>
      </c>
      <c r="E29" s="51" t="inlineStr">
        <is>
          <t>TANK</t>
        </is>
      </c>
    </row>
    <row r="30">
      <c r="C30" s="5" t="inlineStr">
        <is>
          <t>SORI</t>
        </is>
      </c>
      <c r="D30" s="5" t="inlineStr">
        <is>
          <t>DPS</t>
        </is>
      </c>
      <c r="E30" s="51" t="inlineStr">
        <is>
          <t>MAIN DPS</t>
        </is>
      </c>
    </row>
    <row r="31">
      <c r="C31" s="5" t="inlineStr">
        <is>
          <t>SOLA</t>
        </is>
      </c>
      <c r="D31" s="5" t="inlineStr">
        <is>
          <t>DPS</t>
        </is>
      </c>
      <c r="E31" s="51" t="inlineStr">
        <is>
          <t>FLEX DPS</t>
        </is>
      </c>
    </row>
    <row r="32">
      <c r="A32" s="5" t="n"/>
      <c r="B32" s="5" t="n"/>
      <c r="C32" s="5" t="inlineStr">
        <is>
          <t>SWOO</t>
        </is>
      </c>
      <c r="D32" s="5" t="inlineStr">
        <is>
          <t>SPT</t>
        </is>
      </c>
      <c r="E32" s="7" t="inlineStr">
        <is>
          <t>FLEX SPT</t>
        </is>
      </c>
    </row>
    <row r="33">
      <c r="A33" s="52" t="n"/>
      <c r="C33" s="5" t="inlineStr">
        <is>
          <t>CAFFEINE</t>
        </is>
      </c>
      <c r="D33" s="5" t="inlineStr">
        <is>
          <t>SPT</t>
        </is>
      </c>
      <c r="E33" s="7" t="inlineStr">
        <is>
          <t>FLEX SPT</t>
        </is>
      </c>
    </row>
    <row r="34">
      <c r="C34" s="5" t="inlineStr">
        <is>
          <t>DUMBBELL</t>
        </is>
      </c>
      <c r="D34" s="5" t="inlineStr">
        <is>
          <t>SPT</t>
        </is>
      </c>
      <c r="E34" s="7" t="inlineStr">
        <is>
          <t>MAIN SPT</t>
        </is>
      </c>
    </row>
    <row r="35">
      <c r="C35" s="5" t="inlineStr">
        <is>
          <t>SOAE</t>
        </is>
      </c>
      <c r="D35" s="5" t="inlineStr">
        <is>
          <t>SPT</t>
        </is>
      </c>
      <c r="E35" s="51" t="inlineStr">
        <is>
          <t>MAIN SPT</t>
        </is>
      </c>
    </row>
    <row r="36">
      <c r="A36" t="inlineStr">
        <is>
          <t>Cheeseburger</t>
        </is>
      </c>
      <c r="B36" t="inlineStr">
        <is>
          <t>CB</t>
        </is>
      </c>
      <c r="C36" s="5" t="inlineStr">
        <is>
          <t>BELOSREA</t>
        </is>
      </c>
      <c r="D36" s="5" t="inlineStr">
        <is>
          <t>TANK</t>
        </is>
      </c>
      <c r="E36" s="51" t="inlineStr">
        <is>
          <t>TANK</t>
        </is>
      </c>
    </row>
    <row r="37">
      <c r="C37" s="5" t="inlineStr">
        <is>
          <t>TREST</t>
        </is>
      </c>
      <c r="D37" s="5" t="inlineStr">
        <is>
          <t>DPS</t>
        </is>
      </c>
      <c r="E37" s="51" t="inlineStr">
        <is>
          <t>FLEX DPS</t>
        </is>
      </c>
    </row>
    <row r="38">
      <c r="C38" s="5" t="inlineStr">
        <is>
          <t>K4NE</t>
        </is>
      </c>
      <c r="D38" s="5" t="inlineStr">
        <is>
          <t>DPS</t>
        </is>
      </c>
      <c r="E38" s="51" t="inlineStr">
        <is>
          <t>MAIN DPS</t>
        </is>
      </c>
    </row>
    <row r="39">
      <c r="A39" s="5" t="n"/>
      <c r="B39" s="5" t="n"/>
      <c r="C39" s="5" t="inlineStr">
        <is>
          <t>PROFIT</t>
        </is>
      </c>
      <c r="D39" s="5" t="inlineStr">
        <is>
          <t>DPS</t>
        </is>
      </c>
      <c r="E39" s="7" t="inlineStr">
        <is>
          <t>FLEX DPS</t>
        </is>
      </c>
    </row>
    <row r="40">
      <c r="A40" s="52" t="n"/>
      <c r="C40" s="5" t="inlineStr">
        <is>
          <t>TENTEN</t>
        </is>
      </c>
      <c r="D40" s="5" t="inlineStr">
        <is>
          <t>SPT</t>
        </is>
      </c>
      <c r="E40" s="7" t="inlineStr">
        <is>
          <t>MAIN SPT</t>
        </is>
      </c>
    </row>
    <row r="41">
      <c r="C41" s="5" t="inlineStr">
        <is>
          <t>AZENT</t>
        </is>
      </c>
      <c r="D41" s="5" t="inlineStr">
        <is>
          <t>SPT</t>
        </is>
      </c>
      <c r="E41" s="7" t="inlineStr">
        <is>
          <t>FLEX SPT</t>
        </is>
      </c>
    </row>
    <row r="42">
      <c r="A42" t="inlineStr">
        <is>
          <t>Røde Zanside Gaming</t>
        </is>
      </c>
      <c r="B42" t="inlineStr">
        <is>
          <t>ROZE</t>
        </is>
      </c>
      <c r="C42" s="5" t="inlineStr">
        <is>
          <t>HEISER</t>
        </is>
      </c>
      <c r="D42" s="5" t="inlineStr">
        <is>
          <t>TANK</t>
        </is>
      </c>
      <c r="E42" s="51" t="inlineStr">
        <is>
          <t>TANK</t>
        </is>
      </c>
    </row>
    <row r="43">
      <c r="C43" s="5" t="inlineStr">
        <is>
          <t>HEESUNG</t>
        </is>
      </c>
      <c r="D43" s="5" t="inlineStr">
        <is>
          <t>TANK</t>
        </is>
      </c>
      <c r="E43" s="51" t="inlineStr">
        <is>
          <t>TANK</t>
        </is>
      </c>
    </row>
    <row r="44">
      <c r="C44" s="5" t="inlineStr">
        <is>
          <t>BECKY</t>
        </is>
      </c>
      <c r="D44" s="5" t="inlineStr">
        <is>
          <t>DPS</t>
        </is>
      </c>
      <c r="E44" s="51" t="inlineStr">
        <is>
          <t>FLEX DPS</t>
        </is>
      </c>
    </row>
    <row r="45">
      <c r="C45" s="5" t="inlineStr">
        <is>
          <t>KILO</t>
        </is>
      </c>
      <c r="D45" s="5" t="inlineStr">
        <is>
          <t>DPS</t>
        </is>
      </c>
      <c r="E45" s="51" t="inlineStr">
        <is>
          <t>MAIN DPS</t>
        </is>
      </c>
    </row>
    <row r="46">
      <c r="C46" s="5" t="inlineStr">
        <is>
          <t>TAEJONG</t>
        </is>
      </c>
      <c r="D46" s="5" t="inlineStr">
        <is>
          <t>DPS</t>
        </is>
      </c>
      <c r="E46" s="51" t="inlineStr">
        <is>
          <t>FLEX DPS</t>
        </is>
      </c>
    </row>
    <row r="47">
      <c r="A47" s="5" t="n"/>
      <c r="B47" s="5" t="n"/>
      <c r="C47" s="5" t="inlineStr">
        <is>
          <t>OPENER</t>
        </is>
      </c>
      <c r="D47" s="5" t="inlineStr">
        <is>
          <t>SPT</t>
        </is>
      </c>
      <c r="E47" s="7" t="inlineStr">
        <is>
          <t>MAIN SPT</t>
        </is>
      </c>
    </row>
    <row r="48">
      <c r="A48" s="52" t="n"/>
      <c r="C48" s="5" t="inlineStr">
        <is>
          <t>IRONY</t>
        </is>
      </c>
      <c r="D48" s="5" t="inlineStr">
        <is>
          <t>SPT</t>
        </is>
      </c>
      <c r="E48" s="7" t="inlineStr">
        <is>
          <t>FLEX SPT</t>
        </is>
      </c>
    </row>
    <row r="49">
      <c r="A49" t="inlineStr">
        <is>
          <t>Seiji Esports</t>
        </is>
      </c>
      <c r="B49" t="inlineStr">
        <is>
          <t>SEJ</t>
        </is>
      </c>
      <c r="C49" s="5" t="inlineStr">
        <is>
          <t>DOX</t>
        </is>
      </c>
      <c r="D49" s="5" t="inlineStr">
        <is>
          <t>TANK</t>
        </is>
      </c>
      <c r="E49" s="7" t="inlineStr">
        <is>
          <t>TANK</t>
        </is>
      </c>
    </row>
    <row r="50">
      <c r="C50" s="5" t="inlineStr">
        <is>
          <t>SENTIER</t>
        </is>
      </c>
      <c r="D50" s="5" t="inlineStr">
        <is>
          <t>TANK</t>
        </is>
      </c>
      <c r="E50" s="51" t="inlineStr">
        <is>
          <t>TANK</t>
        </is>
      </c>
    </row>
    <row r="51">
      <c r="C51" s="5" t="inlineStr">
        <is>
          <t>M1NUT2</t>
        </is>
      </c>
      <c r="D51" s="5" t="inlineStr">
        <is>
          <t>DPS</t>
        </is>
      </c>
      <c r="E51" s="51" t="inlineStr">
        <is>
          <t>MAIN DPS</t>
        </is>
      </c>
    </row>
    <row r="52">
      <c r="C52" s="5" t="inlineStr">
        <is>
          <t>D4RT</t>
        </is>
      </c>
      <c r="D52" s="5" t="inlineStr">
        <is>
          <t>DPS</t>
        </is>
      </c>
      <c r="E52" s="51" t="inlineStr">
        <is>
          <t>FLEX DPS</t>
        </is>
      </c>
    </row>
    <row r="53">
      <c r="C53" s="5" t="inlineStr">
        <is>
          <t>OFF</t>
        </is>
      </c>
      <c r="D53" s="5" t="inlineStr">
        <is>
          <t>SPT</t>
        </is>
      </c>
      <c r="E53" s="51" t="inlineStr">
        <is>
          <t>MAIN SPT</t>
        </is>
      </c>
    </row>
    <row r="54">
      <c r="C54" s="5" t="inlineStr">
        <is>
          <t>LAVENDER</t>
        </is>
      </c>
      <c r="D54" s="5" t="inlineStr">
        <is>
          <t>SPT</t>
        </is>
      </c>
      <c r="E54" s="51" t="inlineStr">
        <is>
          <t>FLEX SPT</t>
        </is>
      </c>
      <c r="F54" s="1" t="n"/>
      <c r="G54" s="1" t="n"/>
      <c r="H54" s="1" t="n"/>
      <c r="I54" s="1" t="n"/>
    </row>
    <row r="55">
      <c r="A55" s="5" t="inlineStr">
        <is>
          <t>O2 Blast</t>
        </is>
      </c>
      <c r="B55" s="5" t="inlineStr">
        <is>
          <t>O2</t>
        </is>
      </c>
      <c r="C55" s="5" t="inlineStr">
        <is>
          <t>FATE</t>
        </is>
      </c>
      <c r="D55" s="5" t="inlineStr">
        <is>
          <t>TANK</t>
        </is>
      </c>
      <c r="E55" s="7" t="inlineStr">
        <is>
          <t>TANK</t>
        </is>
      </c>
      <c r="F55" s="1" t="n"/>
      <c r="G55" s="1" t="n"/>
      <c r="H55" s="1" t="n"/>
      <c r="I55" s="1" t="n"/>
    </row>
    <row r="56">
      <c r="A56" s="52" t="n"/>
      <c r="C56" s="5" t="inlineStr">
        <is>
          <t>HOMERUNBALL</t>
        </is>
      </c>
      <c r="D56" s="5" t="inlineStr">
        <is>
          <t>TANK</t>
        </is>
      </c>
      <c r="E56" s="7" t="inlineStr">
        <is>
          <t>TANK</t>
        </is>
      </c>
      <c r="F56" s="1" t="n"/>
      <c r="G56" s="1" t="n"/>
      <c r="H56" s="1" t="n"/>
      <c r="I56" s="1" t="n"/>
    </row>
    <row r="57">
      <c r="C57" s="5" t="inlineStr">
        <is>
          <t>WUTIAN</t>
        </is>
      </c>
      <c r="D57" s="5" t="inlineStr">
        <is>
          <t>DPS</t>
        </is>
      </c>
      <c r="E57" s="7" t="inlineStr">
        <is>
          <t>FLEX DPS</t>
        </is>
      </c>
      <c r="F57" s="1" t="n"/>
      <c r="G57" s="1" t="n"/>
      <c r="H57" s="1" t="n"/>
      <c r="I57" s="1" t="n"/>
    </row>
    <row r="58">
      <c r="C58" s="5" t="inlineStr">
        <is>
          <t>PERR</t>
        </is>
      </c>
      <c r="D58" s="5" t="inlineStr">
        <is>
          <t>DPS</t>
        </is>
      </c>
      <c r="E58" s="51" t="inlineStr">
        <is>
          <t>MAIN DPS</t>
        </is>
      </c>
      <c r="F58" s="1" t="n"/>
      <c r="G58" s="1" t="n"/>
      <c r="H58" s="1" t="n"/>
      <c r="I58" s="1" t="n"/>
    </row>
    <row r="59">
      <c r="C59" s="5" t="inlineStr">
        <is>
          <t>A1IEN</t>
        </is>
      </c>
      <c r="D59" s="5" t="inlineStr">
        <is>
          <t>DPS</t>
        </is>
      </c>
      <c r="E59" s="51" t="inlineStr">
        <is>
          <t>MAIN DPS</t>
        </is>
      </c>
      <c r="F59" s="1" t="n"/>
      <c r="G59" s="1" t="n"/>
      <c r="H59" s="1" t="n"/>
      <c r="I59" s="1" t="n"/>
    </row>
    <row r="60">
      <c r="C60" s="5" t="inlineStr">
        <is>
          <t>FAITH</t>
        </is>
      </c>
      <c r="D60" s="5" t="inlineStr">
        <is>
          <t>SPT</t>
        </is>
      </c>
      <c r="E60" s="51" t="inlineStr">
        <is>
          <t>MAIN SPT</t>
        </is>
      </c>
      <c r="F60" s="1" t="n"/>
      <c r="G60" s="1" t="n"/>
      <c r="H60" s="1" t="n"/>
      <c r="I60" s="1" t="n"/>
    </row>
    <row r="61">
      <c r="C61" s="5" t="inlineStr">
        <is>
          <t>GAMJUNG</t>
        </is>
      </c>
      <c r="D61" s="5" t="inlineStr">
        <is>
          <t>SPT</t>
        </is>
      </c>
      <c r="E61" s="51" t="inlineStr">
        <is>
          <t>FLEX SPT</t>
        </is>
      </c>
      <c r="F61" s="1" t="n"/>
      <c r="G61" s="1" t="n"/>
      <c r="H61" s="1" t="n"/>
      <c r="I6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tabSelected="1" topLeftCell="A143" workbookViewId="0">
      <selection activeCell="N161" sqref="N161"/>
    </sheetView>
  </sheetViews>
  <sheetFormatPr baseColWidth="10" defaultRowHeight="18"/>
  <cols>
    <col width="11.140625" customWidth="1" style="3" min="4" max="4"/>
    <col width="15.42578125" customWidth="1" style="3" min="7" max="7"/>
    <col width="16.42578125" customWidth="1" style="3" min="9" max="9"/>
    <col width="10.7109375" customWidth="1" style="3" min="10" max="10"/>
    <col width="13.7109375" customWidth="1" style="3" min="11" max="12"/>
    <col width="14.5703125" customWidth="1" style="3" min="13" max="13"/>
    <col width="15.7109375" customWidth="1" style="3" min="14" max="14"/>
    <col width="17.42578125" customWidth="1" style="3" min="15" max="15"/>
    <col width="10.7109375" customWidth="1" style="3" min="16" max="17"/>
  </cols>
  <sheetData>
    <row r="1">
      <c r="A1" s="7" t="inlineStr">
        <is>
          <t>WEEK</t>
        </is>
      </c>
      <c r="B1" s="7" t="inlineStr">
        <is>
          <t>DAY</t>
        </is>
      </c>
      <c r="C1" s="7" t="inlineStr">
        <is>
          <t>MATCH</t>
        </is>
      </c>
      <c r="D1" s="7" t="inlineStr">
        <is>
          <t>Set #</t>
        </is>
      </c>
      <c r="E1" s="7" t="inlineStr">
        <is>
          <t>DATE</t>
        </is>
      </c>
      <c r="F1" s="7" t="inlineStr">
        <is>
          <t>PHASE</t>
        </is>
      </c>
      <c r="G1" s="7" t="inlineStr">
        <is>
          <t>TEAM 1</t>
        </is>
      </c>
      <c r="H1" s="7" t="inlineStr">
        <is>
          <t>TEAM 2</t>
        </is>
      </c>
      <c r="I1" s="7" t="inlineStr">
        <is>
          <t>MAP</t>
        </is>
      </c>
      <c r="J1" s="7" t="inlineStr">
        <is>
          <t>MAP TYPE</t>
        </is>
      </c>
      <c r="K1" s="7" t="inlineStr">
        <is>
          <t>TIME</t>
        </is>
      </c>
      <c r="L1" s="7" t="inlineStr">
        <is>
          <t>WINNER</t>
        </is>
      </c>
      <c r="M1" s="7" t="inlineStr">
        <is>
          <t>TEAM 1 BAN</t>
        </is>
      </c>
      <c r="N1" s="7" t="inlineStr">
        <is>
          <t>TEAM 2 BAN</t>
        </is>
      </c>
      <c r="O1" s="7" t="inlineStr">
        <is>
          <t>MATCH_ID</t>
        </is>
      </c>
    </row>
    <row r="2">
      <c r="A2" s="30" t="n">
        <v>1</v>
      </c>
      <c r="B2" s="30" t="n">
        <v>1</v>
      </c>
      <c r="C2" s="30" t="n">
        <v>1</v>
      </c>
      <c r="D2" s="30" t="n">
        <v>1</v>
      </c>
      <c r="E2" s="32" t="inlineStr">
        <is>
          <t>2026-10-02</t>
        </is>
      </c>
      <c r="F2" s="30" t="inlineStr">
        <is>
          <t>Round Robin</t>
        </is>
      </c>
      <c r="G2" s="30" t="inlineStr">
        <is>
          <t>CB</t>
        </is>
      </c>
      <c r="H2" s="30" t="inlineStr">
        <is>
          <t>PF</t>
        </is>
      </c>
      <c r="I2" s="30" t="n"/>
      <c r="J2" s="30">
        <f>IF(OR(I2="Antarctic Peninsula", I2="Nepal", I2="Lijiang Tower", I2="Busan", I2="Samoa", I2="Oasis", I2="Ilios"), "Control", IF(OR(I2="Route 66", I2="Watchpoint: Gibraltar", I2="Dorado", I2="Rialto", I2="Shambali Monastery", I2="Circuit Royal", I2="Junkertown", I2="Havana"), "Escort", IF(OR(I2="Neon Junction", I2="Numbani", I2="Midtown", I2="Blizzard World", I2="Eichenwalde", I2="King's Row", I2="Paraiso", I2="Hollywood"), "Hybrid", IF(OR(I2="New Queen Street", I2="Esperanca", I2="Colosseo", I2="Runasapi"), "Push", IF(OR(I2="New Junk City", I2="Suravasa", I2="Aatlis"), "Flashpoint", "")))))</f>
        <v/>
      </c>
      <c r="K2" s="34" t="n"/>
      <c r="L2" s="30" t="n"/>
      <c r="M2" s="30" t="n"/>
      <c r="N2" s="30" t="n"/>
      <c r="O2" s="43">
        <f>TEXT(E2, "yymmdd") &amp; "_" &amp; G2 &amp; "_" &amp; H2 &amp; "_S" &amp; D2</f>
        <v/>
      </c>
    </row>
    <row r="3">
      <c r="A3" s="30" t="n">
        <v>1</v>
      </c>
      <c r="B3" s="30" t="n">
        <v>1</v>
      </c>
      <c r="C3" s="30" t="n">
        <v>2</v>
      </c>
      <c r="D3" s="30" t="n">
        <v>1</v>
      </c>
      <c r="E3" s="32" t="inlineStr">
        <is>
          <t>2026-10-02</t>
        </is>
      </c>
      <c r="F3" s="30" t="inlineStr">
        <is>
          <t>Round Robin</t>
        </is>
      </c>
      <c r="G3" s="30" t="inlineStr">
        <is>
          <t>FLC</t>
        </is>
      </c>
      <c r="H3" s="30" t="inlineStr">
        <is>
          <t>ZETA</t>
        </is>
      </c>
      <c r="I3" s="30" t="n"/>
      <c r="J3" s="30">
        <f>IF(OR(I3="Antarctic Peninsula", I3="Nepal", I3="Lijiang Tower", I3="Busan", I3="Samoa", I3="Oasis", I3="Ilios"), "Control", IF(OR(I3="Route 66", I3="Watchpoint: Gibraltar", I3="Dorado", I3="Rialto", I3="Shambali Monastery", I3="Circuit Royal", I3="Junkertown", I3="Havana"), "Escort", IF(OR(I3="Neon Junction", I3="Numbani", I3="Midtown", I3="Blizzard World", I3="Eichenwalde", I3="King's Row", I3="Paraiso", I3="Hollywood"), "Hybrid", IF(OR(I3="New Queen Street", I3="Esperanca", I3="Colosseo", I3="Runasapi"), "Push", IF(OR(I3="New Junk City", I3="Suravasa", I3="Aatlis"), "Flashpoint", "")))))</f>
        <v/>
      </c>
      <c r="K3" s="34" t="n"/>
      <c r="L3" s="30" t="n"/>
      <c r="M3" s="30" t="n"/>
      <c r="N3" s="30" t="n"/>
      <c r="O3" s="43">
        <f>TEXT(E3, "yymmdd") &amp; "_" &amp; G3 &amp; "_" &amp; H3 &amp; "_S" &amp; D3</f>
        <v/>
      </c>
    </row>
    <row r="4">
      <c r="A4" s="30" t="n">
        <v>1</v>
      </c>
      <c r="B4" s="30" t="n">
        <v>1</v>
      </c>
      <c r="C4" s="30" t="n">
        <v>3</v>
      </c>
      <c r="D4" s="30" t="n">
        <v>1</v>
      </c>
      <c r="E4" s="32" t="inlineStr">
        <is>
          <t>2026-10-02</t>
        </is>
      </c>
      <c r="F4" s="30" t="inlineStr">
        <is>
          <t>Round Robin</t>
        </is>
      </c>
      <c r="G4" s="30" t="inlineStr">
        <is>
          <t>SEJ</t>
        </is>
      </c>
      <c r="H4" s="30" t="inlineStr">
        <is>
          <t>T1</t>
        </is>
      </c>
      <c r="I4" s="30" t="n"/>
      <c r="J4" s="30">
        <f>IF(OR(I4="Antarctic Peninsula", I4="Nepal", I4="Lijiang Tower", I4="Busan", I4="Samoa", I4="Oasis", I4="Ilios"), "Control", IF(OR(I4="Route 66", I4="Watchpoint: Gibraltar", I4="Dorado", I4="Rialto", I4="Shambali Monastery", I4="Circuit Royal", I4="Junkertown", I4="Havana"), "Escort", IF(OR(I4="Neon Junction", I4="Numbani", I4="Midtown", I4="Blizzard World", I4="Eichenwalde", I4="King's Row", I4="Paraiso", I4="Hollywood"), "Hybrid", IF(OR(I4="New Queen Street", I4="Esperanca", I4="Colosseo", I4="Runasapi"), "Push", IF(OR(I4="New Junk City", I4="Suravasa", I4="Aatlis"), "Flashpoint", "")))))</f>
        <v/>
      </c>
      <c r="K4" s="34" t="n"/>
      <c r="L4" s="30" t="n"/>
      <c r="M4" s="30" t="n"/>
      <c r="N4" s="30" t="n"/>
      <c r="O4" s="43">
        <f>TEXT(E4, "yymmdd") &amp; "_" &amp; G4 &amp; "_" &amp; H4 &amp; "_S" &amp; D4</f>
        <v/>
      </c>
    </row>
    <row r="5">
      <c r="A5" s="7" t="n">
        <v>1</v>
      </c>
      <c r="B5" s="7" t="n">
        <v>2</v>
      </c>
      <c r="C5" s="7" t="n">
        <v>4</v>
      </c>
      <c r="D5" s="7" t="n">
        <v>1</v>
      </c>
      <c r="E5" s="16" t="inlineStr">
        <is>
          <t>2026-10-03</t>
        </is>
      </c>
      <c r="F5" s="7" t="inlineStr">
        <is>
          <t>Round Robin</t>
        </is>
      </c>
      <c r="G5" s="7" t="inlineStr">
        <is>
          <t>CB</t>
        </is>
      </c>
      <c r="H5" s="7" t="inlineStr">
        <is>
          <t>ROZE</t>
        </is>
      </c>
      <c r="I5" s="7" t="n"/>
      <c r="J5" s="7">
        <f>IF(OR(I5="Antarctic Peninsula", I5="Nepal", I5="Lijiang Tower", I5="Busan", I5="Samoa", I5="Oasis", I5="Ilios"), "Control", IF(OR(I5="Route 66", I5="Watchpoint: Gibraltar", I5="Dorado", I5="Rialto", I5="Shambali Monastery", I5="Circuit Royal", I5="Junkertown", I5="Havana"), "Escort", IF(OR(I5="Neon Junction", I5="Numbani", I5="Midtown", I5="Blizzard World", I5="Eichenwalde", I5="King's Row", I5="Paraiso", I5="Hollywood"), "Hybrid", IF(OR(I5="New Queen Street", I5="Esperanca", I5="Colosseo", I5="Runasapi"), "Push", IF(OR(I5="New Junk City", I5="Suravasa", I5="Aatlis"), "Flashpoint", "")))))</f>
        <v/>
      </c>
      <c r="K5" s="17" t="n"/>
      <c r="L5" s="7" t="n"/>
      <c r="M5" s="7" t="n"/>
      <c r="N5" s="7" t="n"/>
      <c r="O5" s="44">
        <f>TEXT(E5, "yymmdd") &amp; "_" &amp; G5 &amp; "_" &amp; H5 &amp; "_S" &amp; D5</f>
        <v/>
      </c>
    </row>
    <row r="6">
      <c r="A6" s="7" t="n">
        <v>1</v>
      </c>
      <c r="B6" s="7" t="n">
        <v>2</v>
      </c>
      <c r="C6" s="7" t="n">
        <v>5</v>
      </c>
      <c r="D6" s="7" t="n">
        <v>1</v>
      </c>
      <c r="E6" s="16" t="inlineStr">
        <is>
          <t>2026-10-03</t>
        </is>
      </c>
      <c r="F6" s="7" t="inlineStr">
        <is>
          <t>Round Robin</t>
        </is>
      </c>
      <c r="G6" s="7" t="inlineStr">
        <is>
          <t>T1</t>
        </is>
      </c>
      <c r="H6" s="7" t="inlineStr">
        <is>
          <t>ZETA</t>
        </is>
      </c>
      <c r="I6" s="7" t="n"/>
      <c r="J6" s="7">
        <f>IF(OR(I6="Antarctic Peninsula", I6="Nepal", I6="Lijiang Tower", I6="Busan", I6="Samoa", I6="Oasis", I6="Ilios"), "Control", IF(OR(I6="Route 66", I6="Watchpoint: Gibraltar", I6="Dorado", I6="Rialto", I6="Shambali Monastery", I6="Circuit Royal", I6="Junkertown", I6="Havana"), "Escort", IF(OR(I6="Neon Junction", I6="Numbani", I6="Midtown", I6="Blizzard World", I6="Eichenwalde", I6="King's Row", I6="Paraiso", I6="Hollywood"), "Hybrid", IF(OR(I6="New Queen Street", I6="Esperanca", I6="Colosseo", I6="Runasapi"), "Push", IF(OR(I6="New Junk City", I6="Suravasa", I6="Aatlis"), "Flashpoint", "")))))</f>
        <v/>
      </c>
      <c r="K6" s="17" t="n"/>
      <c r="L6" s="7" t="n"/>
      <c r="M6" s="7" t="n"/>
      <c r="N6" s="7" t="n"/>
      <c r="O6" s="44">
        <f>TEXT(E6, "yymmdd") &amp; "_" &amp; G6 &amp; "_" &amp; H6 &amp; "_S" &amp; D6</f>
        <v/>
      </c>
    </row>
    <row r="7">
      <c r="A7" s="7" t="n">
        <v>1</v>
      </c>
      <c r="B7" s="7" t="n">
        <v>2</v>
      </c>
      <c r="C7" s="7" t="n">
        <v>6</v>
      </c>
      <c r="D7" s="7" t="n">
        <v>1</v>
      </c>
      <c r="E7" s="16" t="inlineStr">
        <is>
          <t>2026-10-03</t>
        </is>
      </c>
      <c r="F7" s="7" t="inlineStr">
        <is>
          <t>Round Robin</t>
        </is>
      </c>
      <c r="G7" s="7" t="inlineStr">
        <is>
          <t>CR</t>
        </is>
      </c>
      <c r="H7" s="7" t="inlineStr">
        <is>
          <t>O2</t>
        </is>
      </c>
      <c r="I7" s="7" t="n"/>
      <c r="J7" s="7">
        <f>IF(OR(I7="Antarctic Peninsula", I7="Nepal", I7="Lijiang Tower", I7="Busan", I7="Samoa", I7="Oasis", I7="Ilios"), "Control", IF(OR(I7="Route 66", I7="Watchpoint: Gibraltar", I7="Dorado", I7="Rialto", I7="Shambali Monastery", I7="Circuit Royal", I7="Junkertown", I7="Havana"), "Escort", IF(OR(I7="Neon Junction", I7="Numbani", I7="Midtown", I7="Blizzard World", I7="Eichenwalde", I7="King's Row", I7="Paraiso", I7="Hollywood"), "Hybrid", IF(OR(I7="New Queen Street", I7="Esperanca", I7="Colosseo", I7="Runasapi"), "Push", IF(OR(I7="New Junk City", I7="Suravasa", I7="Aatlis"), "Flashpoint", "")))))</f>
        <v/>
      </c>
      <c r="K7" s="17" t="n"/>
      <c r="L7" s="7" t="n"/>
      <c r="M7" s="7" t="n"/>
      <c r="N7" s="7" t="n"/>
      <c r="O7" s="44">
        <f>TEXT(E7, "yymmdd") &amp; "_" &amp; G7 &amp; "_" &amp; H7 &amp; "_S" &amp; D7</f>
        <v/>
      </c>
    </row>
    <row r="8">
      <c r="A8" s="30" t="n">
        <v>1</v>
      </c>
      <c r="B8" s="30" t="n">
        <v>3</v>
      </c>
      <c r="C8" s="30" t="n">
        <v>7</v>
      </c>
      <c r="D8" s="30" t="n">
        <v>1</v>
      </c>
      <c r="E8" s="32" t="inlineStr">
        <is>
          <t>2026-10-04</t>
        </is>
      </c>
      <c r="F8" s="30" t="inlineStr">
        <is>
          <t>Round Robin</t>
        </is>
      </c>
      <c r="G8" s="30" t="inlineStr">
        <is>
          <t>O2</t>
        </is>
      </c>
      <c r="H8" s="30" t="inlineStr">
        <is>
          <t>SEJ</t>
        </is>
      </c>
      <c r="I8" s="30" t="n"/>
      <c r="J8" s="30">
        <f>IF(OR(I8="Antarctic Peninsula", I8="Nepal", I8="Lijiang Tower", I8="Busan", I8="Samoa", I8="Oasis", I8="Ilios"), "Control", IF(OR(I8="Route 66", I8="Watchpoint: Gibraltar", I8="Dorado", I8="Rialto", I8="Shambali Monastery", I8="Circuit Royal", I8="Junkertown", I8="Havana"), "Escort", IF(OR(I8="Neon Junction", I8="Numbani", I8="Midtown", I8="Blizzard World", I8="Eichenwalde", I8="King's Row", I8="Paraiso", I8="Hollywood"), "Hybrid", IF(OR(I8="New Queen Street", I8="Esperanca", I8="Colosseo", I8="Runasapi"), "Push", IF(OR(I8="New Junk City", I8="Suravasa", I8="Aatlis"), "Flashpoint", "")))))</f>
        <v/>
      </c>
      <c r="K8" s="34" t="n"/>
      <c r="L8" s="30" t="n"/>
      <c r="M8" s="30" t="n"/>
      <c r="N8" s="30" t="n"/>
      <c r="O8" s="43">
        <f>TEXT(E8, "yymmdd") &amp; "_" &amp; G8 &amp; "_" &amp; H8 &amp; "_S" &amp; D8</f>
        <v/>
      </c>
    </row>
    <row r="9">
      <c r="A9" s="29" t="n">
        <v>1</v>
      </c>
      <c r="B9" s="29" t="n">
        <v>3</v>
      </c>
      <c r="C9" s="30" t="n">
        <v>8</v>
      </c>
      <c r="D9" s="30" t="n">
        <v>1</v>
      </c>
      <c r="E9" s="35" t="inlineStr">
        <is>
          <t>2026-10-04</t>
        </is>
      </c>
      <c r="F9" s="30" t="inlineStr">
        <is>
          <t>Round Robin</t>
        </is>
      </c>
      <c r="G9" s="30" t="inlineStr">
        <is>
          <t>CR</t>
        </is>
      </c>
      <c r="H9" s="30" t="inlineStr">
        <is>
          <t>ROZE</t>
        </is>
      </c>
      <c r="I9" s="30" t="n"/>
      <c r="J9" s="30">
        <f>IF(OR(I9="Antarctic Peninsula", I9="Nepal", I9="Lijiang Tower", I9="Busan", I9="Samoa", I9="Oasis", I9="Ilios"), "Control", IF(OR(I9="Route 66", I9="Watchpoint: Gibraltar", I9="Dorado", I9="Rialto", I9="Shambali Monastery", I9="Circuit Royal", I9="Junkertown", I9="Havana"), "Escort", IF(OR(I9="Neon Junction", I9="Numbani", I9="Midtown", I9="Blizzard World", I9="Eichenwalde", I9="King's Row", I9="Paraiso", I9="Hollywood"), "Hybrid", IF(OR(I9="New Queen Street", I9="Esperanca", I9="Colosseo", I9="Runasapi"), "Push", IF(OR(I9="New Junk City", I9="Suravasa", I9="Aatlis"), "Flashpoint", "")))))</f>
        <v/>
      </c>
      <c r="K9" s="34" t="n"/>
      <c r="L9" s="30" t="n"/>
      <c r="M9" s="30" t="n"/>
      <c r="N9" s="30" t="n"/>
      <c r="O9" s="43">
        <f>TEXT(E9, "yymmdd") &amp; "_" &amp; G9 &amp; "_" &amp; H9 &amp; "_S" &amp; D9</f>
        <v/>
      </c>
    </row>
    <row r="10">
      <c r="A10" s="29" t="n">
        <v>1</v>
      </c>
      <c r="B10" s="29" t="n">
        <v>3</v>
      </c>
      <c r="C10" s="30" t="n">
        <v>9</v>
      </c>
      <c r="D10" s="30" t="n">
        <v>1</v>
      </c>
      <c r="E10" s="35" t="inlineStr">
        <is>
          <t>2026-10-04</t>
        </is>
      </c>
      <c r="F10" s="30" t="inlineStr">
        <is>
          <t>Round Robin</t>
        </is>
      </c>
      <c r="G10" s="30" t="inlineStr">
        <is>
          <t>FLC</t>
        </is>
      </c>
      <c r="H10" s="30" t="inlineStr">
        <is>
          <t>PF</t>
        </is>
      </c>
      <c r="I10" s="30" t="n"/>
      <c r="J10" s="30">
        <f>IF(OR(I10="Antarctic Peninsula", I10="Nepal", I10="Lijiang Tower", I10="Busan", I10="Samoa", I10="Oasis", I10="Ilios"), "Control", IF(OR(I10="Route 66", I10="Watchpoint: Gibraltar", I10="Dorado", I10="Rialto", I10="Shambali Monastery", I10="Circuit Royal", I10="Junkertown", I10="Havana"), "Escort", IF(OR(I10="Neon Junction", I10="Numbani", I10="Midtown", I10="Blizzard World", I10="Eichenwalde", I10="King's Row", I10="Paraiso", I10="Hollywood"), "Hybrid", IF(OR(I10="New Queen Street", I10="Esperanca", I10="Colosseo", I10="Runasapi"), "Push", IF(OR(I10="New Junk City", I10="Suravasa", I10="Aatlis"), "Flashpoint", "")))))</f>
        <v/>
      </c>
      <c r="K10" s="34" t="n"/>
      <c r="L10" s="30" t="n"/>
      <c r="M10" s="30" t="n"/>
      <c r="N10" s="30" t="n"/>
      <c r="O10" s="43">
        <f>TEXT(E10, "yymmdd") &amp; "_" &amp; G10 &amp; "_" &amp; H10 &amp; "_S" &amp; D10</f>
        <v/>
      </c>
    </row>
    <row r="11">
      <c r="A11" s="29" t="n">
        <v>2</v>
      </c>
      <c r="B11" s="29" t="n">
        <v>1</v>
      </c>
      <c r="C11" s="30" t="n">
        <v>1</v>
      </c>
      <c r="D11" s="30" t="n">
        <v>1</v>
      </c>
      <c r="E11" s="35" t="inlineStr">
        <is>
          <t>2026-10-09</t>
        </is>
      </c>
      <c r="F11" s="30" t="inlineStr">
        <is>
          <t>Round Robin</t>
        </is>
      </c>
      <c r="G11" s="30" t="inlineStr">
        <is>
          <t>FLC</t>
        </is>
      </c>
      <c r="H11" s="30" t="inlineStr">
        <is>
          <t>O2</t>
        </is>
      </c>
      <c r="I11" s="30" t="n"/>
      <c r="J11" s="30">
        <f>IF(OR(I11="Antarctic Peninsula", I11="Nepal", I11="Lijiang Tower", I11="Busan", I11="Samoa", I11="Oasis", I11="Ilios"), "Control", IF(OR(I11="Route 66", I11="Watchpoint: Gibraltar", I11="Dorado", I11="Rialto", I11="Shambali Monastery", I11="Circuit Royal", I11="Junkertown", I11="Havana"), "Escort", IF(OR(I11="Neon Junction", I11="Numbani", I11="Midtown", I11="Blizzard World", I11="Eichenwalde", I11="King's Row", I11="Paraiso", I11="Hollywood"), "Hybrid", IF(OR(I11="New Queen Street", I11="Esperanca", I11="Colosseo", I11="Runasapi"), "Push", IF(OR(I11="New Junk City", I11="Suravasa", I11="Aatlis"), "Flashpoint", "")))))</f>
        <v/>
      </c>
      <c r="K11" s="34" t="n"/>
      <c r="L11" s="30" t="n"/>
      <c r="M11" s="30" t="n"/>
      <c r="N11" s="30" t="n"/>
      <c r="O11" s="43">
        <f>TEXT(E11, "yymmdd") &amp; "_" &amp; G11 &amp; "_" &amp; H11 &amp; "_S" &amp; D11</f>
        <v/>
      </c>
    </row>
    <row r="12">
      <c r="A12" s="29" t="n">
        <v>2</v>
      </c>
      <c r="B12" s="29" t="n">
        <v>1</v>
      </c>
      <c r="C12" s="30" t="n">
        <v>2</v>
      </c>
      <c r="D12" s="30" t="n">
        <v>1</v>
      </c>
      <c r="E12" s="35" t="inlineStr">
        <is>
          <t>2026-10-09</t>
        </is>
      </c>
      <c r="F12" s="30" t="inlineStr">
        <is>
          <t>Round Robin</t>
        </is>
      </c>
      <c r="G12" s="30" t="inlineStr">
        <is>
          <t>PF</t>
        </is>
      </c>
      <c r="H12" s="30" t="inlineStr">
        <is>
          <t>T1</t>
        </is>
      </c>
      <c r="I12" s="30" t="n"/>
      <c r="J12" s="30">
        <f>IF(OR(I12="Antarctic Peninsula", I12="Nepal", I12="Lijiang Tower", I12="Busan", I12="Samoa", I12="Oasis", I12="Ilios"), "Control", IF(OR(I12="Route 66", I12="Watchpoint: Gibraltar", I12="Dorado", I12="Rialto", I12="Shambali Monastery", I12="Circuit Royal", I12="Junkertown", I12="Havana"), "Escort", IF(OR(I12="Neon Junction", I12="Numbani", I12="Midtown", I12="Blizzard World", I12="Eichenwalde", I12="King's Row", I12="Paraiso", I12="Hollywood"), "Hybrid", IF(OR(I12="New Queen Street", I12="Esperanca", I12="Colosseo", I12="Runasapi"), "Push", IF(OR(I12="New Junk City", I12="Suravasa", I12="Aatlis"), "Flashpoint", "")))))</f>
        <v/>
      </c>
      <c r="K12" s="34" t="n"/>
      <c r="L12" s="30" t="n"/>
      <c r="M12" s="30" t="n"/>
      <c r="N12" s="30" t="n"/>
      <c r="O12" s="43">
        <f>TEXT(E12, "yymmdd") &amp; "_" &amp; G12 &amp; "_" &amp; H12 &amp; "_S" &amp; D12</f>
        <v/>
      </c>
    </row>
    <row r="13">
      <c r="A13" s="5" t="n">
        <v>2</v>
      </c>
      <c r="B13" s="5" t="n">
        <v>1</v>
      </c>
      <c r="C13" s="7" t="n">
        <v>3</v>
      </c>
      <c r="D13" s="7" t="n">
        <v>1</v>
      </c>
      <c r="E13" s="16" t="inlineStr">
        <is>
          <t>2026-10-09</t>
        </is>
      </c>
      <c r="F13" s="7" t="inlineStr">
        <is>
          <t>Round Robin</t>
        </is>
      </c>
      <c r="G13" s="7" t="inlineStr">
        <is>
          <t>SEJ</t>
        </is>
      </c>
      <c r="H13" s="7" t="inlineStr">
        <is>
          <t>ZETA</t>
        </is>
      </c>
      <c r="I13" s="7" t="n"/>
      <c r="J13" s="7">
        <f>IF(OR(I13="Antarctic Peninsula", I13="Nepal", I13="Lijiang Tower", I13="Busan", I13="Samoa", I13="Oasis", I13="Ilios"), "Control", IF(OR(I13="Route 66", I13="Watchpoint: Gibraltar", I13="Dorado", I13="Rialto", I13="Shambali Monastery", I13="Circuit Royal", I13="Junkertown", I13="Havana"), "Escort", IF(OR(I13="Neon Junction", I13="Numbani", I13="Midtown", I13="Blizzard World", I13="Eichenwalde", I13="King's Row", I13="Paraiso", I13="Hollywood"), "Hybrid", IF(OR(I13="New Queen Street", I13="Esperanca", I13="Colosseo", I13="Runasapi"), "Push", IF(OR(I13="New Junk City", I13="Suravasa", I13="Aatlis"), "Flashpoint", "")))))</f>
        <v/>
      </c>
      <c r="K13" s="7" t="n"/>
      <c r="L13" s="7" t="n"/>
      <c r="M13" s="7" t="n"/>
      <c r="N13" s="7" t="n"/>
      <c r="O13" s="44">
        <f>TEXT(E13, "yymmdd") &amp; "_" &amp; G13 &amp; "_" &amp; H13 &amp; "_S" &amp; D13</f>
        <v/>
      </c>
    </row>
    <row r="14">
      <c r="A14" s="5" t="n">
        <v>2</v>
      </c>
      <c r="B14" s="5" t="n">
        <v>2</v>
      </c>
      <c r="C14" s="7" t="n">
        <v>4</v>
      </c>
      <c r="D14" s="7" t="n">
        <v>1</v>
      </c>
      <c r="E14" s="16" t="inlineStr">
        <is>
          <t>2026-10-10</t>
        </is>
      </c>
      <c r="F14" s="7" t="inlineStr">
        <is>
          <t>Round Robin</t>
        </is>
      </c>
      <c r="G14" s="7" t="inlineStr">
        <is>
          <t>SEJ</t>
        </is>
      </c>
      <c r="H14" s="7" t="inlineStr">
        <is>
          <t>ROZE</t>
        </is>
      </c>
      <c r="I14" s="7" t="n"/>
      <c r="J14" s="7">
        <f>IF(OR(I14="Antarctic Peninsula", I14="Nepal", I14="Lijiang Tower", I14="Busan", I14="Samoa", I14="Oasis", I14="Ilios"), "Control", IF(OR(I14="Route 66", I14="Watchpoint: Gibraltar", I14="Dorado", I14="Rialto", I14="Shambali Monastery", I14="Circuit Royal", I14="Junkertown", I14="Havana"), "Escort", IF(OR(I14="Neon Junction", I14="Numbani", I14="Midtown", I14="Blizzard World", I14="Eichenwalde", I14="King's Row", I14="Paraiso", I14="Hollywood"), "Hybrid", IF(OR(I14="New Queen Street", I14="Esperanca", I14="Colosseo", I14="Runasapi"), "Push", IF(OR(I14="New Junk City", I14="Suravasa", I14="Aatlis"), "Flashpoint", "")))))</f>
        <v/>
      </c>
      <c r="K14" s="7" t="n"/>
      <c r="L14" s="7" t="n"/>
      <c r="M14" s="7" t="n"/>
      <c r="N14" s="7" t="n"/>
      <c r="O14" s="44">
        <f>TEXT(E14, "yymmdd") &amp; "_" &amp; G14 &amp; "_" &amp; H14 &amp; "_S" &amp; D14</f>
        <v/>
      </c>
    </row>
    <row r="15">
      <c r="A15" s="5" t="n">
        <v>2</v>
      </c>
      <c r="B15" s="5" t="n">
        <v>2</v>
      </c>
      <c r="C15" s="7" t="n">
        <v>5</v>
      </c>
      <c r="D15" s="7" t="n">
        <v>1</v>
      </c>
      <c r="E15" s="16" t="inlineStr">
        <is>
          <t>2026-10-10</t>
        </is>
      </c>
      <c r="F15" s="7" t="inlineStr">
        <is>
          <t>Round Robin</t>
        </is>
      </c>
      <c r="G15" s="7" t="inlineStr">
        <is>
          <t>CR</t>
        </is>
      </c>
      <c r="H15" s="7" t="inlineStr">
        <is>
          <t>T1</t>
        </is>
      </c>
      <c r="I15" s="7" t="n"/>
      <c r="J15" s="7">
        <f>IF(OR(I15="Antarctic Peninsula", I15="Nepal", I15="Lijiang Tower", I15="Busan", I15="Samoa", I15="Oasis", I15="Ilios"), "Control", IF(OR(I15="Route 66", I15="Watchpoint: Gibraltar", I15="Dorado", I15="Rialto", I15="Shambali Monastery", I15="Circuit Royal", I15="Junkertown", I15="Havana"), "Escort", IF(OR(I15="Neon Junction", I15="Numbani", I15="Midtown", I15="Blizzard World", I15="Eichenwalde", I15="King's Row", I15="Paraiso", I15="Hollywood"), "Hybrid", IF(OR(I15="New Queen Street", I15="Esperanca", I15="Colosseo", I15="Runasapi"), "Push", IF(OR(I15="New Junk City", I15="Suravasa", I15="Aatlis"), "Flashpoint", "")))))</f>
        <v/>
      </c>
      <c r="K15" s="7" t="n"/>
      <c r="L15" s="7" t="n"/>
      <c r="M15" s="7" t="n"/>
      <c r="N15" s="7" t="n"/>
      <c r="O15" s="44">
        <f>TEXT(E15, "yymmdd") &amp; "_" &amp; G15 &amp; "_" &amp; H15 &amp; "_S" &amp; D15</f>
        <v/>
      </c>
    </row>
    <row r="16">
      <c r="A16" s="29" t="n">
        <v>2</v>
      </c>
      <c r="B16" s="29" t="n">
        <v>2</v>
      </c>
      <c r="C16" s="30" t="n">
        <v>6</v>
      </c>
      <c r="D16" s="30" t="n">
        <v>1</v>
      </c>
      <c r="E16" s="32" t="inlineStr">
        <is>
          <t>2026-10-10</t>
        </is>
      </c>
      <c r="F16" s="30" t="inlineStr">
        <is>
          <t>Round Robin</t>
        </is>
      </c>
      <c r="G16" s="30" t="inlineStr">
        <is>
          <t>CB</t>
        </is>
      </c>
      <c r="H16" s="30" t="inlineStr">
        <is>
          <t>FLC</t>
        </is>
      </c>
      <c r="I16" s="30" t="n"/>
      <c r="J16" s="30">
        <f>IF(OR(I16="Antarctic Peninsula", I16="Nepal", I16="Lijiang Tower", I16="Busan", I16="Samoa", I16="Oasis", I16="Ilios"), "Control", IF(OR(I16="Route 66", I16="Watchpoint: Gibraltar", I16="Dorado", I16="Rialto", I16="Shambali Monastery", I16="Circuit Royal", I16="Junkertown", I16="Havana"), "Escort", IF(OR(I16="Neon Junction", I16="Numbani", I16="Midtown", I16="Blizzard World", I16="Eichenwalde", I16="King's Row", I16="Paraiso", I16="Hollywood"), "Hybrid", IF(OR(I16="New Queen Street", I16="Esperanca", I16="Colosseo", I16="Runasapi"), "Push", IF(OR(I16="New Junk City", I16="Suravasa", I16="Aatlis"), "Flashpoint", "")))))</f>
        <v/>
      </c>
      <c r="K16" s="30" t="n"/>
      <c r="L16" s="30" t="n"/>
      <c r="M16" s="30" t="n"/>
      <c r="N16" s="30" t="n"/>
      <c r="O16" s="43">
        <f>TEXT(E16, "yymmdd") &amp; "_" &amp; G16 &amp; "_" &amp; H16 &amp; "_S" &amp; D16</f>
        <v/>
      </c>
    </row>
    <row r="17">
      <c r="A17" s="29" t="n">
        <v>2</v>
      </c>
      <c r="B17" s="29" t="n">
        <v>3</v>
      </c>
      <c r="C17" s="30" t="n">
        <v>7</v>
      </c>
      <c r="D17" s="30" t="n">
        <v>1</v>
      </c>
      <c r="E17" s="32" t="inlineStr">
        <is>
          <t>2026-10-11</t>
        </is>
      </c>
      <c r="F17" s="30" t="inlineStr">
        <is>
          <t>Round Robin</t>
        </is>
      </c>
      <c r="G17" s="30" t="inlineStr">
        <is>
          <t>O2</t>
        </is>
      </c>
      <c r="H17" s="30" t="inlineStr">
        <is>
          <t>ROZE</t>
        </is>
      </c>
      <c r="I17" s="30" t="n"/>
      <c r="J17" s="30">
        <f>IF(OR(I17="Antarctic Peninsula", I17="Nepal", I17="Lijiang Tower", I17="Busan", I17="Samoa", I17="Oasis", I17="Ilios"), "Control", IF(OR(I17="Route 66", I17="Watchpoint: Gibraltar", I17="Dorado", I17="Rialto", I17="Shambali Monastery", I17="Circuit Royal", I17="Junkertown", I17="Havana"), "Escort", IF(OR(I17="Neon Junction", I17="Numbani", I17="Midtown", I17="Blizzard World", I17="Eichenwalde", I17="King's Row", I17="Paraiso", I17="Hollywood"), "Hybrid", IF(OR(I17="New Queen Street", I17="Esperanca", I17="Colosseo", I17="Runasapi"), "Push", IF(OR(I17="New Junk City", I17="Suravasa", I17="Aatlis"), "Flashpoint", "")))))</f>
        <v/>
      </c>
      <c r="K17" s="30" t="n"/>
      <c r="L17" s="30" t="n"/>
      <c r="M17" s="30" t="n"/>
      <c r="N17" s="30" t="n"/>
      <c r="O17" s="43">
        <f>TEXT(E17, "yymmdd") &amp; "_" &amp; G17 &amp; "_" &amp; H17 &amp; "_S" &amp; D17</f>
        <v/>
      </c>
    </row>
    <row r="18">
      <c r="A18" s="29" t="n">
        <v>2</v>
      </c>
      <c r="B18" s="29" t="n">
        <v>3</v>
      </c>
      <c r="C18" s="30" t="n">
        <v>8</v>
      </c>
      <c r="D18" s="30" t="n">
        <v>1</v>
      </c>
      <c r="E18" s="32" t="inlineStr">
        <is>
          <t>2026-10-11</t>
        </is>
      </c>
      <c r="F18" s="30" t="inlineStr">
        <is>
          <t>Round Robin</t>
        </is>
      </c>
      <c r="G18" s="30" t="inlineStr">
        <is>
          <t>CB</t>
        </is>
      </c>
      <c r="H18" s="30" t="inlineStr">
        <is>
          <t>CR</t>
        </is>
      </c>
      <c r="I18" s="30" t="n"/>
      <c r="J18" s="30">
        <f>IF(OR(I18="Antarctic Peninsula", I18="Nepal", I18="Lijiang Tower", I18="Busan", I18="Samoa", I18="Oasis", I18="Ilios"), "Control", IF(OR(I18="Route 66", I18="Watchpoint: Gibraltar", I18="Dorado", I18="Rialto", I18="Shambali Monastery", I18="Circuit Royal", I18="Junkertown", I18="Havana"), "Escort", IF(OR(I18="Neon Junction", I18="Numbani", I18="Midtown", I18="Blizzard World", I18="Eichenwalde", I18="King's Row", I18="Paraiso", I18="Hollywood"), "Hybrid", IF(OR(I18="New Queen Street", I18="Esperanca", I18="Colosseo", I18="Runasapi"), "Push", IF(OR(I18="New Junk City", I18="Suravasa", I18="Aatlis"), "Flashpoint", "")))))</f>
        <v/>
      </c>
      <c r="K18" s="30" t="n"/>
      <c r="L18" s="30" t="n"/>
      <c r="M18" s="30" t="n"/>
      <c r="N18" s="30" t="n"/>
      <c r="O18" s="43">
        <f>TEXT(E18, "yymmdd") &amp; "_" &amp; G18 &amp; "_" &amp; H18 &amp; "_S" &amp; D18</f>
        <v/>
      </c>
    </row>
    <row r="19">
      <c r="A19" s="5" t="n">
        <v>2</v>
      </c>
      <c r="B19" s="5" t="n">
        <v>3</v>
      </c>
      <c r="C19" s="7" t="n">
        <v>9</v>
      </c>
      <c r="D19" s="7" t="n">
        <v>1</v>
      </c>
      <c r="E19" s="16" t="inlineStr">
        <is>
          <t>2026-10-11</t>
        </is>
      </c>
      <c r="F19" s="7" t="inlineStr">
        <is>
          <t>Round Robin</t>
        </is>
      </c>
      <c r="G19" s="7" t="inlineStr">
        <is>
          <t>PF</t>
        </is>
      </c>
      <c r="H19" s="7" t="inlineStr">
        <is>
          <t>ZETA</t>
        </is>
      </c>
      <c r="I19" s="7" t="n"/>
      <c r="J19" s="7">
        <f>IF(OR(I19="Antarctic Peninsula", I19="Nepal", I19="Lijiang Tower", I19="Busan", I19="Samoa", I19="Oasis", I19="Ilios"), "Control", IF(OR(I19="Route 66", I19="Watchpoint: Gibraltar", I19="Dorado", I19="Rialto", I19="Shambali Monastery", I19="Circuit Royal", I19="Junkertown", I19="Havana"), "Escort", IF(OR(I19="Neon Junction", I19="Numbani", I19="Midtown", I19="Blizzard World", I19="Eichenwalde", I19="King's Row", I19="Paraiso", I19="Hollywood"), "Hybrid", IF(OR(I19="New Queen Street", I19="Esperanca", I19="Colosseo", I19="Runasapi"), "Push", IF(OR(I19="New Junk City", I19="Suravasa", I19="Aatlis"), "Flashpoint", "")))))</f>
        <v/>
      </c>
      <c r="K19" s="7" t="n"/>
      <c r="L19" s="7" t="n"/>
      <c r="M19" s="7" t="n"/>
      <c r="N19" s="7" t="n"/>
      <c r="O19" s="44">
        <f>TEXT(E19, "yymmdd") &amp; "_" &amp; G19 &amp; "_" &amp; H19 &amp; "_S" &amp; D19</f>
        <v/>
      </c>
    </row>
    <row r="20">
      <c r="A20" s="5" t="n">
        <v>3</v>
      </c>
      <c r="B20" s="5" t="n">
        <v>1</v>
      </c>
      <c r="C20" s="7" t="n">
        <v>1</v>
      </c>
      <c r="D20" s="7" t="n">
        <v>1</v>
      </c>
      <c r="E20" s="16" t="inlineStr">
        <is>
          <t>2026-10-16</t>
        </is>
      </c>
      <c r="F20" s="7" t="inlineStr">
        <is>
          <t>Round Robin</t>
        </is>
      </c>
      <c r="G20" s="7" t="inlineStr">
        <is>
          <t>FLC</t>
        </is>
      </c>
      <c r="H20" s="7" t="inlineStr">
        <is>
          <t>SEJ</t>
        </is>
      </c>
      <c r="I20" s="7" t="n"/>
      <c r="J20" s="7">
        <f>IF(OR(I20="Antarctic Peninsula", I20="Nepal", I20="Lijiang Tower", I20="Busan", I20="Samoa", I20="Oasis", I20="Ilios"), "Control", IF(OR(I20="Route 66", I20="Watchpoint: Gibraltar", I20="Dorado", I20="Rialto", I20="Shambali Monastery", I20="Circuit Royal", I20="Junkertown", I20="Havana"), "Escort", IF(OR(I20="Neon Junction", I20="Numbani", I20="Midtown", I20="Blizzard World", I20="Eichenwalde", I20="King's Row", I20="Paraiso", I20="Hollywood"), "Hybrid", IF(OR(I20="New Queen Street", I20="Esperanca", I20="Colosseo", I20="Runasapi"), "Push", IF(OR(I20="New Junk City", I20="Suravasa", I20="Aatlis"), "Flashpoint", "")))))</f>
        <v/>
      </c>
      <c r="K20" s="7" t="n"/>
      <c r="L20" s="7" t="n"/>
      <c r="M20" s="7" t="n"/>
      <c r="N20" s="7" t="n"/>
      <c r="O20" s="44">
        <f>TEXT(E20, "yymmdd") &amp; "_" &amp; G20 &amp; "_" &amp; H20 &amp; "_S" &amp; D20</f>
        <v/>
      </c>
    </row>
    <row r="21">
      <c r="A21" s="5" t="n">
        <v>3</v>
      </c>
      <c r="B21" s="5" t="n">
        <v>1</v>
      </c>
      <c r="C21" s="7" t="n">
        <v>2</v>
      </c>
      <c r="D21" s="7" t="n">
        <v>1</v>
      </c>
      <c r="E21" s="16" t="inlineStr">
        <is>
          <t>2026-10-16</t>
        </is>
      </c>
      <c r="F21" s="7" t="inlineStr">
        <is>
          <t>Round Robin</t>
        </is>
      </c>
      <c r="G21" s="7" t="inlineStr">
        <is>
          <t>CB</t>
        </is>
      </c>
      <c r="H21" s="7" t="inlineStr">
        <is>
          <t>T1</t>
        </is>
      </c>
      <c r="I21" s="7" t="n"/>
      <c r="J21" s="7">
        <f>IF(OR(I21="Antarctic Peninsula", I21="Nepal", I21="Lijiang Tower", I21="Busan", I21="Samoa", I21="Oasis", I21="Ilios"), "Control", IF(OR(I21="Route 66", I21="Watchpoint: Gibraltar", I21="Dorado", I21="Rialto", I21="Shambali Monastery", I21="Circuit Royal", I21="Junkertown", I21="Havana"), "Escort", IF(OR(I21="Neon Junction", I21="Numbani", I21="Midtown", I21="Blizzard World", I21="Eichenwalde", I21="King's Row", I21="Paraiso", I21="Hollywood"), "Hybrid", IF(OR(I21="New Queen Street", I21="Esperanca", I21="Colosseo", I21="Runasapi"), "Push", IF(OR(I21="New Junk City", I21="Suravasa", I21="Aatlis"), "Flashpoint", "")))))</f>
        <v/>
      </c>
      <c r="K21" s="7" t="n"/>
      <c r="L21" s="7" t="n"/>
      <c r="M21" s="7" t="n"/>
      <c r="N21" s="7" t="n"/>
      <c r="O21" s="44">
        <f>TEXT(E21, "yymmdd") &amp; "_" &amp; G21 &amp; "_" &amp; H21 &amp; "_S" &amp; D21</f>
        <v/>
      </c>
    </row>
    <row r="22">
      <c r="A22" s="29" t="n">
        <v>3</v>
      </c>
      <c r="B22" s="29" t="n">
        <v>1</v>
      </c>
      <c r="C22" s="30" t="n">
        <v>3</v>
      </c>
      <c r="D22" s="30" t="n">
        <v>1</v>
      </c>
      <c r="E22" s="32" t="inlineStr">
        <is>
          <t>2026-10-16</t>
        </is>
      </c>
      <c r="F22" s="30" t="inlineStr">
        <is>
          <t>Round Robin</t>
        </is>
      </c>
      <c r="G22" s="30" t="inlineStr">
        <is>
          <t>O2</t>
        </is>
      </c>
      <c r="H22" s="30" t="inlineStr">
        <is>
          <t>ZETA</t>
        </is>
      </c>
      <c r="I22" s="30" t="n"/>
      <c r="J22" s="30">
        <f>IF(OR(I22="Antarctic Peninsula", I22="Nepal", I22="Lijiang Tower", I22="Busan", I22="Samoa", I22="Oasis", I22="Ilios"), "Control", IF(OR(I22="Route 66", I22="Watchpoint: Gibraltar", I22="Dorado", I22="Rialto", I22="Shambali Monastery", I22="Circuit Royal", I22="Junkertown", I22="Havana"), "Escort", IF(OR(I22="Neon Junction", I22="Numbani", I22="Midtown", I22="Blizzard World", I22="Eichenwalde", I22="King's Row", I22="Paraiso", I22="Hollywood"), "Hybrid", IF(OR(I22="New Queen Street", I22="Esperanca", I22="Colosseo", I22="Runasapi"), "Push", IF(OR(I22="New Junk City", I22="Suravasa", I22="Aatlis"), "Flashpoint", "")))))</f>
        <v/>
      </c>
      <c r="K22" s="30" t="n"/>
      <c r="L22" s="30" t="n"/>
      <c r="M22" s="30" t="n"/>
      <c r="N22" s="30" t="n"/>
      <c r="O22" s="43">
        <f>TEXT(E22, "yymmdd") &amp; "_" &amp; G22 &amp; "_" &amp; H22 &amp; "_S" &amp; D22</f>
        <v/>
      </c>
    </row>
    <row r="23">
      <c r="A23" s="29" t="n">
        <v>3</v>
      </c>
      <c r="B23" s="29" t="n">
        <v>2</v>
      </c>
      <c r="C23" s="30" t="n">
        <v>4</v>
      </c>
      <c r="D23" s="30" t="n">
        <v>1</v>
      </c>
      <c r="E23" s="32" t="inlineStr">
        <is>
          <t>2026-10-17</t>
        </is>
      </c>
      <c r="F23" s="30" t="inlineStr">
        <is>
          <t>Round Robin</t>
        </is>
      </c>
      <c r="G23" s="30" t="inlineStr">
        <is>
          <t>O2</t>
        </is>
      </c>
      <c r="H23" s="30" t="inlineStr">
        <is>
          <t>PF</t>
        </is>
      </c>
      <c r="I23" s="30" t="n"/>
      <c r="J23" s="30">
        <f>IF(OR(I23="Antarctic Peninsula", I23="Nepal", I23="Lijiang Tower", I23="Busan", I23="Samoa", I23="Oasis", I23="Ilios"), "Control", IF(OR(I23="Route 66", I23="Watchpoint: Gibraltar", I23="Dorado", I23="Rialto", I23="Shambali Monastery", I23="Circuit Royal", I23="Junkertown", I23="Havana"), "Escort", IF(OR(I23="Neon Junction", I23="Numbani", I23="Midtown", I23="Blizzard World", I23="Eichenwalde", I23="King's Row", I23="Paraiso", I23="Hollywood"), "Hybrid", IF(OR(I23="New Queen Street", I23="Esperanca", I23="Colosseo", I23="Runasapi"), "Push", IF(OR(I23="New Junk City", I23="Suravasa", I23="Aatlis"), "Flashpoint", "")))))</f>
        <v/>
      </c>
      <c r="K23" s="30" t="n"/>
      <c r="L23" s="30" t="n"/>
      <c r="M23" s="30" t="n"/>
      <c r="N23" s="30" t="n"/>
      <c r="O23" s="43">
        <f>TEXT(E23, "yymmdd") &amp; "_" &amp; G23 &amp; "_" &amp; H23 &amp; "_S" &amp; D23</f>
        <v/>
      </c>
    </row>
    <row r="24">
      <c r="A24" s="29" t="n">
        <v>3</v>
      </c>
      <c r="B24" s="29" t="n">
        <v>2</v>
      </c>
      <c r="C24" s="30" t="n">
        <v>5</v>
      </c>
      <c r="D24" s="30" t="n">
        <v>1</v>
      </c>
      <c r="E24" s="32" t="inlineStr">
        <is>
          <t>2026-10-17</t>
        </is>
      </c>
      <c r="F24" s="30" t="inlineStr">
        <is>
          <t>Round Robin</t>
        </is>
      </c>
      <c r="G24" s="30" t="inlineStr">
        <is>
          <t>CR</t>
        </is>
      </c>
      <c r="H24" s="30" t="inlineStr">
        <is>
          <t>FLC</t>
        </is>
      </c>
      <c r="I24" s="30" t="n"/>
      <c r="J24" s="30">
        <f>IF(OR(I24="Antarctic Peninsula", I24="Nepal", I24="Lijiang Tower", I24="Busan", I24="Samoa", I24="Oasis", I24="Ilios"), "Control", IF(OR(I24="Route 66", I24="Watchpoint: Gibraltar", I24="Dorado", I24="Rialto", I24="Shambali Monastery", I24="Circuit Royal", I24="Junkertown", I24="Havana"), "Escort", IF(OR(I24="Neon Junction", I24="Numbani", I24="Midtown", I24="Blizzard World", I24="Eichenwalde", I24="King's Row", I24="Paraiso", I24="Hollywood"), "Hybrid", IF(OR(I24="New Queen Street", I24="Esperanca", I24="Colosseo", I24="Runasapi"), "Push", IF(OR(I24="New Junk City", I24="Suravasa", I24="Aatlis"), "Flashpoint", "")))))</f>
        <v/>
      </c>
      <c r="K24" s="30" t="n"/>
      <c r="L24" s="30" t="n"/>
      <c r="M24" s="30" t="n"/>
      <c r="N24" s="30" t="n"/>
      <c r="O24" s="43">
        <f>TEXT(E24, "yymmdd") &amp; "_" &amp; G24 &amp; "_" &amp; H24 &amp; "_S" &amp; D24</f>
        <v/>
      </c>
    </row>
    <row r="25">
      <c r="A25" s="5" t="n">
        <v>3</v>
      </c>
      <c r="B25" s="5" t="n">
        <v>2</v>
      </c>
      <c r="C25" s="7" t="n">
        <v>6</v>
      </c>
      <c r="D25" s="7" t="n">
        <v>1</v>
      </c>
      <c r="E25" s="16" t="inlineStr">
        <is>
          <t>2026-10-17</t>
        </is>
      </c>
      <c r="F25" s="7" t="inlineStr">
        <is>
          <t>Round Robin</t>
        </is>
      </c>
      <c r="G25" s="7" t="inlineStr">
        <is>
          <t>T1</t>
        </is>
      </c>
      <c r="H25" s="7" t="inlineStr">
        <is>
          <t>ROZE</t>
        </is>
      </c>
      <c r="I25" s="7" t="n"/>
      <c r="J25" s="7">
        <f>IF(OR(I25="Antarctic Peninsula", I25="Nepal", I25="Lijiang Tower", I25="Busan", I25="Samoa", I25="Oasis", I25="Ilios"), "Control", IF(OR(I25="Route 66", I25="Watchpoint: Gibraltar", I25="Dorado", I25="Rialto", I25="Shambali Monastery", I25="Circuit Royal", I25="Junkertown", I25="Havana"), "Escort", IF(OR(I25="Neon Junction", I25="Numbani", I25="Midtown", I25="Blizzard World", I25="Eichenwalde", I25="King's Row", I25="Paraiso", I25="Hollywood"), "Hybrid", IF(OR(I25="New Queen Street", I25="Esperanca", I25="Colosseo", I25="Runasapi"), "Push", IF(OR(I25="New Junk City", I25="Suravasa", I25="Aatlis"), "Flashpoint", "")))))</f>
        <v/>
      </c>
      <c r="K25" s="7" t="n"/>
      <c r="L25" s="7" t="n"/>
      <c r="M25" s="7" t="n"/>
      <c r="N25" s="7" t="n"/>
      <c r="O25" s="44">
        <f>TEXT(E25, "yymmdd") &amp; "_" &amp; G25 &amp; "_" &amp; H25 &amp; "_S" &amp; D25</f>
        <v/>
      </c>
    </row>
    <row r="26">
      <c r="A26" s="5" t="n">
        <v>3</v>
      </c>
      <c r="B26" s="5" t="n">
        <v>3</v>
      </c>
      <c r="C26" s="7" t="n">
        <v>7</v>
      </c>
      <c r="D26" s="7" t="n">
        <v>1</v>
      </c>
      <c r="E26" s="16" t="inlineStr">
        <is>
          <t>2026-10-18</t>
        </is>
      </c>
      <c r="F26" s="7" t="inlineStr">
        <is>
          <t>Round Robin</t>
        </is>
      </c>
      <c r="G26" s="7" t="inlineStr">
        <is>
          <t>CB</t>
        </is>
      </c>
      <c r="H26" s="7" t="inlineStr">
        <is>
          <t>SEJ</t>
        </is>
      </c>
      <c r="I26" s="7" t="n"/>
      <c r="J26" s="7">
        <f>IF(OR(I26="Antarctic Peninsula", I26="Nepal", I26="Lijiang Tower", I26="Busan", I26="Samoa", I26="Oasis", I26="Ilios"), "Control", IF(OR(I26="Route 66", I26="Watchpoint: Gibraltar", I26="Dorado", I26="Rialto", I26="Shambali Monastery", I26="Circuit Royal", I26="Junkertown", I26="Havana"), "Escort", IF(OR(I26="Neon Junction", I26="Numbani", I26="Midtown", I26="Blizzard World", I26="Eichenwalde", I26="King's Row", I26="Paraiso", I26="Hollywood"), "Hybrid", IF(OR(I26="New Queen Street", I26="Esperanca", I26="Colosseo", I26="Runasapi"), "Push", IF(OR(I26="New Junk City", I26="Suravasa", I26="Aatlis"), "Flashpoint", "")))))</f>
        <v/>
      </c>
      <c r="K26" s="7" t="n"/>
      <c r="L26" s="7" t="n"/>
      <c r="M26" s="7" t="n"/>
      <c r="N26" s="7" t="n"/>
      <c r="O26" s="44">
        <f>TEXT(E26, "yymmdd") &amp; "_" &amp; G26 &amp; "_" &amp; H26 &amp; "_S" &amp; D26</f>
        <v/>
      </c>
    </row>
    <row r="27">
      <c r="A27" s="5" t="n">
        <v>3</v>
      </c>
      <c r="B27" s="5" t="n">
        <v>3</v>
      </c>
      <c r="C27" s="7" t="n">
        <v>8</v>
      </c>
      <c r="D27" s="7" t="n">
        <v>1</v>
      </c>
      <c r="E27" s="16" t="inlineStr">
        <is>
          <t>2026-10-18</t>
        </is>
      </c>
      <c r="F27" s="7" t="inlineStr">
        <is>
          <t>Round Robin</t>
        </is>
      </c>
      <c r="G27" s="7" t="inlineStr">
        <is>
          <t>CR</t>
        </is>
      </c>
      <c r="H27" s="7" t="inlineStr">
        <is>
          <t>PF</t>
        </is>
      </c>
      <c r="I27" s="7" t="n"/>
      <c r="J27" s="7">
        <f>IF(OR(I27="Antarctic Peninsula", I27="Nepal", I27="Lijiang Tower", I27="Busan", I27="Samoa", I27="Oasis", I27="Ilios"), "Control", IF(OR(I27="Route 66", I27="Watchpoint: Gibraltar", I27="Dorado", I27="Rialto", I27="Shambali Monastery", I27="Circuit Royal", I27="Junkertown", I27="Havana"), "Escort", IF(OR(I27="Neon Junction", I27="Numbani", I27="Midtown", I27="Blizzard World", I27="Eichenwalde", I27="King's Row", I27="Paraiso", I27="Hollywood"), "Hybrid", IF(OR(I27="New Queen Street", I27="Esperanca", I27="Colosseo", I27="Runasapi"), "Push", IF(OR(I27="New Junk City", I27="Suravasa", I27="Aatlis"), "Flashpoint", "")))))</f>
        <v/>
      </c>
      <c r="K27" s="7" t="n"/>
      <c r="L27" s="7" t="n"/>
      <c r="M27" s="7" t="n"/>
      <c r="N27" s="7" t="n"/>
      <c r="O27" s="44">
        <f>TEXT(E27, "yymmdd") &amp; "_" &amp; G27 &amp; "_" &amp; H27 &amp; "_S" &amp; D27</f>
        <v/>
      </c>
    </row>
    <row r="28">
      <c r="A28" s="29" t="n">
        <v>3</v>
      </c>
      <c r="B28" s="29" t="n">
        <v>3</v>
      </c>
      <c r="C28" s="30" t="n">
        <v>9</v>
      </c>
      <c r="D28" s="30" t="n">
        <v>1</v>
      </c>
      <c r="E28" s="32" t="inlineStr">
        <is>
          <t>2026-10-18</t>
        </is>
      </c>
      <c r="F28" s="30" t="inlineStr">
        <is>
          <t>Round Robin</t>
        </is>
      </c>
      <c r="G28" s="30" t="inlineStr">
        <is>
          <t>ROZE</t>
        </is>
      </c>
      <c r="H28" s="30" t="inlineStr">
        <is>
          <t>ZETA</t>
        </is>
      </c>
      <c r="I28" s="30" t="n"/>
      <c r="J28" s="30">
        <f>IF(OR(I28="Antarctic Peninsula", I28="Nepal", I28="Lijiang Tower", I28="Busan", I28="Samoa", I28="Oasis", I28="Ilios"), "Control", IF(OR(I28="Route 66", I28="Watchpoint: Gibraltar", I28="Dorado", I28="Rialto", I28="Shambali Monastery", I28="Circuit Royal", I28="Junkertown", I28="Havana"), "Escort", IF(OR(I28="Neon Junction", I28="Numbani", I28="Midtown", I28="Blizzard World", I28="Eichenwalde", I28="King's Row", I28="Paraiso", I28="Hollywood"), "Hybrid", IF(OR(I28="New Queen Street", I28="Esperanca", I28="Colosseo", I28="Runasapi"), "Push", IF(OR(I28="New Junk City", I28="Suravasa", I28="Aatlis"), "Flashpoint", "")))))</f>
        <v/>
      </c>
      <c r="K28" s="30" t="n"/>
      <c r="L28" s="30" t="n"/>
      <c r="M28" s="30" t="n"/>
      <c r="N28" s="30" t="n"/>
      <c r="O28" s="43">
        <f>TEXT(E28, "yymmdd") &amp; "_" &amp; G28 &amp; "_" &amp; H28 &amp; "_S" &amp; D28</f>
        <v/>
      </c>
    </row>
    <row r="29">
      <c r="A29" s="29" t="n">
        <v>4</v>
      </c>
      <c r="B29" s="29" t="n">
        <v>1</v>
      </c>
      <c r="C29" s="30" t="n">
        <v>1</v>
      </c>
      <c r="D29" s="30" t="n">
        <v>1</v>
      </c>
      <c r="E29" s="32" t="inlineStr">
        <is>
          <t>2026-10-23</t>
        </is>
      </c>
      <c r="F29" s="30" t="inlineStr">
        <is>
          <t>Round Robin</t>
        </is>
      </c>
      <c r="G29" s="30" t="inlineStr">
        <is>
          <t>CB</t>
        </is>
      </c>
      <c r="H29" s="30" t="inlineStr">
        <is>
          <t>O2</t>
        </is>
      </c>
      <c r="I29" s="30" t="n"/>
      <c r="J29" s="30">
        <f>IF(OR(I29="Antarctic Peninsula", I29="Nepal", I29="Lijiang Tower", I29="Busan", I29="Samoa", I29="Oasis", I29="Ilios"), "Control", IF(OR(I29="Route 66", I29="Watchpoint: Gibraltar", I29="Dorado", I29="Rialto", I29="Shambali Monastery", I29="Circuit Royal", I29="Junkertown", I29="Havana"), "Escort", IF(OR(I29="Neon Junction", I29="Numbani", I29="Midtown", I29="Blizzard World", I29="Eichenwalde", I29="King's Row", I29="Paraiso", I29="Hollywood"), "Hybrid", IF(OR(I29="New Queen Street", I29="Esperanca", I29="Colosseo", I29="Runasapi"), "Push", IF(OR(I29="New Junk City", I29="Suravasa", I29="Aatlis"), "Flashpoint", "")))))</f>
        <v/>
      </c>
      <c r="K29" s="30" t="n"/>
      <c r="L29" s="30" t="n"/>
      <c r="M29" s="30" t="n"/>
      <c r="N29" s="30" t="n"/>
      <c r="O29" s="43">
        <f>TEXT(E29, "yymmdd") &amp; "_" &amp; G29 &amp; "_" &amp; H29 &amp; "_S" &amp; D29</f>
        <v/>
      </c>
    </row>
    <row r="30">
      <c r="A30" s="29" t="n">
        <v>4</v>
      </c>
      <c r="B30" s="29" t="n">
        <v>1</v>
      </c>
      <c r="C30" s="30" t="n">
        <v>2</v>
      </c>
      <c r="D30" s="30" t="n">
        <v>1</v>
      </c>
      <c r="E30" s="32" t="inlineStr">
        <is>
          <t>2026-10-23</t>
        </is>
      </c>
      <c r="F30" s="30" t="inlineStr">
        <is>
          <t>Round Robin</t>
        </is>
      </c>
      <c r="G30" s="30" t="inlineStr">
        <is>
          <t>FLC</t>
        </is>
      </c>
      <c r="H30" s="30" t="inlineStr">
        <is>
          <t>ROZE</t>
        </is>
      </c>
      <c r="I30" s="30" t="n"/>
      <c r="J30" s="30">
        <f>IF(OR(I30="Antarctic Peninsula", I30="Nepal", I30="Lijiang Tower", I30="Busan", I30="Samoa", I30="Oasis", I30="Ilios"), "Control", IF(OR(I30="Route 66", I30="Watchpoint: Gibraltar", I30="Dorado", I30="Rialto", I30="Shambali Monastery", I30="Circuit Royal", I30="Junkertown", I30="Havana"), "Escort", IF(OR(I30="Neon Junction", I30="Numbani", I30="Midtown", I30="Blizzard World", I30="Eichenwalde", I30="King's Row", I30="Paraiso", I30="Hollywood"), "Hybrid", IF(OR(I30="New Queen Street", I30="Esperanca", I30="Colosseo", I30="Runasapi"), "Push", IF(OR(I30="New Junk City", I30="Suravasa", I30="Aatlis"), "Flashpoint", "")))))</f>
        <v/>
      </c>
      <c r="K30" s="30" t="n"/>
      <c r="L30" s="30" t="n"/>
      <c r="M30" s="30" t="n"/>
      <c r="N30" s="30" t="n"/>
      <c r="O30" s="43">
        <f>TEXT(E30, "yymmdd") &amp; "_" &amp; G30 &amp; "_" &amp; H30 &amp; "_S" &amp; D30</f>
        <v/>
      </c>
    </row>
    <row r="31">
      <c r="A31" s="5" t="n">
        <v>4</v>
      </c>
      <c r="B31" s="5" t="n">
        <v>1</v>
      </c>
      <c r="C31" s="7" t="n">
        <v>3</v>
      </c>
      <c r="D31" s="7" t="n">
        <v>1</v>
      </c>
      <c r="E31" s="16" t="inlineStr">
        <is>
          <t>2026-10-23</t>
        </is>
      </c>
      <c r="F31" s="7" t="inlineStr">
        <is>
          <t>Round Robin</t>
        </is>
      </c>
      <c r="G31" s="7" t="inlineStr">
        <is>
          <t>CR</t>
        </is>
      </c>
      <c r="H31" s="7" t="inlineStr">
        <is>
          <t>SEJ</t>
        </is>
      </c>
      <c r="I31" s="7" t="n"/>
      <c r="J31" s="7">
        <f>IF(OR(I31="Antarctic Peninsula", I31="Nepal", I31="Lijiang Tower", I31="Busan", I31="Samoa", I31="Oasis", I31="Ilios"), "Control", IF(OR(I31="Route 66", I31="Watchpoint: Gibraltar", I31="Dorado", I31="Rialto", I31="Shambali Monastery", I31="Circuit Royal", I31="Junkertown", I31="Havana"), "Escort", IF(OR(I31="Neon Junction", I31="Numbani", I31="Midtown", I31="Blizzard World", I31="Eichenwalde", I31="King's Row", I31="Paraiso", I31="Hollywood"), "Hybrid", IF(OR(I31="New Queen Street", I31="Esperanca", I31="Colosseo", I31="Runasapi"), "Push", IF(OR(I31="New Junk City", I31="Suravasa", I31="Aatlis"), "Flashpoint", "")))))</f>
        <v/>
      </c>
      <c r="K31" s="7" t="n"/>
      <c r="L31" s="7" t="n"/>
      <c r="M31" s="7" t="n"/>
      <c r="N31" s="7" t="n"/>
      <c r="O31" s="44">
        <f>TEXT(E31, "yymmdd") &amp; "_" &amp; G31 &amp; "_" &amp; H31 &amp; "_S" &amp; D31</f>
        <v/>
      </c>
    </row>
    <row r="32">
      <c r="A32" s="5" t="n">
        <v>4</v>
      </c>
      <c r="B32" s="5" t="n">
        <v>2</v>
      </c>
      <c r="C32" s="7" t="n">
        <v>4</v>
      </c>
      <c r="D32" s="7" t="n">
        <v>1</v>
      </c>
      <c r="E32" s="16" t="inlineStr">
        <is>
          <t>2026-10-24</t>
        </is>
      </c>
      <c r="F32" s="7" t="inlineStr">
        <is>
          <t>Round Robin</t>
        </is>
      </c>
      <c r="G32" s="7" t="inlineStr">
        <is>
          <t>CB</t>
        </is>
      </c>
      <c r="H32" s="7" t="inlineStr">
        <is>
          <t>ZETA</t>
        </is>
      </c>
      <c r="I32" s="7" t="n"/>
      <c r="J32" s="7">
        <f>IF(OR(I32="Antarctic Peninsula", I32="Nepal", I32="Lijiang Tower", I32="Busan", I32="Samoa", I32="Oasis", I32="Ilios"), "Control", IF(OR(I32="Route 66", I32="Watchpoint: Gibraltar", I32="Dorado", I32="Rialto", I32="Shambali Monastery", I32="Circuit Royal", I32="Junkertown", I32="Havana"), "Escort", IF(OR(I32="Neon Junction", I32="Numbani", I32="Midtown", I32="Blizzard World", I32="Eichenwalde", I32="King's Row", I32="Paraiso", I32="Hollywood"), "Hybrid", IF(OR(I32="New Queen Street", I32="Esperanca", I32="Colosseo", I32="Runasapi"), "Push", IF(OR(I32="New Junk City", I32="Suravasa", I32="Aatlis"), "Flashpoint", "")))))</f>
        <v/>
      </c>
      <c r="K32" s="7" t="n"/>
      <c r="L32" s="7" t="n"/>
      <c r="M32" s="7" t="n"/>
      <c r="N32" s="7" t="n"/>
      <c r="O32" s="44">
        <f>TEXT(E32, "yymmdd") &amp; "_" &amp; G32 &amp; "_" &amp; H32 &amp; "_S" &amp; D32</f>
        <v/>
      </c>
    </row>
    <row r="33">
      <c r="A33" s="5" t="n">
        <v>4</v>
      </c>
      <c r="B33" s="5" t="n">
        <v>2</v>
      </c>
      <c r="C33" s="7" t="n">
        <v>5</v>
      </c>
      <c r="D33" s="7" t="n">
        <v>1</v>
      </c>
      <c r="E33" s="16" t="inlineStr">
        <is>
          <t>2026-10-24</t>
        </is>
      </c>
      <c r="F33" s="7" t="inlineStr">
        <is>
          <t>Round Robin</t>
        </is>
      </c>
      <c r="G33" s="7" t="inlineStr">
        <is>
          <t>FLC</t>
        </is>
      </c>
      <c r="H33" s="7" t="inlineStr">
        <is>
          <t>T1</t>
        </is>
      </c>
      <c r="I33" s="7" t="n"/>
      <c r="J33" s="7">
        <f>IF(OR(I33="Antarctic Peninsula", I33="Nepal", I33="Lijiang Tower", I33="Busan", I33="Samoa", I33="Oasis", I33="Ilios"), "Control", IF(OR(I33="Route 66", I33="Watchpoint: Gibraltar", I33="Dorado", I33="Rialto", I33="Shambali Monastery", I33="Circuit Royal", I33="Junkertown", I33="Havana"), "Escort", IF(OR(I33="Neon Junction", I33="Numbani", I33="Midtown", I33="Blizzard World", I33="Eichenwalde", I33="King's Row", I33="Paraiso", I33="Hollywood"), "Hybrid", IF(OR(I33="New Queen Street", I33="Esperanca", I33="Colosseo", I33="Runasapi"), "Push", IF(OR(I33="New Junk City", I33="Suravasa", I33="Aatlis"), "Flashpoint", "")))))</f>
        <v/>
      </c>
      <c r="K33" s="7" t="n"/>
      <c r="L33" s="7" t="n"/>
      <c r="M33" s="7" t="n"/>
      <c r="N33" s="7" t="n"/>
      <c r="O33" s="44">
        <f>TEXT(E33, "yymmdd") &amp; "_" &amp; G33 &amp; "_" &amp; H33 &amp; "_S" &amp; D33</f>
        <v/>
      </c>
    </row>
    <row r="34">
      <c r="A34" s="29" t="n">
        <v>4</v>
      </c>
      <c r="B34" s="29" t="n">
        <v>2</v>
      </c>
      <c r="C34" s="30" t="n">
        <v>6</v>
      </c>
      <c r="D34" s="30" t="n">
        <v>1</v>
      </c>
      <c r="E34" s="32" t="inlineStr">
        <is>
          <t>2026-10-24</t>
        </is>
      </c>
      <c r="F34" s="30" t="inlineStr">
        <is>
          <t>Round Robin</t>
        </is>
      </c>
      <c r="G34" s="30" t="inlineStr">
        <is>
          <t>PF</t>
        </is>
      </c>
      <c r="H34" s="30" t="inlineStr">
        <is>
          <t>SEJ</t>
        </is>
      </c>
      <c r="I34" s="30" t="n"/>
      <c r="J34" s="30">
        <f>IF(OR(I34="Antarctic Peninsula", I34="Nepal", I34="Lijiang Tower", I34="Busan", I34="Samoa", I34="Oasis", I34="Ilios"), "Control", IF(OR(I34="Route 66", I34="Watchpoint: Gibraltar", I34="Dorado", I34="Rialto", I34="Shambali Monastery", I34="Circuit Royal", I34="Junkertown", I34="Havana"), "Escort", IF(OR(I34="Neon Junction", I34="Numbani", I34="Midtown", I34="Blizzard World", I34="Eichenwalde", I34="King's Row", I34="Paraiso", I34="Hollywood"), "Hybrid", IF(OR(I34="New Queen Street", I34="Esperanca", I34="Colosseo", I34="Runasapi"), "Push", IF(OR(I34="New Junk City", I34="Suravasa", I34="Aatlis"), "Flashpoint", "")))))</f>
        <v/>
      </c>
      <c r="K34" s="30" t="n"/>
      <c r="L34" s="30" t="n"/>
      <c r="M34" s="30" t="n"/>
      <c r="N34" s="30" t="n"/>
      <c r="O34" s="43">
        <f>TEXT(E34, "yymmdd") &amp; "_" &amp; G34 &amp; "_" &amp; H34 &amp; "_S" &amp; D34</f>
        <v/>
      </c>
    </row>
    <row r="35">
      <c r="A35" s="29" t="n">
        <v>4</v>
      </c>
      <c r="B35" s="29" t="n">
        <v>3</v>
      </c>
      <c r="C35" s="30" t="n">
        <v>7</v>
      </c>
      <c r="D35" s="30" t="n">
        <v>1</v>
      </c>
      <c r="E35" s="32" t="inlineStr">
        <is>
          <t>2026-10-25</t>
        </is>
      </c>
      <c r="F35" s="30" t="inlineStr">
        <is>
          <t>Round Robin</t>
        </is>
      </c>
      <c r="G35" s="30" t="inlineStr">
        <is>
          <t>PF</t>
        </is>
      </c>
      <c r="H35" s="30" t="inlineStr">
        <is>
          <t>ROZE</t>
        </is>
      </c>
      <c r="I35" s="30" t="n"/>
      <c r="J35" s="30">
        <f>IF(OR(I35="Antarctic Peninsula", I35="Nepal", I35="Lijiang Tower", I35="Busan", I35="Samoa", I35="Oasis", I35="Ilios"), "Control", IF(OR(I35="Route 66", I35="Watchpoint: Gibraltar", I35="Dorado", I35="Rialto", I35="Shambali Monastery", I35="Circuit Royal", I35="Junkertown", I35="Havana"), "Escort", IF(OR(I35="Neon Junction", I35="Numbani", I35="Midtown", I35="Blizzard World", I35="Eichenwalde", I35="King's Row", I35="Paraiso", I35="Hollywood"), "Hybrid", IF(OR(I35="New Queen Street", I35="Esperanca", I35="Colosseo", I35="Runasapi"), "Push", IF(OR(I35="New Junk City", I35="Suravasa", I35="Aatlis"), "Flashpoint", "")))))</f>
        <v/>
      </c>
      <c r="K35" s="30" t="n"/>
      <c r="L35" s="30" t="n"/>
      <c r="M35" s="30" t="n"/>
      <c r="N35" s="30" t="n"/>
      <c r="O35" s="43">
        <f>TEXT(E35, "yymmdd") &amp; "_" &amp; G35 &amp; "_" &amp; H35 &amp; "_S" &amp; D35</f>
        <v/>
      </c>
    </row>
    <row r="36">
      <c r="A36" s="29" t="n">
        <v>4</v>
      </c>
      <c r="B36" s="29" t="n">
        <v>3</v>
      </c>
      <c r="C36" s="30" t="n">
        <v>8</v>
      </c>
      <c r="D36" s="30" t="n">
        <v>1</v>
      </c>
      <c r="E36" s="32" t="inlineStr">
        <is>
          <t>2026-10-25</t>
        </is>
      </c>
      <c r="F36" s="30" t="inlineStr">
        <is>
          <t>Round Robin</t>
        </is>
      </c>
      <c r="G36" s="30" t="inlineStr">
        <is>
          <t>O2</t>
        </is>
      </c>
      <c r="H36" s="30" t="inlineStr">
        <is>
          <t>T1</t>
        </is>
      </c>
      <c r="I36" s="30" t="n"/>
      <c r="J36" s="30">
        <f>IF(OR(I36="Antarctic Peninsula", I36="Nepal", I36="Lijiang Tower", I36="Busan", I36="Samoa", I36="Oasis", I36="Ilios"), "Control", IF(OR(I36="Route 66", I36="Watchpoint: Gibraltar", I36="Dorado", I36="Rialto", I36="Shambali Monastery", I36="Circuit Royal", I36="Junkertown", I36="Havana"), "Escort", IF(OR(I36="Neon Junction", I36="Numbani", I36="Midtown", I36="Blizzard World", I36="Eichenwalde", I36="King's Row", I36="Paraiso", I36="Hollywood"), "Hybrid", IF(OR(I36="New Queen Street", I36="Esperanca", I36="Colosseo", I36="Runasapi"), "Push", IF(OR(I36="New Junk City", I36="Suravasa", I36="Aatlis"), "Flashpoint", "")))))</f>
        <v/>
      </c>
      <c r="K36" s="30" t="n"/>
      <c r="L36" s="30" t="n"/>
      <c r="M36" s="30" t="n"/>
      <c r="N36" s="30" t="n"/>
      <c r="O36" s="43">
        <f>TEXT(E36, "yymmdd") &amp; "_" &amp; G36 &amp; "_" &amp; H36 &amp; "_S" &amp; D36</f>
        <v/>
      </c>
    </row>
    <row r="37">
      <c r="A37" s="5" t="n">
        <v>4</v>
      </c>
      <c r="B37" s="5" t="n">
        <v>3</v>
      </c>
      <c r="C37" s="7" t="n">
        <v>9</v>
      </c>
      <c r="D37" s="7" t="n">
        <v>1</v>
      </c>
      <c r="E37" s="16" t="inlineStr">
        <is>
          <t>2026-10-25</t>
        </is>
      </c>
      <c r="F37" s="7" t="inlineStr">
        <is>
          <t>Round Robin</t>
        </is>
      </c>
      <c r="G37" s="7" t="inlineStr">
        <is>
          <t>ZETA</t>
        </is>
      </c>
      <c r="H37" s="7" t="inlineStr">
        <is>
          <t>CR</t>
        </is>
      </c>
      <c r="I37" s="7" t="n"/>
      <c r="J37" s="7">
        <f>IF(OR(I37="Antarctic Peninsula", I37="Nepal", I37="Lijiang Tower", I37="Busan", I37="Samoa", I37="Oasis", I37="Ilios"), "Control", IF(OR(I37="Route 66", I37="Watchpoint: Gibraltar", I37="Dorado", I37="Rialto", I37="Shambali Monastery", I37="Circuit Royal", I37="Junkertown", I37="Havana"), "Escort", IF(OR(I37="Neon Junction", I37="Numbani", I37="Midtown", I37="Blizzard World", I37="Eichenwalde", I37="King's Row", I37="Paraiso", I37="Hollywood"), "Hybrid", IF(OR(I37="New Queen Street", I37="Esperanca", I37="Colosseo", I37="Runasapi"), "Push", IF(OR(I37="New Junk City", I37="Suravasa", I37="Aatlis"), "Flashpoint", "")))))</f>
        <v/>
      </c>
      <c r="K37" s="7" t="n"/>
      <c r="L37" s="7" t="n"/>
      <c r="M37" s="7" t="n"/>
      <c r="N37" s="7" t="n"/>
      <c r="O37" s="44">
        <f>TEXT(E37, "yymmdd") &amp; "_" &amp; G37 &amp; "_" &amp; H37 &amp; "_S" &amp; D37</f>
        <v/>
      </c>
    </row>
    <row r="38">
      <c r="A38" s="5" t="n"/>
      <c r="B38" s="5" t="n"/>
      <c r="C38" s="7" t="n"/>
      <c r="D38" s="7" t="n"/>
      <c r="E38" s="16" t="n"/>
      <c r="F38" s="7" t="n"/>
      <c r="G38" s="7" t="n"/>
      <c r="H38" s="7" t="n"/>
      <c r="I38" s="7" t="n"/>
      <c r="J38" s="7">
        <f>IF(OR(I38="Antarctic Peninsula", I38="Nepal", I38="Lijiang Tower", I38="Busan", I38="Samoa", I38="Oasis", I38="Ilios"), "Control", IF(OR(I38="Route 66", I38="Watchpoint: Gibraltar", I38="Dorado", I38="Rialto", I38="Shambali Monastery", I38="Circuit Royal", I38="Junkertown", I38="Havana"), "Escort", IF(OR(I38="Neon Junction", I38="Numbani", I38="Midtown", I38="Blizzard World", I38="Eichenwalde", I38="King's Row", I38="Paraiso", I38="Hollywood"), "Hybrid", IF(OR(I38="New Queen Street", I38="Esperanca", I38="Colosseo", I38="Runasapi"), "Push", IF(OR(I38="New Junk City", I38="Suravasa", I38="Aatlis"), "Flashpoint", "")))))</f>
        <v/>
      </c>
      <c r="K38" s="7" t="n"/>
      <c r="L38" s="7" t="n"/>
      <c r="M38" s="7" t="n"/>
      <c r="N38" s="7" t="n"/>
      <c r="O38" s="44">
        <f>TEXT(E38, "yymmdd") &amp; "_" &amp; G38 &amp; "_" &amp; H38 &amp; "_S" &amp; D38</f>
        <v/>
      </c>
    </row>
    <row r="39">
      <c r="A39" s="5" t="n"/>
      <c r="B39" s="5" t="n"/>
      <c r="C39" s="7" t="n"/>
      <c r="D39" s="7" t="n"/>
      <c r="E39" s="16" t="n"/>
      <c r="F39" s="7" t="n"/>
      <c r="G39" s="7" t="n"/>
      <c r="H39" s="7" t="n"/>
      <c r="I39" s="7" t="n"/>
      <c r="J39" s="7">
        <f>IF(OR(I39="Antarctic Peninsula", I39="Nepal", I39="Lijiang Tower", I39="Busan", I39="Samoa", I39="Oasis", I39="Ilios"), "Control", IF(OR(I39="Route 66", I39="Watchpoint: Gibraltar", I39="Dorado", I39="Rialto", I39="Shambali Monastery", I39="Circuit Royal", I39="Junkertown", I39="Havana"), "Escort", IF(OR(I39="Neon Junction", I39="Numbani", I39="Midtown", I39="Blizzard World", I39="Eichenwalde", I39="King's Row", I39="Paraiso", I39="Hollywood"), "Hybrid", IF(OR(I39="New Queen Street", I39="Esperanca", I39="Colosseo", I39="Runasapi"), "Push", IF(OR(I39="New Junk City", I39="Suravasa", I39="Aatlis"), "Flashpoint", "")))))</f>
        <v/>
      </c>
      <c r="K39" s="7" t="n"/>
      <c r="L39" s="7" t="n"/>
      <c r="M39" s="7" t="n"/>
      <c r="N39" s="7" t="n"/>
      <c r="O39" s="44">
        <f>TEXT(E39, "yymmdd") &amp; "_" &amp; G39 &amp; "_" &amp; H39 &amp; "_S" &amp; D39</f>
        <v/>
      </c>
    </row>
    <row r="40">
      <c r="A40" s="29" t="n"/>
      <c r="B40" s="29" t="n"/>
      <c r="C40" s="30" t="n"/>
      <c r="D40" s="30" t="n"/>
      <c r="E40" s="32" t="n"/>
      <c r="F40" s="30" t="n"/>
      <c r="G40" s="30" t="n"/>
      <c r="H40" s="30" t="n"/>
      <c r="I40" s="30" t="n"/>
      <c r="J40" s="30">
        <f>IF(OR(I40="Antarctic Peninsula", I40="Nepal", I40="Lijiang Tower", I40="Busan", I40="Samoa", I40="Oasis", I40="Ilios"), "Control", IF(OR(I40="Route 66", I40="Watchpoint: Gibraltar", I40="Dorado", I40="Rialto", I40="Shambali Monastery", I40="Circuit Royal", I40="Junkertown", I40="Havana"), "Escort", IF(OR(I40="Neon Junction", I40="Numbani", I40="Midtown", I40="Blizzard World", I40="Eichenwalde", I40="King's Row", I40="Paraiso", I40="Hollywood"), "Hybrid", IF(OR(I40="New Queen Street", I40="Esperanca", I40="Colosseo", I40="Runasapi"), "Push", IF(OR(I40="New Junk City", I40="Suravasa", I40="Aatlis"), "Flashpoint", "")))))</f>
        <v/>
      </c>
      <c r="K40" s="30" t="n"/>
      <c r="L40" s="30" t="n"/>
      <c r="M40" s="30" t="n"/>
      <c r="N40" s="30" t="n"/>
      <c r="O40" s="43">
        <f>TEXT(E40, "yymmdd") &amp; "_" &amp; G40 &amp; "_" &amp; H40 &amp; "_S" &amp; D40</f>
        <v/>
      </c>
    </row>
    <row r="41">
      <c r="A41" s="29" t="n"/>
      <c r="B41" s="29" t="n"/>
      <c r="C41" s="30" t="n"/>
      <c r="D41" s="30" t="n"/>
      <c r="E41" s="32" t="n"/>
      <c r="F41" s="30" t="n"/>
      <c r="G41" s="30" t="n"/>
      <c r="H41" s="30" t="n"/>
      <c r="I41" s="30" t="n"/>
      <c r="J41" s="30">
        <f>IF(OR(I41="Antarctic Peninsula", I41="Nepal", I41="Lijiang Tower", I41="Busan", I41="Samoa", I41="Oasis", I41="Ilios"), "Control", IF(OR(I41="Route 66", I41="Watchpoint: Gibraltar", I41="Dorado", I41="Rialto", I41="Shambali Monastery", I41="Circuit Royal", I41="Junkertown", I41="Havana"), "Escort", IF(OR(I41="Neon Junction", I41="Numbani", I41="Midtown", I41="Blizzard World", I41="Eichenwalde", I41="King's Row", I41="Paraiso", I41="Hollywood"), "Hybrid", IF(OR(I41="New Queen Street", I41="Esperanca", I41="Colosseo", I41="Runasapi"), "Push", IF(OR(I41="New Junk City", I41="Suravasa", I41="Aatlis"), "Flashpoint", "")))))</f>
        <v/>
      </c>
      <c r="K41" s="30" t="n"/>
      <c r="L41" s="30" t="n"/>
      <c r="M41" s="30" t="n"/>
      <c r="N41" s="30" t="n"/>
      <c r="O41" s="43">
        <f>TEXT(E41, "yymmdd") &amp; "_" &amp; G41 &amp; "_" &amp; H41 &amp; "_S" &amp; D41</f>
        <v/>
      </c>
    </row>
    <row r="42">
      <c r="A42" s="29" t="n"/>
      <c r="B42" s="29" t="n"/>
      <c r="C42" s="30" t="n"/>
      <c r="D42" s="30" t="n"/>
      <c r="E42" s="32" t="n"/>
      <c r="F42" s="30" t="n"/>
      <c r="G42" s="30" t="n"/>
      <c r="H42" s="30" t="n"/>
      <c r="I42" s="30" t="n"/>
      <c r="J42" s="30">
        <f>IF(OR(I42="Antarctic Peninsula", I42="Nepal", I42="Lijiang Tower", I42="Busan", I42="Samoa", I42="Oasis", I42="Ilios"), "Control", IF(OR(I42="Route 66", I42="Watchpoint: Gibraltar", I42="Dorado", I42="Rialto", I42="Shambali Monastery", I42="Circuit Royal", I42="Junkertown", I42="Havana"), "Escort", IF(OR(I42="Neon Junction", I42="Numbani", I42="Midtown", I42="Blizzard World", I42="Eichenwalde", I42="King's Row", I42="Paraiso", I42="Hollywood"), "Hybrid", IF(OR(I42="New Queen Street", I42="Esperanca", I42="Colosseo", I42="Runasapi"), "Push", IF(OR(I42="New Junk City", I42="Suravasa", I42="Aatlis"), "Flashpoint", "")))))</f>
        <v/>
      </c>
      <c r="K42" s="30" t="n"/>
      <c r="L42" s="30" t="n"/>
      <c r="M42" s="30" t="n"/>
      <c r="N42" s="30" t="n"/>
      <c r="O42" s="43">
        <f>TEXT(E42, "yymmdd") &amp; "_" &amp; G42 &amp; "_" &amp; H42 &amp; "_S" &amp; D42</f>
        <v/>
      </c>
    </row>
    <row r="43">
      <c r="A43" s="5" t="n"/>
      <c r="B43" s="5" t="n"/>
      <c r="C43" s="7" t="n"/>
      <c r="D43" s="7" t="n"/>
      <c r="E43" s="16" t="n"/>
      <c r="F43" s="7" t="n"/>
      <c r="G43" s="7" t="n"/>
      <c r="H43" s="7" t="n"/>
      <c r="I43" s="7" t="n"/>
      <c r="J43" s="7">
        <f>IF(OR(I43="Antarctic Peninsula", I43="Nepal", I43="Lijiang Tower", I43="Busan", I43="Samoa", I43="Oasis", I43="Ilios"), "Control", IF(OR(I43="Route 66", I43="Watchpoint: Gibraltar", I43="Dorado", I43="Rialto", I43="Shambali Monastery", I43="Circuit Royal", I43="Junkertown", I43="Havana"), "Escort", IF(OR(I43="Neon Junction", I43="Numbani", I43="Midtown", I43="Blizzard World", I43="Eichenwalde", I43="King's Row", I43="Paraiso", I43="Hollywood"), "Hybrid", IF(OR(I43="New Queen Street", I43="Esperanca", I43="Colosseo", I43="Runasapi"), "Push", IF(OR(I43="New Junk City", I43="Suravasa", I43="Aatlis"), "Flashpoint", "")))))</f>
        <v/>
      </c>
      <c r="K43" s="7" t="n"/>
      <c r="L43" s="7" t="n"/>
      <c r="M43" s="7" t="n"/>
      <c r="N43" s="7" t="n"/>
      <c r="O43" s="44">
        <f>TEXT(E43, "yymmdd") &amp; "_" &amp; G43 &amp; "_" &amp; H43 &amp; "_S" &amp; D43</f>
        <v/>
      </c>
    </row>
    <row r="44">
      <c r="A44" s="5" t="n"/>
      <c r="B44" s="5" t="n"/>
      <c r="C44" s="7" t="n"/>
      <c r="D44" s="7" t="n"/>
      <c r="E44" s="16" t="n"/>
      <c r="F44" s="7" t="n"/>
      <c r="G44" s="7" t="n"/>
      <c r="H44" s="7" t="n"/>
      <c r="I44" s="7" t="n"/>
      <c r="J44" s="7">
        <f>IF(OR(I44="Antarctic Peninsula", I44="Nepal", I44="Lijiang Tower", I44="Busan", I44="Samoa", I44="Oasis", I44="Ilios"), "Control", IF(OR(I44="Route 66", I44="Watchpoint: Gibraltar", I44="Dorado", I44="Rialto", I44="Shambali Monastery", I44="Circuit Royal", I44="Junkertown", I44="Havana"), "Escort", IF(OR(I44="Neon Junction", I44="Numbani", I44="Midtown", I44="Blizzard World", I44="Eichenwalde", I44="King's Row", I44="Paraiso", I44="Hollywood"), "Hybrid", IF(OR(I44="New Queen Street", I44="Esperanca", I44="Colosseo", I44="Runasapi"), "Push", IF(OR(I44="New Junk City", I44="Suravasa", I44="Aatlis"), "Flashpoint", "")))))</f>
        <v/>
      </c>
      <c r="K44" s="7" t="n"/>
      <c r="L44" s="7" t="n"/>
      <c r="M44" s="7" t="n"/>
      <c r="N44" s="7" t="n"/>
      <c r="O44" s="44">
        <f>TEXT(E44, "yymmdd") &amp; "_" &amp; G44 &amp; "_" &amp; H44 &amp; "_S" &amp; D44</f>
        <v/>
      </c>
    </row>
    <row r="45">
      <c r="A45" s="5" t="n"/>
      <c r="B45" s="5" t="n"/>
      <c r="C45" s="7" t="n"/>
      <c r="D45" s="7" t="n"/>
      <c r="E45" s="16" t="n"/>
      <c r="F45" s="7" t="n"/>
      <c r="G45" s="7" t="n"/>
      <c r="H45" s="7" t="n"/>
      <c r="I45" s="7" t="n"/>
      <c r="J45" s="7">
        <f>IF(OR(I45="Antarctic Peninsula", I45="Nepal", I45="Lijiang Tower", I45="Busan", I45="Samoa", I45="Oasis", I45="Ilios"), "Control", IF(OR(I45="Route 66", I45="Watchpoint: Gibraltar", I45="Dorado", I45="Rialto", I45="Shambali Monastery", I45="Circuit Royal", I45="Junkertown", I45="Havana"), "Escort", IF(OR(I45="Neon Junction", I45="Numbani", I45="Midtown", I45="Blizzard World", I45="Eichenwalde", I45="King's Row", I45="Paraiso", I45="Hollywood"), "Hybrid", IF(OR(I45="New Queen Street", I45="Esperanca", I45="Colosseo", I45="Runasapi"), "Push", IF(OR(I45="New Junk City", I45="Suravasa", I45="Aatlis"), "Flashpoint", "")))))</f>
        <v/>
      </c>
      <c r="K45" s="7" t="n"/>
      <c r="L45" s="7" t="n"/>
      <c r="M45" s="7" t="n"/>
      <c r="N45" s="7" t="n"/>
      <c r="O45" s="44">
        <f>TEXT(E45, "yymmdd") &amp; "_" &amp; G45 &amp; "_" &amp; H45 &amp; "_S" &amp; D45</f>
        <v/>
      </c>
    </row>
    <row r="46">
      <c r="A46" s="29" t="n"/>
      <c r="B46" s="29" t="n"/>
      <c r="C46" s="30" t="n"/>
      <c r="D46" s="30" t="n"/>
      <c r="E46" s="32" t="n"/>
      <c r="F46" s="30" t="n"/>
      <c r="G46" s="30" t="n"/>
      <c r="H46" s="30" t="n"/>
      <c r="I46" s="30" t="n"/>
      <c r="J46" s="30">
        <f>IF(OR(I46="Antarctic Peninsula", I46="Nepal", I46="Lijiang Tower", I46="Busan", I46="Samoa", I46="Oasis", I46="Ilios"), "Control", IF(OR(I46="Route 66", I46="Watchpoint: Gibraltar", I46="Dorado", I46="Rialto", I46="Shambali Monastery", I46="Circuit Royal", I46="Junkertown", I46="Havana"), "Escort", IF(OR(I46="Neon Junction", I46="Numbani", I46="Midtown", I46="Blizzard World", I46="Eichenwalde", I46="King's Row", I46="Paraiso", I46="Hollywood"), "Hybrid", IF(OR(I46="New Queen Street", I46="Esperanca", I46="Colosseo", I46="Runasapi"), "Push", IF(OR(I46="New Junk City", I46="Suravasa", I46="Aatlis"), "Flashpoint", "")))))</f>
        <v/>
      </c>
      <c r="K46" s="30" t="n"/>
      <c r="L46" s="30" t="n"/>
      <c r="M46" s="30" t="n"/>
      <c r="N46" s="30" t="n"/>
      <c r="O46" s="43">
        <f>TEXT(E46, "yymmdd") &amp; "_" &amp; G46 &amp; "_" &amp; H46 &amp; "_S" &amp; D46</f>
        <v/>
      </c>
    </row>
    <row r="47">
      <c r="A47" s="29" t="n"/>
      <c r="B47" s="29" t="n"/>
      <c r="C47" s="30" t="n"/>
      <c r="D47" s="30" t="n"/>
      <c r="E47" s="32" t="n"/>
      <c r="F47" s="30" t="n"/>
      <c r="G47" s="30" t="n"/>
      <c r="H47" s="30" t="n"/>
      <c r="I47" s="30" t="n"/>
      <c r="J47" s="30">
        <f>IF(OR(I47="Antarctic Peninsula", I47="Nepal", I47="Lijiang Tower", I47="Busan", I47="Samoa", I47="Oasis", I47="Ilios"), "Control", IF(OR(I47="Route 66", I47="Watchpoint: Gibraltar", I47="Dorado", I47="Rialto", I47="Shambali Monastery", I47="Circuit Royal", I47="Junkertown", I47="Havana"), "Escort", IF(OR(I47="Neon Junction", I47="Numbani", I47="Midtown", I47="Blizzard World", I47="Eichenwalde", I47="King's Row", I47="Paraiso", I47="Hollywood"), "Hybrid", IF(OR(I47="New Queen Street", I47="Esperanca", I47="Colosseo", I47="Runasapi"), "Push", IF(OR(I47="New Junk City", I47="Suravasa", I47="Aatlis"), "Flashpoint", "")))))</f>
        <v/>
      </c>
      <c r="K47" s="30" t="n"/>
      <c r="L47" s="30" t="n"/>
      <c r="M47" s="30" t="n"/>
      <c r="N47" s="30" t="n"/>
      <c r="O47" s="43">
        <f>TEXT(E47, "yymmdd") &amp; "_" &amp; G47 &amp; "_" &amp; H47 &amp; "_S" &amp; D47</f>
        <v/>
      </c>
    </row>
    <row r="48">
      <c r="A48" s="29" t="n"/>
      <c r="B48" s="29" t="n"/>
      <c r="C48" s="30" t="n"/>
      <c r="D48" s="30" t="n"/>
      <c r="E48" s="32" t="n"/>
      <c r="F48" s="30" t="n"/>
      <c r="G48" s="30" t="n"/>
      <c r="H48" s="30" t="n"/>
      <c r="I48" s="30" t="n"/>
      <c r="J48" s="30">
        <f>IF(OR(I48="Antarctic Peninsula", I48="Nepal", I48="Lijiang Tower", I48="Busan", I48="Samoa", I48="Oasis", I48="Ilios"), "Control", IF(OR(I48="Route 66", I48="Watchpoint: Gibraltar", I48="Dorado", I48="Rialto", I48="Shambali Monastery", I48="Circuit Royal", I48="Junkertown", I48="Havana"), "Escort", IF(OR(I48="Neon Junction", I48="Numbani", I48="Midtown", I48="Blizzard World", I48="Eichenwalde", I48="King's Row", I48="Paraiso", I48="Hollywood"), "Hybrid", IF(OR(I48="New Queen Street", I48="Esperanca", I48="Colosseo", I48="Runasapi"), "Push", IF(OR(I48="New Junk City", I48="Suravasa", I48="Aatlis"), "Flashpoint", "")))))</f>
        <v/>
      </c>
      <c r="K48" s="30" t="n"/>
      <c r="L48" s="30" t="n"/>
      <c r="M48" s="30" t="n"/>
      <c r="N48" s="30" t="n"/>
      <c r="O48" s="43">
        <f>TEXT(E48, "yymmdd") &amp; "_" &amp; G48 &amp; "_" &amp; H48 &amp; "_S" &amp; D48</f>
        <v/>
      </c>
    </row>
    <row r="49">
      <c r="A49" s="5" t="n"/>
      <c r="B49" s="5" t="n"/>
      <c r="C49" s="7" t="n"/>
      <c r="D49" s="7" t="n"/>
      <c r="E49" s="16" t="n"/>
      <c r="F49" s="7" t="n"/>
      <c r="G49" s="7" t="n"/>
      <c r="H49" s="7" t="n"/>
      <c r="I49" s="7" t="n"/>
      <c r="J49" s="7">
        <f>IF(OR(I49="Antarctic Peninsula", I49="Nepal", I49="Lijiang Tower", I49="Busan", I49="Samoa", I49="Oasis", I49="Ilios"), "Control", IF(OR(I49="Route 66", I49="Watchpoint: Gibraltar", I49="Dorado", I49="Rialto", I49="Shambali Monastery", I49="Circuit Royal", I49="Junkertown", I49="Havana"), "Escort", IF(OR(I49="Neon Junction", I49="Numbani", I49="Midtown", I49="Blizzard World", I49="Eichenwalde", I49="King's Row", I49="Paraiso", I49="Hollywood"), "Hybrid", IF(OR(I49="New Queen Street", I49="Esperanca", I49="Colosseo", I49="Runasapi"), "Push", IF(OR(I49="New Junk City", I49="Suravasa", I49="Aatlis"), "Flashpoint", "")))))</f>
        <v/>
      </c>
      <c r="K49" s="7" t="n"/>
      <c r="L49" s="7" t="n"/>
      <c r="M49" s="7" t="n"/>
      <c r="N49" s="7" t="n"/>
      <c r="O49" s="44">
        <f>TEXT(E49, "yymmdd") &amp; "_" &amp; G49 &amp; "_" &amp; H49 &amp; "_S" &amp; D49</f>
        <v/>
      </c>
    </row>
    <row r="50">
      <c r="A50" s="5" t="n"/>
      <c r="B50" s="5" t="n"/>
      <c r="C50" s="7" t="n"/>
      <c r="D50" s="7" t="n"/>
      <c r="E50" s="16" t="n"/>
      <c r="F50" s="7" t="n"/>
      <c r="G50" s="7" t="n"/>
      <c r="H50" s="7" t="n"/>
      <c r="I50" s="7" t="n"/>
      <c r="J50" s="7">
        <f>IF(OR(I50="Antarctic Peninsula", I50="Nepal", I50="Lijiang Tower", I50="Busan", I50="Samoa", I50="Oasis", I50="Ilios"), "Control", IF(OR(I50="Route 66", I50="Watchpoint: Gibraltar", I50="Dorado", I50="Rialto", I50="Shambali Monastery", I50="Circuit Royal", I50="Junkertown", I50="Havana"), "Escort", IF(OR(I50="Neon Junction", I50="Numbani", I50="Midtown", I50="Blizzard World", I50="Eichenwalde", I50="King's Row", I50="Paraiso", I50="Hollywood"), "Hybrid", IF(OR(I50="New Queen Street", I50="Esperanca", I50="Colosseo", I50="Runasapi"), "Push", IF(OR(I50="New Junk City", I50="Suravasa", I50="Aatlis"), "Flashpoint", "")))))</f>
        <v/>
      </c>
      <c r="K50" s="7" t="n"/>
      <c r="L50" s="7" t="n"/>
      <c r="M50" s="7" t="n"/>
      <c r="N50" s="7" t="n"/>
      <c r="O50" s="44">
        <f>TEXT(E50, "yymmdd") &amp; "_" &amp; G50 &amp; "_" &amp; H50 &amp; "_S" &amp; D50</f>
        <v/>
      </c>
    </row>
    <row r="51">
      <c r="A51" s="5" t="n"/>
      <c r="B51" s="5" t="n"/>
      <c r="C51" s="7" t="n"/>
      <c r="D51" s="7" t="n"/>
      <c r="E51" s="16" t="n"/>
      <c r="F51" s="7" t="n"/>
      <c r="G51" s="7" t="n"/>
      <c r="H51" s="7" t="n"/>
      <c r="I51" s="7" t="n"/>
      <c r="J51" s="7">
        <f>IF(OR(I51="Antarctic Peninsula", I51="Nepal", I51="Lijiang Tower", I51="Busan", I51="Samoa", I51="Oasis", I51="Ilios"), "Control", IF(OR(I51="Route 66", I51="Watchpoint: Gibraltar", I51="Dorado", I51="Rialto", I51="Shambali Monastery", I51="Circuit Royal", I51="Junkertown", I51="Havana"), "Escort", IF(OR(I51="Neon Junction", I51="Numbani", I51="Midtown", I51="Blizzard World", I51="Eichenwalde", I51="King's Row", I51="Paraiso", I51="Hollywood"), "Hybrid", IF(OR(I51="New Queen Street", I51="Esperanca", I51="Colosseo", I51="Runasapi"), "Push", IF(OR(I51="New Junk City", I51="Suravasa", I51="Aatlis"), "Flashpoint", "")))))</f>
        <v/>
      </c>
      <c r="K51" s="7" t="n"/>
      <c r="L51" s="7" t="n"/>
      <c r="M51" s="7" t="n"/>
      <c r="N51" s="7" t="n"/>
      <c r="O51" s="44">
        <f>TEXT(E51, "yymmdd") &amp; "_" &amp; G51 &amp; "_" &amp; H51 &amp; "_S" &amp; D51</f>
        <v/>
      </c>
    </row>
    <row r="52">
      <c r="A52" s="29" t="n"/>
      <c r="B52" s="29" t="n"/>
      <c r="C52" s="30" t="n"/>
      <c r="D52" s="30" t="n"/>
      <c r="E52" s="32" t="n"/>
      <c r="F52" s="30" t="n"/>
      <c r="G52" s="30" t="n"/>
      <c r="H52" s="30" t="n"/>
      <c r="I52" s="30" t="n"/>
      <c r="J52" s="30">
        <f>IF(OR(I52="Antarctic Peninsula", I52="Nepal", I52="Lijiang Tower", I52="Busan", I52="Samoa", I52="Oasis", I52="Ilios"), "Control", IF(OR(I52="Route 66", I52="Watchpoint: Gibraltar", I52="Dorado", I52="Rialto", I52="Shambali Monastery", I52="Circuit Royal", I52="Junkertown", I52="Havana"), "Escort", IF(OR(I52="Neon Junction", I52="Numbani", I52="Midtown", I52="Blizzard World", I52="Eichenwalde", I52="King's Row", I52="Paraiso", I52="Hollywood"), "Hybrid", IF(OR(I52="New Queen Street", I52="Esperanca", I52="Colosseo", I52="Runasapi"), "Push", IF(OR(I52="New Junk City", I52="Suravasa", I52="Aatlis"), "Flashpoint", "")))))</f>
        <v/>
      </c>
      <c r="K52" s="30" t="n"/>
      <c r="L52" s="30" t="n"/>
      <c r="M52" s="30" t="n"/>
      <c r="N52" s="30" t="n"/>
      <c r="O52" s="43">
        <f>TEXT(E52, "yymmdd") &amp; "_" &amp; G52 &amp; "_" &amp; H52 &amp; "_S" &amp; D52</f>
        <v/>
      </c>
    </row>
    <row r="53">
      <c r="A53" s="29" t="n"/>
      <c r="B53" s="29" t="n"/>
      <c r="C53" s="30" t="n"/>
      <c r="D53" s="30" t="n"/>
      <c r="E53" s="32" t="n"/>
      <c r="F53" s="30" t="n"/>
      <c r="G53" s="30" t="n"/>
      <c r="H53" s="30" t="n"/>
      <c r="I53" s="30" t="n"/>
      <c r="J53" s="30">
        <f>IF(OR(I53="Antarctic Peninsula", I53="Nepal", I53="Lijiang Tower", I53="Busan", I53="Samoa", I53="Oasis", I53="Ilios"), "Control", IF(OR(I53="Route 66", I53="Watchpoint: Gibraltar", I53="Dorado", I53="Rialto", I53="Shambali Monastery", I53="Circuit Royal", I53="Junkertown", I53="Havana"), "Escort", IF(OR(I53="Neon Junction", I53="Numbani", I53="Midtown", I53="Blizzard World", I53="Eichenwalde", I53="King's Row", I53="Paraiso", I53="Hollywood"), "Hybrid", IF(OR(I53="New Queen Street", I53="Esperanca", I53="Colosseo", I53="Runasapi"), "Push", IF(OR(I53="New Junk City", I53="Suravasa", I53="Aatlis"), "Flashpoint", "")))))</f>
        <v/>
      </c>
      <c r="K53" s="30" t="n"/>
      <c r="L53" s="30" t="n"/>
      <c r="M53" s="30" t="n"/>
      <c r="N53" s="30" t="n"/>
      <c r="O53" s="43">
        <f>TEXT(E53, "yymmdd") &amp; "_" &amp; G53 &amp; "_" &amp; H53 &amp; "_S" &amp; D53</f>
        <v/>
      </c>
    </row>
    <row r="54">
      <c r="A54" s="29" t="n"/>
      <c r="B54" s="29" t="n"/>
      <c r="C54" s="30" t="n"/>
      <c r="D54" s="30" t="n"/>
      <c r="E54" s="32" t="n"/>
      <c r="F54" s="30" t="n"/>
      <c r="G54" s="30" t="n"/>
      <c r="H54" s="30" t="n"/>
      <c r="I54" s="30" t="n"/>
      <c r="J54" s="30">
        <f>IF(OR(I54="Antarctic Peninsula", I54="Nepal", I54="Lijiang Tower", I54="Busan", I54="Samoa", I54="Oasis", I54="Ilios"), "Control", IF(OR(I54="Route 66", I54="Watchpoint: Gibraltar", I54="Dorado", I54="Rialto", I54="Shambali Monastery", I54="Circuit Royal", I54="Junkertown", I54="Havana"), "Escort", IF(OR(I54="Neon Junction", I54="Numbani", I54="Midtown", I54="Blizzard World", I54="Eichenwalde", I54="King's Row", I54="Paraiso", I54="Hollywood"), "Hybrid", IF(OR(I54="New Queen Street", I54="Esperanca", I54="Colosseo", I54="Runasapi"), "Push", IF(OR(I54="New Junk City", I54="Suravasa", I54="Aatlis"), "Flashpoint", "")))))</f>
        <v/>
      </c>
      <c r="K54" s="30" t="n"/>
      <c r="L54" s="30" t="n"/>
      <c r="M54" s="30" t="n"/>
      <c r="N54" s="30" t="n"/>
      <c r="O54" s="43">
        <f>TEXT(E54, "yymmdd") &amp; "_" &amp; G54 &amp; "_" &amp; H54 &amp; "_S" &amp; D54</f>
        <v/>
      </c>
    </row>
    <row r="55">
      <c r="A55" s="5" t="n"/>
      <c r="B55" s="5" t="n"/>
      <c r="C55" s="7" t="n"/>
      <c r="D55" s="7" t="n"/>
      <c r="E55" s="16" t="n"/>
      <c r="F55" s="7" t="n"/>
      <c r="G55" s="7" t="n"/>
      <c r="H55" s="7" t="n"/>
      <c r="I55" s="7" t="n"/>
      <c r="J55" s="7">
        <f>IF(OR(I55="Antarctic Peninsula", I55="Nepal", I55="Lijiang Tower", I55="Busan", I55="Samoa", I55="Oasis", I55="Ilios"), "Control", IF(OR(I55="Route 66", I55="Watchpoint: Gibraltar", I55="Dorado", I55="Rialto", I55="Shambali Monastery", I55="Circuit Royal", I55="Junkertown", I55="Havana"), "Escort", IF(OR(I55="Neon Junction", I55="Numbani", I55="Midtown", I55="Blizzard World", I55="Eichenwalde", I55="King's Row", I55="Paraiso", I55="Hollywood"), "Hybrid", IF(OR(I55="New Queen Street", I55="Esperanca", I55="Colosseo", I55="Runasapi"), "Push", IF(OR(I55="New Junk City", I55="Suravasa", I55="Aatlis"), "Flashpoint", "")))))</f>
        <v/>
      </c>
      <c r="K55" s="7" t="n"/>
      <c r="L55" s="7" t="n"/>
      <c r="M55" s="7" t="n"/>
      <c r="N55" s="7" t="n"/>
      <c r="O55" s="44">
        <f>TEXT(E55, "yymmdd") &amp; "_" &amp; G55 &amp; "_" &amp; H55 &amp; "_S" &amp; D55</f>
        <v/>
      </c>
    </row>
    <row r="56">
      <c r="A56" s="5" t="n"/>
      <c r="B56" s="5" t="n"/>
      <c r="C56" s="7" t="n"/>
      <c r="D56" s="7" t="n"/>
      <c r="E56" s="16" t="n"/>
      <c r="F56" s="7" t="n"/>
      <c r="G56" s="7" t="n"/>
      <c r="H56" s="7" t="n"/>
      <c r="I56" s="7" t="n"/>
      <c r="J56" s="7">
        <f>IF(OR(I56="Antarctic Peninsula", I56="Nepal", I56="Lijiang Tower", I56="Busan", I56="Samoa", I56="Oasis", I56="Ilios"), "Control", IF(OR(I56="Route 66", I56="Watchpoint: Gibraltar", I56="Dorado", I56="Rialto", I56="Shambali Monastery", I56="Circuit Royal", I56="Junkertown", I56="Havana"), "Escort", IF(OR(I56="Neon Junction", I56="Numbani", I56="Midtown", I56="Blizzard World", I56="Eichenwalde", I56="King's Row", I56="Paraiso", I56="Hollywood"), "Hybrid", IF(OR(I56="New Queen Street", I56="Esperanca", I56="Colosseo", I56="Runasapi"), "Push", IF(OR(I56="New Junk City", I56="Suravasa", I56="Aatlis"), "Flashpoint", "")))))</f>
        <v/>
      </c>
      <c r="K56" s="7" t="n"/>
      <c r="L56" s="7" t="n"/>
      <c r="M56" s="7" t="n"/>
      <c r="N56" s="7" t="n"/>
      <c r="O56" s="44">
        <f>TEXT(E56, "yymmdd") &amp; "_" &amp; G56 &amp; "_" &amp; H56 &amp; "_S" &amp; D56</f>
        <v/>
      </c>
    </row>
    <row r="57">
      <c r="A57" s="5" t="n"/>
      <c r="B57" s="5" t="n"/>
      <c r="C57" s="7" t="n"/>
      <c r="D57" s="7" t="n"/>
      <c r="E57" s="16" t="n"/>
      <c r="F57" s="7" t="n"/>
      <c r="G57" s="7" t="n"/>
      <c r="H57" s="7" t="n"/>
      <c r="I57" s="7" t="n"/>
      <c r="J57" s="7">
        <f>IF(OR(I57="Antarctic Peninsula", I57="Nepal", I57="Lijiang Tower", I57="Busan", I57="Samoa", I57="Oasis", I57="Ilios"), "Control", IF(OR(I57="Route 66", I57="Watchpoint: Gibraltar", I57="Dorado", I57="Rialto", I57="Shambali Monastery", I57="Circuit Royal", I57="Junkertown", I57="Havana"), "Escort", IF(OR(I57="Neon Junction", I57="Numbani", I57="Midtown", I57="Blizzard World", I57="Eichenwalde", I57="King's Row", I57="Paraiso", I57="Hollywood"), "Hybrid", IF(OR(I57="New Queen Street", I57="Esperanca", I57="Colosseo", I57="Runasapi"), "Push", IF(OR(I57="New Junk City", I57="Suravasa", I57="Aatlis"), "Flashpoint", "")))))</f>
        <v/>
      </c>
      <c r="K57" s="7" t="n"/>
      <c r="L57" s="7" t="n"/>
      <c r="M57" s="7" t="n"/>
      <c r="N57" s="7" t="n"/>
      <c r="O57" s="44">
        <f>TEXT(E57, "yymmdd") &amp; "_" &amp; G57 &amp; "_" &amp; H57 &amp; "_S" &amp; D57</f>
        <v/>
      </c>
    </row>
    <row r="58">
      <c r="A58" s="5" t="n"/>
      <c r="B58" s="5" t="n"/>
      <c r="C58" s="7" t="n"/>
      <c r="D58" s="7" t="n"/>
      <c r="E58" s="16" t="n"/>
      <c r="F58" s="7" t="n"/>
      <c r="G58" s="7" t="n"/>
      <c r="H58" s="7" t="n"/>
      <c r="I58" s="7" t="n"/>
      <c r="J58" s="7">
        <f>IF(OR(I58="Antarctic Peninsula", I58="Nepal", I58="Lijiang Tower", I58="Busan", I58="Samoa", I58="Oasis", I58="Ilios"), "Control", IF(OR(I58="Route 66", I58="Watchpoint: Gibraltar", I58="Dorado", I58="Rialto", I58="Shambali Monastery", I58="Circuit Royal", I58="Junkertown", I58="Havana"), "Escort", IF(OR(I58="Neon Junction", I58="Numbani", I58="Midtown", I58="Blizzard World", I58="Eichenwalde", I58="King's Row", I58="Paraiso", I58="Hollywood"), "Hybrid", IF(OR(I58="New Queen Street", I58="Esperanca", I58="Colosseo", I58="Runasapi"), "Push", IF(OR(I58="New Junk City", I58="Suravasa", I58="Aatlis"), "Flashpoint", "")))))</f>
        <v/>
      </c>
      <c r="K58" s="7" t="n"/>
      <c r="L58" s="7" t="n"/>
      <c r="M58" s="7" t="n"/>
      <c r="N58" s="7" t="n"/>
      <c r="O58" s="44">
        <f>TEXT(E58, "yymmdd") &amp; "_" &amp; G58 &amp; "_" &amp; H58 &amp; "_S" &amp; D58</f>
        <v/>
      </c>
    </row>
    <row r="59">
      <c r="A59" s="5" t="n"/>
      <c r="B59" s="5" t="n"/>
      <c r="C59" s="7" t="n"/>
      <c r="D59" s="7" t="n"/>
      <c r="E59" s="16" t="n"/>
      <c r="F59" s="7" t="n"/>
      <c r="G59" s="7" t="n"/>
      <c r="H59" s="7" t="n"/>
      <c r="I59" s="7" t="n"/>
      <c r="J59" s="7">
        <f>IF(OR(I59="Antarctic Peninsula", I59="Nepal", I59="Lijiang Tower", I59="Busan", I59="Samoa", I59="Oasis", I59="Ilios"), "Control", IF(OR(I59="Route 66", I59="Watchpoint: Gibraltar", I59="Dorado", I59="Rialto", I59="Shambali Monastery", I59="Circuit Royal", I59="Junkertown", I59="Havana"), "Escort", IF(OR(I59="Neon Junction", I59="Numbani", I59="Midtown", I59="Blizzard World", I59="Eichenwalde", I59="King's Row", I59="Paraiso", I59="Hollywood"), "Hybrid", IF(OR(I59="New Queen Street", I59="Esperanca", I59="Colosseo", I59="Runasapi"), "Push", IF(OR(I59="New Junk City", I59="Suravasa", I59="Aatlis"), "Flashpoint", "")))))</f>
        <v/>
      </c>
      <c r="K59" s="7" t="n"/>
      <c r="L59" s="7" t="n"/>
      <c r="M59" s="7" t="n"/>
      <c r="N59" s="7" t="n"/>
      <c r="O59" s="44">
        <f>TEXT(E59, "yymmdd") &amp; "_" &amp; G59 &amp; "_" &amp; H59 &amp; "_S" &amp; D59</f>
        <v/>
      </c>
    </row>
    <row r="60">
      <c r="A60" s="29" t="n"/>
      <c r="B60" s="30" t="n"/>
      <c r="C60" s="30" t="n"/>
      <c r="D60" s="30" t="n"/>
      <c r="E60" s="32" t="n"/>
      <c r="F60" s="30" t="n"/>
      <c r="G60" s="30" t="n"/>
      <c r="H60" s="30" t="n"/>
      <c r="I60" s="30" t="n"/>
      <c r="J60" s="30">
        <f>IF(OR(I60="Antarctic Peninsula", I60="Nepal", I60="Lijiang Tower", I60="Busan", I60="Samoa", I60="Oasis", I60="Ilios"), "Control", IF(OR(I60="Route 66", I60="Watchpoint: Gibraltar", I60="Dorado", I60="Rialto", I60="Shambali Monastery", I60="Circuit Royal", I60="Junkertown", I60="Havana"), "Escort", IF(OR(I60="Neon Junction", I60="Numbani", I60="Midtown", I60="Blizzard World", I60="Eichenwalde", I60="King's Row", I60="Paraiso", I60="Hollywood"), "Hybrid", IF(OR(I60="New Queen Street", I60="Esperanca", I60="Colosseo", I60="Runasapi"), "Push", IF(OR(I60="New Junk City", I60="Suravasa", I60="Aatlis"), "Flashpoint", "")))))</f>
        <v/>
      </c>
      <c r="K60" s="30" t="n"/>
      <c r="L60" s="30" t="n"/>
      <c r="M60" s="30" t="n"/>
      <c r="N60" s="30" t="n"/>
      <c r="O60" s="43">
        <f>TEXT(E60, "yymmdd") &amp; "_" &amp; G60 &amp; "_" &amp; H60 &amp; "_S" &amp; D60</f>
        <v/>
      </c>
    </row>
    <row r="61">
      <c r="A61" s="29" t="n"/>
      <c r="B61" s="30" t="n"/>
      <c r="C61" s="30" t="n"/>
      <c r="D61" s="30" t="n"/>
      <c r="E61" s="32" t="n"/>
      <c r="F61" s="30" t="n"/>
      <c r="G61" s="30" t="n"/>
      <c r="H61" s="30" t="n"/>
      <c r="I61" s="30" t="n"/>
      <c r="J61" s="30">
        <f>IF(OR(I61="Antarctic Peninsula", I61="Nepal", I61="Lijiang Tower", I61="Busan", I61="Samoa", I61="Oasis", I61="Ilios"), "Control", IF(OR(I61="Route 66", I61="Watchpoint: Gibraltar", I61="Dorado", I61="Rialto", I61="Shambali Monastery", I61="Circuit Royal", I61="Junkertown", I61="Havana"), "Escort", IF(OR(I61="Neon Junction", I61="Numbani", I61="Midtown", I61="Blizzard World", I61="Eichenwalde", I61="King's Row", I61="Paraiso", I61="Hollywood"), "Hybrid", IF(OR(I61="New Queen Street", I61="Esperanca", I61="Colosseo", I61="Runasapi"), "Push", IF(OR(I61="New Junk City", I61="Suravasa", I61="Aatlis"), "Flashpoint", "")))))</f>
        <v/>
      </c>
      <c r="K61" s="30" t="n"/>
      <c r="L61" s="30" t="n"/>
      <c r="M61" s="30" t="n"/>
      <c r="N61" s="30" t="n"/>
      <c r="O61" s="43">
        <f>TEXT(E61, "yymmdd") &amp; "_" &amp; G61 &amp; "_" &amp; H61 &amp; "_S" &amp; D61</f>
        <v/>
      </c>
    </row>
    <row r="62">
      <c r="A62" s="29" t="n"/>
      <c r="B62" s="30" t="n"/>
      <c r="C62" s="30" t="n"/>
      <c r="D62" s="30" t="n"/>
      <c r="E62" s="32" t="n"/>
      <c r="F62" s="30" t="n"/>
      <c r="G62" s="30" t="n"/>
      <c r="H62" s="30" t="n"/>
      <c r="I62" s="30" t="n"/>
      <c r="J62" s="30">
        <f>IF(OR(I62="Antarctic Peninsula", I62="Nepal", I62="Lijiang Tower", I62="Busan", I62="Samoa", I62="Oasis", I62="Ilios"), "Control", IF(OR(I62="Route 66", I62="Watchpoint: Gibraltar", I62="Dorado", I62="Rialto", I62="Shambali Monastery", I62="Circuit Royal", I62="Junkertown", I62="Havana"), "Escort", IF(OR(I62="Neon Junction", I62="Numbani", I62="Midtown", I62="Blizzard World", I62="Eichenwalde", I62="King's Row", I62="Paraiso", I62="Hollywood"), "Hybrid", IF(OR(I62="New Queen Street", I62="Esperanca", I62="Colosseo", I62="Runasapi"), "Push", IF(OR(I62="New Junk City", I62="Suravasa", I62="Aatlis"), "Flashpoint", "")))))</f>
        <v/>
      </c>
      <c r="K62" s="30" t="n"/>
      <c r="L62" s="30" t="n"/>
      <c r="M62" s="30" t="n"/>
      <c r="N62" s="30" t="n"/>
      <c r="O62" s="43">
        <f>TEXT(E62, "yymmdd") &amp; "_" &amp; G62 &amp; "_" &amp; H62 &amp; "_S" &amp; D62</f>
        <v/>
      </c>
    </row>
    <row r="63">
      <c r="A63" s="29" t="n"/>
      <c r="B63" s="30" t="n"/>
      <c r="C63" s="30" t="n"/>
      <c r="D63" s="30" t="n"/>
      <c r="E63" s="32" t="n"/>
      <c r="F63" s="30" t="n"/>
      <c r="G63" s="30" t="n"/>
      <c r="H63" s="30" t="n"/>
      <c r="I63" s="30" t="n"/>
      <c r="J63" s="30">
        <f>IF(OR(I63="Antarctic Peninsula", I63="Nepal", I63="Lijiang Tower", I63="Busan", I63="Samoa", I63="Oasis", I63="Ilios"), "Control", IF(OR(I63="Route 66", I63="Watchpoint: Gibraltar", I63="Dorado", I63="Rialto", I63="Shambali Monastery", I63="Circuit Royal", I63="Junkertown", I63="Havana"), "Escort", IF(OR(I63="Neon Junction", I63="Numbani", I63="Midtown", I63="Blizzard World", I63="Eichenwalde", I63="King's Row", I63="Paraiso", I63="Hollywood"), "Hybrid", IF(OR(I63="New Queen Street", I63="Esperanca", I63="Colosseo", I63="Runasapi"), "Push", IF(OR(I63="New Junk City", I63="Suravasa", I63="Aatlis"), "Flashpoint", "")))))</f>
        <v/>
      </c>
      <c r="K63" s="30" t="n"/>
      <c r="L63" s="30" t="n"/>
      <c r="M63" s="30" t="n"/>
      <c r="N63" s="30" t="n"/>
      <c r="O63" s="43">
        <f>TEXT(E63, "yymmdd") &amp; "_" &amp; G63 &amp; "_" &amp; H63 &amp; "_S" &amp; D63</f>
        <v/>
      </c>
    </row>
    <row r="64">
      <c r="A64" s="5" t="n"/>
      <c r="B64" s="7" t="n"/>
      <c r="C64" s="7" t="n"/>
      <c r="D64" s="7" t="n"/>
      <c r="E64" s="16" t="n"/>
      <c r="F64" s="7" t="n"/>
      <c r="G64" s="7" t="n"/>
      <c r="H64" s="7" t="n"/>
      <c r="I64" s="7" t="n"/>
      <c r="J64" s="7">
        <f>IF(OR(I64="Antarctic Peninsula", I64="Nepal", I64="Lijiang Tower", I64="Busan", I64="Samoa", I64="Oasis", I64="Ilios"), "Control", IF(OR(I64="Route 66", I64="Watchpoint: Gibraltar", I64="Dorado", I64="Rialto", I64="Shambali Monastery", I64="Circuit Royal", I64="Junkertown", I64="Havana"), "Escort", IF(OR(I64="Neon Junction", I64="Numbani", I64="Midtown", I64="Blizzard World", I64="Eichenwalde", I64="King's Row", I64="Paraiso", I64="Hollywood"), "Hybrid", IF(OR(I64="New Queen Street", I64="Esperanca", I64="Colosseo", I64="Runasapi"), "Push", IF(OR(I64="New Junk City", I64="Suravasa", I64="Aatlis"), "Flashpoint", "")))))</f>
        <v/>
      </c>
      <c r="K64" s="7" t="n"/>
      <c r="L64" s="53" t="n"/>
      <c r="M64" s="7" t="n"/>
      <c r="N64" s="7" t="n"/>
      <c r="O64" s="44">
        <f>TEXT(E64, "yymmdd") &amp; "_" &amp; G64 &amp; "_" &amp; H64 &amp; "_S" &amp; D64</f>
        <v/>
      </c>
    </row>
    <row r="65">
      <c r="A65" s="5" t="n"/>
      <c r="B65" s="7" t="n"/>
      <c r="C65" s="7" t="n"/>
      <c r="D65" s="7" t="n"/>
      <c r="E65" s="16" t="n"/>
      <c r="F65" s="7" t="n"/>
      <c r="G65" s="7" t="n"/>
      <c r="H65" s="7" t="n"/>
      <c r="I65" s="7" t="n"/>
      <c r="J65" s="7">
        <f>IF(OR(I65="Antarctic Peninsula", I65="Nepal", I65="Lijiang Tower", I65="Busan", I65="Samoa", I65="Oasis", I65="Ilios"), "Control", IF(OR(I65="Route 66", I65="Watchpoint: Gibraltar", I65="Dorado", I65="Rialto", I65="Shambali Monastery", I65="Circuit Royal", I65="Junkertown", I65="Havana"), "Escort", IF(OR(I65="Neon Junction", I65="Numbani", I65="Midtown", I65="Blizzard World", I65="Eichenwalde", I65="King's Row", I65="Paraiso", I65="Hollywood"), "Hybrid", IF(OR(I65="New Queen Street", I65="Esperanca", I65="Colosseo", I65="Runasapi"), "Push", IF(OR(I65="New Junk City", I65="Suravasa", I65="Aatlis"), "Flashpoint", "")))))</f>
        <v/>
      </c>
      <c r="K65" s="7" t="n"/>
      <c r="L65" s="53" t="n"/>
      <c r="M65" s="7" t="n"/>
      <c r="N65" s="7" t="n"/>
      <c r="O65" s="44">
        <f>TEXT(E65, "yymmdd") &amp; "_" &amp; G65 &amp; "_" &amp; H65 &amp; "_S" &amp; D65</f>
        <v/>
      </c>
    </row>
    <row r="66">
      <c r="A66" s="5" t="n"/>
      <c r="B66" s="7" t="n"/>
      <c r="C66" s="7" t="n"/>
      <c r="D66" s="7" t="n"/>
      <c r="E66" s="16" t="n"/>
      <c r="F66" s="7" t="n"/>
      <c r="G66" s="7" t="n"/>
      <c r="H66" s="7" t="n"/>
      <c r="I66" s="7" t="n"/>
      <c r="J66" s="7">
        <f>IF(OR(I66="Antarctic Peninsula", I66="Nepal", I66="Lijiang Tower", I66="Busan", I66="Samoa", I66="Oasis", I66="Ilios"), "Control", IF(OR(I66="Route 66", I66="Watchpoint: Gibraltar", I66="Dorado", I66="Rialto", I66="Shambali Monastery", I66="Circuit Royal", I66="Junkertown", I66="Havana"), "Escort", IF(OR(I66="Neon Junction", I66="Numbani", I66="Midtown", I66="Blizzard World", I66="Eichenwalde", I66="King's Row", I66="Paraiso", I66="Hollywood"), "Hybrid", IF(OR(I66="New Queen Street", I66="Esperanca", I66="Colosseo", I66="Runasapi"), "Push", IF(OR(I66="New Junk City", I66="Suravasa", I66="Aatlis"), "Flashpoint", "")))))</f>
        <v/>
      </c>
      <c r="K66" s="7" t="n"/>
      <c r="L66" s="53" t="n"/>
      <c r="M66" s="7" t="n"/>
      <c r="N66" s="7" t="n"/>
      <c r="O66" s="44">
        <f>TEXT(E66, "yymmdd") &amp; "_" &amp; G66 &amp; "_" &amp; H66 &amp; "_S" &amp; D66</f>
        <v/>
      </c>
    </row>
    <row r="67">
      <c r="A67" s="29" t="n"/>
      <c r="B67" s="30" t="n"/>
      <c r="C67" s="30" t="n"/>
      <c r="D67" s="30" t="n"/>
      <c r="E67" s="32" t="n"/>
      <c r="F67" s="30" t="n"/>
      <c r="G67" s="30" t="n"/>
      <c r="H67" s="30" t="n"/>
      <c r="I67" s="30" t="n"/>
      <c r="J67" s="30">
        <f>IF(OR(I67="Antarctic Peninsula", I67="Nepal", I67="Lijiang Tower", I67="Busan", I67="Samoa", I67="Oasis", I67="Ilios"), "Control", IF(OR(I67="Route 66", I67="Watchpoint: Gibraltar", I67="Dorado", I67="Rialto", I67="Shambali Monastery", I67="Circuit Royal", I67="Junkertown", I67="Havana"), "Escort", IF(OR(I67="Neon Junction", I67="Numbani", I67="Midtown", I67="Blizzard World", I67="Eichenwalde", I67="King's Row", I67="Paraiso", I67="Hollywood"), "Hybrid", IF(OR(I67="New Queen Street", I67="Esperanca", I67="Colosseo", I67="Runasapi"), "Push", IF(OR(I67="New Junk City", I67="Suravasa", I67="Aatlis"), "Flashpoint", "")))))</f>
        <v/>
      </c>
      <c r="K67" s="30" t="n"/>
      <c r="L67" s="36" t="n"/>
      <c r="M67" s="30" t="n"/>
      <c r="N67" s="30" t="n"/>
      <c r="O67" s="43">
        <f>TEXT(E67, "yymmdd") &amp; "_" &amp; G67 &amp; "_" &amp; H67 &amp; "_S" &amp; D67</f>
        <v/>
      </c>
    </row>
    <row r="68">
      <c r="A68" s="29" t="n"/>
      <c r="B68" s="30" t="n"/>
      <c r="C68" s="30" t="n"/>
      <c r="D68" s="30" t="n"/>
      <c r="E68" s="32" t="n"/>
      <c r="F68" s="30" t="n"/>
      <c r="G68" s="30" t="n"/>
      <c r="H68" s="30" t="n"/>
      <c r="I68" s="30" t="n"/>
      <c r="J68" s="30">
        <f>IF(OR(I68="Antarctic Peninsula", I68="Nepal", I68="Lijiang Tower", I68="Busan", I68="Samoa", I68="Oasis", I68="Ilios"), "Control", IF(OR(I68="Route 66", I68="Watchpoint: Gibraltar", I68="Dorado", I68="Rialto", I68="Shambali Monastery", I68="Circuit Royal", I68="Junkertown", I68="Havana"), "Escort", IF(OR(I68="Neon Junction", I68="Numbani", I68="Midtown", I68="Blizzard World", I68="Eichenwalde", I68="King's Row", I68="Paraiso", I68="Hollywood"), "Hybrid", IF(OR(I68="New Queen Street", I68="Esperanca", I68="Colosseo", I68="Runasapi"), "Push", IF(OR(I68="New Junk City", I68="Suravasa", I68="Aatlis"), "Flashpoint", "")))))</f>
        <v/>
      </c>
      <c r="K68" s="30" t="n"/>
      <c r="L68" s="36" t="n"/>
      <c r="M68" s="30" t="n"/>
      <c r="N68" s="30" t="n"/>
      <c r="O68" s="43">
        <f>TEXT(E68, "yymmdd") &amp; "_" &amp; G68 &amp; "_" &amp; H68 &amp; "_S" &amp; D68</f>
        <v/>
      </c>
    </row>
    <row r="69">
      <c r="A69" s="29" t="n"/>
      <c r="B69" s="30" t="n"/>
      <c r="C69" s="30" t="n"/>
      <c r="D69" s="30" t="n"/>
      <c r="E69" s="32" t="n"/>
      <c r="F69" s="30" t="n"/>
      <c r="G69" s="30" t="n"/>
      <c r="H69" s="30" t="n"/>
      <c r="I69" s="30" t="n"/>
      <c r="J69" s="30">
        <f>IF(OR(I69="Antarctic Peninsula", I69="Nepal", I69="Lijiang Tower", I69="Busan", I69="Samoa", I69="Oasis", I69="Ilios"), "Control", IF(OR(I69="Route 66", I69="Watchpoint: Gibraltar", I69="Dorado", I69="Rialto", I69="Shambali Monastery", I69="Circuit Royal", I69="Junkertown", I69="Havana"), "Escort", IF(OR(I69="Neon Junction", I69="Numbani", I69="Midtown", I69="Blizzard World", I69="Eichenwalde", I69="King's Row", I69="Paraiso", I69="Hollywood"), "Hybrid", IF(OR(I69="New Queen Street", I69="Esperanca", I69="Colosseo", I69="Runasapi"), "Push", IF(OR(I69="New Junk City", I69="Suravasa", I69="Aatlis"), "Flashpoint", "")))))</f>
        <v/>
      </c>
      <c r="K69" s="30" t="n"/>
      <c r="L69" s="36" t="n"/>
      <c r="M69" s="30" t="n"/>
      <c r="N69" s="30" t="n"/>
      <c r="O69" s="43">
        <f>TEXT(E69, "yymmdd") &amp; "_" &amp; G69 &amp; "_" &amp; H69 &amp; "_S" &amp; D69</f>
        <v/>
      </c>
    </row>
    <row r="70">
      <c r="A70" s="29" t="n"/>
      <c r="B70" s="30" t="n"/>
      <c r="C70" s="30" t="n"/>
      <c r="D70" s="30" t="n"/>
      <c r="E70" s="32" t="n"/>
      <c r="F70" s="30" t="n"/>
      <c r="G70" s="30" t="n"/>
      <c r="H70" s="30" t="n"/>
      <c r="I70" s="30" t="n"/>
      <c r="J70" s="30">
        <f>IF(OR(I70="Antarctic Peninsula", I70="Nepal", I70="Lijiang Tower", I70="Busan", I70="Samoa", I70="Oasis", I70="Ilios"), "Control", IF(OR(I70="Route 66", I70="Watchpoint: Gibraltar", I70="Dorado", I70="Rialto", I70="Shambali Monastery", I70="Circuit Royal", I70="Junkertown", I70="Havana"), "Escort", IF(OR(I70="Neon Junction", I70="Numbani", I70="Midtown", I70="Blizzard World", I70="Eichenwalde", I70="King's Row", I70="Paraiso", I70="Hollywood"), "Hybrid", IF(OR(I70="New Queen Street", I70="Esperanca", I70="Colosseo", I70="Runasapi"), "Push", IF(OR(I70="New Junk City", I70="Suravasa", I70="Aatlis"), "Flashpoint", "")))))</f>
        <v/>
      </c>
      <c r="K70" s="30" t="n"/>
      <c r="L70" s="36" t="n"/>
      <c r="M70" s="30" t="n"/>
      <c r="N70" s="30" t="n"/>
      <c r="O70" s="43">
        <f>TEXT(E70, "yymmdd") &amp; "_" &amp; G70 &amp; "_" &amp; H70 &amp; "_S" &amp; D70</f>
        <v/>
      </c>
    </row>
    <row r="71">
      <c r="A71" s="5" t="n"/>
      <c r="B71" s="7" t="n"/>
      <c r="C71" s="7" t="n"/>
      <c r="D71" s="7" t="n"/>
      <c r="E71" s="45" t="n"/>
      <c r="F71" s="7" t="n"/>
      <c r="G71" s="7" t="n"/>
      <c r="H71" s="7" t="n"/>
      <c r="I71" s="7" t="n"/>
      <c r="J71" s="7">
        <f>IF(OR(I71="Antarctic Peninsula", I71="Nepal", I71="Lijiang Tower", I71="Busan", I71="Samoa", I71="Oasis", I71="Ilios"), "Control", IF(OR(I71="Route 66", I71="Watchpoint: Gibraltar", I71="Dorado", I71="Rialto", I71="Shambali Monastery", I71="Circuit Royal", I71="Junkertown", I71="Havana"), "Escort", IF(OR(I71="Neon Junction", I71="Numbani", I71="Midtown", I71="Blizzard World", I71="Eichenwalde", I71="King's Row", I71="Paraiso", I71="Hollywood"), "Hybrid", IF(OR(I71="New Queen Street", I71="Esperanca", I71="Colosseo", I71="Runasapi"), "Push", IF(OR(I71="New Junk City", I71="Suravasa", I71="Aatlis"), "Flashpoint", "")))))</f>
        <v/>
      </c>
      <c r="K71" s="53" t="n"/>
      <c r="L71" s="53" t="n"/>
      <c r="M71" s="7" t="n"/>
      <c r="N71" s="7" t="n"/>
      <c r="O71" s="44">
        <f>TEXT(E71, "yymmdd") &amp; "_" &amp; G71 &amp; "_" &amp; H71 &amp; "_S" &amp; D71</f>
        <v/>
      </c>
    </row>
    <row r="72">
      <c r="A72" s="5" t="n"/>
      <c r="B72" s="7" t="n"/>
      <c r="C72" s="7" t="n"/>
      <c r="D72" s="7" t="n"/>
      <c r="E72" s="45" t="n"/>
      <c r="F72" s="7" t="n"/>
      <c r="G72" s="7" t="n"/>
      <c r="H72" s="7" t="n"/>
      <c r="I72" s="7" t="n"/>
      <c r="J72" s="7">
        <f>IF(OR(I72="Antarctic Peninsula", I72="Nepal", I72="Lijiang Tower", I72="Busan", I72="Samoa", I72="Oasis", I72="Ilios"), "Control", IF(OR(I72="Route 66", I72="Watchpoint: Gibraltar", I72="Dorado", I72="Rialto", I72="Shambali Monastery", I72="Circuit Royal", I72="Junkertown", I72="Havana"), "Escort", IF(OR(I72="Neon Junction", I72="Numbani", I72="Midtown", I72="Blizzard World", I72="Eichenwalde", I72="King's Row", I72="Paraiso", I72="Hollywood"), "Hybrid", IF(OR(I72="New Queen Street", I72="Esperanca", I72="Colosseo", I72="Runasapi"), "Push", IF(OR(I72="New Junk City", I72="Suravasa", I72="Aatlis"), "Flashpoint", "")))))</f>
        <v/>
      </c>
      <c r="K72" s="53" t="n"/>
      <c r="L72" s="53" t="n"/>
      <c r="M72" s="7" t="n"/>
      <c r="N72" s="7" t="n"/>
      <c r="O72" s="44">
        <f>TEXT(E72, "yymmdd") &amp; "_" &amp; G72 &amp; "_" &amp; H72 &amp; "_S" &amp; D72</f>
        <v/>
      </c>
    </row>
    <row r="73">
      <c r="A73" s="5" t="n"/>
      <c r="B73" s="7" t="n"/>
      <c r="C73" s="7" t="n"/>
      <c r="D73" s="7" t="n"/>
      <c r="E73" s="45" t="n"/>
      <c r="F73" s="7" t="n"/>
      <c r="G73" s="7" t="n"/>
      <c r="H73" s="7" t="n"/>
      <c r="I73" s="7" t="n"/>
      <c r="J73" s="7">
        <f>IF(OR(I73="Antarctic Peninsula", I73="Nepal", I73="Lijiang Tower", I73="Busan", I73="Samoa", I73="Oasis", I73="Ilios"), "Control", IF(OR(I73="Route 66", I73="Watchpoint: Gibraltar", I73="Dorado", I73="Rialto", I73="Shambali Monastery", I73="Circuit Royal", I73="Junkertown", I73="Havana"), "Escort", IF(OR(I73="Neon Junction", I73="Numbani", I73="Midtown", I73="Blizzard World", I73="Eichenwalde", I73="King's Row", I73="Paraiso", I73="Hollywood"), "Hybrid", IF(OR(I73="New Queen Street", I73="Esperanca", I73="Colosseo", I73="Runasapi"), "Push", IF(OR(I73="New Junk City", I73="Suravasa", I73="Aatlis"), "Flashpoint", "")))))</f>
        <v/>
      </c>
      <c r="K73" s="53" t="n"/>
      <c r="L73" s="53" t="n"/>
      <c r="M73" s="7" t="n"/>
      <c r="N73" s="7" t="n"/>
      <c r="O73" s="44">
        <f>TEXT(E73, "yymmdd") &amp; "_" &amp; G73 &amp; "_" &amp; H73 &amp; "_S" &amp; D73</f>
        <v/>
      </c>
    </row>
    <row r="74">
      <c r="A74" s="5" t="n"/>
      <c r="B74" s="7" t="n"/>
      <c r="C74" s="7" t="n"/>
      <c r="D74" s="7" t="n"/>
      <c r="E74" s="45" t="n"/>
      <c r="F74" s="7" t="n"/>
      <c r="G74" s="7" t="n"/>
      <c r="H74" s="7" t="n"/>
      <c r="I74" s="7" t="n"/>
      <c r="J74" s="7">
        <f>IF(OR(I74="Antarctic Peninsula", I74="Nepal", I74="Lijiang Tower", I74="Busan", I74="Samoa", I74="Oasis", I74="Ilios"), "Control", IF(OR(I74="Route 66", I74="Watchpoint: Gibraltar", I74="Dorado", I74="Rialto", I74="Shambali Monastery", I74="Circuit Royal", I74="Junkertown", I74="Havana"), "Escort", IF(OR(I74="Neon Junction", I74="Numbani", I74="Midtown", I74="Blizzard World", I74="Eichenwalde", I74="King's Row", I74="Paraiso", I74="Hollywood"), "Hybrid", IF(OR(I74="New Queen Street", I74="Esperanca", I74="Colosseo", I74="Runasapi"), "Push", IF(OR(I74="New Junk City", I74="Suravasa", I74="Aatlis"), "Flashpoint", "")))))</f>
        <v/>
      </c>
      <c r="K74" s="53" t="n"/>
      <c r="L74" s="53" t="n"/>
      <c r="M74" s="7" t="n"/>
      <c r="N74" s="7" t="n"/>
      <c r="O74" s="44">
        <f>TEXT(E74, "yymmdd") &amp; "_" &amp; G74 &amp; "_" &amp; H74 &amp; "_S" &amp; D74</f>
        <v/>
      </c>
    </row>
    <row r="75">
      <c r="A75" s="5" t="n"/>
      <c r="B75" s="7" t="n"/>
      <c r="C75" s="7" t="n"/>
      <c r="D75" s="7" t="n"/>
      <c r="E75" s="45" t="n"/>
      <c r="F75" s="7" t="n"/>
      <c r="G75" s="7" t="n"/>
      <c r="H75" s="7" t="n"/>
      <c r="I75" s="7" t="n"/>
      <c r="J75" s="7">
        <f>IF(OR(I75="Antarctic Peninsula", I75="Nepal", I75="Lijiang Tower", I75="Busan", I75="Samoa", I75="Oasis", I75="Ilios"), "Control", IF(OR(I75="Route 66", I75="Watchpoint: Gibraltar", I75="Dorado", I75="Rialto", I75="Shambali Monastery", I75="Circuit Royal", I75="Junkertown", I75="Havana"), "Escort", IF(OR(I75="Neon Junction", I75="Numbani", I75="Midtown", I75="Blizzard World", I75="Eichenwalde", I75="King's Row", I75="Paraiso", I75="Hollywood"), "Hybrid", IF(OR(I75="New Queen Street", I75="Esperanca", I75="Colosseo", I75="Runasapi"), "Push", IF(OR(I75="New Junk City", I75="Suravasa", I75="Aatlis"), "Flashpoint", "")))))</f>
        <v/>
      </c>
      <c r="K75" s="53" t="n"/>
      <c r="L75" s="53" t="n"/>
      <c r="M75" s="7" t="n"/>
      <c r="N75" s="7" t="n"/>
      <c r="O75" s="44">
        <f>TEXT(E75, "yymmdd") &amp; "_" &amp; G75 &amp; "_" &amp; H75 &amp; "_S" &amp; D75</f>
        <v/>
      </c>
    </row>
    <row r="76">
      <c r="A76" s="29" t="n"/>
      <c r="B76" s="30" t="n"/>
      <c r="C76" s="30" t="n"/>
      <c r="D76" s="30" t="n"/>
      <c r="E76" s="46" t="n"/>
      <c r="F76" s="30" t="n"/>
      <c r="G76" s="30" t="n"/>
      <c r="H76" s="30" t="n"/>
      <c r="I76" s="30" t="n"/>
      <c r="J76" s="30">
        <f>IF(OR(I76="Antarctic Peninsula", I76="Nepal", I76="Lijiang Tower", I76="Busan", I76="Samoa", I76="Oasis", I76="Ilios"), "Control", IF(OR(I76="Route 66", I76="Watchpoint: Gibraltar", I76="Dorado", I76="Rialto", I76="Shambali Monastery", I76="Circuit Royal", I76="Junkertown", I76="Havana"), "Escort", IF(OR(I76="Neon Junction", I76="Numbani", I76="Midtown", I76="Blizzard World", I76="Eichenwalde", I76="King's Row", I76="Paraiso", I76="Hollywood"), "Hybrid", IF(OR(I76="New Queen Street", I76="Esperanca", I76="Colosseo", I76="Runasapi"), "Push", IF(OR(I76="New Junk City", I76="Suravasa", I76="Aatlis"), "Flashpoint", "")))))</f>
        <v/>
      </c>
      <c r="K76" s="36" t="n"/>
      <c r="L76" s="36" t="n"/>
      <c r="M76" s="30" t="n"/>
      <c r="N76" s="30" t="n"/>
      <c r="O76" s="43">
        <f>TEXT(E76, "yymmdd") &amp; "_" &amp; G76 &amp; "_" &amp; H76 &amp; "_S" &amp; D76</f>
        <v/>
      </c>
    </row>
    <row r="77">
      <c r="A77" s="29" t="n"/>
      <c r="B77" s="30" t="n"/>
      <c r="C77" s="30" t="n"/>
      <c r="D77" s="30" t="n"/>
      <c r="E77" s="46" t="n"/>
      <c r="F77" s="30" t="n"/>
      <c r="G77" s="30" t="n"/>
      <c r="H77" s="30" t="n"/>
      <c r="I77" s="30" t="n"/>
      <c r="J77" s="30">
        <f>IF(OR(I77="Antarctic Peninsula", I77="Nepal", I77="Lijiang Tower", I77="Busan", I77="Samoa", I77="Oasis", I77="Ilios"), "Control", IF(OR(I77="Route 66", I77="Watchpoint: Gibraltar", I77="Dorado", I77="Rialto", I77="Shambali Monastery", I77="Circuit Royal", I77="Junkertown", I77="Havana"), "Escort", IF(OR(I77="Neon Junction", I77="Numbani", I77="Midtown", I77="Blizzard World", I77="Eichenwalde", I77="King's Row", I77="Paraiso", I77="Hollywood"), "Hybrid", IF(OR(I77="New Queen Street", I77="Esperanca", I77="Colosseo", I77="Runasapi"), "Push", IF(OR(I77="New Junk City", I77="Suravasa", I77="Aatlis"), "Flashpoint", "")))))</f>
        <v/>
      </c>
      <c r="K77" s="36" t="n"/>
      <c r="L77" s="36" t="n"/>
      <c r="M77" s="30" t="n"/>
      <c r="N77" s="30" t="n"/>
      <c r="O77" s="43">
        <f>TEXT(E77, "yymmdd") &amp; "_" &amp; G77 &amp; "_" &amp; H77 &amp; "_S" &amp; D77</f>
        <v/>
      </c>
    </row>
    <row r="78">
      <c r="A78" s="29" t="n"/>
      <c r="B78" s="30" t="n"/>
      <c r="C78" s="30" t="n"/>
      <c r="D78" s="30" t="n"/>
      <c r="E78" s="46" t="n"/>
      <c r="F78" s="30" t="n"/>
      <c r="G78" s="30" t="n"/>
      <c r="H78" s="30" t="n"/>
      <c r="I78" s="30" t="n"/>
      <c r="J78" s="30">
        <f>IF(OR(I78="Antarctic Peninsula", I78="Nepal", I78="Lijiang Tower", I78="Busan", I78="Samoa", I78="Oasis", I78="Ilios"), "Control", IF(OR(I78="Route 66", I78="Watchpoint: Gibraltar", I78="Dorado", I78="Rialto", I78="Shambali Monastery", I78="Circuit Royal", I78="Junkertown", I78="Havana"), "Escort", IF(OR(I78="Neon Junction", I78="Numbani", I78="Midtown", I78="Blizzard World", I78="Eichenwalde", I78="King's Row", I78="Paraiso", I78="Hollywood"), "Hybrid", IF(OR(I78="New Queen Street", I78="Esperanca", I78="Colosseo", I78="Runasapi"), "Push", IF(OR(I78="New Junk City", I78="Suravasa", I78="Aatlis"), "Flashpoint", "")))))</f>
        <v/>
      </c>
      <c r="K78" s="36" t="n"/>
      <c r="L78" s="36" t="n"/>
      <c r="M78" s="30" t="n"/>
      <c r="N78" s="30" t="n"/>
      <c r="O78" s="43">
        <f>TEXT(E78, "yymmdd") &amp; "_" &amp; G78 &amp; "_" &amp; H78 &amp; "_S" &amp; D78</f>
        <v/>
      </c>
    </row>
    <row r="79">
      <c r="A79" s="29" t="n"/>
      <c r="B79" s="30" t="n"/>
      <c r="C79" s="30" t="n"/>
      <c r="D79" s="30" t="n"/>
      <c r="E79" s="46" t="n"/>
      <c r="F79" s="30" t="n"/>
      <c r="G79" s="30" t="n"/>
      <c r="H79" s="30" t="n"/>
      <c r="I79" s="30" t="n"/>
      <c r="J79" s="30">
        <f>IF(OR(I79="Antarctic Peninsula", I79="Nepal", I79="Lijiang Tower", I79="Busan", I79="Samoa", I79="Oasis", I79="Ilios"), "Control", IF(OR(I79="Route 66", I79="Watchpoint: Gibraltar", I79="Dorado", I79="Rialto", I79="Shambali Monastery", I79="Circuit Royal", I79="Junkertown", I79="Havana"), "Escort", IF(OR(I79="Neon Junction", I79="Numbani", I79="Midtown", I79="Blizzard World", I79="Eichenwalde", I79="King's Row", I79="Paraiso", I79="Hollywood"), "Hybrid", IF(OR(I79="New Queen Street", I79="Esperanca", I79="Colosseo", I79="Runasapi"), "Push", IF(OR(I79="New Junk City", I79="Suravasa", I79="Aatlis"), "Flashpoint", "")))))</f>
        <v/>
      </c>
      <c r="K79" s="36" t="n"/>
      <c r="L79" s="36" t="n"/>
      <c r="M79" s="30" t="n"/>
      <c r="N79" s="30" t="n"/>
      <c r="O79" s="43">
        <f>TEXT(E79, "yymmdd") &amp; "_" &amp; G79 &amp; "_" &amp; H79 &amp; "_S" &amp; D79</f>
        <v/>
      </c>
    </row>
    <row r="80">
      <c r="A80" s="29" t="n"/>
      <c r="B80" s="30" t="n"/>
      <c r="C80" s="30" t="n"/>
      <c r="D80" s="30" t="n"/>
      <c r="E80" s="46" t="n"/>
      <c r="F80" s="30" t="n"/>
      <c r="G80" s="30" t="n"/>
      <c r="H80" s="30" t="n"/>
      <c r="I80" s="30" t="n"/>
      <c r="J80" s="30">
        <f>IF(OR(I80="Antarctic Peninsula", I80="Nepal", I80="Lijiang Tower", I80="Busan", I80="Samoa", I80="Oasis", I80="Ilios"), "Control", IF(OR(I80="Route 66", I80="Watchpoint: Gibraltar", I80="Dorado", I80="Rialto", I80="Shambali Monastery", I80="Circuit Royal", I80="Junkertown", I80="Havana"), "Escort", IF(OR(I80="Neon Junction", I80="Numbani", I80="Midtown", I80="Blizzard World", I80="Eichenwalde", I80="King's Row", I80="Paraiso", I80="Hollywood"), "Hybrid", IF(OR(I80="New Queen Street", I80="Esperanca", I80="Colosseo", I80="Runasapi"), "Push", IF(OR(I80="New Junk City", I80="Suravasa", I80="Aatlis"), "Flashpoint", "")))))</f>
        <v/>
      </c>
      <c r="K80" s="36" t="n"/>
      <c r="L80" s="36" t="n"/>
      <c r="M80" s="30" t="n"/>
      <c r="N80" s="30" t="n"/>
      <c r="O80" s="43">
        <f>TEXT(E80, "yymmdd") &amp; "_" &amp; G80 &amp; "_" &amp; H80 &amp; "_S" &amp; D80</f>
        <v/>
      </c>
    </row>
    <row r="81">
      <c r="A81" s="13" t="n"/>
      <c r="B81" s="15" t="n"/>
      <c r="C81" s="0" t="n"/>
      <c r="D81" s="15" t="n"/>
      <c r="E81" s="18" t="n"/>
      <c r="F81" s="42" t="n"/>
      <c r="G81" s="15" t="n"/>
      <c r="H81" s="15" t="n"/>
      <c r="I81" s="15" t="n"/>
      <c r="J81" s="15">
        <f>IF(OR(I81="Antarctic Peninsula", I81="Nepal", I81="Lijiang Tower", I81="Busan", I81="Samoa", I81="Oasis", I81="Ilios"), "Control", IF(OR(I81="Route 66", I81="Watchpoint: Gibraltar", I81="Dorado", I81="Rialto", I81="Shambali Monastery", I81="Circuit Royal", I81="Junkertown", I81="Havana"), "Escort", IF(OR(I81="Neon Junction", I81="Numbani", I81="Midtown", I81="Blizzard World", I81="Eichenwalde", I81="King's Row", I81="Paraiso", I81="Hollywood"), "Hybrid", IF(OR(I81="New Queen Street", I81="Esperanca", I81="Colosseo", I81="Runasapi"), "Push", IF(OR(I81="New Junk City", I81="Suravasa", I81="Aatlis"), "Flashpoint", "")))))</f>
        <v/>
      </c>
      <c r="L81" s="19" t="n"/>
      <c r="M81" s="15" t="n"/>
      <c r="N81" s="15" t="n"/>
      <c r="O81" s="2">
        <f>TEXT(E81, "yymmdd") &amp; "_" &amp; G81 &amp; "_" &amp; H81 &amp; "_S" &amp; D81</f>
        <v/>
      </c>
    </row>
    <row r="82">
      <c r="A82" s="13" t="n"/>
      <c r="B82" s="15" t="n"/>
      <c r="C82" s="0" t="n"/>
      <c r="D82" s="15" t="n"/>
      <c r="E82" s="18" t="n"/>
      <c r="F82" s="7" t="n"/>
      <c r="G82" s="15" t="n"/>
      <c r="H82" s="15" t="n"/>
      <c r="I82" s="15" t="n"/>
      <c r="J82" s="15">
        <f>IF(OR(I82="Antarctic Peninsula", I82="Nepal", I82="Lijiang Tower", I82="Busan", I82="Samoa", I82="Oasis", I82="Ilios"), "Control", IF(OR(I82="Route 66", I82="Watchpoint: Gibraltar", I82="Dorado", I82="Rialto", I82="Shambali Monastery", I82="Circuit Royal", I82="Junkertown", I82="Havana"), "Escort", IF(OR(I82="Neon Junction", I82="Numbani", I82="Midtown", I82="Blizzard World", I82="Eichenwalde", I82="King's Row", I82="Paraiso", I82="Hollywood"), "Hybrid", IF(OR(I82="New Queen Street", I82="Esperanca", I82="Colosseo", I82="Runasapi"), "Push", IF(OR(I82="New Junk City", I82="Suravasa", I82="Aatlis"), "Flashpoint", "")))))</f>
        <v/>
      </c>
      <c r="L82" s="19" t="n"/>
      <c r="M82" s="15" t="n"/>
      <c r="N82" s="15" t="n"/>
      <c r="O82" s="2">
        <f>TEXT(E82, "yymmdd") &amp; "_" &amp; G82 &amp; "_" &amp; H82 &amp; "_S" &amp; D82</f>
        <v/>
      </c>
    </row>
    <row r="83">
      <c r="A83" s="13" t="n"/>
      <c r="B83" s="15" t="n"/>
      <c r="C83" s="0" t="n"/>
      <c r="D83" s="15" t="n"/>
      <c r="E83" s="18" t="n"/>
      <c r="F83" s="7" t="n"/>
      <c r="G83" s="15" t="n"/>
      <c r="H83" s="15" t="n"/>
      <c r="I83" s="15" t="n"/>
      <c r="J83" s="15">
        <f>IF(OR(I83="Antarctic Peninsula", I83="Nepal", I83="Lijiang Tower", I83="Busan", I83="Samoa", I83="Oasis", I83="Ilios"), "Control", IF(OR(I83="Route 66", I83="Watchpoint: Gibraltar", I83="Dorado", I83="Rialto", I83="Shambali Monastery", I83="Circuit Royal", I83="Junkertown", I83="Havana"), "Escort", IF(OR(I83="Neon Junction", I83="Numbani", I83="Midtown", I83="Blizzard World", I83="Eichenwalde", I83="King's Row", I83="Paraiso", I83="Hollywood"), "Hybrid", IF(OR(I83="New Queen Street", I83="Esperanca", I83="Colosseo", I83="Runasapi"), "Push", IF(OR(I83="New Junk City", I83="Suravasa", I83="Aatlis"), "Flashpoint", "")))))</f>
        <v/>
      </c>
      <c r="L83" s="19" t="n"/>
      <c r="M83" s="15" t="n"/>
      <c r="N83" s="15" t="n"/>
      <c r="O83" s="2">
        <f>TEXT(E83, "yymmdd") &amp; "_" &amp; G83 &amp; "_" &amp; H83 &amp; "_S" &amp; D83</f>
        <v/>
      </c>
    </row>
    <row r="84">
      <c r="A84" s="37" t="n"/>
      <c r="B84" s="31" t="n"/>
      <c r="C84" s="38" t="n"/>
      <c r="D84" s="40" t="n"/>
      <c r="E84" s="39" t="n"/>
      <c r="F84" s="31" t="n"/>
      <c r="G84" s="31" t="n"/>
      <c r="H84" s="31" t="n"/>
      <c r="I84" s="31" t="n"/>
      <c r="J84" s="31">
        <f>IF(OR(I84="Antarctic Peninsula", I84="Nepal", I84="Lijiang Tower", I84="Busan", I84="Samoa", I84="Oasis", I84="Ilios"), "Control", IF(OR(I84="Route 66", I84="Watchpoint: Gibraltar", I84="Dorado", I84="Rialto", I84="Shambali Monastery", I84="Circuit Royal", I84="Junkertown", I84="Havana"), "Escort", IF(OR(I84="Neon Junction", I84="Numbani", I84="Midtown", I84="Blizzard World", I84="Eichenwalde", I84="King's Row", I84="Paraiso", I84="Hollywood"), "Hybrid", IF(OR(I84="New Queen Street", I84="Esperanca", I84="Colosseo", I84="Runasapi"), "Push", IF(OR(I84="New Junk City", I84="Suravasa", I84="Aatlis"), "Flashpoint", "")))))</f>
        <v/>
      </c>
      <c r="K84" s="40" t="n"/>
      <c r="L84" s="41" t="n"/>
      <c r="M84" s="31" t="n"/>
      <c r="N84" s="31" t="n"/>
      <c r="O84" s="33">
        <f>TEXT(E84, "yymmdd") &amp; "_" &amp; G84 &amp; "_" &amp; H84 &amp; "_S" &amp; D84</f>
        <v/>
      </c>
    </row>
    <row r="85">
      <c r="A85" s="37" t="n"/>
      <c r="B85" s="31" t="n"/>
      <c r="C85" s="38" t="n"/>
      <c r="D85" s="38" t="n"/>
      <c r="E85" s="39" t="n"/>
      <c r="F85" s="31" t="n"/>
      <c r="G85" s="31" t="n"/>
      <c r="H85" s="31" t="n"/>
      <c r="I85" s="31" t="n"/>
      <c r="J85" s="31">
        <f>IF(OR(I85="Antarctic Peninsula", I85="Nepal", I85="Lijiang Tower", I85="Busan", I85="Samoa", I85="Oasis", I85="Ilios"), "Control", IF(OR(I85="Route 66", I85="Watchpoint: Gibraltar", I85="Dorado", I85="Rialto", I85="Shambali Monastery", I85="Circuit Royal", I85="Junkertown", I85="Havana"), "Escort", IF(OR(I85="Neon Junction", I85="Numbani", I85="Midtown", I85="Blizzard World", I85="Eichenwalde", I85="King's Row", I85="Paraiso", I85="Hollywood"), "Hybrid", IF(OR(I85="New Queen Street", I85="Esperanca", I85="Colosseo", I85="Runasapi"), "Push", IF(OR(I85="New Junk City", I85="Suravasa", I85="Aatlis"), "Flashpoint", "")))))</f>
        <v/>
      </c>
      <c r="K85" s="40" t="n"/>
      <c r="L85" s="41" t="n"/>
      <c r="M85" s="31" t="n"/>
      <c r="N85" s="31" t="n"/>
      <c r="O85" s="33">
        <f>TEXT(E85, "yymmdd") &amp; "_" &amp; G85 &amp; "_" &amp; H85 &amp; "_S" &amp; D85</f>
        <v/>
      </c>
    </row>
    <row r="86">
      <c r="A86" s="37" t="n"/>
      <c r="B86" s="31" t="n"/>
      <c r="C86" s="38" t="n"/>
      <c r="D86" s="38" t="n"/>
      <c r="E86" s="39" t="n"/>
      <c r="F86" s="31" t="n"/>
      <c r="G86" s="31" t="n"/>
      <c r="H86" s="31" t="n"/>
      <c r="I86" s="31" t="n"/>
      <c r="J86" s="31">
        <f>IF(OR(I86="Antarctic Peninsula", I86="Nepal", I86="Lijiang Tower", I86="Busan", I86="Samoa", I86="Oasis", I86="Ilios"), "Control", IF(OR(I86="Route 66", I86="Watchpoint: Gibraltar", I86="Dorado", I86="Rialto", I86="Shambali Monastery", I86="Circuit Royal", I86="Junkertown", I86="Havana"), "Escort", IF(OR(I86="Neon Junction", I86="Numbani", I86="Midtown", I86="Blizzard World", I86="Eichenwalde", I86="King's Row", I86="Paraiso", I86="Hollywood"), "Hybrid", IF(OR(I86="New Queen Street", I86="Esperanca", I86="Colosseo", I86="Runasapi"), "Push", IF(OR(I86="New Junk City", I86="Suravasa", I86="Aatlis"), "Flashpoint", "")))))</f>
        <v/>
      </c>
      <c r="K86" s="40" t="n"/>
      <c r="L86" s="41" t="n"/>
      <c r="M86" s="31" t="n"/>
      <c r="N86" s="31" t="n"/>
      <c r="O86" s="33">
        <f>TEXT(E86, "yymmdd") &amp; "_" &amp; G86 &amp; "_" &amp; H86 &amp; "_S" &amp; D86</f>
        <v/>
      </c>
    </row>
    <row r="87">
      <c r="A87" s="13" t="n"/>
      <c r="B87" s="15" t="n"/>
      <c r="C87" s="0" t="n"/>
      <c r="D87" s="0" t="n"/>
      <c r="E87" s="18" t="n"/>
      <c r="F87" s="15" t="n"/>
      <c r="G87" s="15" t="n"/>
      <c r="H87" s="15" t="n"/>
      <c r="I87" s="15" t="n"/>
      <c r="J87" s="15">
        <f>IF(OR(I87="Antarctic Peninsula", I87="Nepal", I87="Lijiang Tower", I87="Busan", I87="Samoa", I87="Oasis", I87="Ilios"), "Control", IF(OR(I87="Route 66", I87="Watchpoint: Gibraltar", I87="Dorado", I87="Rialto", I87="Shambali Monastery", I87="Circuit Royal", I87="Junkertown", I87="Havana"), "Escort", IF(OR(I87="Neon Junction", I87="Numbani", I87="Midtown", I87="Blizzard World", I87="Eichenwalde", I87="King's Row", I87="Paraiso", I87="Hollywood"), "Hybrid", IF(OR(I87="New Queen Street", I87="Esperanca", I87="Colosseo", I87="Runasapi"), "Push", IF(OR(I87="New Junk City", I87="Suravasa", I87="Aatlis"), "Flashpoint", "")))))</f>
        <v/>
      </c>
      <c r="L87" s="19" t="n"/>
      <c r="M87" s="15" t="n"/>
      <c r="N87" s="15" t="n"/>
      <c r="O87" s="2">
        <f>TEXT(E87, "yymmdd") &amp; "_" &amp; G87 &amp; "_" &amp; H87 &amp; "_S" &amp; D87</f>
        <v/>
      </c>
    </row>
    <row r="88">
      <c r="A88" s="13" t="n"/>
      <c r="B88" s="15" t="n"/>
      <c r="C88" s="0" t="n"/>
      <c r="D88" s="0" t="n"/>
      <c r="E88" s="18" t="n"/>
      <c r="F88" s="15" t="n"/>
      <c r="G88" s="15" t="n"/>
      <c r="H88" s="15" t="n"/>
      <c r="I88" s="15" t="n"/>
      <c r="J88" s="15">
        <f>IF(OR(I88="Antarctic Peninsula", I88="Nepal", I88="Lijiang Tower", I88="Busan", I88="Samoa", I88="Oasis", I88="Ilios"), "Control", IF(OR(I88="Route 66", I88="Watchpoint: Gibraltar", I88="Dorado", I88="Rialto", I88="Shambali Monastery", I88="Circuit Royal", I88="Junkertown", I88="Havana"), "Escort", IF(OR(I88="Neon Junction", I88="Numbani", I88="Midtown", I88="Blizzard World", I88="Eichenwalde", I88="King's Row", I88="Paraiso", I88="Hollywood"), "Hybrid", IF(OR(I88="New Queen Street", I88="Esperanca", I88="Colosseo", I88="Runasapi"), "Push", IF(OR(I88="New Junk City", I88="Suravasa", I88="Aatlis"), "Flashpoint", "")))))</f>
        <v/>
      </c>
      <c r="L88" s="19" t="n"/>
      <c r="M88" s="15" t="n"/>
      <c r="N88" s="15" t="n"/>
      <c r="O88" s="2">
        <f>TEXT(E88, "yymmdd") &amp; "_" &amp; G88 &amp; "_" &amp; H88 &amp; "_S" &amp; D88</f>
        <v/>
      </c>
    </row>
    <row r="89">
      <c r="A89" s="13" t="n"/>
      <c r="B89" s="15" t="n"/>
      <c r="C89" s="0" t="n"/>
      <c r="D89" s="0" t="n"/>
      <c r="E89" s="18" t="n"/>
      <c r="F89" s="15" t="n"/>
      <c r="G89" s="15" t="n"/>
      <c r="H89" s="15" t="n"/>
      <c r="I89" s="15" t="n"/>
      <c r="J89" s="15">
        <f>IF(OR(I89="Antarctic Peninsula", I89="Nepal", I89="Lijiang Tower", I89="Busan", I89="Samoa", I89="Oasis", I89="Ilios"), "Control", IF(OR(I89="Route 66", I89="Watchpoint: Gibraltar", I89="Dorado", I89="Rialto", I89="Shambali Monastery", I89="Circuit Royal", I89="Junkertown", I89="Havana"), "Escort", IF(OR(I89="Neon Junction", I89="Numbani", I89="Midtown", I89="Blizzard World", I89="Eichenwalde", I89="King's Row", I89="Paraiso", I89="Hollywood"), "Hybrid", IF(OR(I89="New Queen Street", I89="Esperanca", I89="Colosseo", I89="Runasapi"), "Push", IF(OR(I89="New Junk City", I89="Suravasa", I89="Aatlis"), "Flashpoint", "")))))</f>
        <v/>
      </c>
      <c r="L89" s="19" t="n"/>
      <c r="M89" s="15" t="n"/>
      <c r="N89" s="15" t="n"/>
      <c r="O89" s="2">
        <f>TEXT(E89, "yymmdd") &amp; "_" &amp; G89 &amp; "_" &amp; H89 &amp; "_S" &amp; D89</f>
        <v/>
      </c>
    </row>
    <row r="90">
      <c r="A90" s="13" t="n"/>
      <c r="B90" s="15" t="n"/>
      <c r="C90" s="0" t="n"/>
      <c r="D90" s="0" t="n"/>
      <c r="E90" s="18" t="n"/>
      <c r="F90" s="15" t="n"/>
      <c r="G90" s="15" t="n"/>
      <c r="H90" s="15" t="n"/>
      <c r="I90" s="15" t="n"/>
      <c r="J90" s="15">
        <f>IF(OR(I90="Antarctic Peninsula", I90="Nepal", I90="Lijiang Tower", I90="Busan", I90="Samoa", I90="Oasis", I90="Ilios"), "Control", IF(OR(I90="Route 66", I90="Watchpoint: Gibraltar", I90="Dorado", I90="Rialto", I90="Shambali Monastery", I90="Circuit Royal", I90="Junkertown", I90="Havana"), "Escort", IF(OR(I90="Neon Junction", I90="Numbani", I90="Midtown", I90="Blizzard World", I90="Eichenwalde", I90="King's Row", I90="Paraiso", I90="Hollywood"), "Hybrid", IF(OR(I90="New Queen Street", I90="Esperanca", I90="Colosseo", I90="Runasapi"), "Push", IF(OR(I90="New Junk City", I90="Suravasa", I90="Aatlis"), "Flashpoint", "")))))</f>
        <v/>
      </c>
      <c r="L90" s="19" t="n"/>
      <c r="M90" s="15" t="n"/>
      <c r="N90" s="15" t="n"/>
      <c r="O90" s="2">
        <f>TEXT(E90, "yymmdd") &amp; "_" &amp; G90 &amp; "_" &amp; H90 &amp; "_S" &amp; D90</f>
        <v/>
      </c>
    </row>
    <row r="91">
      <c r="A91" s="37" t="n"/>
      <c r="B91" s="31" t="n"/>
      <c r="C91" s="38" t="n"/>
      <c r="D91" s="38" t="n"/>
      <c r="E91" s="39" t="n"/>
      <c r="F91" s="31" t="n"/>
      <c r="G91" s="31" t="n"/>
      <c r="H91" s="31" t="n"/>
      <c r="I91" s="31" t="n"/>
      <c r="J91" s="31">
        <f>IF(OR(I91="Antarctic Peninsula", I91="Nepal", I91="Lijiang Tower", I91="Busan", I91="Samoa", I91="Oasis", I91="Ilios"), "Control", IF(OR(I91="Route 66", I91="Watchpoint: Gibraltar", I91="Dorado", I91="Rialto", I91="Shambali Monastery", I91="Circuit Royal", I91="Junkertown", I91="Havana"), "Escort", IF(OR(I91="Neon Junction", I91="Numbani", I91="Midtown", I91="Blizzard World", I91="Eichenwalde", I91="King's Row", I91="Paraiso", I91="Hollywood"), "Hybrid", IF(OR(I91="New Queen Street", I91="Esperanca", I91="Colosseo", I91="Runasapi"), "Push", IF(OR(I91="New Junk City", I91="Suravasa", I91="Aatlis"), "Flashpoint", "")))))</f>
        <v/>
      </c>
      <c r="K91" s="40" t="n"/>
      <c r="L91" s="41" t="n"/>
      <c r="M91" s="31" t="n"/>
      <c r="N91" s="31" t="n"/>
      <c r="O91" s="33">
        <f>TEXT(E91, "yymmdd") &amp; "_" &amp; G91 &amp; "_" &amp; H91 &amp; "_S" &amp; D91</f>
        <v/>
      </c>
    </row>
    <row r="92">
      <c r="A92" s="37" t="n"/>
      <c r="B92" s="31" t="n"/>
      <c r="C92" s="38" t="n"/>
      <c r="D92" s="38" t="n"/>
      <c r="E92" s="39" t="n"/>
      <c r="F92" s="31" t="n"/>
      <c r="G92" s="31" t="n"/>
      <c r="H92" s="31" t="n"/>
      <c r="I92" s="31" t="n"/>
      <c r="J92" s="31">
        <f>IF(OR(I92="Antarctic Peninsula", I92="Nepal", I92="Lijiang Tower", I92="Busan", I92="Samoa", I92="Oasis", I92="Ilios"), "Control", IF(OR(I92="Route 66", I92="Watchpoint: Gibraltar", I92="Dorado", I92="Rialto", I92="Shambali Monastery", I92="Circuit Royal", I92="Junkertown", I92="Havana"), "Escort", IF(OR(I92="Neon Junction", I92="Numbani", I92="Midtown", I92="Blizzard World", I92="Eichenwalde", I92="King's Row", I92="Paraiso", I92="Hollywood"), "Hybrid", IF(OR(I92="New Queen Street", I92="Esperanca", I92="Colosseo", I92="Runasapi"), "Push", IF(OR(I92="New Junk City", I92="Suravasa", I92="Aatlis"), "Flashpoint", "")))))</f>
        <v/>
      </c>
      <c r="K92" s="40" t="n"/>
      <c r="L92" s="41" t="n"/>
      <c r="M92" s="31" t="n"/>
      <c r="N92" s="31" t="n"/>
      <c r="O92" s="33">
        <f>TEXT(E92, "yymmdd") &amp; "_" &amp; G92 &amp; "_" &amp; H92 &amp; "_S" &amp; D92</f>
        <v/>
      </c>
    </row>
    <row r="93">
      <c r="A93" s="37" t="n"/>
      <c r="B93" s="31" t="n"/>
      <c r="C93" s="38" t="n"/>
      <c r="D93" s="38" t="n"/>
      <c r="E93" s="39" t="n"/>
      <c r="F93" s="31" t="n"/>
      <c r="G93" s="31" t="n"/>
      <c r="H93" s="31" t="n"/>
      <c r="I93" s="31" t="n"/>
      <c r="J93" s="31">
        <f>IF(OR(I93="Antarctic Peninsula", I93="Nepal", I93="Lijiang Tower", I93="Busan", I93="Samoa", I93="Oasis", I93="Ilios"), "Control", IF(OR(I93="Route 66", I93="Watchpoint: Gibraltar", I93="Dorado", I93="Rialto", I93="Shambali Monastery", I93="Circuit Royal", I93="Junkertown", I93="Havana"), "Escort", IF(OR(I93="Neon Junction", I93="Numbani", I93="Midtown", I93="Blizzard World", I93="Eichenwalde", I93="King's Row", I93="Paraiso", I93="Hollywood"), "Hybrid", IF(OR(I93="New Queen Street", I93="Esperanca", I93="Colosseo", I93="Runasapi"), "Push", IF(OR(I93="New Junk City", I93="Suravasa", I93="Aatlis"), "Flashpoint", "")))))</f>
        <v/>
      </c>
      <c r="K93" s="40" t="n"/>
      <c r="L93" s="41" t="n"/>
      <c r="M93" s="31" t="n"/>
      <c r="N93" s="31" t="n"/>
      <c r="O93" s="33">
        <f>TEXT(E93, "yymmdd") &amp; "_" &amp; G93 &amp; "_" &amp; H93 &amp; "_S" &amp; D93</f>
        <v/>
      </c>
    </row>
    <row r="94">
      <c r="A94" s="13" t="n"/>
      <c r="B94" s="15" t="n"/>
      <c r="C94" s="0" t="n"/>
      <c r="D94" s="0" t="n"/>
      <c r="E94" s="18" t="n"/>
      <c r="F94" s="15" t="n"/>
      <c r="G94" s="15" t="n"/>
      <c r="H94" s="15" t="n"/>
      <c r="I94" s="15" t="n"/>
      <c r="J94" s="15">
        <f>IF(OR(I94="Antarctic Peninsula", I94="Nepal", I94="Lijiang Tower", I94="Busan", I94="Samoa", I94="Oasis", I94="Ilios"), "Control", IF(OR(I94="Route 66", I94="Watchpoint: Gibraltar", I94="Dorado", I94="Rialto", I94="Shambali Monastery", I94="Circuit Royal", I94="Junkertown", I94="Havana"), "Escort", IF(OR(I94="Neon Junction", I94="Numbani", I94="Midtown", I94="Blizzard World", I94="Eichenwalde", I94="King's Row", I94="Paraiso", I94="Hollywood"), "Hybrid", IF(OR(I94="New Queen Street", I94="Esperanca", I94="Colosseo", I94="Runasapi"), "Push", IF(OR(I94="New Junk City", I94="Suravasa", I94="Aatlis"), "Flashpoint", "")))))</f>
        <v/>
      </c>
      <c r="L94" s="19" t="n"/>
      <c r="M94" s="15" t="n"/>
      <c r="N94" s="15" t="n"/>
      <c r="O94" s="2">
        <f>TEXT(E94, "yymmdd") &amp; "_" &amp; G94 &amp; "_" &amp; H94 &amp; "_S" &amp; D94</f>
        <v/>
      </c>
    </row>
    <row r="95">
      <c r="A95" s="13" t="n"/>
      <c r="B95" s="15" t="n"/>
      <c r="C95" s="0" t="n"/>
      <c r="D95" s="0" t="n"/>
      <c r="E95" s="18" t="n"/>
      <c r="F95" s="15" t="n"/>
      <c r="G95" s="15" t="n"/>
      <c r="H95" s="15" t="n"/>
      <c r="I95" s="15" t="n"/>
      <c r="J95" s="15">
        <f>IF(OR(I95="Antarctic Peninsula", I95="Nepal", I95="Lijiang Tower", I95="Busan", I95="Samoa", I95="Oasis", I95="Ilios"), "Control", IF(OR(I95="Route 66", I95="Watchpoint: Gibraltar", I95="Dorado", I95="Rialto", I95="Shambali Monastery", I95="Circuit Royal", I95="Junkertown", I95="Havana"), "Escort", IF(OR(I95="Neon Junction", I95="Numbani", I95="Midtown", I95="Blizzard World", I95="Eichenwalde", I95="King's Row", I95="Paraiso", I95="Hollywood"), "Hybrid", IF(OR(I95="New Queen Street", I95="Esperanca", I95="Colosseo", I95="Runasapi"), "Push", IF(OR(I95="New Junk City", I95="Suravasa", I95="Aatlis"), "Flashpoint", "")))))</f>
        <v/>
      </c>
      <c r="L95" s="19" t="n"/>
      <c r="M95" s="15" t="n"/>
      <c r="N95" s="15" t="n"/>
      <c r="O95" s="2">
        <f>TEXT(E95, "yymmdd") &amp; "_" &amp; G95 &amp; "_" &amp; H95 &amp; "_S" &amp; D95</f>
        <v/>
      </c>
    </row>
    <row r="96">
      <c r="A96" s="13" t="n"/>
      <c r="B96" s="15" t="n"/>
      <c r="C96" s="0" t="n"/>
      <c r="D96" s="0" t="n"/>
      <c r="E96" s="18" t="n"/>
      <c r="F96" s="15" t="n"/>
      <c r="G96" s="15" t="n"/>
      <c r="H96" s="15" t="n"/>
      <c r="I96" s="15" t="n"/>
      <c r="J96" s="15">
        <f>IF(OR(I96="Antarctic Peninsula", I96="Nepal", I96="Lijiang Tower", I96="Busan", I96="Samoa", I96="Oasis", I96="Ilios"), "Control", IF(OR(I96="Route 66", I96="Watchpoint: Gibraltar", I96="Dorado", I96="Rialto", I96="Shambali Monastery", I96="Circuit Royal", I96="Junkertown", I96="Havana"), "Escort", IF(OR(I96="Neon Junction", I96="Numbani", I96="Midtown", I96="Blizzard World", I96="Eichenwalde", I96="King's Row", I96="Paraiso", I96="Hollywood"), "Hybrid", IF(OR(I96="New Queen Street", I96="Esperanca", I96="Colosseo", I96="Runasapi"), "Push", IF(OR(I96="New Junk City", I96="Suravasa", I96="Aatlis"), "Flashpoint", "")))))</f>
        <v/>
      </c>
      <c r="L96" s="19" t="n"/>
      <c r="M96" s="15" t="n"/>
      <c r="N96" s="15" t="n"/>
      <c r="O96" s="2">
        <f>TEXT(E96, "yymmdd") &amp; "_" &amp; G96 &amp; "_" &amp; H96 &amp; "_S" &amp; D96</f>
        <v/>
      </c>
    </row>
    <row r="97">
      <c r="A97" s="13" t="n"/>
      <c r="B97" s="15" t="n"/>
      <c r="C97" s="0" t="n"/>
      <c r="D97" s="0" t="n"/>
      <c r="E97" s="18" t="n"/>
      <c r="F97" s="15" t="n"/>
      <c r="G97" s="15" t="n"/>
      <c r="H97" s="15" t="n"/>
      <c r="I97" s="15" t="n"/>
      <c r="J97" s="15">
        <f>IF(OR(I97="Antarctic Peninsula", I97="Nepal", I97="Lijiang Tower", I97="Busan", I97="Samoa", I97="Oasis", I97="Ilios"), "Control", IF(OR(I97="Route 66", I97="Watchpoint: Gibraltar", I97="Dorado", I97="Rialto", I97="Shambali Monastery", I97="Circuit Royal", I97="Junkertown", I97="Havana"), "Escort", IF(OR(I97="Neon Junction", I97="Numbani", I97="Midtown", I97="Blizzard World", I97="Eichenwalde", I97="King's Row", I97="Paraiso", I97="Hollywood"), "Hybrid", IF(OR(I97="New Queen Street", I97="Esperanca", I97="Colosseo", I97="Runasapi"), "Push", IF(OR(I97="New Junk City", I97="Suravasa", I97="Aatlis"), "Flashpoint", "")))))</f>
        <v/>
      </c>
      <c r="L97" s="19" t="n"/>
      <c r="M97" s="15" t="n"/>
      <c r="N97" s="15" t="n"/>
      <c r="O97" s="2">
        <f>TEXT(E97, "yymmdd") &amp; "_" &amp; G97 &amp; "_" &amp; H97 &amp; "_S" &amp; D97</f>
        <v/>
      </c>
    </row>
    <row r="98">
      <c r="A98" s="37" t="n"/>
      <c r="B98" s="31" t="n"/>
      <c r="C98" s="38" t="n"/>
      <c r="D98" s="38" t="n"/>
      <c r="E98" s="39" t="n"/>
      <c r="F98" s="31" t="n"/>
      <c r="G98" s="31" t="n"/>
      <c r="H98" s="31" t="n"/>
      <c r="I98" s="31" t="n"/>
      <c r="J98" s="31">
        <f>IF(OR(I98="Antarctic Peninsula", I98="Nepal", I98="Lijiang Tower", I98="Busan", I98="Samoa", I98="Oasis", I98="Ilios"), "Control", IF(OR(I98="Route 66", I98="Watchpoint: Gibraltar", I98="Dorado", I98="Rialto", I98="Shambali Monastery", I98="Circuit Royal", I98="Junkertown", I98="Havana"), "Escort", IF(OR(I98="Neon Junction", I98="Numbani", I98="Midtown", I98="Blizzard World", I98="Eichenwalde", I98="King's Row", I98="Paraiso", I98="Hollywood"), "Hybrid", IF(OR(I98="New Queen Street", I98="Esperanca", I98="Colosseo", I98="Runasapi"), "Push", IF(OR(I98="New Junk City", I98="Suravasa", I98="Aatlis"), "Flashpoint", "")))))</f>
        <v/>
      </c>
      <c r="K98" s="40" t="n"/>
      <c r="L98" s="41" t="n"/>
      <c r="M98" s="31" t="n"/>
      <c r="N98" s="31" t="n"/>
      <c r="O98" s="33">
        <f>TEXT(E98, "yymmdd") &amp; "_" &amp; G98 &amp; "_" &amp; H98 &amp; "_S" &amp; D98</f>
        <v/>
      </c>
    </row>
    <row r="99">
      <c r="A99" s="37" t="n"/>
      <c r="B99" s="31" t="n"/>
      <c r="C99" s="38" t="n"/>
      <c r="D99" s="38" t="n"/>
      <c r="E99" s="39" t="n"/>
      <c r="F99" s="31" t="n"/>
      <c r="G99" s="31" t="n"/>
      <c r="H99" s="31" t="n"/>
      <c r="I99" s="31" t="n"/>
      <c r="J99" s="31">
        <f>IF(OR(I99="Antarctic Peninsula", I99="Nepal", I99="Lijiang Tower", I99="Busan", I99="Samoa", I99="Oasis", I99="Ilios"), "Control", IF(OR(I99="Route 66", I99="Watchpoint: Gibraltar", I99="Dorado", I99="Rialto", I99="Shambali Monastery", I99="Circuit Royal", I99="Junkertown", I99="Havana"), "Escort", IF(OR(I99="Neon Junction", I99="Numbani", I99="Midtown", I99="Blizzard World", I99="Eichenwalde", I99="King's Row", I99="Paraiso", I99="Hollywood"), "Hybrid", IF(OR(I99="New Queen Street", I99="Esperanca", I99="Colosseo", I99="Runasapi"), "Push", IF(OR(I99="New Junk City", I99="Suravasa", I99="Aatlis"), "Flashpoint", "")))))</f>
        <v/>
      </c>
      <c r="K99" s="40" t="n"/>
      <c r="L99" s="41" t="n"/>
      <c r="M99" s="31" t="n"/>
      <c r="N99" s="31" t="n"/>
      <c r="O99" s="33">
        <f>TEXT(E99, "yymmdd") &amp; "_" &amp; G99 &amp; "_" &amp; H99 &amp; "_S" &amp; D99</f>
        <v/>
      </c>
    </row>
    <row r="100">
      <c r="A100" s="37" t="n"/>
      <c r="B100" s="31" t="n"/>
      <c r="C100" s="38" t="n"/>
      <c r="D100" s="38" t="n"/>
      <c r="E100" s="39" t="n"/>
      <c r="F100" s="31" t="n"/>
      <c r="G100" s="31" t="n"/>
      <c r="H100" s="31" t="n"/>
      <c r="I100" s="31" t="n"/>
      <c r="J100" s="31">
        <f>IF(OR(I100="Antarctic Peninsula", I100="Nepal", I100="Lijiang Tower", I100="Busan", I100="Samoa", I100="Oasis", I100="Ilios"), "Control", IF(OR(I100="Route 66", I100="Watchpoint: Gibraltar", I100="Dorado", I100="Rialto", I100="Shambali Monastery", I100="Circuit Royal", I100="Junkertown", I100="Havana"), "Escort", IF(OR(I100="Neon Junction", I100="Numbani", I100="Midtown", I100="Blizzard World", I100="Eichenwalde", I100="King's Row", I100="Paraiso", I100="Hollywood"), "Hybrid", IF(OR(I100="New Queen Street", I100="Esperanca", I100="Colosseo", I100="Runasapi"), "Push", IF(OR(I100="New Junk City", I100="Suravasa", I100="Aatlis"), "Flashpoint", "")))))</f>
        <v/>
      </c>
      <c r="K100" s="40" t="n"/>
      <c r="L100" s="41" t="n"/>
      <c r="M100" s="31" t="n"/>
      <c r="N100" s="31" t="n"/>
      <c r="O100" s="33">
        <f>TEXT(E100, "yymmdd") &amp; "_" &amp; G100 &amp; "_" &amp; H100 &amp; "_S" &amp; D100</f>
        <v/>
      </c>
    </row>
    <row r="101">
      <c r="A101" s="13" t="n"/>
      <c r="B101" s="15" t="n"/>
      <c r="C101" s="0" t="n"/>
      <c r="D101" s="0" t="n"/>
      <c r="E101" s="18" t="n"/>
      <c r="F101" s="15" t="n"/>
      <c r="G101" s="15" t="n"/>
      <c r="H101" s="15" t="n"/>
      <c r="I101" s="15" t="n"/>
      <c r="J101" s="15">
        <f>IF(OR(I101="Antarctic Peninsula", I101="Nepal", I101="Lijiang Tower", I101="Busan", I101="Samoa", I101="Oasis", I101="Ilios"), "Control", IF(OR(I101="Route 66", I101="Watchpoint: Gibraltar", I101="Dorado", I101="Rialto", I101="Shambali Monastery", I101="Circuit Royal", I101="Junkertown", I101="Havana"), "Escort", IF(OR(I101="Neon Junction", I101="Numbani", I101="Midtown", I101="Blizzard World", I101="Eichenwalde", I101="King's Row", I101="Paraiso", I101="Hollywood"), "Hybrid", IF(OR(I101="New Queen Street", I101="Esperanca", I101="Colosseo", I101="Runasapi"), "Push", IF(OR(I101="New Junk City", I101="Suravasa", I101="Aatlis"), "Flashpoint", "")))))</f>
        <v/>
      </c>
      <c r="L101" s="19" t="n"/>
      <c r="M101" s="15" t="n"/>
      <c r="N101" s="15" t="n"/>
      <c r="O101" s="2">
        <f>TEXT(E101, "yymmdd") &amp; "_" &amp; G101 &amp; "_" &amp; H101 &amp; "_S" &amp; D101</f>
        <v/>
      </c>
    </row>
    <row r="102">
      <c r="A102" s="13" t="n"/>
      <c r="B102" s="15" t="n"/>
      <c r="C102" s="0" t="n"/>
      <c r="D102" s="0" t="n"/>
      <c r="E102" s="18" t="n"/>
      <c r="F102" s="15" t="n"/>
      <c r="G102" s="15" t="n"/>
      <c r="H102" s="15" t="n"/>
      <c r="I102" s="15" t="n"/>
      <c r="J102" s="15">
        <f>IF(OR(I102="Antarctic Peninsula", I102="Nepal", I102="Lijiang Tower", I102="Busan", I102="Samoa", I102="Oasis", I102="Ilios"), "Control", IF(OR(I102="Route 66", I102="Watchpoint: Gibraltar", I102="Dorado", I102="Rialto", I102="Shambali Monastery", I102="Circuit Royal", I102="Junkertown", I102="Havana"), "Escort", IF(OR(I102="Neon Junction", I102="Numbani", I102="Midtown", I102="Blizzard World", I102="Eichenwalde", I102="King's Row", I102="Paraiso", I102="Hollywood"), "Hybrid", IF(OR(I102="New Queen Street", I102="Esperanca", I102="Colosseo", I102="Runasapi"), "Push", IF(OR(I102="New Junk City", I102="Suravasa", I102="Aatlis"), "Flashpoint", "")))))</f>
        <v/>
      </c>
      <c r="L102" s="19" t="n"/>
      <c r="M102" s="15" t="n"/>
      <c r="N102" s="15" t="n"/>
      <c r="O102" s="2">
        <f>TEXT(E102, "yymmdd") &amp; "_" &amp; G102 &amp; "_" &amp; H102 &amp; "_S" &amp; D102</f>
        <v/>
      </c>
    </row>
    <row r="103">
      <c r="A103" s="13" t="n"/>
      <c r="B103" s="15" t="n"/>
      <c r="C103" s="0" t="n"/>
      <c r="D103" s="0" t="n"/>
      <c r="E103" s="18" t="n"/>
      <c r="F103" s="15" t="n"/>
      <c r="G103" s="15" t="n"/>
      <c r="H103" s="15" t="n"/>
      <c r="I103" s="15" t="n"/>
      <c r="J103" s="15">
        <f>IF(OR(I103="Antarctic Peninsula", I103="Nepal", I103="Lijiang Tower", I103="Busan", I103="Samoa", I103="Oasis", I103="Ilios"), "Control", IF(OR(I103="Route 66", I103="Watchpoint: Gibraltar", I103="Dorado", I103="Rialto", I103="Shambali Monastery", I103="Circuit Royal", I103="Junkertown", I103="Havana"), "Escort", IF(OR(I103="Neon Junction", I103="Numbani", I103="Midtown", I103="Blizzard World", I103="Eichenwalde", I103="King's Row", I103="Paraiso", I103="Hollywood"), "Hybrid", IF(OR(I103="New Queen Street", I103="Esperanca", I103="Colosseo", I103="Runasapi"), "Push", IF(OR(I103="New Junk City", I103="Suravasa", I103="Aatlis"), "Flashpoint", "")))))</f>
        <v/>
      </c>
      <c r="L103" s="19" t="n"/>
      <c r="M103" s="15" t="n"/>
      <c r="N103" s="15" t="n"/>
      <c r="O103" s="2">
        <f>TEXT(E103, "yymmdd") &amp; "_" &amp; G103 &amp; "_" &amp; H103 &amp; "_S" &amp; D103</f>
        <v/>
      </c>
    </row>
    <row r="104">
      <c r="A104" s="13" t="n"/>
      <c r="B104" s="15" t="n"/>
      <c r="C104" s="0" t="n"/>
      <c r="D104" s="0" t="n"/>
      <c r="E104" s="18" t="n"/>
      <c r="F104" s="15" t="n"/>
      <c r="G104" s="15" t="n"/>
      <c r="H104" s="15" t="n"/>
      <c r="I104" s="15" t="n"/>
      <c r="J104" s="15">
        <f>IF(OR(I104="Antarctic Peninsula", I104="Nepal", I104="Lijiang Tower", I104="Busan", I104="Samoa", I104="Oasis", I104="Ilios"), "Control", IF(OR(I104="Route 66", I104="Watchpoint: Gibraltar", I104="Dorado", I104="Rialto", I104="Shambali Monastery", I104="Circuit Royal", I104="Junkertown", I104="Havana"), "Escort", IF(OR(I104="Neon Junction", I104="Numbani", I104="Midtown", I104="Blizzard World", I104="Eichenwalde", I104="King's Row", I104="Paraiso", I104="Hollywood"), "Hybrid", IF(OR(I104="New Queen Street", I104="Esperanca", I104="Colosseo", I104="Runasapi"), "Push", IF(OR(I104="New Junk City", I104="Suravasa", I104="Aatlis"), "Flashpoint", "")))))</f>
        <v/>
      </c>
      <c r="L104" s="19" t="n"/>
      <c r="M104" s="15" t="n"/>
      <c r="N104" s="15" t="n"/>
      <c r="O104" s="2">
        <f>TEXT(E104, "yymmdd") &amp; "_" &amp; G104 &amp; "_" &amp; H104 &amp; "_S" &amp; D104</f>
        <v/>
      </c>
    </row>
    <row r="105">
      <c r="A105" s="37" t="n"/>
      <c r="B105" s="31" t="n"/>
      <c r="C105" s="38" t="n"/>
      <c r="D105" s="38" t="n"/>
      <c r="E105" s="39" t="n"/>
      <c r="F105" s="31" t="n"/>
      <c r="G105" s="31" t="n"/>
      <c r="H105" s="31" t="n"/>
      <c r="I105" s="31" t="n"/>
      <c r="J105" s="31">
        <f>IF(OR(I105="Antarctic Peninsula", I105="Nepal", I105="Lijiang Tower", I105="Busan", I105="Samoa", I105="Oasis", I105="Ilios"), "Control", IF(OR(I105="Route 66", I105="Watchpoint: Gibraltar", I105="Dorado", I105="Rialto", I105="Shambali Monastery", I105="Circuit Royal", I105="Junkertown", I105="Havana"), "Escort", IF(OR(I105="Neon Junction", I105="Numbani", I105="Midtown", I105="Blizzard World", I105="Eichenwalde", I105="King's Row", I105="Paraiso", I105="Hollywood"), "Hybrid", IF(OR(I105="New Queen Street", I105="Esperanca", I105="Colosseo", I105="Runasapi"), "Push", IF(OR(I105="New Junk City", I105="Suravasa", I105="Aatlis"), "Flashpoint", "")))))</f>
        <v/>
      </c>
      <c r="K105" s="40" t="n"/>
      <c r="L105" s="41" t="n"/>
      <c r="M105" s="31" t="n"/>
      <c r="N105" s="31" t="n"/>
      <c r="O105" s="33">
        <f>TEXT(E105, "yymmdd") &amp; "_" &amp; G105 &amp; "_" &amp; H105 &amp; "_S" &amp; D105</f>
        <v/>
      </c>
    </row>
    <row r="106">
      <c r="A106" s="37" t="n"/>
      <c r="B106" s="31" t="n"/>
      <c r="C106" s="38" t="n"/>
      <c r="D106" s="38" t="n"/>
      <c r="E106" s="39" t="n"/>
      <c r="F106" s="31" t="n"/>
      <c r="G106" s="31" t="n"/>
      <c r="H106" s="31" t="n"/>
      <c r="I106" s="31" t="n"/>
      <c r="J106" s="31">
        <f>IF(OR(I106="Antarctic Peninsula", I106="Nepal", I106="Lijiang Tower", I106="Busan", I106="Samoa", I106="Oasis", I106="Ilios"), "Control", IF(OR(I106="Route 66", I106="Watchpoint: Gibraltar", I106="Dorado", I106="Rialto", I106="Shambali Monastery", I106="Circuit Royal", I106="Junkertown", I106="Havana"), "Escort", IF(OR(I106="Neon Junction", I106="Numbani", I106="Midtown", I106="Blizzard World", I106="Eichenwalde", I106="King's Row", I106="Paraiso", I106="Hollywood"), "Hybrid", IF(OR(I106="New Queen Street", I106="Esperanca", I106="Colosseo", I106="Runasapi"), "Push", IF(OR(I106="New Junk City", I106="Suravasa", I106="Aatlis"), "Flashpoint", "")))))</f>
        <v/>
      </c>
      <c r="K106" s="40" t="n"/>
      <c r="L106" s="41" t="n"/>
      <c r="M106" s="31" t="n"/>
      <c r="N106" s="31" t="n"/>
      <c r="O106" s="33">
        <f>TEXT(E106, "yymmdd") &amp; "_" &amp; G106 &amp; "_" &amp; H106 &amp; "_S" &amp; D106</f>
        <v/>
      </c>
    </row>
    <row r="107">
      <c r="A107" s="37" t="n"/>
      <c r="B107" s="31" t="n"/>
      <c r="C107" s="38" t="n"/>
      <c r="D107" s="38" t="n"/>
      <c r="E107" s="39" t="n"/>
      <c r="F107" s="31" t="n"/>
      <c r="G107" s="31" t="n"/>
      <c r="H107" s="31" t="n"/>
      <c r="I107" s="31" t="n"/>
      <c r="J107" s="31">
        <f>IF(OR(I107="Antarctic Peninsula", I107="Nepal", I107="Lijiang Tower", I107="Busan", I107="Samoa", I107="Oasis", I107="Ilios"), "Control", IF(OR(I107="Route 66", I107="Watchpoint: Gibraltar", I107="Dorado", I107="Rialto", I107="Shambali Monastery", I107="Circuit Royal", I107="Junkertown", I107="Havana"), "Escort", IF(OR(I107="Neon Junction", I107="Numbani", I107="Midtown", I107="Blizzard World", I107="Eichenwalde", I107="King's Row", I107="Paraiso", I107="Hollywood"), "Hybrid", IF(OR(I107="New Queen Street", I107="Esperanca", I107="Colosseo", I107="Runasapi"), "Push", IF(OR(I107="New Junk City", I107="Suravasa", I107="Aatlis"), "Flashpoint", "")))))</f>
        <v/>
      </c>
      <c r="K107" s="40" t="n"/>
      <c r="L107" s="41" t="n"/>
      <c r="M107" s="31" t="n"/>
      <c r="N107" s="31" t="n"/>
      <c r="O107" s="33">
        <f>TEXT(E107, "yymmdd") &amp; "_" &amp; G107 &amp; "_" &amp; H107 &amp; "_S" &amp; D107</f>
        <v/>
      </c>
    </row>
    <row r="108">
      <c r="A108" s="13" t="n"/>
      <c r="B108" s="15" t="n"/>
      <c r="C108" s="0" t="n"/>
      <c r="D108" s="0" t="n"/>
      <c r="E108" s="18" t="n"/>
      <c r="F108" s="15" t="n"/>
      <c r="G108" s="15" t="n"/>
      <c r="H108" s="15" t="n"/>
      <c r="I108" s="15" t="n"/>
      <c r="J108" s="15">
        <f>IF(OR(I108="Antarctic Peninsula", I108="Nepal", I108="Lijiang Tower", I108="Busan", I108="Samoa", I108="Oasis", I108="Ilios"), "Control", IF(OR(I108="Route 66", I108="Watchpoint: Gibraltar", I108="Dorado", I108="Rialto", I108="Shambali Monastery", I108="Circuit Royal", I108="Junkertown", I108="Havana"), "Escort", IF(OR(I108="Neon Junction", I108="Numbani", I108="Midtown", I108="Blizzard World", I108="Eichenwalde", I108="King's Row", I108="Paraiso", I108="Hollywood"), "Hybrid", IF(OR(I108="New Queen Street", I108="Esperanca", I108="Colosseo", I108="Runasapi"), "Push", IF(OR(I108="New Junk City", I108="Suravasa", I108="Aatlis"), "Flashpoint", "")))))</f>
        <v/>
      </c>
      <c r="L108" s="19" t="n"/>
      <c r="M108" s="15" t="n"/>
      <c r="N108" s="15" t="n"/>
      <c r="O108" s="2">
        <f>TEXT(E108, "yymmdd") &amp; "_" &amp; G108 &amp; "_" &amp; H108 &amp; "_S" &amp; D108</f>
        <v/>
      </c>
    </row>
    <row r="109">
      <c r="A109" s="13" t="n"/>
      <c r="B109" s="15" t="n"/>
      <c r="C109" s="0" t="n"/>
      <c r="D109" s="0" t="n"/>
      <c r="E109" s="18" t="n"/>
      <c r="F109" s="15" t="n"/>
      <c r="G109" s="15" t="n"/>
      <c r="H109" s="15" t="n"/>
      <c r="I109" s="15" t="n"/>
      <c r="J109" s="15">
        <f>IF(OR(I109="Antarctic Peninsula", I109="Nepal", I109="Lijiang Tower", I109="Busan", I109="Samoa", I109="Oasis", I109="Ilios"), "Control", IF(OR(I109="Route 66", I109="Watchpoint: Gibraltar", I109="Dorado", I109="Rialto", I109="Shambali Monastery", I109="Circuit Royal", I109="Junkertown", I109="Havana"), "Escort", IF(OR(I109="Neon Junction", I109="Numbani", I109="Midtown", I109="Blizzard World", I109="Eichenwalde", I109="King's Row", I109="Paraiso", I109="Hollywood"), "Hybrid", IF(OR(I109="New Queen Street", I109="Esperanca", I109="Colosseo", I109="Runasapi"), "Push", IF(OR(I109="New Junk City", I109="Suravasa", I109="Aatlis"), "Flashpoint", "")))))</f>
        <v/>
      </c>
      <c r="L109" s="19" t="n"/>
      <c r="M109" s="15" t="n"/>
      <c r="N109" s="15" t="n"/>
      <c r="O109" s="2">
        <f>TEXT(E109, "yymmdd") &amp; "_" &amp; G109 &amp; "_" &amp; H109 &amp; "_S" &amp; D109</f>
        <v/>
      </c>
    </row>
    <row r="110">
      <c r="A110" s="13" t="n"/>
      <c r="B110" s="15" t="n"/>
      <c r="C110" s="0" t="n"/>
      <c r="D110" s="0" t="n"/>
      <c r="E110" s="18" t="n"/>
      <c r="F110" s="15" t="n"/>
      <c r="G110" s="15" t="n"/>
      <c r="H110" s="15" t="n"/>
      <c r="I110" s="15" t="n"/>
      <c r="J110" s="15">
        <f>IF(OR(I110="Antarctic Peninsula", I110="Nepal", I110="Lijiang Tower", I110="Busan", I110="Samoa", I110="Oasis", I110="Ilios"), "Control", IF(OR(I110="Route 66", I110="Watchpoint: Gibraltar", I110="Dorado", I110="Rialto", I110="Shambali Monastery", I110="Circuit Royal", I110="Junkertown", I110="Havana"), "Escort", IF(OR(I110="Neon Junction", I110="Numbani", I110="Midtown", I110="Blizzard World", I110="Eichenwalde", I110="King's Row", I110="Paraiso", I110="Hollywood"), "Hybrid", IF(OR(I110="New Queen Street", I110="Esperanca", I110="Colosseo", I110="Runasapi"), "Push", IF(OR(I110="New Junk City", I110="Suravasa", I110="Aatlis"), "Flashpoint", "")))))</f>
        <v/>
      </c>
      <c r="L110" s="19" t="n"/>
      <c r="M110" s="15" t="n"/>
      <c r="N110" s="15" t="n"/>
      <c r="O110" s="2">
        <f>TEXT(E110, "yymmdd") &amp; "_" &amp; G110 &amp; "_" &amp; H110 &amp; "_S" &amp; D110</f>
        <v/>
      </c>
    </row>
    <row r="111">
      <c r="A111" s="37" t="n"/>
      <c r="B111" s="31" t="n"/>
      <c r="C111" s="38" t="n"/>
      <c r="D111" s="38" t="n"/>
      <c r="E111" s="39" t="n"/>
      <c r="F111" s="31" t="n"/>
      <c r="G111" s="31" t="n"/>
      <c r="H111" s="31" t="n"/>
      <c r="I111" s="31" t="n"/>
      <c r="J111" s="31">
        <f>IF(OR(I111="Antarctic Peninsula", I111="Nepal", I111="Lijiang Tower", I111="Busan", I111="Samoa", I111="Oasis", I111="Ilios"), "Control", IF(OR(I111="Route 66", I111="Watchpoint: Gibraltar", I111="Dorado", I111="Rialto", I111="Shambali Monastery", I111="Circuit Royal", I111="Junkertown", I111="Havana"), "Escort", IF(OR(I111="Neon Junction", I111="Numbani", I111="Midtown", I111="Blizzard World", I111="Eichenwalde", I111="King's Row", I111="Paraiso", I111="Hollywood"), "Hybrid", IF(OR(I111="New Queen Street", I111="Esperanca", I111="Colosseo", I111="Runasapi"), "Push", IF(OR(I111="New Junk City", I111="Suravasa", I111="Aatlis"), "Flashpoint", "")))))</f>
        <v/>
      </c>
      <c r="K111" s="40" t="n"/>
      <c r="L111" s="41" t="n"/>
      <c r="M111" s="31" t="n"/>
      <c r="N111" s="31" t="n"/>
      <c r="O111" s="33">
        <f>TEXT(E111, "yymmdd") &amp; "_" &amp; G111 &amp; "_" &amp; H111 &amp; "_S" &amp; D111</f>
        <v/>
      </c>
    </row>
    <row r="112">
      <c r="A112" s="37" t="n"/>
      <c r="B112" s="31" t="n"/>
      <c r="C112" s="38" t="n"/>
      <c r="D112" s="38" t="n"/>
      <c r="E112" s="39" t="n"/>
      <c r="F112" s="31" t="n"/>
      <c r="G112" s="31" t="n"/>
      <c r="H112" s="31" t="n"/>
      <c r="I112" s="31" t="n"/>
      <c r="J112" s="31">
        <f>IF(OR(I112="Antarctic Peninsula", I112="Nepal", I112="Lijiang Tower", I112="Busan", I112="Samoa", I112="Oasis", I112="Ilios"), "Control", IF(OR(I112="Route 66", I112="Watchpoint: Gibraltar", I112="Dorado", I112="Rialto", I112="Shambali Monastery", I112="Circuit Royal", I112="Junkertown", I112="Havana"), "Escort", IF(OR(I112="Neon Junction", I112="Numbani", I112="Midtown", I112="Blizzard World", I112="Eichenwalde", I112="King's Row", I112="Paraiso", I112="Hollywood"), "Hybrid", IF(OR(I112="New Queen Street", I112="Esperanca", I112="Colosseo", I112="Runasapi"), "Push", IF(OR(I112="New Junk City", I112="Suravasa", I112="Aatlis"), "Flashpoint", "")))))</f>
        <v/>
      </c>
      <c r="K112" s="40" t="n"/>
      <c r="L112" s="41" t="n"/>
      <c r="M112" s="31" t="n"/>
      <c r="N112" s="31" t="n"/>
      <c r="O112" s="33">
        <f>TEXT(E112, "yymmdd") &amp; "_" &amp; G112 &amp; "_" &amp; H112 &amp; "_S" &amp; D112</f>
        <v/>
      </c>
    </row>
    <row r="113">
      <c r="A113" s="37" t="n"/>
      <c r="B113" s="31" t="n"/>
      <c r="C113" s="38" t="n"/>
      <c r="D113" s="38" t="n"/>
      <c r="E113" s="39" t="n"/>
      <c r="F113" s="31" t="n"/>
      <c r="G113" s="31" t="n"/>
      <c r="H113" s="31" t="n"/>
      <c r="I113" s="31" t="n"/>
      <c r="J113" s="31">
        <f>IF(OR(I113="Antarctic Peninsula", I113="Nepal", I113="Lijiang Tower", I113="Busan", I113="Samoa", I113="Oasis", I113="Ilios"), "Control", IF(OR(I113="Route 66", I113="Watchpoint: Gibraltar", I113="Dorado", I113="Rialto", I113="Shambali Monastery", I113="Circuit Royal", I113="Junkertown", I113="Havana"), "Escort", IF(OR(I113="Neon Junction", I113="Numbani", I113="Midtown", I113="Blizzard World", I113="Eichenwalde", I113="King's Row", I113="Paraiso", I113="Hollywood"), "Hybrid", IF(OR(I113="New Queen Street", I113="Esperanca", I113="Colosseo", I113="Runasapi"), "Push", IF(OR(I113="New Junk City", I113="Suravasa", I113="Aatlis"), "Flashpoint", "")))))</f>
        <v/>
      </c>
      <c r="K113" s="40" t="n"/>
      <c r="L113" s="41" t="n"/>
      <c r="M113" s="31" t="n"/>
      <c r="N113" s="31" t="n"/>
      <c r="O113" s="33">
        <f>TEXT(E113, "yymmdd") &amp; "_" &amp; G113 &amp; "_" &amp; H113 &amp; "_S" &amp; D113</f>
        <v/>
      </c>
    </row>
    <row r="114">
      <c r="A114" s="13" t="n"/>
      <c r="B114" s="15" t="n"/>
      <c r="C114" s="0" t="n"/>
      <c r="D114" s="0" t="n"/>
      <c r="E114" s="18" t="n"/>
      <c r="F114" s="15" t="n"/>
      <c r="G114" s="15" t="n"/>
      <c r="H114" s="15" t="n"/>
      <c r="I114" s="15" t="n"/>
      <c r="J114" s="15">
        <f>IF(OR(I114="Antarctic Peninsula", I114="Nepal", I114="Lijiang Tower", I114="Busan", I114="Samoa", I114="Oasis", I114="Ilios"), "Control", IF(OR(I114="Route 66", I114="Watchpoint: Gibraltar", I114="Dorado", I114="Rialto", I114="Shambali Monastery", I114="Circuit Royal", I114="Junkertown", I114="Havana"), "Escort", IF(OR(I114="Neon Junction", I114="Numbani", I114="Midtown", I114="Blizzard World", I114="Eichenwalde", I114="King's Row", I114="Paraiso", I114="Hollywood"), "Hybrid", IF(OR(I114="New Queen Street", I114="Esperanca", I114="Colosseo", I114="Runasapi"), "Push", IF(OR(I114="New Junk City", I114="Suravasa", I114="Aatlis"), "Flashpoint", "")))))</f>
        <v/>
      </c>
      <c r="L114" s="19" t="n"/>
      <c r="M114" s="15" t="n"/>
      <c r="N114" s="15" t="n"/>
      <c r="O114" s="2">
        <f>TEXT(E114, "yymmdd") &amp; "_" &amp; G114 &amp; "_" &amp; H114 &amp; "_S" &amp; D114</f>
        <v/>
      </c>
    </row>
    <row r="115">
      <c r="A115" s="13" t="n"/>
      <c r="B115" s="15" t="n"/>
      <c r="C115" s="0" t="n"/>
      <c r="D115" s="0" t="n"/>
      <c r="E115" s="18" t="n"/>
      <c r="F115" s="15" t="n"/>
      <c r="G115" s="15" t="n"/>
      <c r="H115" s="15" t="n"/>
      <c r="I115" s="15" t="n"/>
      <c r="J115" s="15">
        <f>IF(OR(I115="Antarctic Peninsula", I115="Nepal", I115="Lijiang Tower", I115="Busan", I115="Samoa", I115="Oasis", I115="Ilios"), "Control", IF(OR(I115="Route 66", I115="Watchpoint: Gibraltar", I115="Dorado", I115="Rialto", I115="Shambali Monastery", I115="Circuit Royal", I115="Junkertown", I115="Havana"), "Escort", IF(OR(I115="Neon Junction", I115="Numbani", I115="Midtown", I115="Blizzard World", I115="Eichenwalde", I115="King's Row", I115="Paraiso", I115="Hollywood"), "Hybrid", IF(OR(I115="New Queen Street", I115="Esperanca", I115="Colosseo", I115="Runasapi"), "Push", IF(OR(I115="New Junk City", I115="Suravasa", I115="Aatlis"), "Flashpoint", "")))))</f>
        <v/>
      </c>
      <c r="L115" s="19" t="n"/>
      <c r="M115" s="15" t="n"/>
      <c r="N115" s="15" t="n"/>
      <c r="O115" s="2">
        <f>TEXT(E115, "yymmdd") &amp; "_" &amp; G115 &amp; "_" &amp; H115 &amp; "_S" &amp; D115</f>
        <v/>
      </c>
    </row>
    <row r="116">
      <c r="A116" s="13" t="n"/>
      <c r="B116" s="15" t="n"/>
      <c r="C116" s="0" t="n"/>
      <c r="D116" s="0" t="n"/>
      <c r="E116" s="18" t="n"/>
      <c r="F116" s="15" t="n"/>
      <c r="G116" s="15" t="n"/>
      <c r="H116" s="15" t="n"/>
      <c r="I116" s="15" t="n"/>
      <c r="J116" s="15">
        <f>IF(OR(I116="Antarctic Peninsula", I116="Nepal", I116="Lijiang Tower", I116="Busan", I116="Samoa", I116="Oasis", I116="Ilios"), "Control", IF(OR(I116="Route 66", I116="Watchpoint: Gibraltar", I116="Dorado", I116="Rialto", I116="Shambali Monastery", I116="Circuit Royal", I116="Junkertown", I116="Havana"), "Escort", IF(OR(I116="Neon Junction", I116="Numbani", I116="Midtown", I116="Blizzard World", I116="Eichenwalde", I116="King's Row", I116="Paraiso", I116="Hollywood"), "Hybrid", IF(OR(I116="New Queen Street", I116="Esperanca", I116="Colosseo", I116="Runasapi"), "Push", IF(OR(I116="New Junk City", I116="Suravasa", I116="Aatlis"), "Flashpoint", "")))))</f>
        <v/>
      </c>
      <c r="L116" s="19" t="n"/>
      <c r="M116" s="15" t="n"/>
      <c r="N116" s="15" t="n"/>
      <c r="O116" s="2">
        <f>TEXT(E116, "yymmdd") &amp; "_" &amp; G116 &amp; "_" &amp; H116 &amp; "_S" &amp; D116</f>
        <v/>
      </c>
    </row>
    <row r="117">
      <c r="A117" s="13" t="n"/>
      <c r="B117" s="15" t="n"/>
      <c r="C117" s="0" t="n"/>
      <c r="D117" s="0" t="n"/>
      <c r="E117" s="18" t="n"/>
      <c r="F117" s="15" t="n"/>
      <c r="G117" s="15" t="n"/>
      <c r="H117" s="15" t="n"/>
      <c r="I117" s="15" t="n"/>
      <c r="J117" s="15">
        <f>IF(OR(I117="Antarctic Peninsula", I117="Nepal", I117="Lijiang Tower", I117="Busan", I117="Samoa", I117="Oasis", I117="Ilios"), "Control", IF(OR(I117="Route 66", I117="Watchpoint: Gibraltar", I117="Dorado", I117="Rialto", I117="Shambali Monastery", I117="Circuit Royal", I117="Junkertown", I117="Havana"), "Escort", IF(OR(I117="Neon Junction", I117="Numbani", I117="Midtown", I117="Blizzard World", I117="Eichenwalde", I117="King's Row", I117="Paraiso", I117="Hollywood"), "Hybrid", IF(OR(I117="New Queen Street", I117="Esperanca", I117="Colosseo", I117="Runasapi"), "Push", IF(OR(I117="New Junk City", I117="Suravasa", I117="Aatlis"), "Flashpoint", "")))))</f>
        <v/>
      </c>
      <c r="L117" s="19" t="n"/>
      <c r="M117" s="15" t="n"/>
      <c r="N117" s="15" t="n"/>
      <c r="O117" s="2">
        <f>TEXT(E117, "yymmdd") &amp; "_" &amp; G117 &amp; "_" &amp; H117 &amp; "_S" &amp; D117</f>
        <v/>
      </c>
    </row>
    <row r="118">
      <c r="A118" s="37" t="n"/>
      <c r="B118" s="31" t="n"/>
      <c r="C118" s="38" t="n"/>
      <c r="D118" s="38" t="n"/>
      <c r="E118" s="39" t="n"/>
      <c r="F118" s="31" t="n"/>
      <c r="G118" s="31" t="n"/>
      <c r="H118" s="31" t="n"/>
      <c r="I118" s="31" t="n"/>
      <c r="J118" s="31">
        <f>IF(OR(I118="Antarctic Peninsula", I118="Nepal", I118="Lijiang Tower", I118="Busan", I118="Samoa", I118="Oasis", I118="Ilios"), "Control", IF(OR(I118="Route 66", I118="Watchpoint: Gibraltar", I118="Dorado", I118="Rialto", I118="Shambali Monastery", I118="Circuit Royal", I118="Junkertown", I118="Havana"), "Escort", IF(OR(I118="Neon Junction", I118="Numbani", I118="Midtown", I118="Blizzard World", I118="Eichenwalde", I118="King's Row", I118="Paraiso", I118="Hollywood"), "Hybrid", IF(OR(I118="New Queen Street", I118="Esperanca", I118="Colosseo", I118="Runasapi"), "Push", IF(OR(I118="New Junk City", I118="Suravasa", I118="Aatlis"), "Flashpoint", "")))))</f>
        <v/>
      </c>
      <c r="K118" s="40" t="n"/>
      <c r="L118" s="41" t="n"/>
      <c r="M118" s="31" t="n"/>
      <c r="N118" s="31" t="n"/>
      <c r="O118" s="33">
        <f>TEXT(E118, "yymmdd") &amp; "_" &amp; G118 &amp; "_" &amp; H118 &amp; "_S" &amp; D118</f>
        <v/>
      </c>
    </row>
    <row r="119">
      <c r="A119" s="37" t="n"/>
      <c r="B119" s="31" t="n"/>
      <c r="C119" s="38" t="n"/>
      <c r="D119" s="38" t="n"/>
      <c r="E119" s="39" t="n"/>
      <c r="F119" s="31" t="n"/>
      <c r="G119" s="31" t="n"/>
      <c r="H119" s="31" t="n"/>
      <c r="I119" s="31" t="n"/>
      <c r="J119" s="31">
        <f>IF(OR(I119="Antarctic Peninsula", I119="Nepal", I119="Lijiang Tower", I119="Busan", I119="Samoa", I119="Oasis", I119="Ilios"), "Control", IF(OR(I119="Route 66", I119="Watchpoint: Gibraltar", I119="Dorado", I119="Rialto", I119="Shambali Monastery", I119="Circuit Royal", I119="Junkertown", I119="Havana"), "Escort", IF(OR(I119="Neon Junction", I119="Numbani", I119="Midtown", I119="Blizzard World", I119="Eichenwalde", I119="King's Row", I119="Paraiso", I119="Hollywood"), "Hybrid", IF(OR(I119="New Queen Street", I119="Esperanca", I119="Colosseo", I119="Runasapi"), "Push", IF(OR(I119="New Junk City", I119="Suravasa", I119="Aatlis"), "Flashpoint", "")))))</f>
        <v/>
      </c>
      <c r="K119" s="40" t="n"/>
      <c r="L119" s="41" t="n"/>
      <c r="M119" s="31" t="n"/>
      <c r="N119" s="31" t="n"/>
      <c r="O119" s="33">
        <f>TEXT(E119, "yymmdd") &amp; "_" &amp; G119 &amp; "_" &amp; H119 &amp; "_S" &amp; D119</f>
        <v/>
      </c>
    </row>
    <row r="120">
      <c r="A120" s="37" t="n"/>
      <c r="B120" s="31" t="n"/>
      <c r="C120" s="38" t="n"/>
      <c r="D120" s="38" t="n"/>
      <c r="E120" s="39" t="n"/>
      <c r="F120" s="31" t="n"/>
      <c r="G120" s="31" t="n"/>
      <c r="H120" s="31" t="n"/>
      <c r="I120" s="31" t="n"/>
      <c r="J120" s="31">
        <f>IF(OR(I120="Antarctic Peninsula", I120="Nepal", I120="Lijiang Tower", I120="Busan", I120="Samoa", I120="Oasis", I120="Ilios"), "Control", IF(OR(I120="Route 66", I120="Watchpoint: Gibraltar", I120="Dorado", I120="Rialto", I120="Shambali Monastery", I120="Circuit Royal", I120="Junkertown", I120="Havana"), "Escort", IF(OR(I120="Neon Junction", I120="Numbani", I120="Midtown", I120="Blizzard World", I120="Eichenwalde", I120="King's Row", I120="Paraiso", I120="Hollywood"), "Hybrid", IF(OR(I120="New Queen Street", I120="Esperanca", I120="Colosseo", I120="Runasapi"), "Push", IF(OR(I120="New Junk City", I120="Suravasa", I120="Aatlis"), "Flashpoint", "")))))</f>
        <v/>
      </c>
      <c r="K120" s="40" t="n"/>
      <c r="L120" s="41" t="n"/>
      <c r="M120" s="31" t="n"/>
      <c r="N120" s="31" t="n"/>
      <c r="O120" s="33">
        <f>TEXT(E120, "yymmdd") &amp; "_" &amp; G120 &amp; "_" &amp; H120 &amp; "_S" &amp; D120</f>
        <v/>
      </c>
    </row>
    <row r="121">
      <c r="A121" s="13" t="n"/>
      <c r="B121" s="15" t="n"/>
      <c r="C121" s="0" t="n"/>
      <c r="D121" s="0" t="n"/>
      <c r="E121" s="18" t="n"/>
      <c r="F121" s="15" t="n"/>
      <c r="G121" s="15" t="n"/>
      <c r="H121" s="15" t="n"/>
      <c r="I121" s="15" t="n"/>
      <c r="J121" s="15">
        <f>IF(OR(I121="Antarctic Peninsula", I121="Nepal", I121="Lijiang Tower", I121="Busan", I121="Samoa", I121="Oasis", I121="Ilios"), "Control", IF(OR(I121="Route 66", I121="Watchpoint: Gibraltar", I121="Dorado", I121="Rialto", I121="Shambali Monastery", I121="Circuit Royal", I121="Junkertown", I121="Havana"), "Escort", IF(OR(I121="Neon Junction", I121="Numbani", I121="Midtown", I121="Blizzard World", I121="Eichenwalde", I121="King's Row", I121="Paraiso", I121="Hollywood"), "Hybrid", IF(OR(I121="New Queen Street", I121="Esperanca", I121="Colosseo", I121="Runasapi"), "Push", IF(OR(I121="New Junk City", I121="Suravasa", I121="Aatlis"), "Flashpoint", "")))))</f>
        <v/>
      </c>
      <c r="L121" s="19" t="n"/>
      <c r="M121" s="15" t="n"/>
      <c r="N121" s="15" t="n"/>
      <c r="O121" s="2">
        <f>TEXT(E121, "yymmdd") &amp; "_" &amp; G121 &amp; "_" &amp; H121 &amp; "_S" &amp; D121</f>
        <v/>
      </c>
    </row>
    <row r="122">
      <c r="A122" s="13" t="n"/>
      <c r="B122" s="15" t="n"/>
      <c r="C122" s="0" t="n"/>
      <c r="D122" s="0" t="n"/>
      <c r="E122" s="18" t="n"/>
      <c r="F122" s="15" t="n"/>
      <c r="G122" s="15" t="n"/>
      <c r="H122" s="15" t="n"/>
      <c r="I122" s="15" t="n"/>
      <c r="J122" s="15">
        <f>IF(OR(I122="Antarctic Peninsula", I122="Nepal", I122="Lijiang Tower", I122="Busan", I122="Samoa", I122="Oasis", I122="Ilios"), "Control", IF(OR(I122="Route 66", I122="Watchpoint: Gibraltar", I122="Dorado", I122="Rialto", I122="Shambali Monastery", I122="Circuit Royal", I122="Junkertown", I122="Havana"), "Escort", IF(OR(I122="Neon Junction", I122="Numbani", I122="Midtown", I122="Blizzard World", I122="Eichenwalde", I122="King's Row", I122="Paraiso", I122="Hollywood"), "Hybrid", IF(OR(I122="New Queen Street", I122="Esperanca", I122="Colosseo", I122="Runasapi"), "Push", IF(OR(I122="New Junk City", I122="Suravasa", I122="Aatlis"), "Flashpoint", "")))))</f>
        <v/>
      </c>
      <c r="L122" s="19" t="n"/>
      <c r="M122" s="15" t="n"/>
      <c r="N122" s="15" t="n"/>
      <c r="O122" s="2">
        <f>TEXT(E122, "yymmdd") &amp; "_" &amp; G122 &amp; "_" &amp; H122 &amp; "_S" &amp; D122</f>
        <v/>
      </c>
    </row>
    <row r="123">
      <c r="A123" s="13" t="n"/>
      <c r="B123" s="15" t="n"/>
      <c r="C123" s="0" t="n"/>
      <c r="D123" s="0" t="n"/>
      <c r="E123" s="18" t="n"/>
      <c r="F123" s="15" t="n"/>
      <c r="G123" s="15" t="n"/>
      <c r="H123" s="15" t="n"/>
      <c r="I123" s="15" t="n"/>
      <c r="J123" s="15">
        <f>IF(OR(I123="Antarctic Peninsula", I123="Nepal", I123="Lijiang Tower", I123="Busan", I123="Samoa", I123="Oasis", I123="Ilios"), "Control", IF(OR(I123="Route 66", I123="Watchpoint: Gibraltar", I123="Dorado", I123="Rialto", I123="Shambali Monastery", I123="Circuit Royal", I123="Junkertown", I123="Havana"), "Escort", IF(OR(I123="Neon Junction", I123="Numbani", I123="Midtown", I123="Blizzard World", I123="Eichenwalde", I123="King's Row", I123="Paraiso", I123="Hollywood"), "Hybrid", IF(OR(I123="New Queen Street", I123="Esperanca", I123="Colosseo", I123="Runasapi"), "Push", IF(OR(I123="New Junk City", I123="Suravasa", I123="Aatlis"), "Flashpoint", "")))))</f>
        <v/>
      </c>
      <c r="L123" s="19" t="n"/>
      <c r="M123" s="15" t="n"/>
      <c r="N123" s="15" t="n"/>
      <c r="O123" s="2">
        <f>TEXT(E123, "yymmdd") &amp; "_" &amp; G123 &amp; "_" &amp; H123 &amp; "_S" &amp; D123</f>
        <v/>
      </c>
    </row>
    <row r="124">
      <c r="A124" s="13" t="n"/>
      <c r="B124" s="15" t="n"/>
      <c r="C124" s="0" t="n"/>
      <c r="D124" s="0" t="n"/>
      <c r="E124" s="18" t="n"/>
      <c r="F124" s="15" t="n"/>
      <c r="G124" s="15" t="n"/>
      <c r="H124" s="15" t="n"/>
      <c r="I124" s="15" t="n"/>
      <c r="J124" s="15">
        <f>IF(OR(I124="Antarctic Peninsula", I124="Nepal", I124="Lijiang Tower", I124="Busan", I124="Samoa", I124="Oasis", I124="Ilios"), "Control", IF(OR(I124="Route 66", I124="Watchpoint: Gibraltar", I124="Dorado", I124="Rialto", I124="Shambali Monastery", I124="Circuit Royal", I124="Junkertown", I124="Havana"), "Escort", IF(OR(I124="Neon Junction", I124="Numbani", I124="Midtown", I124="Blizzard World", I124="Eichenwalde", I124="King's Row", I124="Paraiso", I124="Hollywood"), "Hybrid", IF(OR(I124="New Queen Street", I124="Esperanca", I124="Colosseo", I124="Runasapi"), "Push", IF(OR(I124="New Junk City", I124="Suravasa", I124="Aatlis"), "Flashpoint", "")))))</f>
        <v/>
      </c>
      <c r="L124" s="19" t="n"/>
      <c r="M124" s="15" t="n"/>
      <c r="N124" s="15" t="n"/>
      <c r="O124" s="2">
        <f>TEXT(E124, "yymmdd") &amp; "_" &amp; G124 &amp; "_" &amp; H124 &amp; "_S" &amp; D124</f>
        <v/>
      </c>
    </row>
    <row r="125">
      <c r="A125" s="13" t="n"/>
      <c r="B125" s="15" t="n"/>
      <c r="C125" s="0" t="n"/>
      <c r="D125" s="0" t="n"/>
      <c r="E125" s="18" t="n"/>
      <c r="F125" s="15" t="n"/>
      <c r="G125" s="15" t="n"/>
      <c r="H125" s="15" t="n"/>
      <c r="I125" s="15" t="n"/>
      <c r="J125" s="15">
        <f>IF(OR(I125="Antarctic Peninsula", I125="Nepal", I125="Lijiang Tower", I125="Busan", I125="Samoa", I125="Oasis", I125="Ilios"), "Control", IF(OR(I125="Route 66", I125="Watchpoint: Gibraltar", I125="Dorado", I125="Rialto", I125="Shambali Monastery", I125="Circuit Royal", I125="Junkertown", I125="Havana"), "Escort", IF(OR(I125="Neon Junction", I125="Numbani", I125="Midtown", I125="Blizzard World", I125="Eichenwalde", I125="King's Row", I125="Paraiso", I125="Hollywood"), "Hybrid", IF(OR(I125="New Queen Street", I125="Esperanca", I125="Colosseo", I125="Runasapi"), "Push", IF(OR(I125="New Junk City", I125="Suravasa", I125="Aatlis"), "Flashpoint", "")))))</f>
        <v/>
      </c>
      <c r="L125" s="19" t="n"/>
      <c r="M125" s="15" t="n"/>
      <c r="N125" s="15" t="n"/>
      <c r="O125" s="2">
        <f>TEXT(E125, "yymmdd") &amp; "_" &amp; G125 &amp; "_" &amp; H125 &amp; "_S" &amp; D125</f>
        <v/>
      </c>
    </row>
    <row r="126">
      <c r="A126" s="37" t="n"/>
      <c r="B126" s="31" t="n"/>
      <c r="C126" s="38" t="n"/>
      <c r="D126" s="38" t="n"/>
      <c r="E126" s="39" t="n"/>
      <c r="F126" s="31" t="n"/>
      <c r="G126" s="31" t="n"/>
      <c r="H126" s="31" t="n"/>
      <c r="I126" s="31" t="n"/>
      <c r="J126" s="31">
        <f>IF(OR(I126="Antarctic Peninsula", I126="Nepal", I126="Lijiang Tower", I126="Busan", I126="Samoa", I126="Oasis", I126="Ilios"), "Control", IF(OR(I126="Route 66", I126="Watchpoint: Gibraltar", I126="Dorado", I126="Rialto", I126="Shambali Monastery", I126="Circuit Royal", I126="Junkertown", I126="Havana"), "Escort", IF(OR(I126="Neon Junction", I126="Numbani", I126="Midtown", I126="Blizzard World", I126="Eichenwalde", I126="King's Row", I126="Paraiso", I126="Hollywood"), "Hybrid", IF(OR(I126="New Queen Street", I126="Esperanca", I126="Colosseo", I126="Runasapi"), "Push", IF(OR(I126="New Junk City", I126="Suravasa", I126="Aatlis"), "Flashpoint", "")))))</f>
        <v/>
      </c>
      <c r="K126" s="40" t="n"/>
      <c r="L126" s="41" t="n"/>
      <c r="M126" s="31" t="n"/>
      <c r="N126" s="31" t="n"/>
      <c r="O126" s="33">
        <f>TEXT(E126, "yymmdd") &amp; "_" &amp; G126 &amp; "_" &amp; H126 &amp; "_S" &amp; D126</f>
        <v/>
      </c>
    </row>
    <row r="127">
      <c r="A127" s="37" t="n"/>
      <c r="B127" s="31" t="n"/>
      <c r="C127" s="38" t="n"/>
      <c r="D127" s="38" t="n"/>
      <c r="E127" s="39" t="n"/>
      <c r="F127" s="31" t="n"/>
      <c r="G127" s="31" t="n"/>
      <c r="H127" s="31" t="n"/>
      <c r="I127" s="31" t="n"/>
      <c r="J127" s="31">
        <f>IF(OR(I127="Antarctic Peninsula", I127="Nepal", I127="Lijiang Tower", I127="Busan", I127="Samoa", I127="Oasis", I127="Ilios"), "Control", IF(OR(I127="Route 66", I127="Watchpoint: Gibraltar", I127="Dorado", I127="Rialto", I127="Shambali Monastery", I127="Circuit Royal", I127="Junkertown", I127="Havana"), "Escort", IF(OR(I127="Neon Junction", I127="Numbani", I127="Midtown", I127="Blizzard World", I127="Eichenwalde", I127="King's Row", I127="Paraiso", I127="Hollywood"), "Hybrid", IF(OR(I127="New Queen Street", I127="Esperanca", I127="Colosseo", I127="Runasapi"), "Push", IF(OR(I127="New Junk City", I127="Suravasa", I127="Aatlis"), "Flashpoint", "")))))</f>
        <v/>
      </c>
      <c r="K127" s="40" t="n"/>
      <c r="L127" s="41" t="n"/>
      <c r="M127" s="31" t="n"/>
      <c r="N127" s="31" t="n"/>
      <c r="O127" s="33">
        <f>TEXT(E127, "yymmdd") &amp; "_" &amp; G127 &amp; "_" &amp; H127 &amp; "_S" &amp; D127</f>
        <v/>
      </c>
    </row>
    <row r="128">
      <c r="A128" s="37" t="n"/>
      <c r="B128" s="31" t="n"/>
      <c r="C128" s="38" t="n"/>
      <c r="D128" s="38" t="n"/>
      <c r="E128" s="39" t="n"/>
      <c r="F128" s="31" t="n"/>
      <c r="G128" s="31" t="n"/>
      <c r="H128" s="31" t="n"/>
      <c r="I128" s="31" t="n"/>
      <c r="J128" s="31">
        <f>IF(OR(I128="Antarctic Peninsula", I128="Nepal", I128="Lijiang Tower", I128="Busan", I128="Samoa", I128="Oasis", I128="Ilios"), "Control", IF(OR(I128="Route 66", I128="Watchpoint: Gibraltar", I128="Dorado", I128="Rialto", I128="Shambali Monastery", I128="Circuit Royal", I128="Junkertown", I128="Havana"), "Escort", IF(OR(I128="Neon Junction", I128="Numbani", I128="Midtown", I128="Blizzard World", I128="Eichenwalde", I128="King's Row", I128="Paraiso", I128="Hollywood"), "Hybrid", IF(OR(I128="New Queen Street", I128="Esperanca", I128="Colosseo", I128="Runasapi"), "Push", IF(OR(I128="New Junk City", I128="Suravasa", I128="Aatlis"), "Flashpoint", "")))))</f>
        <v/>
      </c>
      <c r="K128" s="40" t="n"/>
      <c r="L128" s="41" t="n"/>
      <c r="M128" s="31" t="n"/>
      <c r="N128" s="31" t="n"/>
      <c r="O128" s="33">
        <f>TEXT(E128, "yymmdd") &amp; "_" &amp; G128 &amp; "_" &amp; H128 &amp; "_S" &amp; D128</f>
        <v/>
      </c>
    </row>
    <row r="129">
      <c r="A129" s="13" t="n"/>
      <c r="B129" s="15" t="n"/>
      <c r="C129" s="0" t="n"/>
      <c r="D129" s="0" t="n"/>
      <c r="E129" s="18" t="n"/>
      <c r="F129" s="15" t="n"/>
      <c r="G129" s="15" t="n"/>
      <c r="H129" s="15" t="n"/>
      <c r="I129" s="15" t="n"/>
      <c r="J129" s="15">
        <f>IF(OR(I129="Antarctic Peninsula", I129="Nepal", I129="Lijiang Tower", I129="Busan", I129="Samoa", I129="Oasis", I129="Ilios"), "Control", IF(OR(I129="Route 66", I129="Watchpoint: Gibraltar", I129="Dorado", I129="Rialto", I129="Shambali Monastery", I129="Circuit Royal", I129="Junkertown", I129="Havana"), "Escort", IF(OR(I129="Neon Junction", I129="Numbani", I129="Midtown", I129="Blizzard World", I129="Eichenwalde", I129="King's Row", I129="Paraiso", I129="Hollywood"), "Hybrid", IF(OR(I129="New Queen Street", I129="Esperanca", I129="Colosseo", I129="Runasapi"), "Push", IF(OR(I129="New Junk City", I129="Suravasa", I129="Aatlis"), "Flashpoint", "")))))</f>
        <v/>
      </c>
      <c r="L129" s="19" t="n"/>
      <c r="M129" s="15" t="n"/>
      <c r="N129" s="15" t="n"/>
      <c r="O129" s="2">
        <f>TEXT(E129, "yymmdd") &amp; "_" &amp; G129 &amp; "_" &amp; H129 &amp; "_S" &amp; D129</f>
        <v/>
      </c>
    </row>
    <row r="130">
      <c r="A130" s="13" t="n"/>
      <c r="B130" s="15" t="n"/>
      <c r="C130" s="0" t="n"/>
      <c r="D130" s="0" t="n"/>
      <c r="E130" s="18" t="n"/>
      <c r="F130" s="15" t="n"/>
      <c r="G130" s="15" t="n"/>
      <c r="H130" s="15" t="n"/>
      <c r="I130" s="15" t="n"/>
      <c r="J130" s="15">
        <f>IF(OR(I130="Antarctic Peninsula", I130="Nepal", I130="Lijiang Tower", I130="Busan", I130="Samoa", I130="Oasis", I130="Ilios"), "Control", IF(OR(I130="Route 66", I130="Watchpoint: Gibraltar", I130="Dorado", I130="Rialto", I130="Shambali Monastery", I130="Circuit Royal", I130="Junkertown", I130="Havana"), "Escort", IF(OR(I130="Neon Junction", I130="Numbani", I130="Midtown", I130="Blizzard World", I130="Eichenwalde", I130="King's Row", I130="Paraiso", I130="Hollywood"), "Hybrid", IF(OR(I130="New Queen Street", I130="Esperanca", I130="Colosseo", I130="Runasapi"), "Push", IF(OR(I130="New Junk City", I130="Suravasa", I130="Aatlis"), "Flashpoint", "")))))</f>
        <v/>
      </c>
      <c r="L130" s="19" t="n"/>
      <c r="M130" s="15" t="n"/>
      <c r="N130" s="15" t="n"/>
      <c r="O130" s="2">
        <f>TEXT(E130, "yymmdd") &amp; "_" &amp; G130 &amp; "_" &amp; H130 &amp; "_S" &amp; D130</f>
        <v/>
      </c>
    </row>
    <row r="131">
      <c r="A131" s="13" t="n"/>
      <c r="B131" s="15" t="n"/>
      <c r="C131" s="0" t="n"/>
      <c r="D131" s="0" t="n"/>
      <c r="E131" s="18" t="n"/>
      <c r="F131" s="15" t="n"/>
      <c r="G131" s="15" t="n"/>
      <c r="H131" s="15" t="n"/>
      <c r="I131" s="15" t="n"/>
      <c r="J131" s="15">
        <f>IF(OR(I131="Antarctic Peninsula", I131="Nepal", I131="Lijiang Tower", I131="Busan", I131="Samoa", I131="Oasis", I131="Ilios"), "Control", IF(OR(I131="Route 66", I131="Watchpoint: Gibraltar", I131="Dorado", I131="Rialto", I131="Shambali Monastery", I131="Circuit Royal", I131="Junkertown", I131="Havana"), "Escort", IF(OR(I131="Neon Junction", I131="Numbani", I131="Midtown", I131="Blizzard World", I131="Eichenwalde", I131="King's Row", I131="Paraiso", I131="Hollywood"), "Hybrid", IF(OR(I131="New Queen Street", I131="Esperanca", I131="Colosseo", I131="Runasapi"), "Push", IF(OR(I131="New Junk City", I131="Suravasa", I131="Aatlis"), "Flashpoint", "")))))</f>
        <v/>
      </c>
      <c r="L131" s="14" t="n"/>
      <c r="M131" s="15" t="n"/>
      <c r="N131" s="15" t="n"/>
      <c r="O131" s="2">
        <f>TEXT(E131, "yymmdd") &amp; "_" &amp; G131 &amp; "_" &amp; H131 &amp; "_S" &amp; D131</f>
        <v/>
      </c>
    </row>
    <row r="132">
      <c r="A132" s="13" t="n"/>
      <c r="B132" s="15" t="n"/>
      <c r="C132" s="0" t="n"/>
      <c r="D132" s="0" t="n"/>
      <c r="E132" s="18" t="n"/>
      <c r="F132" s="15" t="n"/>
      <c r="G132" s="15" t="n"/>
      <c r="H132" s="15" t="n"/>
      <c r="I132" s="15" t="n"/>
      <c r="J132" s="15">
        <f>IF(OR(I132="Antarctic Peninsula", I132="Nepal", I132="Lijiang Tower", I132="Busan", I132="Samoa", I132="Oasis", I132="Ilios"), "Control", IF(OR(I132="Route 66", I132="Watchpoint: Gibraltar", I132="Dorado", I132="Rialto", I132="Shambali Monastery", I132="Circuit Royal", I132="Junkertown", I132="Havana"), "Escort", IF(OR(I132="Neon Junction", I132="Numbani", I132="Midtown", I132="Blizzard World", I132="Eichenwalde", I132="King's Row", I132="Paraiso", I132="Hollywood"), "Hybrid", IF(OR(I132="New Queen Street", I132="Esperanca", I132="Colosseo", I132="Runasapi"), "Push", IF(OR(I132="New Junk City", I132="Suravasa", I132="Aatlis"), "Flashpoint", "")))))</f>
        <v/>
      </c>
      <c r="L132" s="14" t="n"/>
      <c r="M132" s="15" t="n"/>
      <c r="N132" s="15" t="n"/>
      <c r="O132" s="2">
        <f>TEXT(E132, "yymmdd") &amp; "_" &amp; G132 &amp; "_" &amp; H132 &amp; "_S" &amp; D132</f>
        <v/>
      </c>
    </row>
    <row r="133">
      <c r="A133" s="37" t="n"/>
      <c r="B133" s="31" t="n"/>
      <c r="C133" s="38" t="n"/>
      <c r="D133" s="38" t="n"/>
      <c r="E133" s="39" t="n"/>
      <c r="F133" s="31" t="n"/>
      <c r="G133" s="31" t="n"/>
      <c r="H133" s="31" t="n"/>
      <c r="I133" s="31" t="n"/>
      <c r="J133" s="31">
        <f>IF(OR(I133="Antarctic Peninsula", I133="Nepal", I133="Lijiang Tower", I133="Busan", I133="Samoa", I133="Oasis", I133="Ilios"), "Control", IF(OR(I133="Route 66", I133="Watchpoint: Gibraltar", I133="Dorado", I133="Rialto", I133="Shambali Monastery", I133="Circuit Royal", I133="Junkertown", I133="Havana"), "Escort", IF(OR(I133="Neon Junction", I133="Numbani", I133="Midtown", I133="Blizzard World", I133="Eichenwalde", I133="King's Row", I133="Paraiso", I133="Hollywood"), "Hybrid", IF(OR(I133="New Queen Street", I133="Esperanca", I133="Colosseo", I133="Runasapi"), "Push", IF(OR(I133="New Junk City", I133="Suravasa", I133="Aatlis"), "Flashpoint", "")))))</f>
        <v/>
      </c>
      <c r="K133" s="40" t="n"/>
      <c r="L133" s="47" t="n"/>
      <c r="M133" s="31" t="n"/>
      <c r="N133" s="31" t="n"/>
      <c r="O133" s="33">
        <f>TEXT(E133, "yymmdd") &amp; "_" &amp; G133 &amp; "_" &amp; H133 &amp; "_S" &amp; D133</f>
        <v/>
      </c>
    </row>
    <row r="134">
      <c r="A134" s="37" t="n"/>
      <c r="B134" s="31" t="n"/>
      <c r="C134" s="38" t="n"/>
      <c r="D134" s="38" t="n"/>
      <c r="E134" s="39" t="n"/>
      <c r="F134" s="31" t="n"/>
      <c r="G134" s="31" t="n"/>
      <c r="H134" s="31" t="n"/>
      <c r="I134" s="31" t="n"/>
      <c r="J134" s="31">
        <f>IF(OR(I134="Antarctic Peninsula", I134="Nepal", I134="Lijiang Tower", I134="Busan", I134="Samoa", I134="Oasis", I134="Ilios"), "Control", IF(OR(I134="Route 66", I134="Watchpoint: Gibraltar", I134="Dorado", I134="Rialto", I134="Shambali Monastery", I134="Circuit Royal", I134="Junkertown", I134="Havana"), "Escort", IF(OR(I134="Neon Junction", I134="Numbani", I134="Midtown", I134="Blizzard World", I134="Eichenwalde", I134="King's Row", I134="Paraiso", I134="Hollywood"), "Hybrid", IF(OR(I134="New Queen Street", I134="Esperanca", I134="Colosseo", I134="Runasapi"), "Push", IF(OR(I134="New Junk City", I134="Suravasa", I134="Aatlis"), "Flashpoint", "")))))</f>
        <v/>
      </c>
      <c r="K134" s="40" t="n"/>
      <c r="L134" s="47" t="n"/>
      <c r="M134" s="31" t="n"/>
      <c r="N134" s="31" t="n"/>
      <c r="O134" s="33">
        <f>TEXT(E134, "yymmdd") &amp; "_" &amp; G134 &amp; "_" &amp; H134 &amp; "_S" &amp; D134</f>
        <v/>
      </c>
    </row>
    <row r="135">
      <c r="A135" s="37" t="n"/>
      <c r="B135" s="31" t="n"/>
      <c r="C135" s="38" t="n"/>
      <c r="D135" s="38" t="n"/>
      <c r="E135" s="39" t="n"/>
      <c r="F135" s="31" t="n"/>
      <c r="G135" s="31" t="n"/>
      <c r="H135" s="48" t="n"/>
      <c r="I135" s="31" t="n"/>
      <c r="J135" s="31">
        <f>IF(OR(I135="Antarctic Peninsula", I135="Nepal", I135="Lijiang Tower", I135="Busan", I135="Samoa", I135="Oasis", I135="Ilios"), "Control", IF(OR(I135="Route 66", I135="Watchpoint: Gibraltar", I135="Dorado", I135="Rialto", I135="Shambali Monastery", I135="Circuit Royal", I135="Junkertown", I135="Havana"), "Escort", IF(OR(I135="Neon Junction", I135="Numbani", I135="Midtown", I135="Blizzard World", I135="Eichenwalde", I135="King's Row", I135="Paraiso", I135="Hollywood"), "Hybrid", IF(OR(I135="New Queen Street", I135="Esperanca", I135="Colosseo", I135="Runasapi"), "Push", IF(OR(I135="New Junk City", I135="Suravasa", I135="Aatlis"), "Flashpoint", "")))))</f>
        <v/>
      </c>
      <c r="K135" s="40" t="n"/>
      <c r="L135" s="47" t="n"/>
      <c r="M135" s="31" t="n"/>
      <c r="N135" s="31" t="n"/>
      <c r="O135" s="33">
        <f>TEXT(E135, "yymmdd") &amp; "_" &amp; G135 &amp; "_" &amp; H135 &amp; "_S" &amp; D135</f>
        <v/>
      </c>
    </row>
    <row r="136">
      <c r="A136" s="13" t="n"/>
      <c r="B136" s="15" t="n"/>
      <c r="C136" s="0" t="n"/>
      <c r="D136" s="0" t="n"/>
      <c r="E136" s="18" t="n"/>
      <c r="F136" s="15" t="n"/>
      <c r="G136" s="15" t="n"/>
      <c r="H136" s="20" t="n"/>
      <c r="I136" s="15" t="n"/>
      <c r="J136" s="15">
        <f>IF(OR(I136="Antarctic Peninsula", I136="Nepal", I136="Lijiang Tower", I136="Busan", I136="Samoa", I136="Oasis", I136="Ilios"), "Control", IF(OR(I136="Route 66", I136="Watchpoint: Gibraltar", I136="Dorado", I136="Rialto", I136="Shambali Monastery", I136="Circuit Royal", I136="Junkertown", I136="Havana"), "Escort", IF(OR(I136="Neon Junction", I136="Numbani", I136="Midtown", I136="Blizzard World", I136="Eichenwalde", I136="King's Row", I136="Paraiso", I136="Hollywood"), "Hybrid", IF(OR(I136="New Queen Street", I136="Esperanca", I136="Colosseo", I136="Runasapi"), "Push", IF(OR(I136="New Junk City", I136="Suravasa", I136="Aatlis"), "Flashpoint", "")))))</f>
        <v/>
      </c>
      <c r="L136" s="14" t="n"/>
      <c r="M136" s="15" t="n"/>
      <c r="N136" s="15" t="n"/>
      <c r="O136" s="2">
        <f>TEXT(E136, "yymmdd") &amp; "_" &amp; G136 &amp; "_" &amp; H136 &amp; "_S" &amp; D136</f>
        <v/>
      </c>
    </row>
    <row r="137">
      <c r="A137" s="13" t="n"/>
      <c r="B137" s="15" t="n"/>
      <c r="C137" s="0" t="n"/>
      <c r="D137" s="0" t="n"/>
      <c r="E137" s="18" t="n"/>
      <c r="F137" s="15" t="n"/>
      <c r="G137" s="15" t="n"/>
      <c r="H137" s="20" t="n"/>
      <c r="I137" s="15" t="n"/>
      <c r="J137" s="15">
        <f>IF(OR(I137="Antarctic Peninsula", I137="Nepal", I137="Lijiang Tower", I137="Busan", I137="Samoa", I137="Oasis", I137="Ilios"), "Control", IF(OR(I137="Route 66", I137="Watchpoint: Gibraltar", I137="Dorado", I137="Rialto", I137="Shambali Monastery", I137="Circuit Royal", I137="Junkertown", I137="Havana"), "Escort", IF(OR(I137="Neon Junction", I137="Numbani", I137="Midtown", I137="Blizzard World", I137="Eichenwalde", I137="King's Row", I137="Paraiso", I137="Hollywood"), "Hybrid", IF(OR(I137="New Queen Street", I137="Esperanca", I137="Colosseo", I137="Runasapi"), "Push", IF(OR(I137="New Junk City", I137="Suravasa", I137="Aatlis"), "Flashpoint", "")))))</f>
        <v/>
      </c>
      <c r="L137" s="14" t="n"/>
      <c r="M137" s="15" t="n"/>
      <c r="N137" s="0" t="n"/>
      <c r="O137" s="2">
        <f>TEXT(E137, "yymmdd") &amp; "_" &amp; G137 &amp; "_" &amp; H137 &amp; "_S" &amp; D137</f>
        <v/>
      </c>
    </row>
    <row r="138">
      <c r="A138" s="13" t="n"/>
      <c r="B138" s="15" t="n"/>
      <c r="C138" s="0" t="n"/>
      <c r="D138" s="0" t="n"/>
      <c r="E138" s="18" t="n"/>
      <c r="F138" s="15" t="n"/>
      <c r="G138" s="15" t="n"/>
      <c r="H138" s="20" t="n"/>
      <c r="I138" s="15" t="n"/>
      <c r="J138" s="15">
        <f>IF(OR(I138="Antarctic Peninsula", I138="Nepal", I138="Lijiang Tower", I138="Busan", I138="Samoa", I138="Oasis", I138="Ilios"), "Control", IF(OR(I138="Route 66", I138="Watchpoint: Gibraltar", I138="Dorado", I138="Rialto", I138="Shambali Monastery", I138="Circuit Royal", I138="Junkertown", I138="Havana"), "Escort", IF(OR(I138="Neon Junction", I138="Numbani", I138="Midtown", I138="Blizzard World", I138="Eichenwalde", I138="King's Row", I138="Paraiso", I138="Hollywood"), "Hybrid", IF(OR(I138="New Queen Street", I138="Esperanca", I138="Colosseo", I138="Runasapi"), "Push", IF(OR(I138="New Junk City", I138="Suravasa", I138="Aatlis"), "Flashpoint", "")))))</f>
        <v/>
      </c>
      <c r="L138" s="14" t="n"/>
      <c r="M138" s="15" t="n"/>
      <c r="N138" s="0" t="n"/>
      <c r="O138" s="2">
        <f>TEXT(E138, "yymmdd") &amp; "_" &amp; G138 &amp; "_" &amp; H138 &amp; "_S" &amp; D138</f>
        <v/>
      </c>
    </row>
    <row r="139">
      <c r="A139" s="37" t="n"/>
      <c r="B139" s="31" t="n"/>
      <c r="C139" s="38" t="n"/>
      <c r="D139" s="38" t="n"/>
      <c r="E139" s="39" t="n"/>
      <c r="F139" s="31" t="n"/>
      <c r="G139" s="31" t="n"/>
      <c r="H139" s="48" t="n"/>
      <c r="I139" s="31" t="n"/>
      <c r="J139" s="31">
        <f>IF(OR(I139="Antarctic Peninsula", I139="Nepal", I139="Lijiang Tower", I139="Busan", I139="Samoa", I139="Oasis", I139="Ilios"), "Control", IF(OR(I139="Route 66", I139="Watchpoint: Gibraltar", I139="Dorado", I139="Rialto", I139="Shambali Monastery", I139="Circuit Royal", I139="Junkertown", I139="Havana"), "Escort", IF(OR(I139="Neon Junction", I139="Numbani", I139="Midtown", I139="Blizzard World", I139="Eichenwalde", I139="King's Row", I139="Paraiso", I139="Hollywood"), "Hybrid", IF(OR(I139="New Queen Street", I139="Esperanca", I139="Colosseo", I139="Runasapi"), "Push", IF(OR(I139="New Junk City", I139="Suravasa", I139="Aatlis"), "Flashpoint", "")))))</f>
        <v/>
      </c>
      <c r="K139" s="40" t="n"/>
      <c r="L139" s="47" t="n"/>
      <c r="M139" s="31" t="n"/>
      <c r="N139" s="38" t="n"/>
      <c r="O139" s="33">
        <f>TEXT(E139, "yymmdd") &amp; "_" &amp; G139 &amp; "_" &amp; H139 &amp; "_S" &amp; D139</f>
        <v/>
      </c>
    </row>
    <row r="140">
      <c r="A140" s="37" t="n"/>
      <c r="B140" s="31" t="n"/>
      <c r="C140" s="38" t="n"/>
      <c r="D140" s="38" t="n"/>
      <c r="E140" s="39" t="n"/>
      <c r="F140" s="31" t="n"/>
      <c r="G140" s="31" t="n"/>
      <c r="H140" s="48" t="n"/>
      <c r="I140" s="31" t="n"/>
      <c r="J140" s="31">
        <f>IF(OR(I140="Antarctic Peninsula", I140="Nepal", I140="Lijiang Tower", I140="Busan", I140="Samoa", I140="Oasis", I140="Ilios"), "Control", IF(OR(I140="Route 66", I140="Watchpoint: Gibraltar", I140="Dorado", I140="Rialto", I140="Shambali Monastery", I140="Circuit Royal", I140="Junkertown", I140="Havana"), "Escort", IF(OR(I140="Neon Junction", I140="Numbani", I140="Midtown", I140="Blizzard World", I140="Eichenwalde", I140="King's Row", I140="Paraiso", I140="Hollywood"), "Hybrid", IF(OR(I140="New Queen Street", I140="Esperanca", I140="Colosseo", I140="Runasapi"), "Push", IF(OR(I140="New Junk City", I140="Suravasa", I140="Aatlis"), "Flashpoint", "")))))</f>
        <v/>
      </c>
      <c r="K140" s="40" t="n"/>
      <c r="L140" s="47" t="n"/>
      <c r="M140" s="31" t="n"/>
      <c r="N140" s="38" t="n"/>
      <c r="O140" s="33">
        <f>TEXT(E140, "yymmdd") &amp; "_" &amp; G140 &amp; "_" &amp; H140 &amp; "_S" &amp; D140</f>
        <v/>
      </c>
    </row>
    <row r="141">
      <c r="A141" s="37" t="n"/>
      <c r="B141" s="31" t="n"/>
      <c r="C141" s="38" t="n"/>
      <c r="D141" s="38" t="n"/>
      <c r="E141" s="39" t="n"/>
      <c r="F141" s="31" t="n"/>
      <c r="G141" s="31" t="n"/>
      <c r="H141" s="48" t="n"/>
      <c r="I141" s="31" t="n"/>
      <c r="J141" s="31">
        <f>IF(OR(I141="Antarctic Peninsula", I141="Nepal", I141="Lijiang Tower", I141="Busan", I141="Samoa", I141="Oasis", I141="Ilios"), "Control", IF(OR(I141="Route 66", I141="Watchpoint: Gibraltar", I141="Dorado", I141="Rialto", I141="Shambali Monastery", I141="Circuit Royal", I141="Junkertown", I141="Havana"), "Escort", IF(OR(I141="Neon Junction", I141="Numbani", I141="Midtown", I141="Blizzard World", I141="Eichenwalde", I141="King's Row", I141="Paraiso", I141="Hollywood"), "Hybrid", IF(OR(I141="New Queen Street", I141="Esperanca", I141="Colosseo", I141="Runasapi"), "Push", IF(OR(I141="New Junk City", I141="Suravasa", I141="Aatlis"), "Flashpoint", "")))))</f>
        <v/>
      </c>
      <c r="K141" s="40" t="n"/>
      <c r="L141" s="47" t="n"/>
      <c r="M141" s="31" t="n"/>
      <c r="N141" s="38" t="n"/>
      <c r="O141" s="33">
        <f>TEXT(E141, "yymmdd") &amp; "_" &amp; G141 &amp; "_" &amp; H141 &amp; "_S" &amp; D141</f>
        <v/>
      </c>
    </row>
    <row r="142">
      <c r="A142" s="37" t="n"/>
      <c r="B142" s="31" t="n"/>
      <c r="C142" s="38" t="n"/>
      <c r="D142" s="38" t="n"/>
      <c r="E142" s="39" t="n"/>
      <c r="F142" s="38" t="n"/>
      <c r="G142" s="31" t="n"/>
      <c r="H142" s="48" t="n"/>
      <c r="I142" s="31" t="n"/>
      <c r="J142" s="31">
        <f>IF(OR(I142="Antarctic Peninsula", I142="Nepal", I142="Lijiang Tower", I142="Busan", I142="Samoa", I142="Oasis", I142="Ilios"), "Control", IF(OR(I142="Route 66", I142="Watchpoint: Gibraltar", I142="Dorado", I142="Rialto", I142="Shambali Monastery", I142="Circuit Royal", I142="Junkertown", I142="Havana"), "Escort", IF(OR(I142="Neon Junction", I142="Numbani", I142="Midtown", I142="Blizzard World", I142="Eichenwalde", I142="King's Row", I142="Paraiso", I142="Hollywood"), "Hybrid", IF(OR(I142="New Queen Street", I142="Esperanca", I142="Colosseo", I142="Runasapi"), "Push", IF(OR(I142="New Junk City", I142="Suravasa", I142="Aatlis"), "Flashpoint", "")))))</f>
        <v/>
      </c>
      <c r="K142" s="40" t="n"/>
      <c r="L142" s="47" t="n"/>
      <c r="M142" s="31" t="n"/>
      <c r="N142" s="38" t="n"/>
      <c r="O142" s="33">
        <f>TEXT(E142, "yymmdd") &amp; "_" &amp; G142 &amp; "_" &amp; H142 &amp; "_S" &amp; D142</f>
        <v/>
      </c>
    </row>
    <row r="143">
      <c r="A143" s="13" t="n"/>
      <c r="B143" s="15" t="n"/>
      <c r="C143" s="0" t="n"/>
      <c r="D143" s="0" t="n"/>
      <c r="E143" s="18" t="n"/>
      <c r="F143" s="15" t="n"/>
      <c r="G143" s="15" t="n"/>
      <c r="H143" s="20" t="n"/>
      <c r="I143" s="15" t="n"/>
      <c r="J143" s="15">
        <f>IF(OR(I143="Antarctic Peninsula", I143="Nepal", I143="Lijiang Tower", I143="Busan", I143="Samoa", I143="Oasis", I143="Ilios"), "Control", IF(OR(I143="Route 66", I143="Watchpoint: Gibraltar", I143="Dorado", I143="Rialto", I143="Shambali Monastery", I143="Circuit Royal", I143="Junkertown", I143="Havana"), "Escort", IF(OR(I143="Neon Junction", I143="Numbani", I143="Midtown", I143="Blizzard World", I143="Eichenwalde", I143="King's Row", I143="Paraiso", I143="Hollywood"), "Hybrid", IF(OR(I143="New Queen Street", I143="Esperanca", I143="Colosseo", I143="Runasapi"), "Push", IF(OR(I143="New Junk City", I143="Suravasa", I143="Aatlis"), "Flashpoint", "")))))</f>
        <v/>
      </c>
      <c r="L143" s="14" t="n"/>
      <c r="M143" s="15" t="n"/>
      <c r="N143" s="0" t="n"/>
      <c r="O143" s="2">
        <f>TEXT(E143, "yymmdd") &amp; "_" &amp; G143 &amp; "_" &amp; H143 &amp; "_S" &amp; D143</f>
        <v/>
      </c>
    </row>
    <row r="144">
      <c r="A144" s="13" t="n"/>
      <c r="B144" s="15" t="n"/>
      <c r="C144" s="0" t="n"/>
      <c r="D144" s="0" t="n"/>
      <c r="E144" s="18" t="n"/>
      <c r="F144" s="15" t="n"/>
      <c r="G144" s="15" t="n"/>
      <c r="H144" s="20" t="n"/>
      <c r="I144" s="15" t="n"/>
      <c r="J144" s="15">
        <f>IF(OR(I144="Antarctic Peninsula", I144="Nepal", I144="Lijiang Tower", I144="Busan", I144="Samoa", I144="Oasis", I144="Ilios"), "Control", IF(OR(I144="Route 66", I144="Watchpoint: Gibraltar", I144="Dorado", I144="Rialto", I144="Shambali Monastery", I144="Circuit Royal", I144="Junkertown", I144="Havana"), "Escort", IF(OR(I144="Neon Junction", I144="Numbani", I144="Midtown", I144="Blizzard World", I144="Eichenwalde", I144="King's Row", I144="Paraiso", I144="Hollywood"), "Hybrid", IF(OR(I144="New Queen Street", I144="Esperanca", I144="Colosseo", I144="Runasapi"), "Push", IF(OR(I144="New Junk City", I144="Suravasa", I144="Aatlis"), "Flashpoint", "")))))</f>
        <v/>
      </c>
      <c r="L144" s="14" t="n"/>
      <c r="M144" s="15" t="n"/>
      <c r="N144" s="0" t="n"/>
      <c r="O144" s="2">
        <f>TEXT(E144, "yymmdd") &amp; "_" &amp; G144 &amp; "_" &amp; H144 &amp; "_S" &amp; D144</f>
        <v/>
      </c>
    </row>
    <row r="145">
      <c r="A145" s="13" t="n"/>
      <c r="B145" s="15" t="n"/>
      <c r="C145" s="0" t="n"/>
      <c r="D145" s="0" t="n"/>
      <c r="E145" s="18" t="n"/>
      <c r="F145" s="15" t="n"/>
      <c r="G145" s="15" t="n"/>
      <c r="H145" s="20" t="n"/>
      <c r="I145" s="15" t="n"/>
      <c r="J145" s="15">
        <f>IF(OR(I145="Antarctic Peninsula", I145="Nepal", I145="Lijiang Tower", I145="Busan", I145="Samoa", I145="Oasis", I145="Ilios"), "Control", IF(OR(I145="Route 66", I145="Watchpoint: Gibraltar", I145="Dorado", I145="Rialto", I145="Shambali Monastery", I145="Circuit Royal", I145="Junkertown", I145="Havana"), "Escort", IF(OR(I145="Neon Junction", I145="Numbani", I145="Midtown", I145="Blizzard World", I145="Eichenwalde", I145="King's Row", I145="Paraiso", I145="Hollywood"), "Hybrid", IF(OR(I145="New Queen Street", I145="Esperanca", I145="Colosseo", I145="Runasapi"), "Push", IF(OR(I145="New Junk City", I145="Suravasa", I145="Aatlis"), "Flashpoint", "")))))</f>
        <v/>
      </c>
      <c r="L145" s="14" t="n"/>
      <c r="M145" s="15" t="n"/>
      <c r="N145" s="0" t="n"/>
      <c r="O145" s="2">
        <f>TEXT(E145, "yymmdd") &amp; "_" &amp; G145 &amp; "_" &amp; H145 &amp; "_S" &amp; D145</f>
        <v/>
      </c>
    </row>
    <row r="146">
      <c r="A146" s="13" t="n"/>
      <c r="B146" s="15" t="n"/>
      <c r="C146" s="0" t="n"/>
      <c r="D146" s="0" t="n"/>
      <c r="E146" s="18" t="n"/>
      <c r="F146" s="15" t="n"/>
      <c r="G146" s="15" t="n"/>
      <c r="H146" s="20" t="n"/>
      <c r="I146" s="15" t="n"/>
      <c r="J146" s="15">
        <f>IF(OR(I146="Antarctic Peninsula", I146="Nepal", I146="Lijiang Tower", I146="Busan", I146="Samoa", I146="Oasis", I146="Ilios"), "Control", IF(OR(I146="Route 66", I146="Watchpoint: Gibraltar", I146="Dorado", I146="Rialto", I146="Shambali Monastery", I146="Circuit Royal", I146="Junkertown", I146="Havana"), "Escort", IF(OR(I146="Neon Junction", I146="Numbani", I146="Midtown", I146="Blizzard World", I146="Eichenwalde", I146="King's Row", I146="Paraiso", I146="Hollywood"), "Hybrid", IF(OR(I146="New Queen Street", I146="Esperanca", I146="Colosseo", I146="Runasapi"), "Push", IF(OR(I146="New Junk City", I146="Suravasa", I146="Aatlis"), "Flashpoint", "")))))</f>
        <v/>
      </c>
      <c r="L146" s="14" t="n"/>
      <c r="M146" s="15" t="n"/>
      <c r="N146" s="0" t="n"/>
      <c r="O146" s="2">
        <f>TEXT(E146, "yymmdd") &amp; "_" &amp; G146 &amp; "_" &amp; H146 &amp; "_S" &amp; D146</f>
        <v/>
      </c>
    </row>
    <row r="147">
      <c r="A147" s="13" t="n"/>
      <c r="B147" s="15" t="n"/>
      <c r="C147" s="0" t="n"/>
      <c r="D147" s="0" t="n"/>
      <c r="E147" s="18" t="n"/>
      <c r="F147" s="15" t="n"/>
      <c r="G147" s="15" t="n"/>
      <c r="H147" s="20" t="n"/>
      <c r="I147" s="15" t="n"/>
      <c r="J147" s="15">
        <f>IF(OR(I147="Antarctic Peninsula", I147="Nepal", I147="Lijiang Tower", I147="Busan", I147="Samoa", I147="Oasis", I147="Ilios"), "Control", IF(OR(I147="Route 66", I147="Watchpoint: Gibraltar", I147="Dorado", I147="Rialto", I147="Shambali Monastery", I147="Circuit Royal", I147="Junkertown", I147="Havana"), "Escort", IF(OR(I147="Neon Junction", I147="Numbani", I147="Midtown", I147="Blizzard World", I147="Eichenwalde", I147="King's Row", I147="Paraiso", I147="Hollywood"), "Hybrid", IF(OR(I147="New Queen Street", I147="Esperanca", I147="Colosseo", I147="Runasapi"), "Push", IF(OR(I147="New Junk City", I147="Suravasa", I147="Aatlis"), "Flashpoint", "")))))</f>
        <v/>
      </c>
      <c r="L147" s="14" t="n"/>
      <c r="M147" s="15" t="n"/>
      <c r="N147" s="0" t="n"/>
      <c r="O147" s="2">
        <f>TEXT(E147, "yymmdd") &amp; "_" &amp; G147 &amp; "_" &amp; H147 &amp; "_S" &amp; D147</f>
        <v/>
      </c>
    </row>
    <row r="148">
      <c r="A148" s="37" t="n"/>
      <c r="B148" s="31" t="n"/>
      <c r="C148" s="38" t="n"/>
      <c r="D148" s="38" t="n"/>
      <c r="E148" s="39" t="n"/>
      <c r="F148" s="31" t="n"/>
      <c r="G148" s="31" t="n"/>
      <c r="H148" s="48" t="n"/>
      <c r="I148" s="31" t="n"/>
      <c r="J148" s="31">
        <f>IF(OR(I148="Antarctic Peninsula", I148="Nepal", I148="Lijiang Tower", I148="Busan", I148="Samoa", I148="Oasis", I148="Ilios"), "Control", IF(OR(I148="Route 66", I148="Watchpoint: Gibraltar", I148="Dorado", I148="Rialto", I148="Shambali Monastery", I148="Circuit Royal", I148="Junkertown", I148="Havana"), "Escort", IF(OR(I148="Neon Junction", I148="Numbani", I148="Midtown", I148="Blizzard World", I148="Eichenwalde", I148="King's Row", I148="Paraiso", I148="Hollywood"), "Hybrid", IF(OR(I148="New Queen Street", I148="Esperanca", I148="Colosseo", I148="Runasapi"), "Push", IF(OR(I148="New Junk City", I148="Suravasa", I148="Aatlis"), "Flashpoint", "")))))</f>
        <v/>
      </c>
      <c r="K148" s="40" t="n"/>
      <c r="L148" s="47" t="n"/>
      <c r="M148" s="31" t="n"/>
      <c r="N148" s="38" t="n"/>
      <c r="O148" s="33">
        <f>TEXT(E148, "yymmdd") &amp; "_" &amp; G148 &amp; "_" &amp; H148 &amp; "_S" &amp; D148</f>
        <v/>
      </c>
    </row>
    <row r="149">
      <c r="A149" s="37" t="n"/>
      <c r="B149" s="31" t="n"/>
      <c r="C149" s="38" t="n"/>
      <c r="D149" s="38" t="n"/>
      <c r="E149" s="39" t="n"/>
      <c r="F149" s="31" t="n"/>
      <c r="G149" s="31" t="n"/>
      <c r="H149" s="48" t="n"/>
      <c r="I149" s="31" t="n"/>
      <c r="J149" s="31">
        <f>IF(OR(I149="Antarctic Peninsula", I149="Nepal", I149="Lijiang Tower", I149="Busan", I149="Samoa", I149="Oasis", I149="Ilios"), "Control", IF(OR(I149="Route 66", I149="Watchpoint: Gibraltar", I149="Dorado", I149="Rialto", I149="Shambali Monastery", I149="Circuit Royal", I149="Junkertown", I149="Havana"), "Escort", IF(OR(I149="Neon Junction", I149="Numbani", I149="Midtown", I149="Blizzard World", I149="Eichenwalde", I149="King's Row", I149="Paraiso", I149="Hollywood"), "Hybrid", IF(OR(I149="New Queen Street", I149="Esperanca", I149="Colosseo", I149="Runasapi"), "Push", IF(OR(I149="New Junk City", I149="Suravasa", I149="Aatlis"), "Flashpoint", "")))))</f>
        <v/>
      </c>
      <c r="K149" s="40" t="n"/>
      <c r="L149" s="47" t="n"/>
      <c r="M149" s="31" t="n"/>
      <c r="N149" s="38" t="n"/>
      <c r="O149" s="33">
        <f>TEXT(E149, "yymmdd") &amp; "_" &amp; G149 &amp; "_" &amp; H149 &amp; "_S" &amp; D149</f>
        <v/>
      </c>
    </row>
    <row r="150">
      <c r="A150" s="37" t="n"/>
      <c r="B150" s="31" t="n"/>
      <c r="C150" s="38" t="n"/>
      <c r="D150" s="38" t="n"/>
      <c r="E150" s="39" t="n"/>
      <c r="F150" s="31" t="n"/>
      <c r="G150" s="31" t="n"/>
      <c r="H150" s="48" t="n"/>
      <c r="I150" s="31" t="n"/>
      <c r="J150" s="31">
        <f>IF(OR(I150="Antarctic Peninsula", I150="Nepal", I150="Lijiang Tower", I150="Busan", I150="Samoa", I150="Oasis", I150="Ilios"), "Control", IF(OR(I150="Route 66", I150="Watchpoint: Gibraltar", I150="Dorado", I150="Rialto", I150="Shambali Monastery", I150="Circuit Royal", I150="Junkertown", I150="Havana"), "Escort", IF(OR(I150="Neon Junction", I150="Numbani", I150="Midtown", I150="Blizzard World", I150="Eichenwalde", I150="King's Row", I150="Paraiso", I150="Hollywood"), "Hybrid", IF(OR(I150="New Queen Street", I150="Esperanca", I150="Colosseo", I150="Runasapi"), "Push", IF(OR(I150="New Junk City", I150="Suravasa", I150="Aatlis"), "Flashpoint", "")))))</f>
        <v/>
      </c>
      <c r="K150" s="40" t="n"/>
      <c r="L150" s="47" t="n"/>
      <c r="M150" s="31" t="n"/>
      <c r="N150" s="38" t="n"/>
      <c r="O150" s="33">
        <f>TEXT(E150, "yymmdd") &amp; "_" &amp; G150 &amp; "_" &amp; H150 &amp; "_S" &amp; D150</f>
        <v/>
      </c>
    </row>
    <row r="151">
      <c r="A151" s="37" t="n"/>
      <c r="B151" s="31" t="n"/>
      <c r="C151" s="38" t="n"/>
      <c r="D151" s="38" t="n"/>
      <c r="E151" s="39" t="n"/>
      <c r="F151" s="31" t="n"/>
      <c r="G151" s="31" t="n"/>
      <c r="H151" s="48" t="n"/>
      <c r="I151" s="31" t="n"/>
      <c r="J151" s="31">
        <f>IF(OR(I151="Antarctic Peninsula", I151="Nepal", I151="Lijiang Tower", I151="Busan", I151="Samoa", I151="Oasis", I151="Ilios"), "Control", IF(OR(I151="Route 66", I151="Watchpoint: Gibraltar", I151="Dorado", I151="Rialto", I151="Shambali Monastery", I151="Circuit Royal", I151="Junkertown", I151="Havana"), "Escort", IF(OR(I151="Neon Junction", I151="Numbani", I151="Midtown", I151="Blizzard World", I151="Eichenwalde", I151="King's Row", I151="Paraiso", I151="Hollywood"), "Hybrid", IF(OR(I151="New Queen Street", I151="Esperanca", I151="Colosseo", I151="Runasapi"), "Push", IF(OR(I151="New Junk City", I151="Suravasa", I151="Aatlis"), "Flashpoint", "")))))</f>
        <v/>
      </c>
      <c r="K151" s="40" t="n"/>
      <c r="L151" s="47" t="n"/>
      <c r="M151" s="31" t="n"/>
      <c r="N151" s="38" t="n"/>
      <c r="O151" s="33">
        <f>TEXT(E151, "yymmdd") &amp; "_" &amp; G151 &amp; "_" &amp; H151 &amp; "_S" &amp; D151</f>
        <v/>
      </c>
    </row>
    <row r="152">
      <c r="A152" s="13" t="n"/>
      <c r="B152" s="15" t="n"/>
      <c r="C152" s="0" t="n"/>
      <c r="D152" s="0" t="n"/>
      <c r="E152" s="18" t="n"/>
      <c r="F152" s="0" t="n"/>
      <c r="G152" s="15" t="n"/>
      <c r="H152" s="20" t="n"/>
      <c r="I152" s="15" t="n"/>
      <c r="J152" s="15">
        <f>IF(OR(I152="Antarctic Peninsula", I152="Nepal", I152="Lijiang Tower", I152="Busan", I152="Samoa", I152="Oasis", I152="Ilios"), "Control", IF(OR(I152="Route 66", I152="Watchpoint: Gibraltar", I152="Dorado", I152="Rialto", I152="Shambali Monastery", I152="Circuit Royal", I152="Junkertown", I152="Havana"), "Escort", IF(OR(I152="Neon Junction", I152="Numbani", I152="Midtown", I152="Blizzard World", I152="Eichenwalde", I152="King's Row", I152="Paraiso", I152="Hollywood"), "Hybrid", IF(OR(I152="New Queen Street", I152="Esperanca", I152="Colosseo", I152="Runasapi"), "Push", IF(OR(I152="New Junk City", I152="Suravasa", I152="Aatlis"), "Flashpoint", "")))))</f>
        <v/>
      </c>
      <c r="L152" s="14" t="n"/>
      <c r="M152" s="15" t="n"/>
      <c r="N152" s="0" t="n"/>
      <c r="O152" s="2">
        <f>TEXT(E152, "yymmdd") &amp; "_" &amp; G152 &amp; "_" &amp; H152 &amp; "_S" &amp; D152</f>
        <v/>
      </c>
    </row>
    <row r="153">
      <c r="A153" s="13" t="n"/>
      <c r="B153" s="15" t="n"/>
      <c r="C153" s="0" t="n"/>
      <c r="D153" s="0" t="n"/>
      <c r="E153" s="18" t="n"/>
      <c r="F153" s="0" t="n"/>
      <c r="G153" s="15" t="n"/>
      <c r="H153" s="20" t="n"/>
      <c r="I153" s="15" t="n"/>
      <c r="J153" s="15">
        <f>IF(OR(I153="Antarctic Peninsula", I153="Nepal", I153="Lijiang Tower", I153="Busan", I153="Samoa", I153="Oasis", I153="Ilios"), "Control", IF(OR(I153="Route 66", I153="Watchpoint: Gibraltar", I153="Dorado", I153="Rialto", I153="Shambali Monastery", I153="Circuit Royal", I153="Junkertown", I153="Havana"), "Escort", IF(OR(I153="Neon Junction", I153="Numbani", I153="Midtown", I153="Blizzard World", I153="Eichenwalde", I153="King's Row", I153="Paraiso", I153="Hollywood"), "Hybrid", IF(OR(I153="New Queen Street", I153="Esperanca", I153="Colosseo", I153="Runasapi"), "Push", IF(OR(I153="New Junk City", I153="Suravasa", I153="Aatlis"), "Flashpoint", "")))))</f>
        <v/>
      </c>
      <c r="L153" s="14" t="n"/>
      <c r="M153" s="15" t="n"/>
      <c r="N153" s="0" t="n"/>
      <c r="O153" s="2">
        <f>TEXT(E153, "yymmdd") &amp; "_" &amp; G153 &amp; "_" &amp; H153 &amp; "_S" &amp; D153</f>
        <v/>
      </c>
    </row>
    <row r="154">
      <c r="A154" s="13" t="n"/>
      <c r="B154" s="15" t="n"/>
      <c r="C154" s="0" t="n"/>
      <c r="D154" s="0" t="n"/>
      <c r="E154" s="18" t="n"/>
      <c r="F154" s="0" t="n"/>
      <c r="G154" s="15" t="n"/>
      <c r="H154" s="20" t="n"/>
      <c r="I154" s="15" t="n"/>
      <c r="J154" s="15">
        <f>IF(OR(I154="Antarctic Peninsula", I154="Nepal", I154="Lijiang Tower", I154="Busan", I154="Samoa", I154="Oasis", I154="Ilios"), "Control", IF(OR(I154="Route 66", I154="Watchpoint: Gibraltar", I154="Dorado", I154="Rialto", I154="Shambali Monastery", I154="Circuit Royal", I154="Junkertown", I154="Havana"), "Escort", IF(OR(I154="Neon Junction", I154="Numbani", I154="Midtown", I154="Blizzard World", I154="Eichenwalde", I154="King's Row", I154="Paraiso", I154="Hollywood"), "Hybrid", IF(OR(I154="New Queen Street", I154="Esperanca", I154="Colosseo", I154="Runasapi"), "Push", IF(OR(I154="New Junk City", I154="Suravasa", I154="Aatlis"), "Flashpoint", "")))))</f>
        <v/>
      </c>
      <c r="L154" s="14" t="n"/>
      <c r="M154" s="15" t="n"/>
      <c r="N154" s="0" t="n"/>
      <c r="O154" s="2">
        <f>TEXT(E154, "yymmdd") &amp; "_" &amp; G154 &amp; "_" &amp; H154 &amp; "_S" &amp; D154</f>
        <v/>
      </c>
    </row>
    <row r="155">
      <c r="A155" s="13" t="n"/>
      <c r="B155" s="15" t="n"/>
      <c r="C155" s="0" t="n"/>
      <c r="D155" s="0" t="n"/>
      <c r="E155" s="18" t="n"/>
      <c r="F155" s="1" t="n"/>
      <c r="G155" s="13" t="n"/>
      <c r="H155" s="1" t="n"/>
      <c r="I155" s="15" t="n"/>
      <c r="J155" s="15">
        <f>IF(OR(I155="Antarctic Peninsula", I155="Nepal", I155="Lijiang Tower", I155="Busan", I155="Samoa", I155="Oasis", I155="Ilios"), "Control", IF(OR(I155="Route 66", I155="Watchpoint: Gibraltar", I155="Dorado", I155="Rialto", I155="Shambali Monastery", I155="Circuit Royal", I155="Junkertown", I155="Havana"), "Escort", IF(OR(I155="Neon Junction", I155="Numbani", I155="Midtown", I155="Blizzard World", I155="Eichenwalde", I155="King's Row", I155="Paraiso", I155="Hollywood"), "Hybrid", IF(OR(I155="New Queen Street", I155="Esperanca", I155="Colosseo", I155="Runasapi"), "Push", IF(OR(I155="New Junk City", I155="Suravasa", I155="Aatlis"), "Flashpoint", "")))))</f>
        <v/>
      </c>
      <c r="L155" s="14" t="n"/>
      <c r="M155" s="15" t="n"/>
      <c r="N155" s="0" t="n"/>
      <c r="O155" s="2">
        <f>TEXT(E155, "yymmdd") &amp; "_" &amp; G155 &amp; "_" &amp; H155 &amp; "_S" &amp; D155</f>
        <v/>
      </c>
    </row>
    <row r="156">
      <c r="A156" s="37" t="n"/>
      <c r="B156" s="31" t="n"/>
      <c r="C156" s="38" t="n"/>
      <c r="D156" s="38" t="n"/>
      <c r="E156" s="39" t="n"/>
      <c r="F156" s="38" t="n"/>
      <c r="G156" s="31" t="n"/>
      <c r="H156" s="48" t="n"/>
      <c r="I156" s="31" t="n"/>
      <c r="J156" s="31">
        <f>IF(OR(I156="Antarctic Peninsula", I156="Nepal", I156="Lijiang Tower", I156="Busan", I156="Samoa", I156="Oasis", I156="Ilios"), "Control", IF(OR(I156="Route 66", I156="Watchpoint: Gibraltar", I156="Dorado", I156="Rialto", I156="Shambali Monastery", I156="Circuit Royal", I156="Junkertown", I156="Havana"), "Escort", IF(OR(I156="Neon Junction", I156="Numbani", I156="Midtown", I156="Blizzard World", I156="Eichenwalde", I156="King's Row", I156="Paraiso", I156="Hollywood"), "Hybrid", IF(OR(I156="New Queen Street", I156="Esperanca", I156="Colosseo", I156="Runasapi"), "Push", IF(OR(I156="New Junk City", I156="Suravasa", I156="Aatlis"), "Flashpoint", "")))))</f>
        <v/>
      </c>
      <c r="K156" s="40" t="n"/>
      <c r="L156" s="48" t="n"/>
      <c r="M156" s="48" t="n"/>
      <c r="N156" s="48" t="n"/>
      <c r="O156" s="33">
        <f>TEXT(E156, "yymmdd") &amp; "_" &amp; G156 &amp; "_" &amp; H156 &amp; "_S" &amp; D156</f>
        <v/>
      </c>
    </row>
    <row r="157">
      <c r="A157" s="37" t="n"/>
      <c r="B157" s="31" t="n"/>
      <c r="C157" s="38" t="n"/>
      <c r="D157" s="38" t="n"/>
      <c r="E157" s="39" t="n"/>
      <c r="F157" s="38" t="n"/>
      <c r="G157" s="31" t="n"/>
      <c r="H157" s="48" t="n"/>
      <c r="I157" s="31" t="n"/>
      <c r="J157" s="31">
        <f>IF(OR(I157="Antarctic Peninsula", I157="Nepal", I157="Lijiang Tower", I157="Busan", I157="Samoa", I157="Oasis", I157="Ilios"), "Control", IF(OR(I157="Route 66", I157="Watchpoint: Gibraltar", I157="Dorado", I157="Rialto", I157="Shambali Monastery", I157="Circuit Royal", I157="Junkertown", I157="Havana"), "Escort", IF(OR(I157="Neon Junction", I157="Numbani", I157="Midtown", I157="Blizzard World", I157="Eichenwalde", I157="King's Row", I157="Paraiso", I157="Hollywood"), "Hybrid", IF(OR(I157="New Queen Street", I157="Esperanca", I157="Colosseo", I157="Runasapi"), "Push", IF(OR(I157="New Junk City", I157="Suravasa", I157="Aatlis"), "Flashpoint", "")))))</f>
        <v/>
      </c>
      <c r="K157" s="40" t="n"/>
      <c r="L157" s="48" t="n"/>
      <c r="M157" s="48" t="n"/>
      <c r="N157" s="48" t="n"/>
      <c r="O157" s="33">
        <f>TEXT(E157, "yymmdd") &amp; "_" &amp; G157 &amp; "_" &amp; H157 &amp; "_S" &amp; D157</f>
        <v/>
      </c>
    </row>
    <row r="158">
      <c r="A158" s="37" t="n"/>
      <c r="B158" s="31" t="n"/>
      <c r="C158" s="38" t="n"/>
      <c r="D158" s="38" t="n"/>
      <c r="E158" s="39" t="n"/>
      <c r="F158" s="49" t="n"/>
      <c r="G158" s="31" t="n"/>
      <c r="H158" s="48" t="n"/>
      <c r="I158" s="31" t="n"/>
      <c r="J158" s="31">
        <f>IF(OR(I158="Antarctic Peninsula", I158="Nepal", I158="Lijiang Tower", I158="Busan", I158="Samoa", I158="Oasis", I158="Ilios"), "Control", IF(OR(I158="Route 66", I158="Watchpoint: Gibraltar", I158="Dorado", I158="Rialto", I158="Shambali Monastery", I158="Circuit Royal", I158="Junkertown", I158="Havana"), "Escort", IF(OR(I158="Neon Junction", I158="Numbani", I158="Midtown", I158="Blizzard World", I158="Eichenwalde", I158="King's Row", I158="Paraiso", I158="Hollywood"), "Hybrid", IF(OR(I158="New Queen Street", I158="Esperanca", I158="Colosseo", I158="Runasapi"), "Push", IF(OR(I158="New Junk City", I158="Suravasa", I158="Aatlis"), "Flashpoint", "")))))</f>
        <v/>
      </c>
      <c r="K158" s="40" t="n"/>
      <c r="L158" s="48" t="n"/>
      <c r="M158" s="48" t="n"/>
      <c r="N158" s="48" t="n"/>
      <c r="O158" s="33">
        <f>TEXT(E158, "yymmdd") &amp; "_" &amp; G158 &amp; "_" &amp; H158 &amp; "_S" &amp; D158</f>
        <v/>
      </c>
    </row>
    <row r="159">
      <c r="A159" s="13" t="n"/>
      <c r="B159" s="15" t="n"/>
      <c r="C159" s="0" t="n"/>
      <c r="D159" s="0" t="n"/>
      <c r="E159" s="18" t="n"/>
      <c r="F159" s="0" t="n"/>
      <c r="G159" s="15" t="n"/>
      <c r="H159" s="20" t="n"/>
      <c r="I159" s="15" t="n"/>
      <c r="J159" s="15">
        <f>IF(OR(I159="Antarctic Peninsula", I159="Nepal", I159="Lijiang Tower", I159="Busan", I159="Samoa", I159="Oasis", I159="Ilios"), "Control", IF(OR(I159="Route 66", I159="Watchpoint: Gibraltar", I159="Dorado", I159="Rialto", I159="Shambali Monastery", I159="Circuit Royal", I159="Junkertown", I159="Havana"), "Escort", IF(OR(I159="Neon Junction", I159="Numbani", I159="Midtown", I159="Blizzard World", I159="Eichenwalde", I159="King's Row", I159="Paraiso", I159="Hollywood"), "Hybrid", IF(OR(I159="New Queen Street", I159="Esperanca", I159="Colosseo", I159="Runasapi"), "Push", IF(OR(I159="New Junk City", I159="Suravasa", I159="Aatlis"), "Flashpoint", "")))))</f>
        <v/>
      </c>
      <c r="L159" s="20" t="n"/>
      <c r="M159" s="20" t="n"/>
      <c r="N159" s="20" t="n"/>
      <c r="O159" s="2">
        <f>TEXT(E159, "yymmdd") &amp; "_" &amp; G159 &amp; "_" &amp; H159 &amp; "_S" &amp; D159</f>
        <v/>
      </c>
    </row>
    <row r="160">
      <c r="A160" s="13" t="n"/>
      <c r="B160" s="15" t="n"/>
      <c r="C160" s="0" t="n"/>
      <c r="D160" s="0" t="n"/>
      <c r="E160" s="18" t="n"/>
      <c r="F160" s="0" t="n"/>
      <c r="G160" s="15" t="n"/>
      <c r="H160" s="20" t="n"/>
      <c r="I160" s="15" t="n"/>
      <c r="J160" s="15">
        <f>IF(OR(I160="Antarctic Peninsula", I160="Nepal", I160="Lijiang Tower", I160="Busan", I160="Samoa", I160="Oasis", I160="Ilios"), "Control", IF(OR(I160="Route 66", I160="Watchpoint: Gibraltar", I160="Dorado", I160="Rialto", I160="Shambali Monastery", I160="Circuit Royal", I160="Junkertown", I160="Havana"), "Escort", IF(OR(I160="Neon Junction", I160="Numbani", I160="Midtown", I160="Blizzard World", I160="Eichenwalde", I160="King's Row", I160="Paraiso", I160="Hollywood"), "Hybrid", IF(OR(I160="New Queen Street", I160="Esperanca", I160="Colosseo", I160="Runasapi"), "Push", IF(OR(I160="New Junk City", I160="Suravasa", I160="Aatlis"), "Flashpoint", "")))))</f>
        <v/>
      </c>
      <c r="L160" s="20" t="n"/>
      <c r="M160" s="20" t="n"/>
      <c r="N160" s="55" t="n"/>
      <c r="O160" s="2">
        <f>TEXT(E160, "yymmdd") &amp; "_" &amp; G160 &amp; "_" &amp; H160 &amp; "_S" &amp; D160</f>
        <v/>
      </c>
    </row>
    <row r="161">
      <c r="A161" s="13" t="n"/>
      <c r="B161" s="15" t="n"/>
      <c r="C161" s="0" t="n"/>
      <c r="D161" s="0" t="n"/>
      <c r="E161" s="18" t="n"/>
      <c r="F161" s="0" t="n"/>
      <c r="G161" s="15" t="n"/>
      <c r="H161" s="20" t="n"/>
      <c r="I161" s="15" t="n"/>
      <c r="J161" s="15">
        <f>IF(OR(I161="Antarctic Peninsula", I161="Nepal", I161="Lijiang Tower", I161="Busan", I161="Samoa", I161="Oasis", I161="Ilios"), "Control", IF(OR(I161="Route 66", I161="Watchpoint: Gibraltar", I161="Dorado", I161="Rialto", I161="Shambali Monastery", I161="Circuit Royal", I161="Junkertown", I161="Havana"), "Escort", IF(OR(I161="Neon Junction", I161="Numbani", I161="Midtown", I161="Blizzard World", I161="Eichenwalde", I161="King's Row", I161="Paraiso", I161="Hollywood"), "Hybrid", IF(OR(I161="New Queen Street", I161="Esperanca", I161="Colosseo", I161="Runasapi"), "Push", IF(OR(I161="New Junk City", I161="Suravasa", I161="Aatlis"), "Flashpoint", "")))))</f>
        <v/>
      </c>
      <c r="L161" s="20" t="n"/>
      <c r="M161" s="20" t="n"/>
      <c r="N161" s="20" t="n"/>
      <c r="O161" s="2">
        <f>TEXT(E161, "yymmdd") &amp; "_" &amp; G161 &amp; "_" &amp; H161 &amp; "_S" &amp; D161</f>
        <v/>
      </c>
    </row>
    <row r="162">
      <c r="A162" s="13" t="n"/>
      <c r="B162" s="15" t="n"/>
      <c r="C162" s="0" t="n"/>
      <c r="D162" s="0" t="n"/>
      <c r="E162" s="18" t="n"/>
      <c r="F162" s="0" t="n"/>
      <c r="G162" s="15" t="n"/>
      <c r="H162" s="20" t="n"/>
      <c r="I162" s="15" t="n"/>
      <c r="J162" s="15">
        <f>IF(OR(I162="Antarctic Peninsula", I162="Nepal", I162="Lijiang Tower", I162="Busan", I162="Samoa", I162="Oasis", I162="Ilios"), "Control", IF(OR(I162="Route 66", I162="Watchpoint: Gibraltar", I162="Dorado", I162="Rialto", I162="Shambali Monastery", I162="Circuit Royal", I162="Junkertown", I162="Havana"), "Escort", IF(OR(I162="Neon Junction", I162="Numbani", I162="Midtown", I162="Blizzard World", I162="Eichenwalde", I162="King's Row", I162="Paraiso", I162="Hollywood"), "Hybrid", IF(OR(I162="New Queen Street", I162="Esperanca", I162="Colosseo", I162="Runasapi"), "Push", IF(OR(I162="New Junk City", I162="Suravasa", I162="Aatlis"), "Flashpoint", "")))))</f>
        <v/>
      </c>
      <c r="L162" s="20" t="n"/>
      <c r="M162" s="20" t="n"/>
      <c r="N162" s="20" t="n"/>
      <c r="O162" s="2">
        <f>TEXT(E162, "yymmdd") &amp; "_" &amp; G162 &amp; "_" &amp; H162 &amp; "_S" &amp; D162</f>
        <v/>
      </c>
    </row>
    <row r="163">
      <c r="A163" s="13" t="n"/>
      <c r="B163" s="15" t="n"/>
      <c r="C163" s="0" t="n"/>
      <c r="D163" s="0" t="n"/>
      <c r="E163" s="18" t="n"/>
      <c r="F163" s="0" t="n"/>
      <c r="G163" s="15" t="n"/>
      <c r="H163" s="20" t="n"/>
      <c r="I163" s="15" t="n"/>
      <c r="J163" s="15">
        <f>IF(OR(I163="Antarctic Peninsula", I163="Nepal", I163="Lijiang Tower", I163="Busan", I163="Samoa", I163="Oasis", I163="Ilios"), "Control", IF(OR(I163="Route 66", I163="Watchpoint: Gibraltar", I163="Dorado", I163="Rialto", I163="Shambali Monastery", I163="Circuit Royal", I163="Junkertown", I163="Havana"), "Escort", IF(OR(I163="Neon Junction", I163="Numbani", I163="Midtown", I163="Blizzard World", I163="Eichenwalde", I163="King's Row", I163="Paraiso", I163="Hollywood"), "Hybrid", IF(OR(I163="New Queen Street", I163="Esperanca", I163="Colosseo", I163="Runasapi"), "Push", IF(OR(I163="New Junk City", I163="Suravasa", I163="Aatlis"), "Flashpoint", "")))))</f>
        <v/>
      </c>
      <c r="L163" s="20" t="n"/>
      <c r="M163" s="20" t="n"/>
      <c r="N163" s="20" t="n"/>
      <c r="O163" s="2">
        <f>TEXT(E163, "yymmdd") &amp; "_" &amp; G163 &amp; "_" &amp; H163 &amp; "_S" &amp; D163</f>
        <v/>
      </c>
    </row>
    <row r="164">
      <c r="A164" s="13" t="n"/>
      <c r="B164" s="15" t="n"/>
      <c r="C164" s="0" t="n"/>
      <c r="D164" s="0" t="n"/>
      <c r="E164" s="18" t="n"/>
      <c r="F164" s="0" t="n"/>
      <c r="G164" s="15" t="n"/>
      <c r="H164" s="20" t="n"/>
      <c r="I164" s="15" t="n"/>
      <c r="J164" s="15">
        <f>IF(OR(I164="Antarctic Peninsula", I164="Nepal", I164="Lijiang Tower", I164="Busan", I164="Samoa", I164="Oasis", I164="Ilios"), "Control", IF(OR(I164="Route 66", I164="Watchpoint: Gibraltar", I164="Dorado", I164="Rialto", I164="Shambali Monastery", I164="Circuit Royal", I164="Junkertown", I164="Havana"), "Escort", IF(OR(I164="Neon Junction", I164="Numbani", I164="Midtown", I164="Blizzard World", I164="Eichenwalde", I164="King's Row", I164="Paraiso", I164="Hollywood"), "Hybrid", IF(OR(I164="New Queen Street", I164="Esperanca", I164="Colosseo", I164="Runasapi"), "Push", IF(OR(I164="New Junk City", I164="Suravasa", I164="Aatlis"), "Flashpoint", "")))))</f>
        <v/>
      </c>
      <c r="L164" s="20" t="n"/>
      <c r="M164" s="20" t="n"/>
      <c r="N164" s="20" t="n"/>
      <c r="O164" s="2">
        <f>TEXT(E164, "yymmdd") &amp; "_" &amp; G164 &amp; "_" &amp; H164 &amp; "_S" &amp; D164</f>
        <v/>
      </c>
    </row>
    <row r="165">
      <c r="A165" s="37" t="n"/>
      <c r="B165" s="31" t="n"/>
      <c r="C165" s="38" t="n"/>
      <c r="D165" s="38" t="n"/>
      <c r="E165" s="39" t="n"/>
      <c r="F165" s="38" t="n"/>
      <c r="G165" s="31" t="n"/>
      <c r="H165" s="48" t="n"/>
      <c r="I165" s="31" t="n"/>
      <c r="J165" s="31">
        <f>IF(OR(I165="Antarctic Peninsula", I165="Nepal", I165="Lijiang Tower", I165="Busan", I165="Samoa", I165="Oasis", I165="Ilios"), "Control", IF(OR(I165="Route 66", I165="Watchpoint: Gibraltar", I165="Dorado", I165="Rialto", I165="Shambali Monastery", I165="Circuit Royal", I165="Junkertown", I165="Havana"), "Escort", IF(OR(I165="Neon Junction", I165="Numbani", I165="Midtown", I165="Blizzard World", I165="Eichenwalde", I165="King's Row", I165="Paraiso", I165="Hollywood"), "Hybrid", IF(OR(I165="New Queen Street", I165="Esperanca", I165="Colosseo", I165="Runasapi"), "Push", IF(OR(I165="New Junk City", I165="Suravasa", I165="Aatlis"), "Flashpoint", "")))))</f>
        <v/>
      </c>
      <c r="K165" s="40" t="n"/>
      <c r="L165" s="48" t="n"/>
      <c r="M165" s="48" t="n"/>
      <c r="N165" s="48" t="n"/>
      <c r="O165" s="33">
        <f>TEXT(E165, "yymmdd") &amp; "_" &amp; G165 &amp; "_" &amp; H165 &amp; "_S" &amp; D165</f>
        <v/>
      </c>
    </row>
    <row r="166">
      <c r="A166" s="37" t="n"/>
      <c r="B166" s="31" t="n"/>
      <c r="C166" s="38" t="n"/>
      <c r="D166" s="38" t="n"/>
      <c r="E166" s="39" t="n"/>
      <c r="F166" s="38" t="n"/>
      <c r="G166" s="31" t="n"/>
      <c r="H166" s="48" t="n"/>
      <c r="I166" s="31" t="n"/>
      <c r="J166" s="31">
        <f>IF(OR(I166="Antarctic Peninsula", I166="Nepal", I166="Lijiang Tower", I166="Busan", I166="Samoa", I166="Oasis", I166="Ilios"), "Control", IF(OR(I166="Route 66", I166="Watchpoint: Gibraltar", I166="Dorado", I166="Rialto", I166="Shambali Monastery", I166="Circuit Royal", I166="Junkertown", I166="Havana"), "Escort", IF(OR(I166="Neon Junction", I166="Numbani", I166="Midtown", I166="Blizzard World", I166="Eichenwalde", I166="King's Row", I166="Paraiso", I166="Hollywood"), "Hybrid", IF(OR(I166="New Queen Street", I166="Esperanca", I166="Colosseo", I166="Runasapi"), "Push", IF(OR(I166="New Junk City", I166="Suravasa", I166="Aatlis"), "Flashpoint", "")))))</f>
        <v/>
      </c>
      <c r="K166" s="40" t="n"/>
      <c r="L166" s="48" t="n"/>
      <c r="M166" s="48" t="n"/>
      <c r="N166" s="48" t="n"/>
      <c r="O166" s="33">
        <f>TEXT(E166, "yymmdd") &amp; "_" &amp; G166 &amp; "_" &amp; H166 &amp; "_S" &amp; D166</f>
        <v/>
      </c>
    </row>
    <row r="167">
      <c r="A167" s="37" t="n"/>
      <c r="B167" s="31" t="n"/>
      <c r="C167" s="38" t="n"/>
      <c r="D167" s="38" t="n"/>
      <c r="E167" s="39" t="n"/>
      <c r="F167" s="38" t="n"/>
      <c r="G167" s="31" t="n"/>
      <c r="H167" s="48" t="n"/>
      <c r="I167" s="31" t="n"/>
      <c r="J167" s="31">
        <f>IF(OR(I167="Antarctic Peninsula", I167="Nepal", I167="Lijiang Tower", I167="Busan", I167="Samoa", I167="Oasis", I167="Ilios"), "Control", IF(OR(I167="Route 66", I167="Watchpoint: Gibraltar", I167="Dorado", I167="Rialto", I167="Shambali Monastery", I167="Circuit Royal", I167="Junkertown", I167="Havana"), "Escort", IF(OR(I167="Neon Junction", I167="Numbani", I167="Midtown", I167="Blizzard World", I167="Eichenwalde", I167="King's Row", I167="Paraiso", I167="Hollywood"), "Hybrid", IF(OR(I167="New Queen Street", I167="Esperanca", I167="Colosseo", I167="Runasapi"), "Push", IF(OR(I167="New Junk City", I167="Suravasa", I167="Aatlis"), "Flashpoint", "")))))</f>
        <v/>
      </c>
      <c r="K167" s="40" t="n"/>
      <c r="L167" s="48" t="n"/>
      <c r="M167" s="48" t="n"/>
      <c r="N167" s="48" t="n"/>
      <c r="O167" s="33">
        <f>TEXT(E167, "yymmdd") &amp; "_" &amp; G167 &amp; "_" &amp; H167 &amp; "_S" &amp; D167</f>
        <v/>
      </c>
    </row>
    <row r="168">
      <c r="A168" s="37" t="n"/>
      <c r="B168" s="31" t="n"/>
      <c r="C168" s="38" t="n"/>
      <c r="D168" s="38" t="n"/>
      <c r="E168" s="39" t="n"/>
      <c r="F168" s="38" t="n"/>
      <c r="G168" s="31" t="n"/>
      <c r="H168" s="48" t="n"/>
      <c r="I168" s="31" t="n"/>
      <c r="J168" s="31">
        <f>IF(OR(I168="Antarctic Peninsula", I168="Nepal", I168="Lijiang Tower", I168="Busan", I168="Samoa", I168="Oasis", I168="Ilios"), "Control", IF(OR(I168="Route 66", I168="Watchpoint: Gibraltar", I168="Dorado", I168="Rialto", I168="Shambali Monastery", I168="Circuit Royal", I168="Junkertown", I168="Havana"), "Escort", IF(OR(I168="Neon Junction", I168="Numbani", I168="Midtown", I168="Blizzard World", I168="Eichenwalde", I168="King's Row", I168="Paraiso", I168="Hollywood"), "Hybrid", IF(OR(I168="New Queen Street", I168="Esperanca", I168="Colosseo", I168="Runasapi"), "Push", IF(OR(I168="New Junk City", I168="Suravasa", I168="Aatlis"), "Flashpoint", "")))))</f>
        <v/>
      </c>
      <c r="K168" s="40" t="n"/>
      <c r="L168" s="48" t="n"/>
      <c r="M168" s="48" t="n"/>
      <c r="N168" s="48" t="n"/>
      <c r="O168" s="33">
        <f>TEXT(E168, "yymmdd") &amp; "_" &amp; G168 &amp; "_" &amp; H168 &amp; "_S" &amp; D168</f>
        <v/>
      </c>
    </row>
    <row r="169">
      <c r="A169" s="13" t="n"/>
      <c r="B169" s="15" t="n"/>
      <c r="C169" s="0" t="n"/>
      <c r="D169" s="0" t="n"/>
      <c r="E169" s="18" t="n"/>
      <c r="F169" s="0" t="n"/>
      <c r="G169" s="15" t="n"/>
      <c r="H169" s="20" t="n"/>
      <c r="I169" s="15" t="n"/>
      <c r="J169" s="15">
        <f>IF(OR(I169="Antarctic Peninsula", I169="Nepal", I169="Lijiang Tower", I169="Busan", I169="Samoa", I169="Oasis", I169="Ilios"), "Control", IF(OR(I169="Route 66", I169="Watchpoint: Gibraltar", I169="Dorado", I169="Rialto", I169="Shambali Monastery", I169="Circuit Royal", I169="Junkertown", I169="Havana"), "Escort", IF(OR(I169="Neon Junction", I169="Numbani", I169="Midtown", I169="Blizzard World", I169="Eichenwalde", I169="King's Row", I169="Paraiso", I169="Hollywood"), "Hybrid", IF(OR(I169="New Queen Street", I169="Esperanca", I169="Colosseo", I169="Runasapi"), "Push", IF(OR(I169="New Junk City", I169="Suravasa", I169="Aatlis"), "Flashpoint", "")))))</f>
        <v/>
      </c>
      <c r="L169" s="20" t="n"/>
      <c r="M169" s="20" t="n"/>
      <c r="N169" s="20" t="n"/>
      <c r="O169" s="2">
        <f>TEXT(E169, "yymmdd") &amp; "_" &amp; G169 &amp; "_" &amp; H169 &amp; "_S" &amp; D169</f>
        <v/>
      </c>
    </row>
    <row r="170">
      <c r="A170" s="13" t="n"/>
      <c r="B170" s="15" t="n"/>
      <c r="C170" s="0" t="n"/>
      <c r="D170" s="0" t="n"/>
      <c r="E170" s="18" t="n"/>
      <c r="F170" s="0" t="n"/>
      <c r="G170" s="15" t="n"/>
      <c r="H170" s="20" t="n"/>
      <c r="I170" s="15" t="n"/>
      <c r="J170" s="15">
        <f>IF(OR(I170="Antarctic Peninsula", I170="Nepal", I170="Lijiang Tower", I170="Busan", I170="Samoa", I170="Oasis", I170="Ilios"), "Control", IF(OR(I170="Route 66", I170="Watchpoint: Gibraltar", I170="Dorado", I170="Rialto", I170="Shambali Monastery", I170="Circuit Royal", I170="Junkertown", I170="Havana"), "Escort", IF(OR(I170="Neon Junction", I170="Numbani", I170="Midtown", I170="Blizzard World", I170="Eichenwalde", I170="King's Row", I170="Paraiso", I170="Hollywood"), "Hybrid", IF(OR(I170="New Queen Street", I170="Esperanca", I170="Colosseo", I170="Runasapi"), "Push", IF(OR(I170="New Junk City", I170="Suravasa", I170="Aatlis"), "Flashpoint", "")))))</f>
        <v/>
      </c>
      <c r="L170" s="20" t="n"/>
      <c r="M170" s="20" t="n"/>
      <c r="N170" s="20" t="n"/>
      <c r="O170" s="2">
        <f>TEXT(E170, "yymmdd") &amp; "_" &amp; G170 &amp; "_" &amp; H170 &amp; "_S" &amp; D170</f>
        <v/>
      </c>
    </row>
    <row r="171">
      <c r="A171" s="13" t="n"/>
      <c r="B171" s="15" t="n"/>
      <c r="C171" s="0" t="n"/>
      <c r="D171" s="0" t="n"/>
      <c r="E171" s="18" t="n"/>
      <c r="F171" s="0" t="n"/>
      <c r="G171" s="15" t="n"/>
      <c r="H171" s="20" t="n"/>
      <c r="I171" s="15" t="n"/>
      <c r="J171" s="15">
        <f>IF(OR(I171="Antarctic Peninsula", I171="Nepal", I171="Lijiang Tower", I171="Busan", I171="Samoa", I171="Oasis", I171="Ilios"), "Control", IF(OR(I171="Route 66", I171="Watchpoint: Gibraltar", I171="Dorado", I171="Rialto", I171="Shambali Monastery", I171="Circuit Royal", I171="Junkertown", I171="Havana"), "Escort", IF(OR(I171="Neon Junction", I171="Numbani", I171="Midtown", I171="Blizzard World", I171="Eichenwalde", I171="King's Row", I171="Paraiso", I171="Hollywood"), "Hybrid", IF(OR(I171="New Queen Street", I171="Esperanca", I171="Colosseo", I171="Runasapi"), "Push", IF(OR(I171="New Junk City", I171="Suravasa", I171="Aatlis"), "Flashpoint", "")))))</f>
        <v/>
      </c>
      <c r="L171" s="20" t="n"/>
      <c r="M171" s="20" t="n"/>
      <c r="N171" s="20" t="n"/>
      <c r="O171" s="2">
        <f>TEXT(E171, "yymmdd") &amp; "_" &amp; G171 &amp; "_" &amp; H171 &amp; "_S" &amp; D171</f>
        <v/>
      </c>
    </row>
    <row r="172">
      <c r="A172" s="13" t="n"/>
      <c r="B172" s="15" t="n"/>
      <c r="C172" s="0" t="n"/>
      <c r="D172" s="0" t="n"/>
      <c r="E172" s="18" t="n"/>
      <c r="F172" s="0" t="n"/>
      <c r="G172" s="15" t="n"/>
      <c r="H172" s="20" t="n"/>
      <c r="I172" s="15" t="n"/>
      <c r="J172" s="15">
        <f>IF(OR(I172="Antarctic Peninsula", I172="Nepal", I172="Lijiang Tower", I172="Busan", I172="Samoa", I172="Oasis", I172="Ilios"), "Control", IF(OR(I172="Route 66", I172="Watchpoint: Gibraltar", I172="Dorado", I172="Rialto", I172="Shambali Monastery", I172="Circuit Royal", I172="Junkertown", I172="Havana"), "Escort", IF(OR(I172="Neon Junction", I172="Numbani", I172="Midtown", I172="Blizzard World", I172="Eichenwalde", I172="King's Row", I172="Paraiso", I172="Hollywood"), "Hybrid", IF(OR(I172="New Queen Street", I172="Esperanca", I172="Colosseo", I172="Runasapi"), "Push", IF(OR(I172="New Junk City", I172="Suravasa", I172="Aatlis"), "Flashpoint", "")))))</f>
        <v/>
      </c>
      <c r="L172" s="20" t="n"/>
      <c r="M172" s="20" t="n"/>
      <c r="N172" s="20" t="n"/>
      <c r="O172" s="2">
        <f>TEXT(E172, "yymmdd") &amp; "_" &amp; G172 &amp; "_" &amp; H172 &amp; "_S" &amp; D172</f>
        <v/>
      </c>
    </row>
    <row r="173">
      <c r="A173" s="13" t="n"/>
      <c r="B173" s="15" t="n"/>
      <c r="C173" s="0" t="n"/>
      <c r="D173" s="0" t="n"/>
      <c r="E173" s="18" t="n"/>
      <c r="F173" s="0" t="n"/>
      <c r="G173" s="15" t="n"/>
      <c r="H173" s="20" t="n"/>
      <c r="I173" s="15" t="n"/>
      <c r="J173" s="15">
        <f>IF(OR(I173="Antarctic Peninsula", I173="Nepal", I173="Lijiang Tower", I173="Busan", I173="Samoa", I173="Oasis", I173="Ilios"), "Control", IF(OR(I173="Route 66", I173="Watchpoint: Gibraltar", I173="Dorado", I173="Rialto", I173="Shambali Monastery", I173="Circuit Royal", I173="Junkertown", I173="Havana"), "Escort", IF(OR(I173="Neon Junction", I173="Numbani", I173="Midtown", I173="Blizzard World", I173="Eichenwalde", I173="King's Row", I173="Paraiso", I173="Hollywood"), "Hybrid", IF(OR(I173="New Queen Street", I173="Esperanca", I173="Colosseo", I173="Runasapi"), "Push", IF(OR(I173="New Junk City", I173="Suravasa", I173="Aatlis"), "Flashpoint", "")))))</f>
        <v/>
      </c>
      <c r="L173" s="20" t="n"/>
      <c r="M173" s="20" t="n"/>
      <c r="N173" s="20" t="n"/>
      <c r="O173" s="2">
        <f>TEXT(E173, "yymmdd") &amp; "_" &amp; G173 &amp; "_" &amp; H173 &amp; "_S" &amp; D173</f>
        <v/>
      </c>
    </row>
    <row r="174">
      <c r="A174" s="37" t="n"/>
      <c r="B174" s="31" t="n"/>
      <c r="C174" s="38" t="n"/>
      <c r="D174" s="38" t="n"/>
      <c r="E174" s="39" t="n"/>
      <c r="F174" s="38" t="n"/>
      <c r="G174" s="31" t="n"/>
      <c r="H174" s="48" t="n"/>
      <c r="I174" s="31" t="n"/>
      <c r="J174" s="31">
        <f>IF(OR(I174="Antarctic Peninsula", I174="Nepal", I174="Lijiang Tower", I174="Busan", I174="Samoa", I174="Oasis", I174="Ilios"), "Control", IF(OR(I174="Route 66", I174="Watchpoint: Gibraltar", I174="Dorado", I174="Rialto", I174="Shambali Monastery", I174="Circuit Royal", I174="Junkertown", I174="Havana"), "Escort", IF(OR(I174="Neon Junction", I174="Numbani", I174="Midtown", I174="Blizzard World", I174="Eichenwalde", I174="King's Row", I174="Paraiso", I174="Hollywood"), "Hybrid", IF(OR(I174="New Queen Street", I174="Esperanca", I174="Colosseo", I174="Runasapi"), "Push", IF(OR(I174="New Junk City", I174="Suravasa", I174="Aatlis"), "Flashpoint", "")))))</f>
        <v/>
      </c>
      <c r="K174" s="40" t="n"/>
      <c r="L174" s="48" t="n"/>
      <c r="M174" s="48" t="n"/>
      <c r="N174" s="48" t="n"/>
      <c r="O174" s="33">
        <f>TEXT(E174, "yymmdd") &amp; "_" &amp; G174 &amp; "_" &amp; H174 &amp; "_S" &amp; D174</f>
        <v/>
      </c>
    </row>
    <row r="175">
      <c r="A175" s="37" t="n"/>
      <c r="B175" s="31" t="n"/>
      <c r="C175" s="38" t="n"/>
      <c r="D175" s="38" t="n"/>
      <c r="E175" s="39" t="n"/>
      <c r="F175" s="38" t="n"/>
      <c r="G175" s="31" t="n"/>
      <c r="H175" s="48" t="n"/>
      <c r="I175" s="31" t="n"/>
      <c r="J175" s="31">
        <f>IF(OR(I175="Antarctic Peninsula", I175="Nepal", I175="Lijiang Tower", I175="Busan", I175="Samoa", I175="Oasis", I175="Ilios"), "Control", IF(OR(I175="Route 66", I175="Watchpoint: Gibraltar", I175="Dorado", I175="Rialto", I175="Shambali Monastery", I175="Circuit Royal", I175="Junkertown", I175="Havana"), "Escort", IF(OR(I175="Neon Junction", I175="Numbani", I175="Midtown", I175="Blizzard World", I175="Eichenwalde", I175="King's Row", I175="Paraiso", I175="Hollywood"), "Hybrid", IF(OR(I175="New Queen Street", I175="Esperanca", I175="Colosseo", I175="Runasapi"), "Push", IF(OR(I175="New Junk City", I175="Suravasa", I175="Aatlis"), "Flashpoint", "")))))</f>
        <v/>
      </c>
      <c r="K175" s="40" t="n"/>
      <c r="L175" s="48" t="n"/>
      <c r="M175" s="48" t="n"/>
      <c r="N175" s="48" t="n"/>
      <c r="O175" s="33">
        <f>TEXT(E175, "yymmdd") &amp; "_" &amp; G175 &amp; "_" &amp; H175 &amp; "_S" &amp; D175</f>
        <v/>
      </c>
    </row>
    <row r="176">
      <c r="A176" s="37" t="n"/>
      <c r="B176" s="31" t="n"/>
      <c r="C176" s="38" t="n"/>
      <c r="D176" s="38" t="n"/>
      <c r="E176" s="39" t="n"/>
      <c r="F176" s="38" t="n"/>
      <c r="G176" s="31" t="n"/>
      <c r="H176" s="48" t="n"/>
      <c r="I176" s="31" t="n"/>
      <c r="J176" s="31">
        <f>IF(OR(I176="Antarctic Peninsula", I176="Nepal", I176="Lijiang Tower", I176="Busan", I176="Samoa", I176="Oasis", I176="Ilios"), "Control", IF(OR(I176="Route 66", I176="Watchpoint: Gibraltar", I176="Dorado", I176="Rialto", I176="Shambali Monastery", I176="Circuit Royal", I176="Junkertown", I176="Havana"), "Escort", IF(OR(I176="Neon Junction", I176="Numbani", I176="Midtown", I176="Blizzard World", I176="Eichenwalde", I176="King's Row", I176="Paraiso", I176="Hollywood"), "Hybrid", IF(OR(I176="New Queen Street", I176="Esperanca", I176="Colosseo", I176="Runasapi"), "Push", IF(OR(I176="New Junk City", I176="Suravasa", I176="Aatlis"), "Flashpoint", "")))))</f>
        <v/>
      </c>
      <c r="K176" s="40" t="n"/>
      <c r="L176" s="48" t="n"/>
      <c r="M176" s="48" t="n"/>
      <c r="N176" s="48" t="n"/>
      <c r="O176" s="33">
        <f>TEXT(E176, "yymmdd") &amp; "_" &amp; G176 &amp; "_" &amp; H176 &amp; "_S" &amp; D176</f>
        <v/>
      </c>
    </row>
    <row r="177">
      <c r="A177" s="37" t="n"/>
      <c r="B177" s="31" t="n"/>
      <c r="C177" s="38" t="n"/>
      <c r="D177" s="38" t="n"/>
      <c r="E177" s="39" t="n"/>
      <c r="F177" s="38" t="n"/>
      <c r="G177" s="31" t="n"/>
      <c r="H177" s="48" t="n"/>
      <c r="I177" s="31" t="n"/>
      <c r="J177" s="31">
        <f>IF(OR(I177="Antarctic Peninsula", I177="Nepal", I177="Lijiang Tower", I177="Busan", I177="Samoa", I177="Oasis", I177="Ilios"), "Control", IF(OR(I177="Route 66", I177="Watchpoint: Gibraltar", I177="Dorado", I177="Rialto", I177="Shambali Monastery", I177="Circuit Royal", I177="Junkertown", I177="Havana"), "Escort", IF(OR(I177="Neon Junction", I177="Numbani", I177="Midtown", I177="Blizzard World", I177="Eichenwalde", I177="King's Row", I177="Paraiso", I177="Hollywood"), "Hybrid", IF(OR(I177="New Queen Street", I177="Esperanca", I177="Colosseo", I177="Runasapi"), "Push", IF(OR(I177="New Junk City", I177="Suravasa", I177="Aatlis"), "Flashpoint", "")))))</f>
        <v/>
      </c>
      <c r="K177" s="40" t="n"/>
      <c r="L177" s="48" t="n"/>
      <c r="M177" s="48" t="n"/>
      <c r="N177" s="48" t="n"/>
      <c r="O177" s="33">
        <f>TEXT(E177, "yymmdd") &amp; "_" &amp; G177 &amp; "_" &amp; H177 &amp; "_S" &amp; D177</f>
        <v/>
      </c>
    </row>
    <row r="178">
      <c r="A178" s="37" t="n"/>
      <c r="B178" s="31" t="n"/>
      <c r="C178" s="38" t="n"/>
      <c r="D178" s="38" t="n"/>
      <c r="E178" s="39" t="n"/>
      <c r="F178" s="38" t="n"/>
      <c r="G178" s="31" t="n"/>
      <c r="H178" s="48" t="n"/>
      <c r="I178" s="31" t="n"/>
      <c r="J178" s="31">
        <f>IF(OR(I178="Antarctic Peninsula", I178="Nepal", I178="Lijiang Tower", I178="Busan", I178="Samoa", I178="Oasis", I178="Ilios"), "Control", IF(OR(I178="Route 66", I178="Watchpoint: Gibraltar", I178="Dorado", I178="Rialto", I178="Shambali Monastery", I178="Circuit Royal", I178="Junkertown", I178="Havana"), "Escort", IF(OR(I178="Neon Junction", I178="Numbani", I178="Midtown", I178="Blizzard World", I178="Eichenwalde", I178="King's Row", I178="Paraiso", I178="Hollywood"), "Hybrid", IF(OR(I178="New Queen Street", I178="Esperanca", I178="Colosseo", I178="Runasapi"), "Push", IF(OR(I178="New Junk City", I178="Suravasa", I178="Aatlis"), "Flashpoint", "")))))</f>
        <v/>
      </c>
      <c r="K178" s="40" t="n"/>
      <c r="L178" s="48" t="n"/>
      <c r="M178" s="48" t="n"/>
      <c r="N178" s="48" t="n"/>
      <c r="O178" s="33">
        <f>TEXT(E178, "yymmdd") &amp; "_" &amp; G178 &amp; "_" &amp; H178 &amp; "_S" &amp; D178</f>
        <v/>
      </c>
    </row>
    <row r="179">
      <c r="A179" s="13" t="n"/>
      <c r="B179" s="15" t="n"/>
      <c r="C179" s="0" t="n"/>
      <c r="D179" s="0" t="n"/>
      <c r="E179" s="18" t="n"/>
      <c r="F179" s="0" t="n"/>
      <c r="G179" s="15" t="n"/>
      <c r="H179" s="20" t="n"/>
      <c r="I179" s="15" t="n"/>
      <c r="J179" s="15">
        <f>IF(OR(I179="Antarctic Peninsula", I179="Nepal", I179="Lijiang Tower", I179="Busan", I179="Samoa", I179="Oasis", I179="Ilios"), "Control", IF(OR(I179="Route 66", I179="Watchpoint: Gibraltar", I179="Dorado", I179="Rialto", I179="Shambali Monastery", I179="Circuit Royal", I179="Junkertown", I179="Havana"), "Escort", IF(OR(I179="Neon Junction", I179="Numbani", I179="Midtown", I179="Blizzard World", I179="Eichenwalde", I179="King's Row", I179="Paraiso", I179="Hollywood"), "Hybrid", IF(OR(I179="New Queen Street", I179="Esperanca", I179="Colosseo", I179="Runasapi"), "Push", IF(OR(I179="New Junk City", I179="Suravasa", I179="Aatlis"), "Flashpoint", "")))))</f>
        <v/>
      </c>
      <c r="L179" s="20" t="n"/>
      <c r="M179" s="20" t="n"/>
      <c r="N179" s="20" t="n"/>
      <c r="O179" s="2">
        <f>TEXT(E179, "yymmdd") &amp; "_" &amp; G179 &amp; "_" &amp; H179 &amp; "_S" &amp; D179</f>
        <v/>
      </c>
    </row>
    <row r="180">
      <c r="A180" s="13" t="n"/>
      <c r="B180" s="15" t="n"/>
      <c r="C180" s="0" t="n"/>
      <c r="D180" s="0" t="n"/>
      <c r="E180" s="18" t="n"/>
      <c r="F180" s="0" t="n"/>
      <c r="G180" s="15" t="n"/>
      <c r="H180" s="20" t="n"/>
      <c r="I180" s="15" t="n"/>
      <c r="J180" s="15">
        <f>IF(OR(I180="Antarctic Peninsula", I180="Nepal", I180="Lijiang Tower", I180="Busan", I180="Samoa", I180="Oasis", I180="Ilios"), "Control", IF(OR(I180="Route 66", I180="Watchpoint: Gibraltar", I180="Dorado", I180="Rialto", I180="Shambali Monastery", I180="Circuit Royal", I180="Junkertown", I180="Havana"), "Escort", IF(OR(I180="Neon Junction", I180="Numbani", I180="Midtown", I180="Blizzard World", I180="Eichenwalde", I180="King's Row", I180="Paraiso", I180="Hollywood"), "Hybrid", IF(OR(I180="New Queen Street", I180="Esperanca", I180="Colosseo", I180="Runasapi"), "Push", IF(OR(I180="New Junk City", I180="Suravasa", I180="Aatlis"), "Flashpoint", "")))))</f>
        <v/>
      </c>
      <c r="L180" s="20" t="n"/>
      <c r="M180" s="20" t="n"/>
      <c r="N180" s="20" t="n"/>
      <c r="O180" s="2">
        <f>TEXT(E180, "yymmdd") &amp; "_" &amp; G180 &amp; "_" &amp; H180 &amp; "_S" &amp; D180</f>
        <v/>
      </c>
    </row>
    <row r="181">
      <c r="A181" s="13" t="n"/>
      <c r="B181" s="15" t="n"/>
      <c r="C181" s="0" t="n"/>
      <c r="D181" s="0" t="n"/>
      <c r="E181" s="18" t="n"/>
      <c r="F181" s="0" t="n"/>
      <c r="G181" s="15" t="n"/>
      <c r="H181" s="20" t="n"/>
      <c r="I181" s="15" t="n"/>
      <c r="J181" s="15">
        <f>IF(OR(I181="Antarctic Peninsula", I181="Nepal", I181="Lijiang Tower", I181="Busan", I181="Samoa", I181="Oasis", I181="Ilios"), "Control", IF(OR(I181="Route 66", I181="Watchpoint: Gibraltar", I181="Dorado", I181="Rialto", I181="Shambali Monastery", I181="Circuit Royal", I181="Junkertown", I181="Havana"), "Escort", IF(OR(I181="Neon Junction", I181="Numbani", I181="Midtown", I181="Blizzard World", I181="Eichenwalde", I181="King's Row", I181="Paraiso", I181="Hollywood"), "Hybrid", IF(OR(I181="New Queen Street", I181="Esperanca", I181="Colosseo", I181="Runasapi"), "Push", IF(OR(I181="New Junk City", I181="Suravasa", I181="Aatlis"), "Flashpoint", "")))))</f>
        <v/>
      </c>
      <c r="L181" s="20" t="n"/>
      <c r="M181" s="20" t="n"/>
      <c r="N181" s="20" t="n"/>
      <c r="O181" s="2">
        <f>TEXT(E181, "yymmdd") &amp; "_" &amp; G181 &amp; "_" &amp; H181 &amp; "_S" &amp; D181</f>
        <v/>
      </c>
    </row>
    <row r="182">
      <c r="A182" s="13" t="n"/>
      <c r="B182" s="15" t="n"/>
      <c r="C182" s="0" t="n"/>
      <c r="D182" s="0" t="n"/>
      <c r="E182" s="18" t="n"/>
      <c r="F182" s="0" t="n"/>
      <c r="G182" s="15" t="n"/>
      <c r="H182" s="20" t="n"/>
      <c r="I182" s="15" t="n"/>
      <c r="J182" s="15">
        <f>IF(OR(I182="Antarctic Peninsula", I182="Nepal", I182="Lijiang Tower", I182="Busan", I182="Samoa", I182="Oasis", I182="Ilios"), "Control", IF(OR(I182="Route 66", I182="Watchpoint: Gibraltar", I182="Dorado", I182="Rialto", I182="Shambali Monastery", I182="Circuit Royal", I182="Junkertown", I182="Havana"), "Escort", IF(OR(I182="Neon Junction", I182="Numbani", I182="Midtown", I182="Blizzard World", I182="Eichenwalde", I182="King's Row", I182="Paraiso", I182="Hollywood"), "Hybrid", IF(OR(I182="New Queen Street", I182="Esperanca", I182="Colosseo", I182="Runasapi"), "Push", IF(OR(I182="New Junk City", I182="Suravasa", I182="Aatlis"), "Flashpoint", "")))))</f>
        <v/>
      </c>
      <c r="L182" s="20" t="n"/>
      <c r="M182" s="20" t="n"/>
      <c r="N182" s="20" t="n"/>
      <c r="O182" s="2">
        <f>TEXT(E182, "yymmdd") &amp; "_" &amp; G182 &amp; "_" &amp; H182 &amp; "_S" &amp; D182</f>
        <v/>
      </c>
    </row>
    <row r="183">
      <c r="A183" s="13" t="n"/>
      <c r="B183" s="15" t="n"/>
      <c r="C183" s="0" t="n"/>
      <c r="D183" s="0" t="n"/>
      <c r="E183" s="18" t="n"/>
      <c r="F183" s="0" t="n"/>
      <c r="G183" s="15" t="n"/>
      <c r="H183" s="20" t="n"/>
      <c r="I183" s="15" t="n"/>
      <c r="J183" s="15">
        <f>IF(OR(I183="Antarctic Peninsula", I183="Nepal", I183="Lijiang Tower", I183="Busan", I183="Samoa", I183="Oasis", I183="Ilios"), "Control", IF(OR(I183="Route 66", I183="Watchpoint: Gibraltar", I183="Dorado", I183="Rialto", I183="Shambali Monastery", I183="Circuit Royal", I183="Junkertown", I183="Havana"), "Escort", IF(OR(I183="Neon Junction", I183="Numbani", I183="Midtown", I183="Blizzard World", I183="Eichenwalde", I183="King's Row", I183="Paraiso", I183="Hollywood"), "Hybrid", IF(OR(I183="New Queen Street", I183="Esperanca", I183="Colosseo", I183="Runasapi"), "Push", IF(OR(I183="New Junk City", I183="Suravasa", I183="Aatlis"), "Flashpoint", "")))))</f>
        <v/>
      </c>
      <c r="L183" s="20" t="n"/>
      <c r="M183" s="20" t="n"/>
      <c r="N183" s="20" t="n"/>
      <c r="O183" s="2">
        <f>TEXT(E183, "yymmdd") &amp; "_" &amp; G183 &amp; "_" &amp; H183 &amp; "_S" &amp; D183</f>
        <v/>
      </c>
    </row>
    <row r="184">
      <c r="A184" s="37" t="n"/>
      <c r="B184" s="31" t="n"/>
      <c r="C184" s="38" t="n"/>
      <c r="D184" s="38" t="n"/>
      <c r="E184" s="39" t="n"/>
      <c r="F184" s="38" t="n"/>
      <c r="G184" s="31" t="n"/>
      <c r="H184" s="48" t="n"/>
      <c r="I184" s="31" t="n"/>
      <c r="J184" s="31">
        <f>IF(OR(I184="Antarctic Peninsula", I184="Nepal", I184="Lijiang Tower", I184="Busan", I184="Samoa", I184="Oasis", I184="Ilios"), "Control", IF(OR(I184="Route 66", I184="Watchpoint: Gibraltar", I184="Dorado", I184="Rialto", I184="Shambali Monastery", I184="Circuit Royal", I184="Junkertown", I184="Havana"), "Escort", IF(OR(I184="Neon Junction", I184="Numbani", I184="Midtown", I184="Blizzard World", I184="Eichenwalde", I184="King's Row", I184="Paraiso", I184="Hollywood"), "Hybrid", IF(OR(I184="New Queen Street", I184="Esperanca", I184="Colosseo", I184="Runasapi"), "Push", IF(OR(I184="New Junk City", I184="Suravasa", I184="Aatlis"), "Flashpoint", "")))))</f>
        <v/>
      </c>
      <c r="K184" s="40" t="n"/>
      <c r="L184" s="48" t="n"/>
      <c r="M184" s="48" t="n"/>
      <c r="N184" s="48" t="n"/>
      <c r="O184" s="33">
        <f>TEXT(E184, "yymmdd") &amp; "_" &amp; G184 &amp; "_" &amp; H184 &amp; "_S" &amp; D184</f>
        <v/>
      </c>
    </row>
    <row r="185">
      <c r="A185" s="37" t="n"/>
      <c r="B185" s="31" t="n"/>
      <c r="C185" s="38" t="n"/>
      <c r="D185" s="38" t="n"/>
      <c r="E185" s="39" t="n"/>
      <c r="F185" s="38" t="n"/>
      <c r="G185" s="31" t="n"/>
      <c r="H185" s="48" t="n"/>
      <c r="I185" s="31" t="n"/>
      <c r="J185" s="31">
        <f>IF(OR(I185="Antarctic Peninsula", I185="Nepal", I185="Lijiang Tower", I185="Busan", I185="Samoa", I185="Oasis", I185="Ilios"), "Control", IF(OR(I185="Route 66", I185="Watchpoint: Gibraltar", I185="Dorado", I185="Rialto", I185="Shambali Monastery", I185="Circuit Royal", I185="Junkertown", I185="Havana"), "Escort", IF(OR(I185="Neon Junction", I185="Numbani", I185="Midtown", I185="Blizzard World", I185="Eichenwalde", I185="King's Row", I185="Paraiso", I185="Hollywood"), "Hybrid", IF(OR(I185="New Queen Street", I185="Esperanca", I185="Colosseo", I185="Runasapi"), "Push", IF(OR(I185="New Junk City", I185="Suravasa", I185="Aatlis"), "Flashpoint", "")))))</f>
        <v/>
      </c>
      <c r="K185" s="40" t="n"/>
      <c r="L185" s="48" t="n"/>
      <c r="M185" s="48" t="n"/>
      <c r="N185" s="48" t="n"/>
      <c r="O185" s="33">
        <f>TEXT(E185, "yymmdd") &amp; "_" &amp; G185 &amp; "_" &amp; H185 &amp; "_S" &amp; D185</f>
        <v/>
      </c>
    </row>
    <row r="186">
      <c r="A186" s="37" t="n"/>
      <c r="B186" s="31" t="n"/>
      <c r="C186" s="38" t="n"/>
      <c r="D186" s="38" t="n"/>
      <c r="E186" s="39" t="n"/>
      <c r="F186" s="38" t="n"/>
      <c r="G186" s="31" t="n"/>
      <c r="H186" s="48" t="n"/>
      <c r="I186" s="31" t="n"/>
      <c r="J186" s="31">
        <f>IF(OR(I186="Antarctic Peninsula", I186="Nepal", I186="Lijiang Tower", I186="Busan", I186="Samoa", I186="Oasis", I186="Ilios"), "Control", IF(OR(I186="Route 66", I186="Watchpoint: Gibraltar", I186="Dorado", I186="Rialto", I186="Shambali Monastery", I186="Circuit Royal", I186="Junkertown", I186="Havana"), "Escort", IF(OR(I186="Neon Junction", I186="Numbani", I186="Midtown", I186="Blizzard World", I186="Eichenwalde", I186="King's Row", I186="Paraiso", I186="Hollywood"), "Hybrid", IF(OR(I186="New Queen Street", I186="Esperanca", I186="Colosseo", I186="Runasapi"), "Push", IF(OR(I186="New Junk City", I186="Suravasa", I186="Aatlis"), "Flashpoint", "")))))</f>
        <v/>
      </c>
      <c r="K186" s="40" t="n"/>
      <c r="L186" s="48" t="n"/>
      <c r="M186" s="48" t="n"/>
      <c r="N186" s="48" t="n"/>
      <c r="O186" s="33">
        <f>TEXT(E186, "yymmdd") &amp; "_" &amp; G186 &amp; "_" &amp; H186 &amp; "_S" &amp; D186</f>
        <v/>
      </c>
    </row>
    <row r="187">
      <c r="A187" s="37" t="n"/>
      <c r="B187" s="31" t="n"/>
      <c r="C187" s="38" t="n"/>
      <c r="D187" s="38" t="n"/>
      <c r="E187" s="39" t="n"/>
      <c r="F187" s="38" t="n"/>
      <c r="G187" s="31" t="n"/>
      <c r="H187" s="48" t="n"/>
      <c r="I187" s="31" t="n"/>
      <c r="J187" s="31">
        <f>IF(OR(I187="Antarctic Peninsula", I187="Nepal", I187="Lijiang Tower", I187="Busan", I187="Samoa", I187="Oasis", I187="Ilios"), "Control", IF(OR(I187="Route 66", I187="Watchpoint: Gibraltar", I187="Dorado", I187="Rialto", I187="Shambali Monastery", I187="Circuit Royal", I187="Junkertown", I187="Havana"), "Escort", IF(OR(I187="Neon Junction", I187="Numbani", I187="Midtown", I187="Blizzard World", I187="Eichenwalde", I187="King's Row", I187="Paraiso", I187="Hollywood"), "Hybrid", IF(OR(I187="New Queen Street", I187="Esperanca", I187="Colosseo", I187="Runasapi"), "Push", IF(OR(I187="New Junk City", I187="Suravasa", I187="Aatlis"), "Flashpoint", "")))))</f>
        <v/>
      </c>
      <c r="K187" s="40" t="n"/>
      <c r="L187" s="48" t="n"/>
      <c r="M187" s="48" t="n"/>
      <c r="N187" s="48" t="n"/>
      <c r="O187" s="33">
        <f>TEXT(E187, "yymmdd") &amp; "_" &amp; G187 &amp; "_" &amp; H187 &amp; "_S" &amp; D187</f>
        <v/>
      </c>
    </row>
    <row r="188">
      <c r="A188" s="37" t="n"/>
      <c r="B188" s="31" t="n"/>
      <c r="C188" s="38" t="n"/>
      <c r="D188" s="38" t="n"/>
      <c r="E188" s="39" t="n"/>
      <c r="F188" s="38" t="n"/>
      <c r="G188" s="31" t="n"/>
      <c r="H188" s="48" t="n"/>
      <c r="I188" s="31" t="n"/>
      <c r="J188" s="31">
        <f>IF(OR(I188="Antarctic Peninsula", I188="Nepal", I188="Lijiang Tower", I188="Busan", I188="Samoa", I188="Oasis", I188="Ilios"), "Control", IF(OR(I188="Route 66", I188="Watchpoint: Gibraltar", I188="Dorado", I188="Rialto", I188="Shambali Monastery", I188="Circuit Royal", I188="Junkertown", I188="Havana"), "Escort", IF(OR(I188="Neon Junction", I188="Numbani", I188="Midtown", I188="Blizzard World", I188="Eichenwalde", I188="King's Row", I188="Paraiso", I188="Hollywood"), "Hybrid", IF(OR(I188="New Queen Street", I188="Esperanca", I188="Colosseo", I188="Runasapi"), "Push", IF(OR(I188="New Junk City", I188="Suravasa", I188="Aatlis"), "Flashpoint", "")))))</f>
        <v/>
      </c>
      <c r="K188" s="40" t="n"/>
      <c r="L188" s="48" t="n"/>
      <c r="M188" s="48" t="n"/>
      <c r="N188" s="48" t="n"/>
      <c r="O188" s="33">
        <f>TEXT(E188, "yymmdd") &amp; "_" &amp; G188 &amp; "_" &amp; H188 &amp; "_S" &amp; D188</f>
        <v/>
      </c>
    </row>
    <row r="189">
      <c r="A189" s="37" t="n"/>
      <c r="B189" s="31" t="n"/>
      <c r="C189" s="38" t="n"/>
      <c r="D189" s="38" t="n"/>
      <c r="E189" s="39" t="n"/>
      <c r="F189" s="38" t="n"/>
      <c r="G189" s="31" t="n"/>
      <c r="H189" s="48" t="n"/>
      <c r="I189" s="31" t="n"/>
      <c r="J189" s="31">
        <f>IF(OR(I189="Antarctic Peninsula", I189="Nepal", I189="Lijiang Tower", I189="Busan", I189="Samoa", I189="Oasis", I189="Ilios"), "Control", IF(OR(I189="Route 66", I189="Watchpoint: Gibraltar", I189="Dorado", I189="Rialto", I189="Shambali Monastery", I189="Circuit Royal", I189="Junkertown", I189="Havana"), "Escort", IF(OR(I189="Neon Junction", I189="Numbani", I189="Midtown", I189="Blizzard World", I189="Eichenwalde", I189="King's Row", I189="Paraiso", I189="Hollywood"), "Hybrid", IF(OR(I189="New Queen Street", I189="Esperanca", I189="Colosseo", I189="Runasapi"), "Push", IF(OR(I189="New Junk City", I189="Suravasa", I189="Aatlis"), "Flashpoint", "")))))</f>
        <v/>
      </c>
      <c r="K189" s="40" t="n"/>
      <c r="L189" s="48" t="n"/>
      <c r="M189" s="48" t="n"/>
      <c r="N189" s="48" t="n"/>
      <c r="O189" s="33">
        <f>TEXT(E189, "yymmdd") &amp; "_" &amp; G189 &amp; "_" &amp; H189 &amp; "_S" &amp; D189</f>
        <v/>
      </c>
    </row>
    <row r="190">
      <c r="G190" s="0" t="n"/>
      <c r="J190" s="0">
        <f>IF(OR(I190="Antarctic Peninsula", I190="Nepal", I190="Lijiang Tower", I190="Busan", I190="Samoa", I190="Oasis", I190="Ilios"), "Control", IF(OR(I190="Route 66", I190="Watchpoint: Gibraltar", I190="Dorado", I190="Rialto", I190="Shambali Monastery", I190="Circuit Royal", I190="Junkertown", I190="Havana"), "Escort", IF(OR(I190="Neon Junction", I190="Numbani", I190="Midtown", I190="Blizzard World", I190="Eichenwalde", I190="King's Row", I190="Paraiso", I190="Hollywood"), "Hybrid", IF(OR(I190="New Queen Street", I190="Esperanca", I190="Colosseo", I190="Runasapi"), "Push", IF(OR(I190="New Junk City", I190="Suravasa", I190="Aatlis"), "Flashpoint", "")))))</f>
        <v/>
      </c>
      <c r="O190">
        <f>TEXT(E190, "yymmdd") &amp; "_" &amp; G190 &amp; "_" &amp; H190 &amp; "_S" &amp; D190</f>
        <v/>
      </c>
    </row>
    <row r="191">
      <c r="G191" s="0" t="n"/>
      <c r="J191" s="0">
        <f>IF(OR(I191="Antarctic Peninsula", I191="Nepal", I191="Lijiang Tower", I191="Busan", I191="Samoa", I191="Oasis", I191="Ilios"), "Control", IF(OR(I191="Route 66", I191="Watchpoint: Gibraltar", I191="Dorado", I191="Rialto", I191="Shambali Monastery", I191="Circuit Royal", I191="Junkertown", I191="Havana"), "Escort", IF(OR(I191="Neon Junction", I191="Numbani", I191="Midtown", I191="Blizzard World", I191="Eichenwalde", I191="King's Row", I191="Paraiso", I191="Hollywood"), "Hybrid", IF(OR(I191="New Queen Street", I191="Esperanca", I191="Colosseo", I191="Runasapi"), "Push", IF(OR(I191="New Junk City", I191="Suravasa", I191="Aatlis"), "Flashpoint", "")))))</f>
        <v/>
      </c>
      <c r="O191">
        <f>TEXT(E191, "yymmdd") &amp; "_" &amp; G191 &amp; "_" &amp; H191 &amp; "_S" &amp; D191</f>
        <v/>
      </c>
    </row>
    <row r="192">
      <c r="G192" s="0" t="n"/>
      <c r="J192" s="0">
        <f>IF(OR(I192="Antarctic Peninsula", I192="Nepal", I192="Lijiang Tower", I192="Busan", I192="Samoa", I192="Oasis", I192="Ilios"), "Control", IF(OR(I192="Route 66", I192="Watchpoint: Gibraltar", I192="Dorado", I192="Rialto", I192="Shambali Monastery", I192="Circuit Royal", I192="Junkertown", I192="Havana"), "Escort", IF(OR(I192="Neon Junction", I192="Numbani", I192="Midtown", I192="Blizzard World", I192="Eichenwalde", I192="King's Row", I192="Paraiso", I192="Hollywood"), "Hybrid", IF(OR(I192="New Queen Street", I192="Esperanca", I192="Colosseo", I192="Runasapi"), "Push", IF(OR(I192="New Junk City", I192="Suravasa", I192="Aatlis"), "Flashpoint", "")))))</f>
        <v/>
      </c>
      <c r="O192">
        <f>TEXT(E192, "yymmdd") &amp; "_" &amp; G192 &amp; "_" &amp; H192 &amp; "_S" &amp; D192</f>
        <v/>
      </c>
    </row>
    <row r="193">
      <c r="G193" s="0" t="n"/>
      <c r="J193" s="0">
        <f>IF(OR(I193="Antarctic Peninsula", I193="Nepal", I193="Lijiang Tower", I193="Busan", I193="Samoa", I193="Oasis", I193="Ilios"), "Control", IF(OR(I193="Route 66", I193="Watchpoint: Gibraltar", I193="Dorado", I193="Rialto", I193="Shambali Monastery", I193="Circuit Royal", I193="Junkertown", I193="Havana"), "Escort", IF(OR(I193="Neon Junction", I193="Numbani", I193="Midtown", I193="Blizzard World", I193="Eichenwalde", I193="King's Row", I193="Paraiso", I193="Hollywood"), "Hybrid", IF(OR(I193="New Queen Street", I193="Esperanca", I193="Colosseo", I193="Runasapi"), "Push", IF(OR(I193="New Junk City", I193="Suravasa", I193="Aatlis"), "Flashpoint", "")))))</f>
        <v/>
      </c>
      <c r="O193">
        <f>TEXT(E193, "yymmdd") &amp; "_" &amp; G193 &amp; "_" &amp; H193 &amp; "_S" &amp; D193</f>
        <v/>
      </c>
    </row>
    <row r="194">
      <c r="G194" s="0" t="n"/>
      <c r="J194" s="0">
        <f>IF(OR(I194="Antarctic Peninsula", I194="Nepal", I194="Lijiang Tower", I194="Busan", I194="Samoa", I194="Oasis", I194="Ilios"), "Control", IF(OR(I194="Route 66", I194="Watchpoint: Gibraltar", I194="Dorado", I194="Rialto", I194="Shambali Monastery", I194="Circuit Royal", I194="Junkertown", I194="Havana"), "Escort", IF(OR(I194="Neon Junction", I194="Numbani", I194="Midtown", I194="Blizzard World", I194="Eichenwalde", I194="King's Row", I194="Paraiso", I194="Hollywood"), "Hybrid", IF(OR(I194="New Queen Street", I194="Esperanca", I194="Colosseo", I194="Runasapi"), "Push", IF(OR(I194="New Junk City", I194="Suravasa", I194="Aatlis"), "Flashpoint", "")))))</f>
        <v/>
      </c>
      <c r="O194">
        <f>TEXT(E194, "yymmdd") &amp; "_" &amp; G194 &amp; "_" &amp; H194 &amp; "_S" &amp; D194</f>
        <v/>
      </c>
    </row>
    <row r="195">
      <c r="G195" s="0" t="n"/>
      <c r="J195" s="0">
        <f>IF(OR(I195="Antarctic Peninsula", I195="Nepal", I195="Lijiang Tower", I195="Busan", I195="Samoa", I195="Oasis", I195="Ilios"), "Control", IF(OR(I195="Route 66", I195="Watchpoint: Gibraltar", I195="Dorado", I195="Rialto", I195="Shambali Monastery", I195="Circuit Royal", I195="Junkertown", I195="Havana"), "Escort", IF(OR(I195="Neon Junction", I195="Numbani", I195="Midtown", I195="Blizzard World", I195="Eichenwalde", I195="King's Row", I195="Paraiso", I195="Hollywood"), "Hybrid", IF(OR(I195="New Queen Street", I195="Esperanca", I195="Colosseo", I195="Runasapi"), "Push", IF(OR(I195="New Junk City", I195="Suravasa", I195="Aatlis"), "Flashpoint", "")))))</f>
        <v/>
      </c>
      <c r="O195">
        <f>TEXT(E195, "yymmdd") &amp; "_" &amp; G195 &amp; "_" &amp; H195 &amp; "_S" &amp; D195</f>
        <v/>
      </c>
    </row>
    <row r="196">
      <c r="G196" s="0" t="n"/>
      <c r="J196" s="0">
        <f>IF(OR(I196="Antarctic Peninsula", I196="Nepal", I196="Lijiang Tower", I196="Busan", I196="Samoa", I196="Oasis", I196="Ilios"), "Control", IF(OR(I196="Route 66", I196="Watchpoint: Gibraltar", I196="Dorado", I196="Rialto", I196="Shambali Monastery", I196="Circuit Royal", I196="Junkertown", I196="Havana"), "Escort", IF(OR(I196="Neon Junction", I196="Numbani", I196="Midtown", I196="Blizzard World", I196="Eichenwalde", I196="King's Row", I196="Paraiso", I196="Hollywood"), "Hybrid", IF(OR(I196="New Queen Street", I196="Esperanca", I196="Colosseo", I196="Runasapi"), "Push", IF(OR(I196="New Junk City", I196="Suravasa", I196="Aatlis"), "Flashpoint", "")))))</f>
        <v/>
      </c>
      <c r="O196">
        <f>TEXT(E196, "yymmdd") &amp; "_" &amp; G196 &amp; "_" &amp; H196 &amp; "_S" &amp; D196</f>
        <v/>
      </c>
    </row>
    <row r="197">
      <c r="G197" s="0" t="n"/>
      <c r="J197" s="0">
        <f>IF(OR(I197="Antarctic Peninsula", I197="Nepal", I197="Lijiang Tower", I197="Busan", I197="Samoa", I197="Oasis", I197="Ilios"), "Control", IF(OR(I197="Route 66", I197="Watchpoint: Gibraltar", I197="Dorado", I197="Rialto", I197="Shambali Monastery", I197="Circuit Royal", I197="Junkertown", I197="Havana"), "Escort", IF(OR(I197="Neon Junction", I197="Numbani", I197="Midtown", I197="Blizzard World", I197="Eichenwalde", I197="King's Row", I197="Paraiso", I197="Hollywood"), "Hybrid", IF(OR(I197="New Queen Street", I197="Esperanca", I197="Colosseo", I197="Runasapi"), "Push", IF(OR(I197="New Junk City", I197="Suravasa", I197="Aatlis"), "Flashpoint", "")))))</f>
        <v/>
      </c>
      <c r="O197">
        <f>TEXT(E197, "yymmdd") &amp; "_" &amp; G197 &amp; "_" &amp; H197 &amp; "_S" &amp; D197</f>
        <v/>
      </c>
    </row>
    <row r="198">
      <c r="G198" s="0" t="n"/>
      <c r="J198" s="0">
        <f>IF(OR(I198="Antarctic Peninsula", I198="Nepal", I198="Lijiang Tower", I198="Busan", I198="Samoa", I198="Oasis", I198="Ilios"), "Control", IF(OR(I198="Route 66", I198="Watchpoint: Gibraltar", I198="Dorado", I198="Rialto", I198="Shambali Monastery", I198="Circuit Royal", I198="Junkertown", I198="Havana"), "Escort", IF(OR(I198="Neon Junction", I198="Numbani", I198="Midtown", I198="Blizzard World", I198="Eichenwalde", I198="King's Row", I198="Paraiso", I198="Hollywood"), "Hybrid", IF(OR(I198="New Queen Street", I198="Esperanca", I198="Colosseo", I198="Runasapi"), "Push", IF(OR(I198="New Junk City", I198="Suravasa", I198="Aatlis"), "Flashpoint", "")))))</f>
        <v/>
      </c>
      <c r="O198">
        <f>TEXT(E198, "yymmdd") &amp; "_" &amp; G198 &amp; "_" &amp; H198 &amp; "_S" &amp; D198</f>
        <v/>
      </c>
    </row>
    <row r="199">
      <c r="G199" s="0" t="n"/>
      <c r="J199" s="0">
        <f>IF(OR(I199="Antarctic Peninsula", I199="Nepal", I199="Lijiang Tower", I199="Busan", I199="Samoa", I199="Oasis", I199="Ilios"), "Control", IF(OR(I199="Route 66", I199="Watchpoint: Gibraltar", I199="Dorado", I199="Rialto", I199="Shambali Monastery", I199="Circuit Royal", I199="Junkertown", I199="Havana"), "Escort", IF(OR(I199="Neon Junction", I199="Numbani", I199="Midtown", I199="Blizzard World", I199="Eichenwalde", I199="King's Row", I199="Paraiso", I199="Hollywood"), "Hybrid", IF(OR(I199="New Queen Street", I199="Esperanca", I199="Colosseo", I199="Runasapi"), "Push", IF(OR(I199="New Junk City", I199="Suravasa", I199="Aatlis"), "Flashpoint", "")))))</f>
        <v/>
      </c>
      <c r="O199">
        <f>TEXT(E199, "yymmdd") &amp; "_" &amp; G199 &amp; "_" &amp; H199 &amp; "_S" &amp; D199</f>
        <v/>
      </c>
    </row>
    <row r="200">
      <c r="G200" s="0" t="n"/>
      <c r="J200" s="0">
        <f>IF(OR(I200="Antarctic Peninsula", I200="Nepal", I200="Lijiang Tower", I200="Busan", I200="Samoa", I200="Oasis", I200="Ilios"), "Control", IF(OR(I200="Route 66", I200="Watchpoint: Gibraltar", I200="Dorado", I200="Rialto", I200="Shambali Monastery", I200="Circuit Royal", I200="Junkertown", I200="Havana"), "Escort", IF(OR(I200="Neon Junction", I200="Numbani", I200="Midtown", I200="Blizzard World", I200="Eichenwalde", I200="King's Row", I200="Paraiso", I200="Hollywood"), "Hybrid", IF(OR(I200="New Queen Street", I200="Esperanca", I200="Colosseo", I200="Runasapi"), "Push", IF(OR(I200="New Junk City", I200="Suravasa", I200="Aatlis"), "Flashpoint", "")))))</f>
        <v/>
      </c>
      <c r="O200">
        <f>TEXT(E200, "yymmdd") &amp; "_" &amp; G200 &amp; "_" &amp; H200 &amp; "_S" &amp; D200</f>
        <v/>
      </c>
    </row>
    <row r="201">
      <c r="G201" s="0" t="n"/>
      <c r="J201" s="0">
        <f>IF(OR(I201="Antarctic Peninsula", I201="Nepal", I201="Lijiang Tower", I201="Busan", I201="Samoa", I201="Oasis", I201="Ilios"), "Control", IF(OR(I201="Route 66", I201="Watchpoint: Gibraltar", I201="Dorado", I201="Rialto", I201="Shambali Monastery", I201="Circuit Royal", I201="Junkertown", I201="Havana"), "Escort", IF(OR(I201="Neon Junction", I201="Numbani", I201="Midtown", I201="Blizzard World", I201="Eichenwalde", I201="King's Row", I201="Paraiso", I201="Hollywood"), "Hybrid", IF(OR(I201="New Queen Street", I201="Esperanca", I201="Colosseo", I201="Runasapi"), "Push", IF(OR(I201="New Junk City", I201="Suravasa", I201="Aatlis"), "Flashpoint", "")))))</f>
        <v/>
      </c>
      <c r="O201">
        <f>TEXT(E201, "yymmdd") &amp; "_" &amp; G201 &amp; "_" &amp; H201 &amp; "_S" &amp; D201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10" defaultColWidth="8.7109375" defaultRowHeight="18"/>
  <cols>
    <col width="8.7109375" customWidth="1" style="23" min="1" max="1"/>
    <col width="10.85546875" customWidth="1" style="25" min="2" max="2"/>
    <col width="8.7109375" customWidth="1" style="23" min="3" max="3"/>
    <col width="15.28515625" customWidth="1" style="23" min="4" max="4"/>
    <col width="8.7109375" customWidth="1" style="23" min="5" max="12"/>
    <col width="16.7109375" customWidth="1" style="23" min="13" max="13"/>
    <col width="17.42578125" customWidth="1" style="23" min="14" max="14"/>
    <col width="8.7109375" customWidth="1" style="23" min="15" max="16384"/>
  </cols>
  <sheetData>
    <row r="1">
      <c r="A1" s="4" t="inlineStr">
        <is>
          <t>Team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Map</t>
        </is>
      </c>
      <c r="E1" s="4" t="inlineStr">
        <is>
          <t>Map Type</t>
        </is>
      </c>
      <c r="F1" s="4" t="inlineStr">
        <is>
          <t>Elim</t>
        </is>
      </c>
      <c r="G1" s="4" t="inlineStr">
        <is>
          <t>Death</t>
        </is>
      </c>
      <c r="H1" s="4" t="inlineStr">
        <is>
          <t>Assists</t>
        </is>
      </c>
      <c r="I1" s="4" t="inlineStr">
        <is>
          <t>Damage</t>
        </is>
      </c>
      <c r="J1" s="4" t="inlineStr">
        <is>
          <t>Heal</t>
        </is>
      </c>
      <c r="K1" s="4" t="inlineStr">
        <is>
          <t>Mitigated</t>
        </is>
      </c>
      <c r="L1" s="4" t="inlineStr">
        <is>
          <t>Playtime</t>
        </is>
      </c>
      <c r="M1" s="4" t="inlineStr">
        <is>
          <t>Playtime(Seconds)</t>
        </is>
      </c>
      <c r="N1" s="54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INT((ROW()-2)/10)+2)</f>
        <v/>
      </c>
    </row>
  </sheetData>
  <conditionalFormatting sqref="A2:N29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10" defaultRowHeight="18"/>
  <cols>
    <col width="10.85546875" customWidth="1" style="3" min="2" max="2"/>
    <col width="8.7109375" customWidth="1" style="3" min="3" max="3"/>
    <col width="15.28515625" customWidth="1" style="3" min="4" max="4"/>
    <col width="8.7109375" customWidth="1" style="3" min="5" max="12"/>
    <col width="16.7109375" customWidth="1" style="3" min="13" max="13"/>
    <col width="17.42578125" customWidth="1" style="3" min="14" max="14"/>
  </cols>
  <sheetData>
    <row r="1">
      <c r="A1" s="4" t="inlineStr">
        <is>
          <t>Team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Map</t>
        </is>
      </c>
      <c r="E1" s="4" t="inlineStr">
        <is>
          <t>Map Type</t>
        </is>
      </c>
      <c r="F1" s="4" t="inlineStr">
        <is>
          <t>Elim</t>
        </is>
      </c>
      <c r="G1" s="4" t="inlineStr">
        <is>
          <t>Death</t>
        </is>
      </c>
      <c r="H1" s="4" t="inlineStr">
        <is>
          <t>Assists</t>
        </is>
      </c>
      <c r="I1" s="4" t="inlineStr">
        <is>
          <t>Damage</t>
        </is>
      </c>
      <c r="J1" s="4" t="inlineStr">
        <is>
          <t>Heal</t>
        </is>
      </c>
      <c r="K1" s="4" t="inlineStr">
        <is>
          <t>Mitigated</t>
        </is>
      </c>
      <c r="L1" s="4" t="inlineStr">
        <is>
          <t>Playtime</t>
        </is>
      </c>
      <c r="M1" s="4" t="inlineStr">
        <is>
          <t>Playtime(Seconds)</t>
        </is>
      </c>
      <c r="N1" s="7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 + 29)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 + 29)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 + 29)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 + 29)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 + 29)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 + 29)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 + 29)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 + 29)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 + 29)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 + 29)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 + 29)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 + 29)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 + 29)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 + 29)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 + 29)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 + 29)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 + 29)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 + 29)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 + 29)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 + 29)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 + 29)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 + 29)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 + 29)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 + 29)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 + 29)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 + 29)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 + 29)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 + 29)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 + 29)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 + 29)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 + 29)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 + 29)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 + 29)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 + 29)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 + 29)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 + 29)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 + 29)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 + 29)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 + 29)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 + 29)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 + 29)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 + 29)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 + 29)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 + 29)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 + 29)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 + 29)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 + 29)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 + 29)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 + 29)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 + 29)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 + 29)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 + 29)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 + 29)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 + 29)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 + 29)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 + 29)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 + 29)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 + 29)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 + 29)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 + 29)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 + 29)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 + 29)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 + 29)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 + 29)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 + 29)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 + 29)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 + 29)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 + 29)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 + 29)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 + 29)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 + 29)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 + 29)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 + 29)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 + 29)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 + 29)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 + 29)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 + 29)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 + 29)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 + 29)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 + 29)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 + 29)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 + 29)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 + 29)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 + 29)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 + 29)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 + 29)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 + 29)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 + 29)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 + 29)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 + 29)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 + 29)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 + 29)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 + 29)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 + 29)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 + 29)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 + 29)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 + 29)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 + 29)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 + 29)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 + 29)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 + 29)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 + 29)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 + 29)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 + 29)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 + 29)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 + 29)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 + 29)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 + 29)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 + 29)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 + 29)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 + 29)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 + 29)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 + 29)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 + 29)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 + 29)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 + 29)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 + 29)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 + 29)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 + 29)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 + 29)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 + 29)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 + 29)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 + 29)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 + 29)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 + 29)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 + 29)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 + 29)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 + 29)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 + 29)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 + 29)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 + 29)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 + 29)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 + 29)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 + 29)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 + 29)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 + 29)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 + 29)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 + 29)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 + 29)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 + 29)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 + 29)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 + 29)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 + 29)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 + 29)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 + 29)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 + 29)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 + 29)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 + 29)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 + 29)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 + 29)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 + 29)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 + 29)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 + 29)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 + 29)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 + 29)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 + 29)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 + 29)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 + 29)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 + 29)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 + 29)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 + 29)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 + 29)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 + 29)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 + 29)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 + 29)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 + 29)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 + 29)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 + 29)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 + 29)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 + 29)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 + 29)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 + 29)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 + 29)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 + 29)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 + 29)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 + 29)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 + 29)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 + 29)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 + 29)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 + 29)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 + 29)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 + 29)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 + 29)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 + 29)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 + 29)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 + 29)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 + 29)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 + 29)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 + 29)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 + 29)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 + 29)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 + 29)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 + 29)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 + 29)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 + 29)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 + 29)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 + 29)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 + 29)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 + 29)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 + 29)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 + 29)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 + 29)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 + 29)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 + 29)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 + 29)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 + 29)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 + 29)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 + 29)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 + 29)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 + 29)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 + 29)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 + 29)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 + 29)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 + 29)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 + 29)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 + 29)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 + 29)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 + 29)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 + 29)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 + 29)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 + 29)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 + 29)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 + 29)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 + 29)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 + 29)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 + 29)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 + 29)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 + 29)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 + 29)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 + 29)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 + 29)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 + 29)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 + 29)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 + 29)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 + 29)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 + 29)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 + 29)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 + 29)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 + 29)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 + 29)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 + 29)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 + 29)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 + 29)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 + 29)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 + 29)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 + 29)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 + 29)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 + 29)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 + 29)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 + 29)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 + 29)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 + 29)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 + 29)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 + 29)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 + 29)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 + 29)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 + 29)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 + 29)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 + 29)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 + 29)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 + 29)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 + 29)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 + 29)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 + 29)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 + 29)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 + 29)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 + 29)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 + 29)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 + 29)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 + 29)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 + 29)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 + 29)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 + 29)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 + 29)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 + 29)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 + 29)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 + 29)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 + 29)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 + 29)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 + 29)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 + 29)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 + 29)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 + 29)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 + 29)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 + 29)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 + 29)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 + 29)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 + 29)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 + 29)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 + 29)</f>
        <v/>
      </c>
    </row>
  </sheetData>
  <conditionalFormatting sqref="A2:N29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10" defaultRowHeight="18"/>
  <cols>
    <col width="10.85546875" customWidth="1" style="3" min="2" max="2"/>
    <col width="8.7109375" customWidth="1" style="3" min="3" max="3"/>
    <col width="15.28515625" customWidth="1" style="3" min="4" max="4"/>
    <col width="8.7109375" customWidth="1" style="3" min="5" max="12"/>
    <col width="16.7109375" customWidth="1" style="3" min="13" max="13"/>
    <col width="22.28515625" customWidth="1" style="3" min="14" max="14"/>
  </cols>
  <sheetData>
    <row r="1">
      <c r="A1" s="22" t="inlineStr">
        <is>
          <t>Team</t>
        </is>
      </c>
      <c r="B1" s="22" t="inlineStr">
        <is>
          <t>Player</t>
        </is>
      </c>
      <c r="C1" s="22" t="inlineStr">
        <is>
          <t>Position</t>
        </is>
      </c>
      <c r="D1" s="22" t="inlineStr">
        <is>
          <t>Map</t>
        </is>
      </c>
      <c r="E1" s="22" t="inlineStr">
        <is>
          <t>Map Type</t>
        </is>
      </c>
      <c r="F1" s="22" t="inlineStr">
        <is>
          <t>Elim</t>
        </is>
      </c>
      <c r="G1" s="22" t="inlineStr">
        <is>
          <t>Death</t>
        </is>
      </c>
      <c r="H1" s="22" t="inlineStr">
        <is>
          <t>Assists</t>
        </is>
      </c>
      <c r="I1" s="22" t="inlineStr">
        <is>
          <t>Damage</t>
        </is>
      </c>
      <c r="J1" s="22" t="inlineStr">
        <is>
          <t>Heal</t>
        </is>
      </c>
      <c r="K1" s="22" t="inlineStr">
        <is>
          <t>Mitigated</t>
        </is>
      </c>
      <c r="L1" s="22" t="inlineStr">
        <is>
          <t>Playtime</t>
        </is>
      </c>
      <c r="M1" s="4" t="inlineStr">
        <is>
          <t>Playtime(Seconds)</t>
        </is>
      </c>
      <c r="N1" s="7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 + 29+29)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 + 29+29)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 + 29+29)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 + 29+29)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 + 29+29)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 + 29+29)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 + 29+29)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 + 29+29)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 + 29+29)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 + 29+29)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 + 29+29)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 + 29+29)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 + 29+29)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 + 29+29)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 + 29+29)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 + 29+29)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 + 29+29)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 + 29+29)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 + 29+29)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 + 29+29)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 + 29+29)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 + 29+29)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 + 29+29)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 + 29+29)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 + 29+29)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 + 29+29)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 + 29+29)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 + 29+29)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 + 29+29)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 + 29+29)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 + 29+29)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 + 29+29)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 + 29+29)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 + 29+29)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 + 29+29)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 + 29+29)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 + 29+29)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 + 29+29)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 + 29+29)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 + 29+29)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 + 29+29)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 + 29+29)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 + 29+29)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 + 29+29)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 + 29+29)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 + 29+29)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 + 29+29)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 + 29+29)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 + 29+29)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 + 29+29)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 + 29+29)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 + 29+29)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 + 29+29)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 + 29+29)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 + 29+29)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 + 29+29)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 + 29+29)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 + 29+29)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 + 29+29)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 + 29+29)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 + 29+29)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 + 29+29)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 + 29+29)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 + 29+29)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 + 29+29)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 + 29+29)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 + 29+29)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 + 29+29)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 + 29+29)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 + 29+29)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 + 29+29)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 + 29+29)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 + 29+29)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 + 29+29)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 + 29+29)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 + 29+29)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 + 29+29)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 + 29+29)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 + 29+29)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 + 29+29)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 + 29+29)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 + 29+29)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 + 29+29)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 + 29+29)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 + 29+29)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 + 29+29)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 + 29+29)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 + 29+29)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 + 29+29)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 + 29+29)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 + 29+29)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 + 29+29)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 + 29+29)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 + 29+29)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 + 29+29)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 + 29+29)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 + 29+29)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 + 29+29)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 + 29+29)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 + 29+29)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 + 29+29)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 + 29+29)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 + 29+29)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 + 29+29)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 + 29+29)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 + 29+29)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 + 29+29)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 + 29+29)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 + 29+29)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 + 29+29)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 + 29+29)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 + 29+29)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 + 29+29)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 + 29+29)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 + 29+29)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 + 29+29)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 + 29+29)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 + 29+29)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 + 29+29)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 + 29+29)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 + 29+29)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 + 29+29)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 + 29+29)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 + 29+29)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 + 29+29)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 + 29+29)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 + 29+29)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 + 29+29)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 + 29+29)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 + 29+29)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 + 29+29)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 + 29+29)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 + 29+29)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 + 29+29)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 + 29+29)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 + 29+29)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 + 29+29)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 + 29+29)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 + 29+29)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 + 29+29)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 + 29+29)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 + 29+29)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 + 29+29)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 + 29+29)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 + 29+29)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 + 29+29)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 + 29+29)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 + 29+29)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 + 29+29)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 + 29+29)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 + 29+29)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 + 29+29)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 + 29+29)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 + 29+29)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 + 29+29)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 + 29+29)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 + 29+29)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 + 29+29)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 + 29+29)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 + 29+29)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 + 29+29)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 + 29+29)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 + 29+29)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 + 29+29)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 + 29+29)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 + 29+29)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 + 29+29)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 + 29+29)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 + 29+29)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 + 29+29)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 + 29+29)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 + 29+29)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 + 29+29)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 + 29+29)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 + 29+29)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 + 29+29)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 + 29+29)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 + 29+29)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 + 29+29)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 + 29+29)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 + 29+29)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 + 29+29)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 + 29+29)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 + 29+29)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 + 29+29)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 + 29+29)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 + 29+29)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 + 29+29)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 + 29+29)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 + 29+29)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 + 29+29)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 + 29+29)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 + 29+29)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 + 29+29)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 + 29+29)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 + 29+29)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 + 29+29)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 + 29+29)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 + 29+29)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 + 29+29)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 + 29+29)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 + 29+29)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 + 29+29)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 + 29+29)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 + 29+29)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 + 29+29)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 + 29+29)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 + 29+29)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 + 29+29)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 + 29+29)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 + 29+29)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 + 29+29)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 + 29+29)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 + 29+29)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 + 29+29)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 + 29+29)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 + 29+29)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 + 29+29)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 + 29+29)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 + 29+29)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 + 29+29)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 + 29+29)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 + 29+29)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 + 29+29)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 + 29+29)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 + 29+29)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 + 29+29)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 + 29+29)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 + 29+29)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 + 29+29)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 + 29+29)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 + 29+29)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 + 29+29)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 + 29+29)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 + 29+29)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 + 29+29)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 + 29+29)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 + 29+29)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 + 29+29)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 + 29+29)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 + 29+29)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 + 29+29)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 + 29+29)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 + 29+29)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 + 29+29)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 + 29+29)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 + 29+29)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 + 29+29)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 + 29+29)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 + 29+29)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 + 29+29)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 + 29+29)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 + 29+29)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 + 29+29)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 + 29+29)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 + 29+29)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 + 29+29)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 + 29+29)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 + 29+29)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 + 29+29)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 + 29+29)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 + 29+29)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 + 29+29)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 + 29+29)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 + 29+29)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 + 29+29)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 + 29+29)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 + 29+29)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 + 29+29)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 + 29+29)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 + 29+29)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 + 29+29)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 + 29+29)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 + 29+29)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 + 29+29)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 + 29+29)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 + 29+29)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 + 29+29)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 + 29+29)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 + 29+29)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 + 29+29)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 + 29+29)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 + 29+29)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 + 29+29)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 + 29+29)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 + 29+29)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 + 29+29)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 + 29+29)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 + 29+29)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 + 29+29)</f>
        <v/>
      </c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>
        <f>L292*86400</f>
        <v/>
      </c>
      <c r="N292" s="24">
        <f t="array" ref="N292">INDEX('MATCH INFO'!O:O, INT((ROW()-2)/10)+2 + 29+29)</f>
        <v/>
      </c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>
        <f>L293*86400</f>
        <v/>
      </c>
      <c r="N293" s="24">
        <f t="array" ref="N293">INDEX('MATCH INFO'!O:O, INT((ROW()-2)/10)+2 + 29+29)</f>
        <v/>
      </c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>
        <f>L294*86400</f>
        <v/>
      </c>
      <c r="N294" s="24">
        <f t="array" ref="N294">INDEX('MATCH INFO'!O:O, INT((ROW()-2)/10)+2 + 29+29)</f>
        <v/>
      </c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>
        <f>L295*86400</f>
        <v/>
      </c>
      <c r="N295" s="24">
        <f t="array" ref="N295">INDEX('MATCH INFO'!O:O, INT((ROW()-2)/10)+2 + 29+29)</f>
        <v/>
      </c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>
        <f>L296*86400</f>
        <v/>
      </c>
      <c r="N296" s="24">
        <f t="array" ref="N296">INDEX('MATCH INFO'!O:O, INT((ROW()-2)/10)+2 + 29+29)</f>
        <v/>
      </c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>
        <f>L297*86400</f>
        <v/>
      </c>
      <c r="N297" s="24">
        <f t="array" ref="N297">INDEX('MATCH INFO'!O:O, INT((ROW()-2)/10)+2 + 29+29)</f>
        <v/>
      </c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>
        <f>L298*86400</f>
        <v/>
      </c>
      <c r="N298" s="24">
        <f t="array" ref="N298">INDEX('MATCH INFO'!O:O, INT((ROW()-2)/10)+2 + 29+29)</f>
        <v/>
      </c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>
        <f>L299*86400</f>
        <v/>
      </c>
      <c r="N299" s="24">
        <f t="array" ref="N299">INDEX('MATCH INFO'!O:O, INT((ROW()-2)/10)+2 + 29+29)</f>
        <v/>
      </c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>
        <f>L300*86400</f>
        <v/>
      </c>
      <c r="N300" s="24">
        <f t="array" ref="N300">INDEX('MATCH INFO'!O:O, INT((ROW()-2)/10)+2 + 29+29)</f>
        <v/>
      </c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>
        <f>L301*86400</f>
        <v/>
      </c>
      <c r="N301" s="24">
        <f t="array" ref="N301">INDEX('MATCH INFO'!O:O, INT((ROW()-2)/10)+2 + 29+29)</f>
        <v/>
      </c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>
        <f>L302*86400</f>
        <v/>
      </c>
      <c r="N302" s="24">
        <f t="array" ref="N302">INDEX('MATCH INFO'!O:O, INT((ROW()-2)/10)+2 + 29+29)</f>
        <v/>
      </c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>
        <f>L303*86400</f>
        <v/>
      </c>
      <c r="N303" s="24">
        <f t="array" ref="N303">INDEX('MATCH INFO'!O:O, INT((ROW()-2)/10)+2 + 29+29)</f>
        <v/>
      </c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>
        <f>L304*86400</f>
        <v/>
      </c>
      <c r="N304" s="24">
        <f t="array" ref="N304">INDEX('MATCH INFO'!O:O, INT((ROW()-2)/10)+2 + 29+29)</f>
        <v/>
      </c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>
        <f>L305*86400</f>
        <v/>
      </c>
      <c r="N305" s="24">
        <f t="array" ref="N305">INDEX('MATCH INFO'!O:O, INT((ROW()-2)/10)+2 + 29+29)</f>
        <v/>
      </c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>
        <f>L306*86400</f>
        <v/>
      </c>
      <c r="N306" s="24">
        <f t="array" ref="N306">INDEX('MATCH INFO'!O:O, INT((ROW()-2)/10)+2 + 29+29)</f>
        <v/>
      </c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>
        <f>L307*86400</f>
        <v/>
      </c>
      <c r="N307" s="24">
        <f t="array" ref="N307">INDEX('MATCH INFO'!O:O, INT((ROW()-2)/10)+2 + 29+29)</f>
        <v/>
      </c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>
        <f>L308*86400</f>
        <v/>
      </c>
      <c r="N308" s="24">
        <f t="array" ref="N308">INDEX('MATCH INFO'!O:O, INT((ROW()-2)/10)+2 + 29+29)</f>
        <v/>
      </c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>
        <f>L309*86400</f>
        <v/>
      </c>
      <c r="N309" s="24">
        <f t="array" ref="N309">INDEX('MATCH INFO'!O:O, INT((ROW()-2)/10)+2 + 29+29)</f>
        <v/>
      </c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>
        <f>L310*86400</f>
        <v/>
      </c>
      <c r="N310" s="24">
        <f t="array" ref="N310">INDEX('MATCH INFO'!O:O, INT((ROW()-2)/10)+2 + 29+29)</f>
        <v/>
      </c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>
        <f>L311*86400</f>
        <v/>
      </c>
      <c r="N311" s="24">
        <f t="array" ref="N311">INDEX('MATCH INFO'!O:O, INT((ROW()-2)/10)+2 + 29+29)</f>
        <v/>
      </c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>
        <f>L312*86400</f>
        <v/>
      </c>
      <c r="N312" s="24">
        <f t="array" ref="N312">INDEX('MATCH INFO'!O:O, INT((ROW()-2)/10)+2 + 29+29)</f>
        <v/>
      </c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>
        <f>L313*86400</f>
        <v/>
      </c>
      <c r="N313" s="24">
        <f t="array" ref="N313">INDEX('MATCH INFO'!O:O, INT((ROW()-2)/10)+2 + 29+29)</f>
        <v/>
      </c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>
        <f>L314*86400</f>
        <v/>
      </c>
      <c r="N314" s="24">
        <f t="array" ref="N314">INDEX('MATCH INFO'!O:O, INT((ROW()-2)/10)+2 + 29+29)</f>
        <v/>
      </c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>
        <f>L315*86400</f>
        <v/>
      </c>
      <c r="N315" s="24">
        <f t="array" ref="N315">INDEX('MATCH INFO'!O:O, INT((ROW()-2)/10)+2 + 29+29)</f>
        <v/>
      </c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>
        <f>L316*86400</f>
        <v/>
      </c>
      <c r="N316" s="24">
        <f t="array" ref="N316">INDEX('MATCH INFO'!O:O, INT((ROW()-2)/10)+2 + 29+29)</f>
        <v/>
      </c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>
        <f>L317*86400</f>
        <v/>
      </c>
      <c r="N317" s="24">
        <f t="array" ref="N317">INDEX('MATCH INFO'!O:O, INT((ROW()-2)/10)+2 + 29+29)</f>
        <v/>
      </c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>
        <f>L318*86400</f>
        <v/>
      </c>
      <c r="N318" s="24">
        <f t="array" ref="N318">INDEX('MATCH INFO'!O:O, INT((ROW()-2)/10)+2 + 29+29)</f>
        <v/>
      </c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>
        <f>L319*86400</f>
        <v/>
      </c>
      <c r="N319" s="24">
        <f t="array" ref="N319">INDEX('MATCH INFO'!O:O, INT((ROW()-2)/10)+2 + 29+29)</f>
        <v/>
      </c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>
        <f>L320*86400</f>
        <v/>
      </c>
      <c r="N320" s="24">
        <f t="array" ref="N320">INDEX('MATCH INFO'!O:O, INT((ROW()-2)/10)+2 + 29+29)</f>
        <v/>
      </c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>
        <f>L321*86400</f>
        <v/>
      </c>
      <c r="N321" s="24">
        <f t="array" ref="N321">INDEX('MATCH INFO'!O:O, INT((ROW()-2)/10)+2 + 29+29)</f>
        <v/>
      </c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>
        <f>L322*86400</f>
        <v/>
      </c>
      <c r="N322" s="24">
        <f t="array" ref="N322">INDEX('MATCH INFO'!O:O, INT((ROW()-2)/10)+2 + 29+29)</f>
        <v/>
      </c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>
        <f>L323*86400</f>
        <v/>
      </c>
      <c r="N323" s="24">
        <f t="array" ref="N323">INDEX('MATCH INFO'!O:O, INT((ROW()-2)/10)+2 + 29+29)</f>
        <v/>
      </c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>
        <f>L324*86400</f>
        <v/>
      </c>
      <c r="N324" s="24">
        <f t="array" ref="N324">INDEX('MATCH INFO'!O:O, INT((ROW()-2)/10)+2 + 29+29)</f>
        <v/>
      </c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>
        <f>L325*86400</f>
        <v/>
      </c>
      <c r="N325" s="24">
        <f t="array" ref="N325">INDEX('MATCH INFO'!O:O, INT((ROW()-2)/10)+2 + 29+29)</f>
        <v/>
      </c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>
        <f>L326*86400</f>
        <v/>
      </c>
      <c r="N326" s="24">
        <f t="array" ref="N326">INDEX('MATCH INFO'!O:O, INT((ROW()-2)/10)+2 + 29+29)</f>
        <v/>
      </c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>
        <f>L327*86400</f>
        <v/>
      </c>
      <c r="N327" s="24">
        <f t="array" ref="N327">INDEX('MATCH INFO'!O:O, INT((ROW()-2)/10)+2 + 29+29)</f>
        <v/>
      </c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>
        <f>L328*86400</f>
        <v/>
      </c>
      <c r="N328" s="24">
        <f t="array" ref="N328">INDEX('MATCH INFO'!O:O, INT((ROW()-2)/10)+2 + 29+29)</f>
        <v/>
      </c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>
        <f>L329*86400</f>
        <v/>
      </c>
      <c r="N329" s="24">
        <f t="array" ref="N329">INDEX('MATCH INFO'!O:O, INT((ROW()-2)/10)+2 + 29+29)</f>
        <v/>
      </c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>
        <f>L330*86400</f>
        <v/>
      </c>
      <c r="N330" s="24">
        <f t="array" ref="N330">INDEX('MATCH INFO'!O:O, INT((ROW()-2)/10)+2 + 29+29)</f>
        <v/>
      </c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>
        <f>L331*86400</f>
        <v/>
      </c>
      <c r="N331" s="24">
        <f t="array" ref="N331">INDEX('MATCH INFO'!O:O, INT((ROW()-2)/10)+2 + 29+29)</f>
        <v/>
      </c>
    </row>
    <row r="332">
      <c r="A332" s="23" t="n"/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>
        <f>L332*86400</f>
        <v/>
      </c>
      <c r="N332" s="24">
        <f t="array" ref="N332">INDEX('MATCH INFO'!O:O, INT((ROW()-2)/10)+2 + 29+29)</f>
        <v/>
      </c>
    </row>
    <row r="333">
      <c r="A333" s="23" t="n"/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>
        <f>L333*86400</f>
        <v/>
      </c>
      <c r="N333" s="24">
        <f t="array" ref="N333">INDEX('MATCH INFO'!O:O, INT((ROW()-2)/10)+2 + 29+29)</f>
        <v/>
      </c>
    </row>
    <row r="334">
      <c r="A334" s="23" t="n"/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>
        <f>L334*86400</f>
        <v/>
      </c>
      <c r="N334" s="24">
        <f t="array" ref="N334">INDEX('MATCH INFO'!O:O, INT((ROW()-2)/10)+2 + 29+29)</f>
        <v/>
      </c>
    </row>
    <row r="335">
      <c r="A335" s="23" t="n"/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>
        <f>L335*86400</f>
        <v/>
      </c>
      <c r="N335" s="24">
        <f t="array" ref="N335">INDEX('MATCH INFO'!O:O, INT((ROW()-2)/10)+2 + 29+29)</f>
        <v/>
      </c>
    </row>
    <row r="336">
      <c r="A336" s="23" t="n"/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>
        <f>L336*86400</f>
        <v/>
      </c>
      <c r="N336" s="24">
        <f t="array" ref="N336">INDEX('MATCH INFO'!O:O, INT((ROW()-2)/10)+2 + 29+29)</f>
        <v/>
      </c>
    </row>
    <row r="337">
      <c r="A337" s="23" t="n"/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>
        <f>L337*86400</f>
        <v/>
      </c>
      <c r="N337" s="24">
        <f t="array" ref="N337">INDEX('MATCH INFO'!O:O, INT((ROW()-2)/10)+2 + 29+29)</f>
        <v/>
      </c>
    </row>
    <row r="338">
      <c r="A338" s="23" t="n"/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>
        <f>L338*86400</f>
        <v/>
      </c>
      <c r="N338" s="24">
        <f t="array" ref="N338">INDEX('MATCH INFO'!O:O, INT((ROW()-2)/10)+2 + 29+29)</f>
        <v/>
      </c>
    </row>
    <row r="339">
      <c r="A339" s="23" t="n"/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>
        <f>L339*86400</f>
        <v/>
      </c>
      <c r="N339" s="24">
        <f t="array" ref="N339">INDEX('MATCH INFO'!O:O, INT((ROW()-2)/10)+2 + 29+29)</f>
        <v/>
      </c>
    </row>
    <row r="340">
      <c r="A340" s="23" t="n"/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>
        <f>L340*86400</f>
        <v/>
      </c>
      <c r="N340" s="24">
        <f t="array" ref="N340">INDEX('MATCH INFO'!O:O, INT((ROW()-2)/10)+2 + 29+29)</f>
        <v/>
      </c>
    </row>
    <row r="341">
      <c r="A341" s="23" t="n"/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>
        <f>L341*86400</f>
        <v/>
      </c>
      <c r="N341" s="24">
        <f t="array" ref="N341">INDEX('MATCH INFO'!O:O, INT((ROW()-2)/10)+2 + 29+29)</f>
        <v/>
      </c>
    </row>
  </sheetData>
  <conditionalFormatting sqref="A2:N34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10" defaultRowHeight="18"/>
  <cols>
    <col width="13.28515625" customWidth="1" style="3" min="2" max="2"/>
    <col width="15.28515625" customWidth="1" style="3" min="4" max="4"/>
    <col width="16.7109375" customWidth="1" style="3" min="13" max="13"/>
    <col width="17.42578125" customWidth="1" style="3" min="14" max="14"/>
  </cols>
  <sheetData>
    <row r="1">
      <c r="A1" s="4" t="inlineStr">
        <is>
          <t>Team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Map</t>
        </is>
      </c>
      <c r="E1" s="4" t="inlineStr">
        <is>
          <t>Map Type</t>
        </is>
      </c>
      <c r="F1" s="4" t="inlineStr">
        <is>
          <t>Elim</t>
        </is>
      </c>
      <c r="G1" s="4" t="inlineStr">
        <is>
          <t>Death</t>
        </is>
      </c>
      <c r="H1" s="4" t="inlineStr">
        <is>
          <t>Assists</t>
        </is>
      </c>
      <c r="I1" s="4" t="inlineStr">
        <is>
          <t>Damage</t>
        </is>
      </c>
      <c r="J1" s="4" t="inlineStr">
        <is>
          <t>Heal</t>
        </is>
      </c>
      <c r="K1" s="4" t="inlineStr">
        <is>
          <t>Mitigated</t>
        </is>
      </c>
      <c r="L1" s="4" t="inlineStr">
        <is>
          <t>Playtime</t>
        </is>
      </c>
      <c r="M1" s="4" t="inlineStr">
        <is>
          <t>Playtime(Seconds)</t>
        </is>
      </c>
      <c r="N1" s="7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 + 92)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 + 92)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 + 92)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 + 92)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 + 92)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 + 92)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 + 92)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 + 92)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 + 92)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 + 92)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 + 92)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 + 92)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 + 92)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 + 92)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 + 92)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 + 92)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 + 92)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 + 92)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 + 92)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 + 92)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 + 92)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 + 92)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 + 92)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 + 92)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 + 92)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 + 92)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 + 92)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 + 92)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 + 92)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 + 92)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 + 92)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 + 92)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 + 92)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 + 92)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 + 92)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 + 92)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 + 92)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 + 92)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 + 92)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 + 92)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 + 92)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 + 92)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 + 92)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 + 92)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 + 92)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 + 92)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 + 92)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 + 92)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 + 92)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 + 92)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 + 92)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 + 92)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 + 92)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 + 92)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 + 92)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 + 92)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 + 92)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 + 92)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 + 92)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 + 92)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 + 92)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 + 92)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 + 92)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 + 92)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 + 92)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 + 92)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 + 92)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 + 92)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 + 92)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 + 92)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 + 92)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 + 92)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 + 92)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 + 92)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 + 92)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 + 92)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 + 92)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 + 92)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 + 92)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 + 92)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 + 92)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 + 92)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 + 92)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 + 92)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 + 92)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 + 92)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 + 92)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 + 92)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 + 92)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 + 92)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 + 92)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 + 92)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 + 92)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 + 92)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 + 92)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 + 92)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 + 92)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 + 92)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 + 92)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 + 92)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 + 92)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 + 92)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 + 92)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 + 92)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 + 92)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 + 92)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 + 92)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 + 92)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 + 92)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 + 92)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 + 92)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 + 92)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 + 92)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 + 92)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 + 92)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 + 92)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 + 92)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 + 92)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 + 92)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 + 92)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 + 92)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 + 92)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 + 92)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 + 92)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 + 92)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 + 92)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 + 92)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 + 92)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 + 92)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 + 92)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 + 92)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 + 92)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 + 92)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 + 92)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 + 92)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 + 92)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 + 92)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 + 92)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 + 92)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 + 92)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 + 92)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 + 92)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 + 92)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 + 92)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 + 92)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 + 92)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 + 92)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 + 92)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 + 92)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 + 92)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 + 92)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 + 92)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 + 92)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 + 92)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 + 92)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 + 92)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 + 92)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 + 92)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 + 92)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 + 92)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 + 92)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 + 92)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 + 92)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 + 92)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 + 92)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 + 92)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 + 92)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 + 92)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 + 92)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 + 92)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 + 92)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 + 92)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 + 92)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 + 92)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 + 92)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 + 92)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 + 92)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 + 92)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 + 92)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 + 92)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 + 92)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 + 92)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 + 92)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 + 92)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 + 92)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 + 92)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 + 92)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 + 92)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 + 92)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 + 92)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 + 92)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 + 92)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 + 92)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 + 92)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 + 92)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 + 92)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 + 92)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 + 92)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 + 92)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 + 92)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 + 92)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 + 92)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 + 92)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 + 92)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 + 92)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 + 92)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 + 92)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 + 92)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 + 92)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 + 92)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 + 92)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 + 92)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 + 92)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 + 92)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 + 92)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 + 92)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 + 92)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 + 92)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 + 92)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 + 92)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 + 92)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 + 92)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 + 92)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 + 92)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 + 92)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 + 92)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 + 92)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 + 92)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 + 92)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 + 92)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 + 92)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 + 92)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 + 92)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 + 92)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 + 92)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 + 92)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 + 92)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 + 92)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 + 92)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 + 92)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 + 92)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 + 92)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 + 92)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 + 92)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 + 92)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 + 92)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 + 92)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 + 92)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 + 92)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 + 92)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 + 92)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 + 92)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 + 92)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 + 92)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 + 92)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 + 92)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 + 92)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 + 92)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 + 92)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 + 92)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 + 92)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 + 92)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 + 92)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 + 92)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 + 92)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 + 92)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 + 92)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 + 92)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 + 92)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 + 92)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 + 92)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 + 92)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 + 92)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 + 92)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 + 92)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 + 92)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 + 92)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 + 92)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 + 92)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 + 92)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 + 92)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 + 92)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 + 92)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 + 92)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 + 92)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 + 92)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 + 92)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 + 92)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 + 92)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 + 92)</f>
        <v/>
      </c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>
        <f>L292*86400</f>
        <v/>
      </c>
      <c r="N292" s="24">
        <f t="array" ref="N292">INDEX('MATCH INFO'!O:O, INT((ROW()-2)/10)+2 + 92)</f>
        <v/>
      </c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>
        <f>L293*86400</f>
        <v/>
      </c>
      <c r="N293" s="24">
        <f t="array" ref="N293">INDEX('MATCH INFO'!O:O, INT((ROW()-2)/10)+2 + 92)</f>
        <v/>
      </c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>
        <f>L294*86400</f>
        <v/>
      </c>
      <c r="N294" s="24">
        <f t="array" ref="N294">INDEX('MATCH INFO'!O:O, INT((ROW()-2)/10)+2 + 92)</f>
        <v/>
      </c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>
        <f>L295*86400</f>
        <v/>
      </c>
      <c r="N295" s="24">
        <f t="array" ref="N295">INDEX('MATCH INFO'!O:O, INT((ROW()-2)/10)+2 + 92)</f>
        <v/>
      </c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>
        <f>L296*86400</f>
        <v/>
      </c>
      <c r="N296" s="24">
        <f t="array" ref="N296">INDEX('MATCH INFO'!O:O, INT((ROW()-2)/10)+2 + 92)</f>
        <v/>
      </c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>
        <f>L297*86400</f>
        <v/>
      </c>
      <c r="N297" s="24">
        <f t="array" ref="N297">INDEX('MATCH INFO'!O:O, INT((ROW()-2)/10)+2 + 92)</f>
        <v/>
      </c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>
        <f>L298*86400</f>
        <v/>
      </c>
      <c r="N298" s="24">
        <f t="array" ref="N298">INDEX('MATCH INFO'!O:O, INT((ROW()-2)/10)+2 + 92)</f>
        <v/>
      </c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>
        <f>L299*86400</f>
        <v/>
      </c>
      <c r="N299" s="24">
        <f t="array" ref="N299">INDEX('MATCH INFO'!O:O, INT((ROW()-2)/10)+2 + 92)</f>
        <v/>
      </c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>
        <f>L300*86400</f>
        <v/>
      </c>
      <c r="N300" s="24">
        <f t="array" ref="N300">INDEX('MATCH INFO'!O:O, INT((ROW()-2)/10)+2 + 92)</f>
        <v/>
      </c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>
        <f>L301*86400</f>
        <v/>
      </c>
      <c r="N301" s="24">
        <f t="array" ref="N301">INDEX('MATCH INFO'!O:O, INT((ROW()-2)/10)+2 + 92)</f>
        <v/>
      </c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>
        <f>L302*86400</f>
        <v/>
      </c>
      <c r="N302" s="24">
        <f t="array" ref="N302">INDEX('MATCH INFO'!O:O, INT((ROW()-2)/10)+2 + 92)</f>
        <v/>
      </c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>
        <f>L303*86400</f>
        <v/>
      </c>
      <c r="N303" s="24">
        <f t="array" ref="N303">INDEX('MATCH INFO'!O:O, INT((ROW()-2)/10)+2 + 92)</f>
        <v/>
      </c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>
        <f>L304*86400</f>
        <v/>
      </c>
      <c r="N304" s="24">
        <f t="array" ref="N304">INDEX('MATCH INFO'!O:O, INT((ROW()-2)/10)+2 + 92)</f>
        <v/>
      </c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>
        <f>L305*86400</f>
        <v/>
      </c>
      <c r="N305" s="24">
        <f t="array" ref="N305">INDEX('MATCH INFO'!O:O, INT((ROW()-2)/10)+2 + 92)</f>
        <v/>
      </c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>
        <f>L306*86400</f>
        <v/>
      </c>
      <c r="N306" s="24">
        <f t="array" ref="N306">INDEX('MATCH INFO'!O:O, INT((ROW()-2)/10)+2 + 92)</f>
        <v/>
      </c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>
        <f>L307*86400</f>
        <v/>
      </c>
      <c r="N307" s="24">
        <f t="array" ref="N307">INDEX('MATCH INFO'!O:O, INT((ROW()-2)/10)+2 + 92)</f>
        <v/>
      </c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>
        <f>L308*86400</f>
        <v/>
      </c>
      <c r="N308" s="24">
        <f t="array" ref="N308">INDEX('MATCH INFO'!O:O, INT((ROW()-2)/10)+2 + 92)</f>
        <v/>
      </c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>
        <f>L309*86400</f>
        <v/>
      </c>
      <c r="N309" s="24">
        <f t="array" ref="N309">INDEX('MATCH INFO'!O:O, INT((ROW()-2)/10)+2 + 92)</f>
        <v/>
      </c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>
        <f>L310*86400</f>
        <v/>
      </c>
      <c r="N310" s="24">
        <f t="array" ref="N310">INDEX('MATCH INFO'!O:O, INT((ROW()-2)/10)+2 + 92)</f>
        <v/>
      </c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>
        <f>L311*86400</f>
        <v/>
      </c>
      <c r="N311" s="24">
        <f t="array" ref="N311">INDEX('MATCH INFO'!O:O, INT((ROW()-2)/10)+2 + 92)</f>
        <v/>
      </c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>
        <f>L312*86400</f>
        <v/>
      </c>
      <c r="N312" s="24">
        <f t="array" ref="N312">INDEX('MATCH INFO'!O:O, INT((ROW()-2)/10)+2 + 92)</f>
        <v/>
      </c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>
        <f>L313*86400</f>
        <v/>
      </c>
      <c r="N313" s="24">
        <f t="array" ref="N313">INDEX('MATCH INFO'!O:O, INT((ROW()-2)/10)+2 + 92)</f>
        <v/>
      </c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>
        <f>L314*86400</f>
        <v/>
      </c>
      <c r="N314" s="24">
        <f t="array" ref="N314">INDEX('MATCH INFO'!O:O, INT((ROW()-2)/10)+2 + 92)</f>
        <v/>
      </c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>
        <f>L315*86400</f>
        <v/>
      </c>
      <c r="N315" s="24">
        <f t="array" ref="N315">INDEX('MATCH INFO'!O:O, INT((ROW()-2)/10)+2 + 92)</f>
        <v/>
      </c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>
        <f>L316*86400</f>
        <v/>
      </c>
      <c r="N316" s="24">
        <f t="array" ref="N316">INDEX('MATCH INFO'!O:O, INT((ROW()-2)/10)+2 + 92)</f>
        <v/>
      </c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>
        <f>L317*86400</f>
        <v/>
      </c>
      <c r="N317" s="24">
        <f t="array" ref="N317">INDEX('MATCH INFO'!O:O, INT((ROW()-2)/10)+2 + 92)</f>
        <v/>
      </c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>
        <f>L318*86400</f>
        <v/>
      </c>
      <c r="N318" s="24">
        <f t="array" ref="N318">INDEX('MATCH INFO'!O:O, INT((ROW()-2)/10)+2 + 92)</f>
        <v/>
      </c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>
        <f>L319*86400</f>
        <v/>
      </c>
      <c r="N319" s="24">
        <f t="array" ref="N319">INDEX('MATCH INFO'!O:O, INT((ROW()-2)/10)+2 + 92)</f>
        <v/>
      </c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>
        <f>L320*86400</f>
        <v/>
      </c>
      <c r="N320" s="24">
        <f t="array" ref="N320">INDEX('MATCH INFO'!O:O, INT((ROW()-2)/10)+2 + 92)</f>
        <v/>
      </c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>
        <f>L321*86400</f>
        <v/>
      </c>
      <c r="N321" s="24">
        <f t="array" ref="N321">INDEX('MATCH INFO'!O:O, INT((ROW()-2)/10)+2 + 92)</f>
        <v/>
      </c>
    </row>
  </sheetData>
  <conditionalFormatting sqref="A2:N32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selection activeCell="A1" sqref="A1"/>
    </sheetView>
  </sheetViews>
  <sheetFormatPr baseColWidth="10" defaultRowHeight="18"/>
  <cols>
    <col width="13.28515625" customWidth="1" style="3" min="2" max="2"/>
    <col width="15.28515625" customWidth="1" style="3" min="4" max="4"/>
    <col width="16.7109375" customWidth="1" style="3" min="13" max="13"/>
    <col width="17.42578125" customWidth="1" style="3" min="14" max="14"/>
  </cols>
  <sheetData>
    <row r="1">
      <c r="A1" s="4" t="inlineStr">
        <is>
          <t>Team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Map</t>
        </is>
      </c>
      <c r="E1" s="4" t="inlineStr">
        <is>
          <t>Map Type</t>
        </is>
      </c>
      <c r="F1" s="4" t="inlineStr">
        <is>
          <t>Elim</t>
        </is>
      </c>
      <c r="G1" s="4" t="inlineStr">
        <is>
          <t>Death</t>
        </is>
      </c>
      <c r="H1" s="4" t="inlineStr">
        <is>
          <t>Assists</t>
        </is>
      </c>
      <c r="I1" s="4" t="inlineStr">
        <is>
          <t>Damage</t>
        </is>
      </c>
      <c r="J1" s="4" t="inlineStr">
        <is>
          <t>Heal</t>
        </is>
      </c>
      <c r="K1" s="4" t="inlineStr">
        <is>
          <t>Mitigated</t>
        </is>
      </c>
      <c r="L1" s="4" t="inlineStr">
        <is>
          <t>Playtime</t>
        </is>
      </c>
      <c r="M1" s="4" t="inlineStr">
        <is>
          <t>Playtime(Seconds)</t>
        </is>
      </c>
      <c r="N1" s="7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 + 124)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 + 124)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 + 124)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 + 124)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 + 124)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 + 124)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 + 124)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 + 124)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 + 124)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 + 124)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 + 124)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 + 124)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 + 124)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 + 124)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 + 124)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 + 124)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 + 124)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 + 124)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 + 124)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 + 124)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 + 124)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 + 124)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 + 124)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 + 124)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 + 124)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 + 124)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 + 124)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 + 124)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 + 124)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 + 124)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 + 124)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 + 124)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 + 124)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 + 124)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 + 124)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 + 124)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 + 124)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 + 124)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 + 124)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 + 124)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 + 124)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 + 124)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 + 124)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 + 124)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 + 124)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 + 124)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 + 124)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 + 124)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 + 124)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 + 124)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 + 124)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 + 124)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 + 124)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 + 124)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 + 124)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 + 124)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 + 124)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 + 124)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 + 124)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 + 124)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 + 124)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 + 124)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 + 124)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 + 124)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 + 124)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 + 124)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 + 124)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 + 124)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 + 124)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 + 124)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 + 124)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 + 124)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 + 124)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 + 124)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 + 124)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 + 124)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 + 124)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 + 124)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 + 124)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 + 124)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 + 124)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 + 124)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 + 124)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 + 124)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 + 124)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 + 124)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 + 124)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 + 124)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 + 124)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 + 124)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 + 124)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 + 124)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 + 124)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 + 124)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 + 124)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 + 124)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 + 124)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 + 124)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 + 124)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 + 124)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 + 124)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 + 124)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 + 124)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 + 124)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 + 124)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 + 124)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 + 124)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 + 124)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 + 124)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 + 124)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 + 124)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 + 124)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 + 124)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 + 124)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 + 124)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 + 124)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 + 124)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 + 124)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 + 124)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 + 124)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 + 124)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 + 124)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 + 124)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 + 124)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 + 124)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 + 124)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 + 124)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 + 124)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 + 124)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 + 124)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 + 124)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 + 124)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 + 124)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 + 124)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 + 124)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 + 124)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 + 124)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 + 124)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 + 124)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 + 124)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 + 124)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 + 124)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 + 124)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 + 124)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 + 124)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 + 124)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 + 124)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 + 124)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 + 124)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 + 124)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 + 124)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 + 124)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 + 124)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 + 124)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 + 124)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 + 124)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 + 124)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 + 124)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 + 124)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 + 124)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 + 124)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 + 124)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 + 124)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 + 124)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 + 124)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 + 124)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 + 124)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 + 124)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 + 124)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 + 124)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 + 124)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 + 124)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 + 124)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 + 124)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 + 124)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 + 124)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 + 124)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 + 124)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 + 124)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 + 124)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 + 124)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 + 124)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 + 124)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 + 124)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 + 124)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 + 124)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 + 124)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 + 124)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 + 124)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 + 124)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 + 124)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 + 124)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 + 124)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 + 124)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 + 124)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 + 124)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 + 124)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 + 124)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 + 124)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 + 124)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 + 124)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 + 124)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 + 124)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 + 124)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 + 124)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 + 124)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 + 124)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 + 124)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 + 124)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 + 124)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 + 124)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 + 124)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 + 124)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 + 124)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 + 124)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 + 124)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 + 124)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 + 124)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 + 124)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 + 124)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 + 124)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 + 124)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 + 124)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 + 124)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 + 124)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 + 124)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 + 124)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 + 124)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 + 124)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 + 124)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 + 124)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 + 124)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 + 124)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 + 124)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 + 124)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 + 124)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 + 124)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 + 124)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 + 124)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 + 124)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 + 124)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 + 124)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 + 124)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 + 124)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 + 124)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 + 124)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 + 124)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 + 124)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 + 124)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 + 124)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 + 124)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 + 124)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 + 124)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 + 124)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 + 124)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 + 124)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 + 124)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 + 124)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 + 124)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 + 124)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 + 124)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 + 124)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 + 124)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 + 124)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 + 124)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 + 124)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 + 124)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 + 124)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 + 124)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 + 124)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 + 124)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 + 124)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 + 124)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 + 124)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 + 124)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 + 124)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 + 124)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 + 124)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 + 124)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 + 124)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 + 124)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 + 124)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 + 124)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 + 124)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 + 124)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 + 124)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 + 124)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 + 124)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 + 124)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 + 124)</f>
        <v/>
      </c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>
        <f>L292*86400</f>
        <v/>
      </c>
      <c r="N292" s="24">
        <f t="array" ref="N292">INDEX('MATCH INFO'!O:O, INT((ROW()-2)/10)+2 + 124)</f>
        <v/>
      </c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>
        <f>L293*86400</f>
        <v/>
      </c>
      <c r="N293" s="24">
        <f t="array" ref="N293">INDEX('MATCH INFO'!O:O, INT((ROW()-2)/10)+2 + 124)</f>
        <v/>
      </c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>
        <f>L294*86400</f>
        <v/>
      </c>
      <c r="N294" s="24">
        <f t="array" ref="N294">INDEX('MATCH INFO'!O:O, INT((ROW()-2)/10)+2 + 124)</f>
        <v/>
      </c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>
        <f>L295*86400</f>
        <v/>
      </c>
      <c r="N295" s="24">
        <f t="array" ref="N295">INDEX('MATCH INFO'!O:O, INT((ROW()-2)/10)+2 + 124)</f>
        <v/>
      </c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>
        <f>L296*86400</f>
        <v/>
      </c>
      <c r="N296" s="24">
        <f t="array" ref="N296">INDEX('MATCH INFO'!O:O, INT((ROW()-2)/10)+2 + 124)</f>
        <v/>
      </c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>
        <f>L297*86400</f>
        <v/>
      </c>
      <c r="N297" s="24">
        <f t="array" ref="N297">INDEX('MATCH INFO'!O:O, INT((ROW()-2)/10)+2 + 124)</f>
        <v/>
      </c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>
        <f>L298*86400</f>
        <v/>
      </c>
      <c r="N298" s="24">
        <f t="array" ref="N298">INDEX('MATCH INFO'!O:O, INT((ROW()-2)/10)+2 + 124)</f>
        <v/>
      </c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>
        <f>L299*86400</f>
        <v/>
      </c>
      <c r="N299" s="24">
        <f t="array" ref="N299">INDEX('MATCH INFO'!O:O, INT((ROW()-2)/10)+2 + 124)</f>
        <v/>
      </c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>
        <f>L300*86400</f>
        <v/>
      </c>
      <c r="N300" s="24">
        <f t="array" ref="N300">INDEX('MATCH INFO'!O:O, INT((ROW()-2)/10)+2 + 124)</f>
        <v/>
      </c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>
        <f>L301*86400</f>
        <v/>
      </c>
      <c r="N301" s="24">
        <f t="array" ref="N301">INDEX('MATCH INFO'!O:O, INT((ROW()-2)/10)+2 + 124)</f>
        <v/>
      </c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>
        <f>L302*86400</f>
        <v/>
      </c>
      <c r="N302" s="24">
        <f t="array" ref="N302">INDEX('MATCH INFO'!O:O, INT((ROW()-2)/10)+2 + 124)</f>
        <v/>
      </c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>
        <f>L303*86400</f>
        <v/>
      </c>
      <c r="N303" s="24">
        <f t="array" ref="N303">INDEX('MATCH INFO'!O:O, INT((ROW()-2)/10)+2 + 124)</f>
        <v/>
      </c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>
        <f>L304*86400</f>
        <v/>
      </c>
      <c r="N304" s="24">
        <f t="array" ref="N304">INDEX('MATCH INFO'!O:O, INT((ROW()-2)/10)+2 + 124)</f>
        <v/>
      </c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>
        <f>L305*86400</f>
        <v/>
      </c>
      <c r="N305" s="24">
        <f t="array" ref="N305">INDEX('MATCH INFO'!O:O, INT((ROW()-2)/10)+2 + 124)</f>
        <v/>
      </c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>
        <f>L306*86400</f>
        <v/>
      </c>
      <c r="N306" s="24">
        <f t="array" ref="N306">INDEX('MATCH INFO'!O:O, INT((ROW()-2)/10)+2 + 124)</f>
        <v/>
      </c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>
        <f>L307*86400</f>
        <v/>
      </c>
      <c r="N307" s="24">
        <f t="array" ref="N307">INDEX('MATCH INFO'!O:O, INT((ROW()-2)/10)+2 + 124)</f>
        <v/>
      </c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>
        <f>L308*86400</f>
        <v/>
      </c>
      <c r="N308" s="24">
        <f t="array" ref="N308">INDEX('MATCH INFO'!O:O, INT((ROW()-2)/10)+2 + 124)</f>
        <v/>
      </c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>
        <f>L309*86400</f>
        <v/>
      </c>
      <c r="N309" s="24">
        <f t="array" ref="N309">INDEX('MATCH INFO'!O:O, INT((ROW()-2)/10)+2 + 124)</f>
        <v/>
      </c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>
        <f>L310*86400</f>
        <v/>
      </c>
      <c r="N310" s="24">
        <f t="array" ref="N310">INDEX('MATCH INFO'!O:O, INT((ROW()-2)/10)+2 + 124)</f>
        <v/>
      </c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>
        <f>L311*86400</f>
        <v/>
      </c>
      <c r="N311" s="24">
        <f t="array" ref="N311">INDEX('MATCH INFO'!O:O, INT((ROW()-2)/10)+2 + 124)</f>
        <v/>
      </c>
    </row>
    <row r="312">
      <c r="A312" s="23" t="n"/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>
        <f>L312*86400</f>
        <v/>
      </c>
      <c r="N312" s="24">
        <f t="array" ref="N312">INDEX('MATCH INFO'!O:O, INT((ROW()-2)/10)+2 + 124)</f>
        <v/>
      </c>
    </row>
    <row r="313">
      <c r="A313" s="23" t="n"/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>
        <f>L313*86400</f>
        <v/>
      </c>
      <c r="N313" s="24">
        <f t="array" ref="N313">INDEX('MATCH INFO'!O:O, INT((ROW()-2)/10)+2 + 124)</f>
        <v/>
      </c>
    </row>
    <row r="314">
      <c r="A314" s="23" t="n"/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>
        <f>L314*86400</f>
        <v/>
      </c>
      <c r="N314" s="24">
        <f t="array" ref="N314">INDEX('MATCH INFO'!O:O, INT((ROW()-2)/10)+2 + 124)</f>
        <v/>
      </c>
    </row>
    <row r="315">
      <c r="A315" s="23" t="n"/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>
        <f>L315*86400</f>
        <v/>
      </c>
      <c r="N315" s="24">
        <f t="array" ref="N315">INDEX('MATCH INFO'!O:O, INT((ROW()-2)/10)+2 + 124)</f>
        <v/>
      </c>
    </row>
    <row r="316">
      <c r="A316" s="23" t="n"/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>
        <f>L316*86400</f>
        <v/>
      </c>
      <c r="N316" s="24">
        <f t="array" ref="N316">INDEX('MATCH INFO'!O:O, INT((ROW()-2)/10)+2 + 124)</f>
        <v/>
      </c>
    </row>
    <row r="317">
      <c r="A317" s="23" t="n"/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>
        <f>L317*86400</f>
        <v/>
      </c>
      <c r="N317" s="24">
        <f t="array" ref="N317">INDEX('MATCH INFO'!O:O, INT((ROW()-2)/10)+2 + 124)</f>
        <v/>
      </c>
    </row>
    <row r="318">
      <c r="A318" s="23" t="n"/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>
        <f>L318*86400</f>
        <v/>
      </c>
      <c r="N318" s="24">
        <f t="array" ref="N318">INDEX('MATCH INFO'!O:O, INT((ROW()-2)/10)+2 + 124)</f>
        <v/>
      </c>
    </row>
    <row r="319">
      <c r="A319" s="23" t="n"/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>
        <f>L319*86400</f>
        <v/>
      </c>
      <c r="N319" s="24">
        <f t="array" ref="N319">INDEX('MATCH INFO'!O:O, INT((ROW()-2)/10)+2 + 124)</f>
        <v/>
      </c>
    </row>
    <row r="320">
      <c r="A320" s="23" t="n"/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>
        <f>L320*86400</f>
        <v/>
      </c>
      <c r="N320" s="24">
        <f t="array" ref="N320">INDEX('MATCH INFO'!O:O, INT((ROW()-2)/10)+2 + 124)</f>
        <v/>
      </c>
    </row>
    <row r="321">
      <c r="A321" s="23" t="n"/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>
        <f>L321*86400</f>
        <v/>
      </c>
      <c r="N321" s="24">
        <f t="array" ref="N321">INDEX('MATCH INFO'!O:O, INT((ROW()-2)/10)+2 + 124)</f>
        <v/>
      </c>
    </row>
    <row r="322">
      <c r="A322" s="23" t="n"/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>
        <f>L322*86400</f>
        <v/>
      </c>
      <c r="N322" s="24">
        <f t="array" ref="N322">INDEX('MATCH INFO'!O:O, INT((ROW()-2)/10)+2 + 124)</f>
        <v/>
      </c>
    </row>
    <row r="323">
      <c r="A323" s="23" t="n"/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>
        <f>L323*86400</f>
        <v/>
      </c>
      <c r="N323" s="24">
        <f t="array" ref="N323">INDEX('MATCH INFO'!O:O, INT((ROW()-2)/10)+2 + 124)</f>
        <v/>
      </c>
    </row>
    <row r="324">
      <c r="A324" s="23" t="n"/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>
        <f>L324*86400</f>
        <v/>
      </c>
      <c r="N324" s="24">
        <f t="array" ref="N324">INDEX('MATCH INFO'!O:O, INT((ROW()-2)/10)+2 + 124)</f>
        <v/>
      </c>
    </row>
    <row r="325">
      <c r="A325" s="23" t="n"/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>
        <f>L325*86400</f>
        <v/>
      </c>
      <c r="N325" s="24">
        <f t="array" ref="N325">INDEX('MATCH INFO'!O:O, INT((ROW()-2)/10)+2 + 124)</f>
        <v/>
      </c>
    </row>
    <row r="326">
      <c r="A326" s="23" t="n"/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>
        <f>L326*86400</f>
        <v/>
      </c>
      <c r="N326" s="24">
        <f t="array" ref="N326">INDEX('MATCH INFO'!O:O, INT((ROW()-2)/10)+2 + 124)</f>
        <v/>
      </c>
    </row>
    <row r="327">
      <c r="A327" s="23" t="n"/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>
        <f>L327*86400</f>
        <v/>
      </c>
      <c r="N327" s="24">
        <f t="array" ref="N327">INDEX('MATCH INFO'!O:O, INT((ROW()-2)/10)+2 + 124)</f>
        <v/>
      </c>
    </row>
    <row r="328">
      <c r="A328" s="23" t="n"/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>
        <f>L328*86400</f>
        <v/>
      </c>
      <c r="N328" s="24">
        <f t="array" ref="N328">INDEX('MATCH INFO'!O:O, INT((ROW()-2)/10)+2 + 124)</f>
        <v/>
      </c>
    </row>
    <row r="329">
      <c r="A329" s="23" t="n"/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>
        <f>L329*86400</f>
        <v/>
      </c>
      <c r="N329" s="24">
        <f t="array" ref="N329">INDEX('MATCH INFO'!O:O, INT((ROW()-2)/10)+2 + 124)</f>
        <v/>
      </c>
    </row>
    <row r="330">
      <c r="A330" s="23" t="n"/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>
        <f>L330*86400</f>
        <v/>
      </c>
      <c r="N330" s="24">
        <f t="array" ref="N330">INDEX('MATCH INFO'!O:O, INT((ROW()-2)/10)+2 + 124)</f>
        <v/>
      </c>
    </row>
    <row r="331">
      <c r="A331" s="23" t="n"/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>
        <f>L331*86400</f>
        <v/>
      </c>
      <c r="N331" s="24">
        <f t="array" ref="N331">INDEX('MATCH INFO'!O:O, INT((ROW()-2)/10)+2 + 124)</f>
        <v/>
      </c>
    </row>
  </sheetData>
  <conditionalFormatting sqref="A2:N33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10" defaultRowHeight="18"/>
  <cols>
    <col width="13.28515625" customWidth="1" style="3" min="2" max="2"/>
    <col width="15.28515625" customWidth="1" style="3" min="4" max="4"/>
    <col width="16.7109375" customWidth="1" style="3" min="13" max="13"/>
    <col width="25" customWidth="1" style="3" min="14" max="14"/>
  </cols>
  <sheetData>
    <row r="1">
      <c r="A1" s="4" t="inlineStr">
        <is>
          <t>Team</t>
        </is>
      </c>
      <c r="B1" s="4" t="inlineStr">
        <is>
          <t>Player</t>
        </is>
      </c>
      <c r="C1" s="4" t="inlineStr">
        <is>
          <t>Position</t>
        </is>
      </c>
      <c r="D1" s="4" t="inlineStr">
        <is>
          <t>Map</t>
        </is>
      </c>
      <c r="E1" s="4" t="inlineStr">
        <is>
          <t>Map Type</t>
        </is>
      </c>
      <c r="F1" s="4" t="inlineStr">
        <is>
          <t>Elim</t>
        </is>
      </c>
      <c r="G1" s="4" t="inlineStr">
        <is>
          <t>Death</t>
        </is>
      </c>
      <c r="H1" s="4" t="inlineStr">
        <is>
          <t>Assists</t>
        </is>
      </c>
      <c r="I1" s="4" t="inlineStr">
        <is>
          <t>Damage</t>
        </is>
      </c>
      <c r="J1" s="4" t="inlineStr">
        <is>
          <t>Heal</t>
        </is>
      </c>
      <c r="K1" s="4" t="inlineStr">
        <is>
          <t>Mitigated</t>
        </is>
      </c>
      <c r="L1" s="4" t="inlineStr">
        <is>
          <t>Playtime</t>
        </is>
      </c>
      <c r="M1" s="4" t="inlineStr">
        <is>
          <t>Playtime(Seconds)</t>
        </is>
      </c>
      <c r="N1" s="26" t="inlineStr">
        <is>
          <t>MATCH_ID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>
        <f>L2*86400</f>
        <v/>
      </c>
      <c r="N2" s="24">
        <f t="array" ref="N2">INDEX('MATCH INFO'!O:O, INT((ROW()-2)/10)+2 + 157)</f>
        <v/>
      </c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>
        <f>L3*86400</f>
        <v/>
      </c>
      <c r="N3" s="24">
        <f t="array" ref="N3">INDEX('MATCH INFO'!O:O, INT((ROW()-2)/10)+2 + 157)</f>
        <v/>
      </c>
    </row>
    <row r="4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>
        <f>L4*86400</f>
        <v/>
      </c>
      <c r="N4" s="24">
        <f t="array" ref="N4">INDEX('MATCH INFO'!O:O, INT((ROW()-2)/10)+2 + 157)</f>
        <v/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>
        <f>L5*86400</f>
        <v/>
      </c>
      <c r="N5" s="24">
        <f t="array" ref="N5">INDEX('MATCH INFO'!O:O, INT((ROW()-2)/10)+2 + 157)</f>
        <v/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>
        <f>L6*86400</f>
        <v/>
      </c>
      <c r="N6" s="24">
        <f t="array" ref="N6">INDEX('MATCH INFO'!O:O, INT((ROW()-2)/10)+2 + 157)</f>
        <v/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>
        <f>L7*86400</f>
        <v/>
      </c>
      <c r="N7" s="24">
        <f t="array" ref="N7">INDEX('MATCH INFO'!O:O, INT((ROW()-2)/10)+2 + 157)</f>
        <v/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>
        <f>L8*86400</f>
        <v/>
      </c>
      <c r="N8" s="24">
        <f t="array" ref="N8">INDEX('MATCH INFO'!O:O, INT((ROW()-2)/10)+2 + 157)</f>
        <v/>
      </c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>
        <f>L9*86400</f>
        <v/>
      </c>
      <c r="N9" s="24">
        <f t="array" ref="N9">INDEX('MATCH INFO'!O:O, INT((ROW()-2)/10)+2 + 157)</f>
        <v/>
      </c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>
        <f>L10*86400</f>
        <v/>
      </c>
      <c r="N10" s="24">
        <f t="array" ref="N10">INDEX('MATCH INFO'!O:O, INT((ROW()-2)/10)+2 + 157)</f>
        <v/>
      </c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>
        <f>L11*86400</f>
        <v/>
      </c>
      <c r="N11" s="24">
        <f t="array" ref="N11">INDEX('MATCH INFO'!O:O, INT((ROW()-2)/10)+2 + 157)</f>
        <v/>
      </c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>
        <f>L12*86400</f>
        <v/>
      </c>
      <c r="N12" s="24">
        <f t="array" ref="N12">INDEX('MATCH INFO'!O:O, INT((ROW()-2)/10)+2 + 157)</f>
        <v/>
      </c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>
        <f>L13*86400</f>
        <v/>
      </c>
      <c r="N13" s="24">
        <f t="array" ref="N13">INDEX('MATCH INFO'!O:O, INT((ROW()-2)/10)+2 + 157)</f>
        <v/>
      </c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>
        <f>L14*86400</f>
        <v/>
      </c>
      <c r="N14" s="24">
        <f t="array" ref="N14">INDEX('MATCH INFO'!O:O, INT((ROW()-2)/10)+2 + 157)</f>
        <v/>
      </c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>
        <f>L15*86400</f>
        <v/>
      </c>
      <c r="N15" s="24">
        <f t="array" ref="N15">INDEX('MATCH INFO'!O:O, INT((ROW()-2)/10)+2 + 157)</f>
        <v/>
      </c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>
        <f>L16*86400</f>
        <v/>
      </c>
      <c r="N16" s="24">
        <f t="array" ref="N16">INDEX('MATCH INFO'!O:O, INT((ROW()-2)/10)+2 + 157)</f>
        <v/>
      </c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>
        <f>L17*86400</f>
        <v/>
      </c>
      <c r="N17" s="24">
        <f t="array" ref="N17">INDEX('MATCH INFO'!O:O, INT((ROW()-2)/10)+2 + 157)</f>
        <v/>
      </c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>
        <f>L18*86400</f>
        <v/>
      </c>
      <c r="N18" s="24">
        <f t="array" ref="N18">INDEX('MATCH INFO'!O:O, INT((ROW()-2)/10)+2 + 157)</f>
        <v/>
      </c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>
        <f>L19*86400</f>
        <v/>
      </c>
      <c r="N19" s="24">
        <f t="array" ref="N19">INDEX('MATCH INFO'!O:O, INT((ROW()-2)/10)+2 + 157)</f>
        <v/>
      </c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>
        <f>L20*86400</f>
        <v/>
      </c>
      <c r="N20" s="24">
        <f t="array" ref="N20">INDEX('MATCH INFO'!O:O, INT((ROW()-2)/10)+2 + 157)</f>
        <v/>
      </c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>
        <f>L21*86400</f>
        <v/>
      </c>
      <c r="N21" s="24">
        <f t="array" ref="N21">INDEX('MATCH INFO'!O:O, INT((ROW()-2)/10)+2 + 157)</f>
        <v/>
      </c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>
        <f>L22*86400</f>
        <v/>
      </c>
      <c r="N22" s="24">
        <f t="array" ref="N22">INDEX('MATCH INFO'!O:O, INT((ROW()-2)/10)+2 + 157)</f>
        <v/>
      </c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>
        <f>L23*86400</f>
        <v/>
      </c>
      <c r="N23" s="24">
        <f t="array" ref="N23">INDEX('MATCH INFO'!O:O, INT((ROW()-2)/10)+2 + 157)</f>
        <v/>
      </c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>
        <f>L24*86400</f>
        <v/>
      </c>
      <c r="N24" s="24">
        <f t="array" ref="N24">INDEX('MATCH INFO'!O:O, INT((ROW()-2)/10)+2 + 157)</f>
        <v/>
      </c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>
        <f>L25*86400</f>
        <v/>
      </c>
      <c r="N25" s="24">
        <f t="array" ref="N25">INDEX('MATCH INFO'!O:O, INT((ROW()-2)/10)+2 + 157)</f>
        <v/>
      </c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>
        <f>L26*86400</f>
        <v/>
      </c>
      <c r="N26" s="24">
        <f t="array" ref="N26">INDEX('MATCH INFO'!O:O, INT((ROW()-2)/10)+2 + 157)</f>
        <v/>
      </c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>
        <f>L27*86400</f>
        <v/>
      </c>
      <c r="N27" s="24">
        <f t="array" ref="N27">INDEX('MATCH INFO'!O:O, INT((ROW()-2)/10)+2 + 157)</f>
        <v/>
      </c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>
        <f>L28*86400</f>
        <v/>
      </c>
      <c r="N28" s="24">
        <f t="array" ref="N28">INDEX('MATCH INFO'!O:O, INT((ROW()-2)/10)+2 + 157)</f>
        <v/>
      </c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>
        <f>L29*86400</f>
        <v/>
      </c>
      <c r="N29" s="24">
        <f t="array" ref="N29">INDEX('MATCH INFO'!O:O, INT((ROW()-2)/10)+2 + 157)</f>
        <v/>
      </c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>
        <f>L30*86400</f>
        <v/>
      </c>
      <c r="N30" s="24">
        <f t="array" ref="N30">INDEX('MATCH INFO'!O:O, INT((ROW()-2)/10)+2 + 157)</f>
        <v/>
      </c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>
        <f>L31*86400</f>
        <v/>
      </c>
      <c r="N31" s="24">
        <f t="array" ref="N31">INDEX('MATCH INFO'!O:O, INT((ROW()-2)/10)+2 + 157)</f>
        <v/>
      </c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>
        <f>L32*86400</f>
        <v/>
      </c>
      <c r="N32" s="24">
        <f t="array" ref="N32">INDEX('MATCH INFO'!O:O, INT((ROW()-2)/10)+2 + 157)</f>
        <v/>
      </c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>
        <f>L33*86400</f>
        <v/>
      </c>
      <c r="N33" s="24">
        <f t="array" ref="N33">INDEX('MATCH INFO'!O:O, INT((ROW()-2)/10)+2 + 157)</f>
        <v/>
      </c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>
        <f>L34*86400</f>
        <v/>
      </c>
      <c r="N34" s="24">
        <f t="array" ref="N34">INDEX('MATCH INFO'!O:O, INT((ROW()-2)/10)+2 + 157)</f>
        <v/>
      </c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>
        <f>L35*86400</f>
        <v/>
      </c>
      <c r="N35" s="24">
        <f t="array" ref="N35">INDEX('MATCH INFO'!O:O, INT((ROW()-2)/10)+2 + 157)</f>
        <v/>
      </c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>
        <f>L36*86400</f>
        <v/>
      </c>
      <c r="N36" s="24">
        <f t="array" ref="N36">INDEX('MATCH INFO'!O:O, INT((ROW()-2)/10)+2 + 157)</f>
        <v/>
      </c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>
        <f>L37*86400</f>
        <v/>
      </c>
      <c r="N37" s="24">
        <f t="array" ref="N37">INDEX('MATCH INFO'!O:O, INT((ROW()-2)/10)+2 + 157)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>
        <f>L38*86400</f>
        <v/>
      </c>
      <c r="N38" s="24">
        <f t="array" ref="N38">INDEX('MATCH INFO'!O:O, INT((ROW()-2)/10)+2 + 157)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>
        <f>L39*86400</f>
        <v/>
      </c>
      <c r="N39" s="24">
        <f t="array" ref="N39">INDEX('MATCH INFO'!O:O, INT((ROW()-2)/10)+2 + 157)</f>
        <v/>
      </c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>
        <f>L40*86400</f>
        <v/>
      </c>
      <c r="N40" s="24">
        <f t="array" ref="N40">INDEX('MATCH INFO'!O:O, INT((ROW()-2)/10)+2 + 157)</f>
        <v/>
      </c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>
        <f>L41*86400</f>
        <v/>
      </c>
      <c r="N41" s="24">
        <f t="array" ref="N41">INDEX('MATCH INFO'!O:O, INT((ROW()-2)/10)+2 + 157)</f>
        <v/>
      </c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>
        <f>L42*86400</f>
        <v/>
      </c>
      <c r="N42" s="24">
        <f t="array" ref="N42">INDEX('MATCH INFO'!O:O, INT((ROW()-2)/10)+2 + 157)</f>
        <v/>
      </c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>
        <f>L43*86400</f>
        <v/>
      </c>
      <c r="N43" s="24">
        <f t="array" ref="N43">INDEX('MATCH INFO'!O:O, INT((ROW()-2)/10)+2 + 157)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>
        <f>L44*86400</f>
        <v/>
      </c>
      <c r="N44" s="24">
        <f t="array" ref="N44">INDEX('MATCH INFO'!O:O, INT((ROW()-2)/10)+2 + 157)</f>
        <v/>
      </c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>
        <f>L45*86400</f>
        <v/>
      </c>
      <c r="N45" s="24">
        <f t="array" ref="N45">INDEX('MATCH INFO'!O:O, INT((ROW()-2)/10)+2 + 157)</f>
        <v/>
      </c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>
        <f>L46*86400</f>
        <v/>
      </c>
      <c r="N46" s="24">
        <f t="array" ref="N46">INDEX('MATCH INFO'!O:O, INT((ROW()-2)/10)+2 + 157)</f>
        <v/>
      </c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>
        <f>L47*86400</f>
        <v/>
      </c>
      <c r="N47" s="24">
        <f t="array" ref="N47">INDEX('MATCH INFO'!O:O, INT((ROW()-2)/10)+2 + 157)</f>
        <v/>
      </c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>
        <f>L48*86400</f>
        <v/>
      </c>
      <c r="N48" s="24">
        <f t="array" ref="N48">INDEX('MATCH INFO'!O:O, INT((ROW()-2)/10)+2 + 157)</f>
        <v/>
      </c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>
        <f>L49*86400</f>
        <v/>
      </c>
      <c r="N49" s="24">
        <f t="array" ref="N49">INDEX('MATCH INFO'!O:O, INT((ROW()-2)/10)+2 + 157)</f>
        <v/>
      </c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>
        <f>L50*86400</f>
        <v/>
      </c>
      <c r="N50" s="24">
        <f t="array" ref="N50">INDEX('MATCH INFO'!O:O, INT((ROW()-2)/10)+2 + 157)</f>
        <v/>
      </c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>
        <f>L51*86400</f>
        <v/>
      </c>
      <c r="N51" s="24">
        <f t="array" ref="N51">INDEX('MATCH INFO'!O:O, INT((ROW()-2)/10)+2 + 157)</f>
        <v/>
      </c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>
        <f>L52*86400</f>
        <v/>
      </c>
      <c r="N52" s="24">
        <f t="array" ref="N52">INDEX('MATCH INFO'!O:O, INT((ROW()-2)/10)+2 + 157)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>
        <f>L53*86400</f>
        <v/>
      </c>
      <c r="N53" s="24">
        <f t="array" ref="N53">INDEX('MATCH INFO'!O:O, INT((ROW()-2)/10)+2 + 157)</f>
        <v/>
      </c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>
        <f>L54*86400</f>
        <v/>
      </c>
      <c r="N54" s="24">
        <f t="array" ref="N54">INDEX('MATCH INFO'!O:O, INT((ROW()-2)/10)+2 + 157)</f>
        <v/>
      </c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>
        <f>L55*86400</f>
        <v/>
      </c>
      <c r="N55" s="24">
        <f t="array" ref="N55">INDEX('MATCH INFO'!O:O, INT((ROW()-2)/10)+2 + 157)</f>
        <v/>
      </c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>
        <f>L56*86400</f>
        <v/>
      </c>
      <c r="N56" s="24">
        <f t="array" ref="N56">INDEX('MATCH INFO'!O:O, INT((ROW()-2)/10)+2 + 157)</f>
        <v/>
      </c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>
        <f>L57*86400</f>
        <v/>
      </c>
      <c r="N57" s="24">
        <f t="array" ref="N57">INDEX('MATCH INFO'!O:O, INT((ROW()-2)/10)+2 + 157)</f>
        <v/>
      </c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>
        <f>L58*86400</f>
        <v/>
      </c>
      <c r="N58" s="24">
        <f t="array" ref="N58">INDEX('MATCH INFO'!O:O, INT((ROW()-2)/10)+2 + 157)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>
        <f>L59*86400</f>
        <v/>
      </c>
      <c r="N59" s="24">
        <f t="array" ref="N59">INDEX('MATCH INFO'!O:O, INT((ROW()-2)/10)+2 + 157)</f>
        <v/>
      </c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>
        <f>L60*86400</f>
        <v/>
      </c>
      <c r="N60" s="24">
        <f t="array" ref="N60">INDEX('MATCH INFO'!O:O, INT((ROW()-2)/10)+2 + 157)</f>
        <v/>
      </c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>
        <f>L61*86400</f>
        <v/>
      </c>
      <c r="N61" s="24">
        <f t="array" ref="N61">INDEX('MATCH INFO'!O:O, INT((ROW()-2)/10)+2 + 157)</f>
        <v/>
      </c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>
        <f>L62*86400</f>
        <v/>
      </c>
      <c r="N62" s="24">
        <f t="array" ref="N62">INDEX('MATCH INFO'!O:O, INT((ROW()-2)/10)+2 + 157)</f>
        <v/>
      </c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>
        <f>L63*86400</f>
        <v/>
      </c>
      <c r="N63" s="24">
        <f t="array" ref="N63">INDEX('MATCH INFO'!O:O, INT((ROW()-2)/10)+2 + 157)</f>
        <v/>
      </c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>
        <f>L64*86400</f>
        <v/>
      </c>
      <c r="N64" s="24">
        <f t="array" ref="N64">INDEX('MATCH INFO'!O:O, INT((ROW()-2)/10)+2 + 157)</f>
        <v/>
      </c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>
        <f>L65*86400</f>
        <v/>
      </c>
      <c r="N65" s="24">
        <f t="array" ref="N65">INDEX('MATCH INFO'!O:O, INT((ROW()-2)/10)+2 + 157)</f>
        <v/>
      </c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>
        <f>L66*86400</f>
        <v/>
      </c>
      <c r="N66" s="24">
        <f t="array" ref="N66">INDEX('MATCH INFO'!O:O, INT((ROW()-2)/10)+2 + 157)</f>
        <v/>
      </c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>
        <f>L67*86400</f>
        <v/>
      </c>
      <c r="N67" s="24">
        <f t="array" ref="N67">INDEX('MATCH INFO'!O:O, INT((ROW()-2)/10)+2 + 157)</f>
        <v/>
      </c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>
        <f>L68*86400</f>
        <v/>
      </c>
      <c r="N68" s="24">
        <f t="array" ref="N68">INDEX('MATCH INFO'!O:O, INT((ROW()-2)/10)+2 + 157)</f>
        <v/>
      </c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>
        <f>L69*86400</f>
        <v/>
      </c>
      <c r="N69" s="24">
        <f t="array" ref="N69">INDEX('MATCH INFO'!O:O, INT((ROW()-2)/10)+2 + 157)</f>
        <v/>
      </c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>
        <f>L70*86400</f>
        <v/>
      </c>
      <c r="N70" s="24">
        <f t="array" ref="N70">INDEX('MATCH INFO'!O:O, INT((ROW()-2)/10)+2 + 157)</f>
        <v/>
      </c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>
        <f>L71*86400</f>
        <v/>
      </c>
      <c r="N71" s="24">
        <f t="array" ref="N71">INDEX('MATCH INFO'!O:O, INT((ROW()-2)/10)+2 + 157)</f>
        <v/>
      </c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>
        <f>L72*86400</f>
        <v/>
      </c>
      <c r="N72" s="24">
        <f t="array" ref="N72">INDEX('MATCH INFO'!O:O, INT((ROW()-2)/10)+2 + 157)</f>
        <v/>
      </c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>
        <f>L73*86400</f>
        <v/>
      </c>
      <c r="N73" s="24">
        <f t="array" ref="N73">INDEX('MATCH INFO'!O:O, INT((ROW()-2)/10)+2 + 157)</f>
        <v/>
      </c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>
        <f>L74*86400</f>
        <v/>
      </c>
      <c r="N74" s="24">
        <f t="array" ref="N74">INDEX('MATCH INFO'!O:O, INT((ROW()-2)/10)+2 + 157)</f>
        <v/>
      </c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>
        <f>L75*86400</f>
        <v/>
      </c>
      <c r="N75" s="24">
        <f t="array" ref="N75">INDEX('MATCH INFO'!O:O, INT((ROW()-2)/10)+2 + 157)</f>
        <v/>
      </c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>
        <f>L76*86400</f>
        <v/>
      </c>
      <c r="N76" s="24">
        <f t="array" ref="N76">INDEX('MATCH INFO'!O:O, INT((ROW()-2)/10)+2 + 157)</f>
        <v/>
      </c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>
        <f>L77*86400</f>
        <v/>
      </c>
      <c r="N77" s="24">
        <f t="array" ref="N77">INDEX('MATCH INFO'!O:O, INT((ROW()-2)/10)+2 + 157)</f>
        <v/>
      </c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>
        <f>L78*86400</f>
        <v/>
      </c>
      <c r="N78" s="24">
        <f t="array" ref="N78">INDEX('MATCH INFO'!O:O, INT((ROW()-2)/10)+2 + 157)</f>
        <v/>
      </c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>
        <f>L79*86400</f>
        <v/>
      </c>
      <c r="N79" s="24">
        <f t="array" ref="N79">INDEX('MATCH INFO'!O:O, INT((ROW()-2)/10)+2 + 157)</f>
        <v/>
      </c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>
        <f>L80*86400</f>
        <v/>
      </c>
      <c r="N80" s="24">
        <f t="array" ref="N80">INDEX('MATCH INFO'!O:O, INT((ROW()-2)/10)+2 + 157)</f>
        <v/>
      </c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>
        <f>L81*86400</f>
        <v/>
      </c>
      <c r="N81" s="24">
        <f t="array" ref="N81">INDEX('MATCH INFO'!O:O, INT((ROW()-2)/10)+2 + 157)</f>
        <v/>
      </c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>
        <f>L82*86400</f>
        <v/>
      </c>
      <c r="N82" s="24">
        <f t="array" ref="N82">INDEX('MATCH INFO'!O:O, INT((ROW()-2)/10)+2 + 157)</f>
        <v/>
      </c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>
        <f>L83*86400</f>
        <v/>
      </c>
      <c r="N83" s="24">
        <f t="array" ref="N83">INDEX('MATCH INFO'!O:O, INT((ROW()-2)/10)+2 + 157)</f>
        <v/>
      </c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>
        <f>L84*86400</f>
        <v/>
      </c>
      <c r="N84" s="24">
        <f t="array" ref="N84">INDEX('MATCH INFO'!O:O, INT((ROW()-2)/10)+2 + 157)</f>
        <v/>
      </c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>
        <f>L85*86400</f>
        <v/>
      </c>
      <c r="N85" s="24">
        <f t="array" ref="N85">INDEX('MATCH INFO'!O:O, INT((ROW()-2)/10)+2 + 157)</f>
        <v/>
      </c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>
        <f>L86*86400</f>
        <v/>
      </c>
      <c r="N86" s="24">
        <f t="array" ref="N86">INDEX('MATCH INFO'!O:O, INT((ROW()-2)/10)+2 + 157)</f>
        <v/>
      </c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>
        <f>L87*86400</f>
        <v/>
      </c>
      <c r="N87" s="24">
        <f t="array" ref="N87">INDEX('MATCH INFO'!O:O, INT((ROW()-2)/10)+2 + 157)</f>
        <v/>
      </c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>
        <f>L88*86400</f>
        <v/>
      </c>
      <c r="N88" s="24">
        <f t="array" ref="N88">INDEX('MATCH INFO'!O:O, INT((ROW()-2)/10)+2 + 157)</f>
        <v/>
      </c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>
        <f>L89*86400</f>
        <v/>
      </c>
      <c r="N89" s="24">
        <f t="array" ref="N89">INDEX('MATCH INFO'!O:O, INT((ROW()-2)/10)+2 + 157)</f>
        <v/>
      </c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>
        <f>L90*86400</f>
        <v/>
      </c>
      <c r="N90" s="24">
        <f t="array" ref="N90">INDEX('MATCH INFO'!O:O, INT((ROW()-2)/10)+2 + 157)</f>
        <v/>
      </c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>
        <f>L91*86400</f>
        <v/>
      </c>
      <c r="N91" s="24">
        <f t="array" ref="N91">INDEX('MATCH INFO'!O:O, INT((ROW()-2)/10)+2 + 157)</f>
        <v/>
      </c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>
        <f>L92*86400</f>
        <v/>
      </c>
      <c r="N92" s="24">
        <f t="array" ref="N92">INDEX('MATCH INFO'!O:O, INT((ROW()-2)/10)+2 + 157)</f>
        <v/>
      </c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>
        <f>L93*86400</f>
        <v/>
      </c>
      <c r="N93" s="24">
        <f t="array" ref="N93">INDEX('MATCH INFO'!O:O, INT((ROW()-2)/10)+2 + 157)</f>
        <v/>
      </c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>
        <f>L94*86400</f>
        <v/>
      </c>
      <c r="N94" s="24">
        <f t="array" ref="N94">INDEX('MATCH INFO'!O:O, INT((ROW()-2)/10)+2 + 157)</f>
        <v/>
      </c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>
        <f>L95*86400</f>
        <v/>
      </c>
      <c r="N95" s="24">
        <f t="array" ref="N95">INDEX('MATCH INFO'!O:O, INT((ROW()-2)/10)+2 + 157)</f>
        <v/>
      </c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>
        <f>L96*86400</f>
        <v/>
      </c>
      <c r="N96" s="24">
        <f t="array" ref="N96">INDEX('MATCH INFO'!O:O, INT((ROW()-2)/10)+2 + 157)</f>
        <v/>
      </c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>
        <f>L97*86400</f>
        <v/>
      </c>
      <c r="N97" s="24">
        <f t="array" ref="N97">INDEX('MATCH INFO'!O:O, INT((ROW()-2)/10)+2 + 157)</f>
        <v/>
      </c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>
        <f>L98*86400</f>
        <v/>
      </c>
      <c r="N98" s="24">
        <f t="array" ref="N98">INDEX('MATCH INFO'!O:O, INT((ROW()-2)/10)+2 + 157)</f>
        <v/>
      </c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>
        <f>L99*86400</f>
        <v/>
      </c>
      <c r="N99" s="24">
        <f t="array" ref="N99">INDEX('MATCH INFO'!O:O, INT((ROW()-2)/10)+2 + 157)</f>
        <v/>
      </c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>
        <f>L100*86400</f>
        <v/>
      </c>
      <c r="N100" s="24">
        <f t="array" ref="N100">INDEX('MATCH INFO'!O:O, INT((ROW()-2)/10)+2 + 157)</f>
        <v/>
      </c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>
        <f>L101*86400</f>
        <v/>
      </c>
      <c r="N101" s="24">
        <f t="array" ref="N101">INDEX('MATCH INFO'!O:O, INT((ROW()-2)/10)+2 + 157)</f>
        <v/>
      </c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>
        <f>L102*86400</f>
        <v/>
      </c>
      <c r="N102" s="24">
        <f t="array" ref="N102">INDEX('MATCH INFO'!O:O, INT((ROW()-2)/10)+2 + 157)</f>
        <v/>
      </c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>
        <f>L103*86400</f>
        <v/>
      </c>
      <c r="N103" s="24">
        <f t="array" ref="N103">INDEX('MATCH INFO'!O:O, INT((ROW()-2)/10)+2 + 157)</f>
        <v/>
      </c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>
        <f>L104*86400</f>
        <v/>
      </c>
      <c r="N104" s="24">
        <f t="array" ref="N104">INDEX('MATCH INFO'!O:O, INT((ROW()-2)/10)+2 + 157)</f>
        <v/>
      </c>
    </row>
    <row r="105">
      <c r="A105" s="23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>
        <f>L105*86400</f>
        <v/>
      </c>
      <c r="N105" s="24">
        <f t="array" ref="N105">INDEX('MATCH INFO'!O:O, INT((ROW()-2)/10)+2 + 157)</f>
        <v/>
      </c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>
        <f>L106*86400</f>
        <v/>
      </c>
      <c r="N106" s="24">
        <f t="array" ref="N106">INDEX('MATCH INFO'!O:O, INT((ROW()-2)/10)+2 + 157)</f>
        <v/>
      </c>
    </row>
    <row r="107">
      <c r="A107" s="23" t="n"/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>
        <f>L107*86400</f>
        <v/>
      </c>
      <c r="N107" s="24">
        <f t="array" ref="N107">INDEX('MATCH INFO'!O:O, INT((ROW()-2)/10)+2 + 157)</f>
        <v/>
      </c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>
        <f>L108*86400</f>
        <v/>
      </c>
      <c r="N108" s="24">
        <f t="array" ref="N108">INDEX('MATCH INFO'!O:O, INT((ROW()-2)/10)+2 + 157)</f>
        <v/>
      </c>
    </row>
    <row r="109">
      <c r="A109" s="23" t="n"/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>
        <f>L109*86400</f>
        <v/>
      </c>
      <c r="N109" s="24">
        <f t="array" ref="N109">INDEX('MATCH INFO'!O:O, INT((ROW()-2)/10)+2 + 157)</f>
        <v/>
      </c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>
        <f>L110*86400</f>
        <v/>
      </c>
      <c r="N110" s="24">
        <f t="array" ref="N110">INDEX('MATCH INFO'!O:O, INT((ROW()-2)/10)+2 + 157)</f>
        <v/>
      </c>
    </row>
    <row r="111">
      <c r="A111" s="23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>
        <f>L111*86400</f>
        <v/>
      </c>
      <c r="N111" s="24">
        <f t="array" ref="N111">INDEX('MATCH INFO'!O:O, INT((ROW()-2)/10)+2 + 157)</f>
        <v/>
      </c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>
        <f>L112*86400</f>
        <v/>
      </c>
      <c r="N112" s="24">
        <f t="array" ref="N112">INDEX('MATCH INFO'!O:O, INT((ROW()-2)/10)+2 + 157)</f>
        <v/>
      </c>
    </row>
    <row r="113">
      <c r="A113" s="23" t="n"/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>
        <f>L113*86400</f>
        <v/>
      </c>
      <c r="N113" s="24">
        <f t="array" ref="N113">INDEX('MATCH INFO'!O:O, INT((ROW()-2)/10)+2 + 157)</f>
        <v/>
      </c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>
        <f>L114*86400</f>
        <v/>
      </c>
      <c r="N114" s="24">
        <f t="array" ref="N114">INDEX('MATCH INFO'!O:O, INT((ROW()-2)/10)+2 + 157)</f>
        <v/>
      </c>
    </row>
    <row r="115">
      <c r="A115" s="23" t="n"/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>
        <f>L115*86400</f>
        <v/>
      </c>
      <c r="N115" s="24">
        <f t="array" ref="N115">INDEX('MATCH INFO'!O:O, INT((ROW()-2)/10)+2 + 157)</f>
        <v/>
      </c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>
        <f>L116*86400</f>
        <v/>
      </c>
      <c r="N116" s="24">
        <f t="array" ref="N116">INDEX('MATCH INFO'!O:O, INT((ROW()-2)/10)+2 + 157)</f>
        <v/>
      </c>
    </row>
    <row r="117">
      <c r="A117" s="23" t="n"/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>
        <f>L117*86400</f>
        <v/>
      </c>
      <c r="N117" s="24">
        <f t="array" ref="N117">INDEX('MATCH INFO'!O:O, INT((ROW()-2)/10)+2 + 157)</f>
        <v/>
      </c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>
        <f>L118*86400</f>
        <v/>
      </c>
      <c r="N118" s="24">
        <f t="array" ref="N118">INDEX('MATCH INFO'!O:O, INT((ROW()-2)/10)+2 + 157)</f>
        <v/>
      </c>
    </row>
    <row r="119">
      <c r="A119" s="23" t="n"/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>
        <f>L119*86400</f>
        <v/>
      </c>
      <c r="N119" s="24">
        <f t="array" ref="N119">INDEX('MATCH INFO'!O:O, INT((ROW()-2)/10)+2 + 157)</f>
        <v/>
      </c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>
        <f>L120*86400</f>
        <v/>
      </c>
      <c r="N120" s="24">
        <f t="array" ref="N120">INDEX('MATCH INFO'!O:O, INT((ROW()-2)/10)+2 + 157)</f>
        <v/>
      </c>
    </row>
    <row r="121">
      <c r="A121" s="23" t="n"/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>
        <f>L121*86400</f>
        <v/>
      </c>
      <c r="N121" s="24">
        <f t="array" ref="N121">INDEX('MATCH INFO'!O:O, INT((ROW()-2)/10)+2 + 157)</f>
        <v/>
      </c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>
        <f>L122*86400</f>
        <v/>
      </c>
      <c r="N122" s="24">
        <f t="array" ref="N122">INDEX('MATCH INFO'!O:O, INT((ROW()-2)/10)+2 + 157)</f>
        <v/>
      </c>
    </row>
    <row r="123">
      <c r="A123" s="23" t="n"/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>
        <f>L123*86400</f>
        <v/>
      </c>
      <c r="N123" s="24">
        <f t="array" ref="N123">INDEX('MATCH INFO'!O:O, INT((ROW()-2)/10)+2 + 157)</f>
        <v/>
      </c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>
        <f>L124*86400</f>
        <v/>
      </c>
      <c r="N124" s="24">
        <f t="array" ref="N124">INDEX('MATCH INFO'!O:O, INT((ROW()-2)/10)+2 + 157)</f>
        <v/>
      </c>
    </row>
    <row r="125">
      <c r="A125" s="23" t="n"/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>
        <f>L125*86400</f>
        <v/>
      </c>
      <c r="N125" s="24">
        <f t="array" ref="N125">INDEX('MATCH INFO'!O:O, INT((ROW()-2)/10)+2 + 157)</f>
        <v/>
      </c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>
        <f>L126*86400</f>
        <v/>
      </c>
      <c r="N126" s="24">
        <f t="array" ref="N126">INDEX('MATCH INFO'!O:O, INT((ROW()-2)/10)+2 + 157)</f>
        <v/>
      </c>
    </row>
    <row r="127">
      <c r="A127" s="23" t="n"/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>
        <f>L127*86400</f>
        <v/>
      </c>
      <c r="N127" s="24">
        <f t="array" ref="N127">INDEX('MATCH INFO'!O:O, INT((ROW()-2)/10)+2 + 157)</f>
        <v/>
      </c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>
        <f>L128*86400</f>
        <v/>
      </c>
      <c r="N128" s="24">
        <f t="array" ref="N128">INDEX('MATCH INFO'!O:O, INT((ROW()-2)/10)+2 + 157)</f>
        <v/>
      </c>
    </row>
    <row r="129">
      <c r="A129" s="23" t="n"/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>
        <f>L129*86400</f>
        <v/>
      </c>
      <c r="N129" s="24">
        <f t="array" ref="N129">INDEX('MATCH INFO'!O:O, INT((ROW()-2)/10)+2 + 157)</f>
        <v/>
      </c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>
        <f>L130*86400</f>
        <v/>
      </c>
      <c r="N130" s="24">
        <f t="array" ref="N130">INDEX('MATCH INFO'!O:O, INT((ROW()-2)/10)+2 + 157)</f>
        <v/>
      </c>
    </row>
    <row r="131">
      <c r="A131" s="23" t="n"/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>
        <f>L131*86400</f>
        <v/>
      </c>
      <c r="N131" s="24">
        <f t="array" ref="N131">INDEX('MATCH INFO'!O:O, INT((ROW()-2)/10)+2 + 157)</f>
        <v/>
      </c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>
        <f>L132*86400</f>
        <v/>
      </c>
      <c r="N132" s="24">
        <f t="array" ref="N132">INDEX('MATCH INFO'!O:O, INT((ROW()-2)/10)+2 + 157)</f>
        <v/>
      </c>
    </row>
    <row r="133">
      <c r="A133" s="23" t="n"/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>
        <f>L133*86400</f>
        <v/>
      </c>
      <c r="N133" s="24">
        <f t="array" ref="N133">INDEX('MATCH INFO'!O:O, INT((ROW()-2)/10)+2 + 157)</f>
        <v/>
      </c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>
        <f>L134*86400</f>
        <v/>
      </c>
      <c r="N134" s="24">
        <f t="array" ref="N134">INDEX('MATCH INFO'!O:O, INT((ROW()-2)/10)+2 + 157)</f>
        <v/>
      </c>
    </row>
    <row r="135">
      <c r="A135" s="23" t="n"/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>
        <f>L135*86400</f>
        <v/>
      </c>
      <c r="N135" s="24">
        <f t="array" ref="N135">INDEX('MATCH INFO'!O:O, INT((ROW()-2)/10)+2 + 157)</f>
        <v/>
      </c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>
        <f>L136*86400</f>
        <v/>
      </c>
      <c r="N136" s="24">
        <f t="array" ref="N136">INDEX('MATCH INFO'!O:O, INT((ROW()-2)/10)+2 + 157)</f>
        <v/>
      </c>
    </row>
    <row r="137">
      <c r="A137" s="23" t="n"/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>
        <f>L137*86400</f>
        <v/>
      </c>
      <c r="N137" s="24">
        <f t="array" ref="N137">INDEX('MATCH INFO'!O:O, INT((ROW()-2)/10)+2 + 157)</f>
        <v/>
      </c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>
        <f>L138*86400</f>
        <v/>
      </c>
      <c r="N138" s="24">
        <f t="array" ref="N138">INDEX('MATCH INFO'!O:O, INT((ROW()-2)/10)+2 + 157)</f>
        <v/>
      </c>
    </row>
    <row r="139">
      <c r="A139" s="23" t="n"/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>
        <f>L139*86400</f>
        <v/>
      </c>
      <c r="N139" s="24">
        <f t="array" ref="N139">INDEX('MATCH INFO'!O:O, INT((ROW()-2)/10)+2 + 157)</f>
        <v/>
      </c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>
        <f>L140*86400</f>
        <v/>
      </c>
      <c r="N140" s="24">
        <f t="array" ref="N140">INDEX('MATCH INFO'!O:O, INT((ROW()-2)/10)+2 + 157)</f>
        <v/>
      </c>
    </row>
    <row r="141">
      <c r="A141" s="23" t="n"/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>
        <f>L141*86400</f>
        <v/>
      </c>
      <c r="N141" s="24">
        <f t="array" ref="N141">INDEX('MATCH INFO'!O:O, INT((ROW()-2)/10)+2 + 157)</f>
        <v/>
      </c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>
        <f>L142*86400</f>
        <v/>
      </c>
      <c r="N142" s="24">
        <f t="array" ref="N142">INDEX('MATCH INFO'!O:O, INT((ROW()-2)/10)+2 + 157)</f>
        <v/>
      </c>
    </row>
    <row r="143">
      <c r="A143" s="23" t="n"/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>
        <f>L143*86400</f>
        <v/>
      </c>
      <c r="N143" s="24">
        <f t="array" ref="N143">INDEX('MATCH INFO'!O:O, INT((ROW()-2)/10)+2 + 157)</f>
        <v/>
      </c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>
        <f>L144*86400</f>
        <v/>
      </c>
      <c r="N144" s="24">
        <f t="array" ref="N144">INDEX('MATCH INFO'!O:O, INT((ROW()-2)/10)+2 + 157)</f>
        <v/>
      </c>
    </row>
    <row r="145">
      <c r="A145" s="23" t="n"/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>
        <f>L145*86400</f>
        <v/>
      </c>
      <c r="N145" s="24">
        <f t="array" ref="N145">INDEX('MATCH INFO'!O:O, INT((ROW()-2)/10)+2 + 157)</f>
        <v/>
      </c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>
        <f>L146*86400</f>
        <v/>
      </c>
      <c r="N146" s="24">
        <f t="array" ref="N146">INDEX('MATCH INFO'!O:O, INT((ROW()-2)/10)+2 + 157)</f>
        <v/>
      </c>
    </row>
    <row r="147">
      <c r="A147" s="23" t="n"/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>
        <f>L147*86400</f>
        <v/>
      </c>
      <c r="N147" s="24">
        <f t="array" ref="N147">INDEX('MATCH INFO'!O:O, INT((ROW()-2)/10)+2 + 157)</f>
        <v/>
      </c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>
        <f>L148*86400</f>
        <v/>
      </c>
      <c r="N148" s="24">
        <f t="array" ref="N148">INDEX('MATCH INFO'!O:O, INT((ROW()-2)/10)+2 + 157)</f>
        <v/>
      </c>
    </row>
    <row r="149">
      <c r="A149" s="23" t="n"/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>
        <f>L149*86400</f>
        <v/>
      </c>
      <c r="N149" s="24">
        <f t="array" ref="N149">INDEX('MATCH INFO'!O:O, INT((ROW()-2)/10)+2 + 157)</f>
        <v/>
      </c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>
        <f>L150*86400</f>
        <v/>
      </c>
      <c r="N150" s="24">
        <f t="array" ref="N150">INDEX('MATCH INFO'!O:O, INT((ROW()-2)/10)+2 + 157)</f>
        <v/>
      </c>
    </row>
    <row r="151">
      <c r="A151" s="23" t="n"/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>
        <f>L151*86400</f>
        <v/>
      </c>
      <c r="N151" s="24">
        <f t="array" ref="N151">INDEX('MATCH INFO'!O:O, INT((ROW()-2)/10)+2 + 157)</f>
        <v/>
      </c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>
        <f>L152*86400</f>
        <v/>
      </c>
      <c r="N152" s="24">
        <f t="array" ref="N152">INDEX('MATCH INFO'!O:O, INT((ROW()-2)/10)+2 + 157)</f>
        <v/>
      </c>
    </row>
    <row r="153">
      <c r="A153" s="23" t="n"/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>
        <f>L153*86400</f>
        <v/>
      </c>
      <c r="N153" s="24">
        <f t="array" ref="N153">INDEX('MATCH INFO'!O:O, INT((ROW()-2)/10)+2 + 157)</f>
        <v/>
      </c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>
        <f>L154*86400</f>
        <v/>
      </c>
      <c r="N154" s="24">
        <f t="array" ref="N154">INDEX('MATCH INFO'!O:O, INT((ROW()-2)/10)+2 + 157)</f>
        <v/>
      </c>
    </row>
    <row r="155">
      <c r="A155" s="23" t="n"/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>
        <f>L155*86400</f>
        <v/>
      </c>
      <c r="N155" s="24">
        <f t="array" ref="N155">INDEX('MATCH INFO'!O:O, INT((ROW()-2)/10)+2 + 157)</f>
        <v/>
      </c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>
        <f>L156*86400</f>
        <v/>
      </c>
      <c r="N156" s="24">
        <f t="array" ref="N156">INDEX('MATCH INFO'!O:O, INT((ROW()-2)/10)+2 + 157)</f>
        <v/>
      </c>
    </row>
    <row r="157">
      <c r="A157" s="23" t="n"/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>
        <f>L157*86400</f>
        <v/>
      </c>
      <c r="N157" s="24">
        <f t="array" ref="N157">INDEX('MATCH INFO'!O:O, INT((ROW()-2)/10)+2 + 157)</f>
        <v/>
      </c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>
        <f>L158*86400</f>
        <v/>
      </c>
      <c r="N158" s="24">
        <f t="array" ref="N158">INDEX('MATCH INFO'!O:O, INT((ROW()-2)/10)+2 + 157)</f>
        <v/>
      </c>
    </row>
    <row r="159">
      <c r="A159" s="23" t="n"/>
      <c r="B159" s="23" t="n"/>
      <c r="C159" s="23" t="n"/>
      <c r="D159" s="23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>
        <f>L159*86400</f>
        <v/>
      </c>
      <c r="N159" s="24">
        <f t="array" ref="N159">INDEX('MATCH INFO'!O:O, INT((ROW()-2)/10)+2 + 157)</f>
        <v/>
      </c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>
        <f>L160*86400</f>
        <v/>
      </c>
      <c r="N160" s="24">
        <f t="array" ref="N160">INDEX('MATCH INFO'!O:O, INT((ROW()-2)/10)+2 + 157)</f>
        <v/>
      </c>
    </row>
    <row r="161">
      <c r="A161" s="23" t="n"/>
      <c r="B161" s="23" t="n"/>
      <c r="C161" s="23" t="n"/>
      <c r="D161" s="23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>
        <f>L161*86400</f>
        <v/>
      </c>
      <c r="N161" s="24">
        <f t="array" ref="N161">INDEX('MATCH INFO'!O:O, INT((ROW()-2)/10)+2 + 157)</f>
        <v/>
      </c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>
        <f>L162*86400</f>
        <v/>
      </c>
      <c r="N162" s="24">
        <f t="array" ref="N162">INDEX('MATCH INFO'!O:O, INT((ROW()-2)/10)+2 + 157)</f>
        <v/>
      </c>
    </row>
    <row r="163">
      <c r="A163" s="23" t="n"/>
      <c r="B163" s="23" t="n"/>
      <c r="C163" s="23" t="n"/>
      <c r="D163" s="23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>
        <f>L163*86400</f>
        <v/>
      </c>
      <c r="N163" s="24">
        <f t="array" ref="N163">INDEX('MATCH INFO'!O:O, INT((ROW()-2)/10)+2 + 157)</f>
        <v/>
      </c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>
        <f>L164*86400</f>
        <v/>
      </c>
      <c r="N164" s="24">
        <f t="array" ref="N164">INDEX('MATCH INFO'!O:O, INT((ROW()-2)/10)+2 + 157)</f>
        <v/>
      </c>
    </row>
    <row r="165">
      <c r="A165" s="23" t="n"/>
      <c r="B165" s="23" t="n"/>
      <c r="C165" s="23" t="n"/>
      <c r="D165" s="23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>
        <f>L165*86400</f>
        <v/>
      </c>
      <c r="N165" s="24">
        <f t="array" ref="N165">INDEX('MATCH INFO'!O:O, INT((ROW()-2)/10)+2 + 157)</f>
        <v/>
      </c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>
        <f>L166*86400</f>
        <v/>
      </c>
      <c r="N166" s="24">
        <f t="array" ref="N166">INDEX('MATCH INFO'!O:O, INT((ROW()-2)/10)+2 + 157)</f>
        <v/>
      </c>
    </row>
    <row r="167">
      <c r="A167" s="23" t="n"/>
      <c r="B167" s="23" t="n"/>
      <c r="C167" s="23" t="n"/>
      <c r="D167" s="23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>
        <f>L167*86400</f>
        <v/>
      </c>
      <c r="N167" s="24">
        <f t="array" ref="N167">INDEX('MATCH INFO'!O:O, INT((ROW()-2)/10)+2 + 157)</f>
        <v/>
      </c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>
        <f>L168*86400</f>
        <v/>
      </c>
      <c r="N168" s="24">
        <f t="array" ref="N168">INDEX('MATCH INFO'!O:O, INT((ROW()-2)/10)+2 + 157)</f>
        <v/>
      </c>
    </row>
    <row r="169">
      <c r="A169" s="23" t="n"/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>
        <f>L169*86400</f>
        <v/>
      </c>
      <c r="N169" s="24">
        <f t="array" ref="N169">INDEX('MATCH INFO'!O:O, INT((ROW()-2)/10)+2 + 157)</f>
        <v/>
      </c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>
        <f>L170*86400</f>
        <v/>
      </c>
      <c r="N170" s="24">
        <f t="array" ref="N170">INDEX('MATCH INFO'!O:O, INT((ROW()-2)/10)+2 + 157)</f>
        <v/>
      </c>
    </row>
    <row r="171">
      <c r="A171" s="23" t="n"/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>
        <f>L171*86400</f>
        <v/>
      </c>
      <c r="N171" s="24">
        <f t="array" ref="N171">INDEX('MATCH INFO'!O:O, INT((ROW()-2)/10)+2 + 157)</f>
        <v/>
      </c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>
        <f>L172*86400</f>
        <v/>
      </c>
      <c r="N172" s="24">
        <f t="array" ref="N172">INDEX('MATCH INFO'!O:O, INT((ROW()-2)/10)+2 + 157)</f>
        <v/>
      </c>
    </row>
    <row r="173">
      <c r="A173" s="23" t="n"/>
      <c r="B173" s="23" t="n"/>
      <c r="C173" s="23" t="n"/>
      <c r="D173" s="23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>
        <f>L173*86400</f>
        <v/>
      </c>
      <c r="N173" s="24">
        <f t="array" ref="N173">INDEX('MATCH INFO'!O:O, INT((ROW()-2)/10)+2 + 157)</f>
        <v/>
      </c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>
        <f>L174*86400</f>
        <v/>
      </c>
      <c r="N174" s="24">
        <f t="array" ref="N174">INDEX('MATCH INFO'!O:O, INT((ROW()-2)/10)+2 + 157)</f>
        <v/>
      </c>
    </row>
    <row r="175">
      <c r="A175" s="23" t="n"/>
      <c r="B175" s="23" t="n"/>
      <c r="C175" s="23" t="n"/>
      <c r="D175" s="23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>
        <f>L175*86400</f>
        <v/>
      </c>
      <c r="N175" s="24">
        <f t="array" ref="N175">INDEX('MATCH INFO'!O:O, INT((ROW()-2)/10)+2 + 157)</f>
        <v/>
      </c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>
        <f>L176*86400</f>
        <v/>
      </c>
      <c r="N176" s="24">
        <f t="array" ref="N176">INDEX('MATCH INFO'!O:O, INT((ROW()-2)/10)+2 + 157)</f>
        <v/>
      </c>
    </row>
    <row r="177">
      <c r="A177" s="23" t="n"/>
      <c r="B177" s="23" t="n"/>
      <c r="C177" s="23" t="n"/>
      <c r="D177" s="23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>
        <f>L177*86400</f>
        <v/>
      </c>
      <c r="N177" s="24">
        <f t="array" ref="N177">INDEX('MATCH INFO'!O:O, INT((ROW()-2)/10)+2 + 157)</f>
        <v/>
      </c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>
        <f>L178*86400</f>
        <v/>
      </c>
      <c r="N178" s="24">
        <f t="array" ref="N178">INDEX('MATCH INFO'!O:O, INT((ROW()-2)/10)+2 + 157)</f>
        <v/>
      </c>
    </row>
    <row r="179">
      <c r="A179" s="23" t="n"/>
      <c r="B179" s="23" t="n"/>
      <c r="C179" s="23" t="n"/>
      <c r="D179" s="23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>
        <f>L179*86400</f>
        <v/>
      </c>
      <c r="N179" s="24">
        <f t="array" ref="N179">INDEX('MATCH INFO'!O:O, INT((ROW()-2)/10)+2 + 157)</f>
        <v/>
      </c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>
        <f>L180*86400</f>
        <v/>
      </c>
      <c r="N180" s="24">
        <f t="array" ref="N180">INDEX('MATCH INFO'!O:O, INT((ROW()-2)/10)+2 + 157)</f>
        <v/>
      </c>
    </row>
    <row r="181">
      <c r="A181" s="23" t="n"/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>
        <f>L181*86400</f>
        <v/>
      </c>
      <c r="N181" s="24">
        <f t="array" ref="N181">INDEX('MATCH INFO'!O:O, INT((ROW()-2)/10)+2 + 157)</f>
        <v/>
      </c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>
        <f>L182*86400</f>
        <v/>
      </c>
      <c r="N182" s="24">
        <f t="array" ref="N182">INDEX('MATCH INFO'!O:O, INT((ROW()-2)/10)+2 + 157)</f>
        <v/>
      </c>
    </row>
    <row r="183">
      <c r="A183" s="23" t="n"/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>
        <f>L183*86400</f>
        <v/>
      </c>
      <c r="N183" s="24">
        <f t="array" ref="N183">INDEX('MATCH INFO'!O:O, INT((ROW()-2)/10)+2 + 157)</f>
        <v/>
      </c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>
        <f>L184*86400</f>
        <v/>
      </c>
      <c r="N184" s="24">
        <f t="array" ref="N184">INDEX('MATCH INFO'!O:O, INT((ROW()-2)/10)+2 + 157)</f>
        <v/>
      </c>
    </row>
    <row r="185">
      <c r="A185" s="23" t="n"/>
      <c r="B185" s="23" t="n"/>
      <c r="C185" s="23" t="n"/>
      <c r="D185" s="23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>
        <f>L185*86400</f>
        <v/>
      </c>
      <c r="N185" s="24">
        <f t="array" ref="N185">INDEX('MATCH INFO'!O:O, INT((ROW()-2)/10)+2 + 157)</f>
        <v/>
      </c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>
        <f>L186*86400</f>
        <v/>
      </c>
      <c r="N186" s="24">
        <f t="array" ref="N186">INDEX('MATCH INFO'!O:O, INT((ROW()-2)/10)+2 + 157)</f>
        <v/>
      </c>
    </row>
    <row r="187">
      <c r="A187" s="23" t="n"/>
      <c r="B187" s="23" t="n"/>
      <c r="C187" s="23" t="n"/>
      <c r="D187" s="23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>
        <f>L187*86400</f>
        <v/>
      </c>
      <c r="N187" s="24">
        <f t="array" ref="N187">INDEX('MATCH INFO'!O:O, INT((ROW()-2)/10)+2 + 157)</f>
        <v/>
      </c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>
        <f>L188*86400</f>
        <v/>
      </c>
      <c r="N188" s="24">
        <f t="array" ref="N188">INDEX('MATCH INFO'!O:O, INT((ROW()-2)/10)+2 + 157)</f>
        <v/>
      </c>
    </row>
    <row r="189">
      <c r="A189" s="23" t="n"/>
      <c r="B189" s="23" t="n"/>
      <c r="C189" s="23" t="n"/>
      <c r="D189" s="23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>
        <f>L189*86400</f>
        <v/>
      </c>
      <c r="N189" s="24">
        <f t="array" ref="N189">INDEX('MATCH INFO'!O:O, INT((ROW()-2)/10)+2 + 157)</f>
        <v/>
      </c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>
        <f>L190*86400</f>
        <v/>
      </c>
      <c r="N190" s="24">
        <f t="array" ref="N190">INDEX('MATCH INFO'!O:O, INT((ROW()-2)/10)+2 + 157)</f>
        <v/>
      </c>
    </row>
    <row r="191">
      <c r="A191" s="23" t="n"/>
      <c r="B191" s="23" t="n"/>
      <c r="C191" s="23" t="n"/>
      <c r="D191" s="23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>
        <f>L191*86400</f>
        <v/>
      </c>
      <c r="N191" s="24">
        <f t="array" ref="N191">INDEX('MATCH INFO'!O:O, INT((ROW()-2)/10)+2 + 157)</f>
        <v/>
      </c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>
        <f>L192*86400</f>
        <v/>
      </c>
      <c r="N192" s="24">
        <f t="array" ref="N192">INDEX('MATCH INFO'!O:O, INT((ROW()-2)/10)+2 + 157)</f>
        <v/>
      </c>
    </row>
    <row r="193">
      <c r="A193" s="23" t="n"/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>
        <f>L193*86400</f>
        <v/>
      </c>
      <c r="N193" s="24">
        <f t="array" ref="N193">INDEX('MATCH INFO'!O:O, INT((ROW()-2)/10)+2 + 157)</f>
        <v/>
      </c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>
        <f>L194*86400</f>
        <v/>
      </c>
      <c r="N194" s="24">
        <f t="array" ref="N194">INDEX('MATCH INFO'!O:O, INT((ROW()-2)/10)+2 + 157)</f>
        <v/>
      </c>
    </row>
    <row r="195">
      <c r="A195" s="23" t="n"/>
      <c r="B195" s="23" t="n"/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>
        <f>L195*86400</f>
        <v/>
      </c>
      <c r="N195" s="24">
        <f t="array" ref="N195">INDEX('MATCH INFO'!O:O, INT((ROW()-2)/10)+2 + 157)</f>
        <v/>
      </c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>
        <f>L196*86400</f>
        <v/>
      </c>
      <c r="N196" s="24">
        <f t="array" ref="N196">INDEX('MATCH INFO'!O:O, INT((ROW()-2)/10)+2 + 157)</f>
        <v/>
      </c>
    </row>
    <row r="197">
      <c r="A197" s="23" t="n"/>
      <c r="B197" s="23" t="n"/>
      <c r="C197" s="23" t="n"/>
      <c r="D197" s="23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>
        <f>L197*86400</f>
        <v/>
      </c>
      <c r="N197" s="24">
        <f t="array" ref="N197">INDEX('MATCH INFO'!O:O, INT((ROW()-2)/10)+2 + 157)</f>
        <v/>
      </c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>
        <f>L198*86400</f>
        <v/>
      </c>
      <c r="N198" s="24">
        <f t="array" ref="N198">INDEX('MATCH INFO'!O:O, INT((ROW()-2)/10)+2 + 157)</f>
        <v/>
      </c>
    </row>
    <row r="199">
      <c r="A199" s="23" t="n"/>
      <c r="B199" s="23" t="n"/>
      <c r="C199" s="23" t="n"/>
      <c r="D199" s="23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>
        <f>L199*86400</f>
        <v/>
      </c>
      <c r="N199" s="24">
        <f t="array" ref="N199">INDEX('MATCH INFO'!O:O, INT((ROW()-2)/10)+2 + 157)</f>
        <v/>
      </c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>
        <f>L200*86400</f>
        <v/>
      </c>
      <c r="N200" s="24">
        <f t="array" ref="N200">INDEX('MATCH INFO'!O:O, INT((ROW()-2)/10)+2 + 157)</f>
        <v/>
      </c>
    </row>
    <row r="201">
      <c r="A201" s="23" t="n"/>
      <c r="B201" s="23" t="n"/>
      <c r="C201" s="23" t="n"/>
      <c r="D201" s="23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>
        <f>L201*86400</f>
        <v/>
      </c>
      <c r="N201" s="24">
        <f t="array" ref="N201">INDEX('MATCH INFO'!O:O, INT((ROW()-2)/10)+2 + 157)</f>
        <v/>
      </c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>
        <f>L202*86400</f>
        <v/>
      </c>
      <c r="N202" s="24">
        <f t="array" ref="N202">INDEX('MATCH INFO'!O:O, INT((ROW()-2)/10)+2 + 157)</f>
        <v/>
      </c>
    </row>
    <row r="203">
      <c r="A203" s="23" t="n"/>
      <c r="B203" s="23" t="n"/>
      <c r="C203" s="23" t="n"/>
      <c r="D203" s="23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>
        <f>L203*86400</f>
        <v/>
      </c>
      <c r="N203" s="24">
        <f t="array" ref="N203">INDEX('MATCH INFO'!O:O, INT((ROW()-2)/10)+2 + 157)</f>
        <v/>
      </c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>
        <f>L204*86400</f>
        <v/>
      </c>
      <c r="N204" s="24">
        <f t="array" ref="N204">INDEX('MATCH INFO'!O:O, INT((ROW()-2)/10)+2 + 157)</f>
        <v/>
      </c>
    </row>
    <row r="205">
      <c r="A205" s="23" t="n"/>
      <c r="B205" s="23" t="n"/>
      <c r="C205" s="23" t="n"/>
      <c r="D205" s="23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>
        <f>L205*86400</f>
        <v/>
      </c>
      <c r="N205" s="24">
        <f t="array" ref="N205">INDEX('MATCH INFO'!O:O, INT((ROW()-2)/10)+2 + 157)</f>
        <v/>
      </c>
    </row>
    <row r="206">
      <c r="A206" s="23" t="n"/>
      <c r="B206" s="23" t="n"/>
      <c r="C206" s="23" t="n"/>
      <c r="D206" s="23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>
        <f>L206*86400</f>
        <v/>
      </c>
      <c r="N206" s="24">
        <f t="array" ref="N206">INDEX('MATCH INFO'!O:O, INT((ROW()-2)/10)+2 + 157)</f>
        <v/>
      </c>
    </row>
    <row r="207">
      <c r="A207" s="23" t="n"/>
      <c r="B207" s="23" t="n"/>
      <c r="C207" s="23" t="n"/>
      <c r="D207" s="23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>
        <f>L207*86400</f>
        <v/>
      </c>
      <c r="N207" s="24">
        <f t="array" ref="N207">INDEX('MATCH INFO'!O:O, INT((ROW()-2)/10)+2 + 157)</f>
        <v/>
      </c>
    </row>
    <row r="208">
      <c r="A208" s="23" t="n"/>
      <c r="B208" s="23" t="n"/>
      <c r="C208" s="23" t="n"/>
      <c r="D208" s="23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>
        <f>L208*86400</f>
        <v/>
      </c>
      <c r="N208" s="24">
        <f t="array" ref="N208">INDEX('MATCH INFO'!O:O, INT((ROW()-2)/10)+2 + 157)</f>
        <v/>
      </c>
    </row>
    <row r="209">
      <c r="A209" s="23" t="n"/>
      <c r="B209" s="23" t="n"/>
      <c r="C209" s="23" t="n"/>
      <c r="D209" s="23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>
        <f>L209*86400</f>
        <v/>
      </c>
      <c r="N209" s="24">
        <f t="array" ref="N209">INDEX('MATCH INFO'!O:O, INT((ROW()-2)/10)+2 + 157)</f>
        <v/>
      </c>
    </row>
    <row r="210">
      <c r="A210" s="23" t="n"/>
      <c r="B210" s="23" t="n"/>
      <c r="C210" s="23" t="n"/>
      <c r="D210" s="23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>
        <f>L210*86400</f>
        <v/>
      </c>
      <c r="N210" s="24">
        <f t="array" ref="N210">INDEX('MATCH INFO'!O:O, INT((ROW()-2)/10)+2 + 157)</f>
        <v/>
      </c>
    </row>
    <row r="211">
      <c r="A211" s="23" t="n"/>
      <c r="B211" s="23" t="n"/>
      <c r="C211" s="23" t="n"/>
      <c r="D211" s="23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>
        <f>L211*86400</f>
        <v/>
      </c>
      <c r="N211" s="24">
        <f t="array" ref="N211">INDEX('MATCH INFO'!O:O, INT((ROW()-2)/10)+2 + 157)</f>
        <v/>
      </c>
    </row>
    <row r="212">
      <c r="A212" s="23" t="n"/>
      <c r="B212" s="23" t="n"/>
      <c r="C212" s="23" t="n"/>
      <c r="D212" s="23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>
        <f>L212*86400</f>
        <v/>
      </c>
      <c r="N212" s="24">
        <f t="array" ref="N212">INDEX('MATCH INFO'!O:O, INT((ROW()-2)/10)+2 + 157)</f>
        <v/>
      </c>
    </row>
    <row r="213">
      <c r="A213" s="23" t="n"/>
      <c r="B213" s="23" t="n"/>
      <c r="C213" s="23" t="n"/>
      <c r="D213" s="23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>
        <f>L213*86400</f>
        <v/>
      </c>
      <c r="N213" s="24">
        <f t="array" ref="N213">INDEX('MATCH INFO'!O:O, INT((ROW()-2)/10)+2 + 157)</f>
        <v/>
      </c>
    </row>
    <row r="214">
      <c r="A214" s="23" t="n"/>
      <c r="B214" s="23" t="n"/>
      <c r="C214" s="23" t="n"/>
      <c r="D214" s="23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>
        <f>L214*86400</f>
        <v/>
      </c>
      <c r="N214" s="24">
        <f t="array" ref="N214">INDEX('MATCH INFO'!O:O, INT((ROW()-2)/10)+2 + 157)</f>
        <v/>
      </c>
    </row>
    <row r="215">
      <c r="A215" s="23" t="n"/>
      <c r="B215" s="23" t="n"/>
      <c r="C215" s="23" t="n"/>
      <c r="D215" s="23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>
        <f>L215*86400</f>
        <v/>
      </c>
      <c r="N215" s="24">
        <f t="array" ref="N215">INDEX('MATCH INFO'!O:O, INT((ROW()-2)/10)+2 + 157)</f>
        <v/>
      </c>
    </row>
    <row r="216">
      <c r="A216" s="23" t="n"/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>
        <f>L216*86400</f>
        <v/>
      </c>
      <c r="N216" s="24">
        <f t="array" ref="N216">INDEX('MATCH INFO'!O:O, INT((ROW()-2)/10)+2 + 157)</f>
        <v/>
      </c>
    </row>
    <row r="217">
      <c r="A217" s="23" t="n"/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>
        <f>L217*86400</f>
        <v/>
      </c>
      <c r="N217" s="24">
        <f t="array" ref="N217">INDEX('MATCH INFO'!O:O, INT((ROW()-2)/10)+2 + 157)</f>
        <v/>
      </c>
    </row>
    <row r="218">
      <c r="A218" s="23" t="n"/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>
        <f>L218*86400</f>
        <v/>
      </c>
      <c r="N218" s="24">
        <f t="array" ref="N218">INDEX('MATCH INFO'!O:O, INT((ROW()-2)/10)+2 + 157)</f>
        <v/>
      </c>
    </row>
    <row r="219">
      <c r="A219" s="23" t="n"/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>
        <f>L219*86400</f>
        <v/>
      </c>
      <c r="N219" s="24">
        <f t="array" ref="N219">INDEX('MATCH INFO'!O:O, INT((ROW()-2)/10)+2 + 157)</f>
        <v/>
      </c>
    </row>
    <row r="220">
      <c r="A220" s="23" t="n"/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>
        <f>L220*86400</f>
        <v/>
      </c>
      <c r="N220" s="24">
        <f t="array" ref="N220">INDEX('MATCH INFO'!O:O, INT((ROW()-2)/10)+2 + 157)</f>
        <v/>
      </c>
    </row>
    <row r="221">
      <c r="A221" s="23" t="n"/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>
        <f>L221*86400</f>
        <v/>
      </c>
      <c r="N221" s="24">
        <f t="array" ref="N221">INDEX('MATCH INFO'!O:O, INT((ROW()-2)/10)+2 + 157)</f>
        <v/>
      </c>
    </row>
    <row r="222">
      <c r="A222" s="23" t="n"/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>
        <f>L222*86400</f>
        <v/>
      </c>
      <c r="N222" s="24">
        <f t="array" ref="N222">INDEX('MATCH INFO'!O:O, INT((ROW()-2)/10)+2 + 157)</f>
        <v/>
      </c>
    </row>
    <row r="223">
      <c r="A223" s="23" t="n"/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>
        <f>L223*86400</f>
        <v/>
      </c>
      <c r="N223" s="24">
        <f t="array" ref="N223">INDEX('MATCH INFO'!O:O, INT((ROW()-2)/10)+2 + 157)</f>
        <v/>
      </c>
    </row>
    <row r="224">
      <c r="A224" s="23" t="n"/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>
        <f>L224*86400</f>
        <v/>
      </c>
      <c r="N224" s="24">
        <f t="array" ref="N224">INDEX('MATCH INFO'!O:O, INT((ROW()-2)/10)+2 + 157)</f>
        <v/>
      </c>
    </row>
    <row r="225">
      <c r="A225" s="23" t="n"/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>
        <f>L225*86400</f>
        <v/>
      </c>
      <c r="N225" s="24">
        <f t="array" ref="N225">INDEX('MATCH INFO'!O:O, INT((ROW()-2)/10)+2 + 157)</f>
        <v/>
      </c>
    </row>
    <row r="226">
      <c r="A226" s="23" t="n"/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>
        <f>L226*86400</f>
        <v/>
      </c>
      <c r="N226" s="24">
        <f t="array" ref="N226">INDEX('MATCH INFO'!O:O, INT((ROW()-2)/10)+2 + 157)</f>
        <v/>
      </c>
    </row>
    <row r="227">
      <c r="A227" s="23" t="n"/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>
        <f>L227*86400</f>
        <v/>
      </c>
      <c r="N227" s="24">
        <f t="array" ref="N227">INDEX('MATCH INFO'!O:O, INT((ROW()-2)/10)+2 + 157)</f>
        <v/>
      </c>
    </row>
    <row r="228">
      <c r="A228" s="23" t="n"/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>
        <f>L228*86400</f>
        <v/>
      </c>
      <c r="N228" s="24">
        <f t="array" ref="N228">INDEX('MATCH INFO'!O:O, INT((ROW()-2)/10)+2 + 157)</f>
        <v/>
      </c>
    </row>
    <row r="229">
      <c r="A229" s="23" t="n"/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>
        <f>L229*86400</f>
        <v/>
      </c>
      <c r="N229" s="24">
        <f t="array" ref="N229">INDEX('MATCH INFO'!O:O, INT((ROW()-2)/10)+2 + 157)</f>
        <v/>
      </c>
    </row>
    <row r="230">
      <c r="A230" s="23" t="n"/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>
        <f>L230*86400</f>
        <v/>
      </c>
      <c r="N230" s="24">
        <f t="array" ref="N230">INDEX('MATCH INFO'!O:O, INT((ROW()-2)/10)+2 + 157)</f>
        <v/>
      </c>
    </row>
    <row r="231">
      <c r="A231" s="23" t="n"/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>
        <f>L231*86400</f>
        <v/>
      </c>
      <c r="N231" s="24">
        <f t="array" ref="N231">INDEX('MATCH INFO'!O:O, INT((ROW()-2)/10)+2 + 157)</f>
        <v/>
      </c>
    </row>
    <row r="232">
      <c r="A232" s="23" t="n"/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>
        <f>L232*86400</f>
        <v/>
      </c>
      <c r="N232" s="24">
        <f t="array" ref="N232">INDEX('MATCH INFO'!O:O, INT((ROW()-2)/10)+2 + 157)</f>
        <v/>
      </c>
    </row>
    <row r="233">
      <c r="A233" s="23" t="n"/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>
        <f>L233*86400</f>
        <v/>
      </c>
      <c r="N233" s="24">
        <f t="array" ref="N233">INDEX('MATCH INFO'!O:O, INT((ROW()-2)/10)+2 + 157)</f>
        <v/>
      </c>
    </row>
    <row r="234">
      <c r="A234" s="23" t="n"/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>
        <f>L234*86400</f>
        <v/>
      </c>
      <c r="N234" s="24">
        <f t="array" ref="N234">INDEX('MATCH INFO'!O:O, INT((ROW()-2)/10)+2 + 157)</f>
        <v/>
      </c>
    </row>
    <row r="235">
      <c r="A235" s="23" t="n"/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>
        <f>L235*86400</f>
        <v/>
      </c>
      <c r="N235" s="24">
        <f t="array" ref="N235">INDEX('MATCH INFO'!O:O, INT((ROW()-2)/10)+2 + 157)</f>
        <v/>
      </c>
    </row>
    <row r="236">
      <c r="A236" s="23" t="n"/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>
        <f>L236*86400</f>
        <v/>
      </c>
      <c r="N236" s="24">
        <f t="array" ref="N236">INDEX('MATCH INFO'!O:O, INT((ROW()-2)/10)+2 + 157)</f>
        <v/>
      </c>
    </row>
    <row r="237">
      <c r="A237" s="23" t="n"/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>
        <f>L237*86400</f>
        <v/>
      </c>
      <c r="N237" s="24">
        <f t="array" ref="N237">INDEX('MATCH INFO'!O:O, INT((ROW()-2)/10)+2 + 157)</f>
        <v/>
      </c>
    </row>
    <row r="238">
      <c r="A238" s="23" t="n"/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>
        <f>L238*86400</f>
        <v/>
      </c>
      <c r="N238" s="24">
        <f t="array" ref="N238">INDEX('MATCH INFO'!O:O, INT((ROW()-2)/10)+2 + 157)</f>
        <v/>
      </c>
    </row>
    <row r="239">
      <c r="A239" s="23" t="n"/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>
        <f>L239*86400</f>
        <v/>
      </c>
      <c r="N239" s="24">
        <f t="array" ref="N239">INDEX('MATCH INFO'!O:O, INT((ROW()-2)/10)+2 + 157)</f>
        <v/>
      </c>
    </row>
    <row r="240">
      <c r="A240" s="23" t="n"/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>
        <f>L240*86400</f>
        <v/>
      </c>
      <c r="N240" s="24">
        <f t="array" ref="N240">INDEX('MATCH INFO'!O:O, INT((ROW()-2)/10)+2 + 157)</f>
        <v/>
      </c>
    </row>
    <row r="241">
      <c r="A241" s="23" t="n"/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>
        <f>L241*86400</f>
        <v/>
      </c>
      <c r="N241" s="24">
        <f t="array" ref="N241">INDEX('MATCH INFO'!O:O, INT((ROW()-2)/10)+2 + 157)</f>
        <v/>
      </c>
    </row>
    <row r="242">
      <c r="A242" s="23" t="n"/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>
        <f>L242*86400</f>
        <v/>
      </c>
      <c r="N242" s="24">
        <f t="array" ref="N242">INDEX('MATCH INFO'!O:O, INT((ROW()-2)/10)+2 + 157)</f>
        <v/>
      </c>
    </row>
    <row r="243">
      <c r="A243" s="23" t="n"/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>
        <f>L243*86400</f>
        <v/>
      </c>
      <c r="N243" s="24">
        <f t="array" ref="N243">INDEX('MATCH INFO'!O:O, INT((ROW()-2)/10)+2 + 157)</f>
        <v/>
      </c>
    </row>
    <row r="244">
      <c r="A244" s="23" t="n"/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>
        <f>L244*86400</f>
        <v/>
      </c>
      <c r="N244" s="24">
        <f t="array" ref="N244">INDEX('MATCH INFO'!O:O, INT((ROW()-2)/10)+2 + 157)</f>
        <v/>
      </c>
    </row>
    <row r="245">
      <c r="A245" s="23" t="n"/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>
        <f>L245*86400</f>
        <v/>
      </c>
      <c r="N245" s="24">
        <f t="array" ref="N245">INDEX('MATCH INFO'!O:O, INT((ROW()-2)/10)+2 + 157)</f>
        <v/>
      </c>
    </row>
    <row r="246">
      <c r="A246" s="23" t="n"/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>
        <f>L246*86400</f>
        <v/>
      </c>
      <c r="N246" s="24">
        <f t="array" ref="N246">INDEX('MATCH INFO'!O:O, INT((ROW()-2)/10)+2 + 157)</f>
        <v/>
      </c>
    </row>
    <row r="247">
      <c r="A247" s="23" t="n"/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>
        <f>L247*86400</f>
        <v/>
      </c>
      <c r="N247" s="24">
        <f t="array" ref="N247">INDEX('MATCH INFO'!O:O, INT((ROW()-2)/10)+2 + 157)</f>
        <v/>
      </c>
    </row>
    <row r="248">
      <c r="A248" s="23" t="n"/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>
        <f>L248*86400</f>
        <v/>
      </c>
      <c r="N248" s="24">
        <f t="array" ref="N248">INDEX('MATCH INFO'!O:O, INT((ROW()-2)/10)+2 + 157)</f>
        <v/>
      </c>
    </row>
    <row r="249">
      <c r="A249" s="23" t="n"/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>
        <f>L249*86400</f>
        <v/>
      </c>
      <c r="N249" s="24">
        <f t="array" ref="N249">INDEX('MATCH INFO'!O:O, INT((ROW()-2)/10)+2 + 157)</f>
        <v/>
      </c>
    </row>
    <row r="250">
      <c r="A250" s="23" t="n"/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>
        <f>L250*86400</f>
        <v/>
      </c>
      <c r="N250" s="24">
        <f t="array" ref="N250">INDEX('MATCH INFO'!O:O, INT((ROW()-2)/10)+2 + 157)</f>
        <v/>
      </c>
    </row>
    <row r="251">
      <c r="A251" s="23" t="n"/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>
        <f>L251*86400</f>
        <v/>
      </c>
      <c r="N251" s="24">
        <f t="array" ref="N251">INDEX('MATCH INFO'!O:O, INT((ROW()-2)/10)+2 + 157)</f>
        <v/>
      </c>
    </row>
    <row r="252">
      <c r="A252" s="23" t="n"/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>
        <f>L252*86400</f>
        <v/>
      </c>
      <c r="N252" s="24">
        <f t="array" ref="N252">INDEX('MATCH INFO'!O:O, INT((ROW()-2)/10)+2 + 157)</f>
        <v/>
      </c>
    </row>
    <row r="253">
      <c r="A253" s="23" t="n"/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>
        <f>L253*86400</f>
        <v/>
      </c>
      <c r="N253" s="24">
        <f t="array" ref="N253">INDEX('MATCH INFO'!O:O, INT((ROW()-2)/10)+2 + 157)</f>
        <v/>
      </c>
    </row>
    <row r="254">
      <c r="A254" s="23" t="n"/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>
        <f>L254*86400</f>
        <v/>
      </c>
      <c r="N254" s="24">
        <f t="array" ref="N254">INDEX('MATCH INFO'!O:O, INT((ROW()-2)/10)+2 + 157)</f>
        <v/>
      </c>
    </row>
    <row r="255">
      <c r="A255" s="23" t="n"/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>
        <f>L255*86400</f>
        <v/>
      </c>
      <c r="N255" s="24">
        <f t="array" ref="N255">INDEX('MATCH INFO'!O:O, INT((ROW()-2)/10)+2 + 157)</f>
        <v/>
      </c>
    </row>
    <row r="256">
      <c r="A256" s="23" t="n"/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>
        <f>L256*86400</f>
        <v/>
      </c>
      <c r="N256" s="24">
        <f t="array" ref="N256">INDEX('MATCH INFO'!O:O, INT((ROW()-2)/10)+2 + 157)</f>
        <v/>
      </c>
    </row>
    <row r="257">
      <c r="A257" s="23" t="n"/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>
        <f>L257*86400</f>
        <v/>
      </c>
      <c r="N257" s="24">
        <f t="array" ref="N257">INDEX('MATCH INFO'!O:O, INT((ROW()-2)/10)+2 + 157)</f>
        <v/>
      </c>
    </row>
    <row r="258">
      <c r="A258" s="23" t="n"/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>
        <f>L258*86400</f>
        <v/>
      </c>
      <c r="N258" s="24">
        <f t="array" ref="N258">INDEX('MATCH INFO'!O:O, INT((ROW()-2)/10)+2 + 157)</f>
        <v/>
      </c>
    </row>
    <row r="259">
      <c r="A259" s="23" t="n"/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>
        <f>L259*86400</f>
        <v/>
      </c>
      <c r="N259" s="24">
        <f t="array" ref="N259">INDEX('MATCH INFO'!O:O, INT((ROW()-2)/10)+2 + 157)</f>
        <v/>
      </c>
    </row>
    <row r="260">
      <c r="A260" s="23" t="n"/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>
        <f>L260*86400</f>
        <v/>
      </c>
      <c r="N260" s="24">
        <f t="array" ref="N260">INDEX('MATCH INFO'!O:O, INT((ROW()-2)/10)+2 + 157)</f>
        <v/>
      </c>
    </row>
    <row r="261">
      <c r="A261" s="23" t="n"/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>
        <f>L261*86400</f>
        <v/>
      </c>
      <c r="N261" s="24">
        <f t="array" ref="N261">INDEX('MATCH INFO'!O:O, INT((ROW()-2)/10)+2 + 157)</f>
        <v/>
      </c>
    </row>
    <row r="262">
      <c r="A262" s="23" t="n"/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>
        <f>L262*86400</f>
        <v/>
      </c>
      <c r="N262" s="24">
        <f t="array" ref="N262">INDEX('MATCH INFO'!O:O, INT((ROW()-2)/10)+2 + 157)</f>
        <v/>
      </c>
    </row>
    <row r="263">
      <c r="A263" s="23" t="n"/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>
        <f>L263*86400</f>
        <v/>
      </c>
      <c r="N263" s="24">
        <f t="array" ref="N263">INDEX('MATCH INFO'!O:O, INT((ROW()-2)/10)+2 + 157)</f>
        <v/>
      </c>
    </row>
    <row r="264">
      <c r="A264" s="23" t="n"/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>
        <f>L264*86400</f>
        <v/>
      </c>
      <c r="N264" s="24">
        <f t="array" ref="N264">INDEX('MATCH INFO'!O:O, INT((ROW()-2)/10)+2 + 157)</f>
        <v/>
      </c>
    </row>
    <row r="265">
      <c r="A265" s="23" t="n"/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>
        <f>L265*86400</f>
        <v/>
      </c>
      <c r="N265" s="24">
        <f t="array" ref="N265">INDEX('MATCH INFO'!O:O, INT((ROW()-2)/10)+2 + 157)</f>
        <v/>
      </c>
    </row>
    <row r="266">
      <c r="A266" s="23" t="n"/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>
        <f>L266*86400</f>
        <v/>
      </c>
      <c r="N266" s="24">
        <f t="array" ref="N266">INDEX('MATCH INFO'!O:O, INT((ROW()-2)/10)+2 + 157)</f>
        <v/>
      </c>
    </row>
    <row r="267">
      <c r="A267" s="23" t="n"/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>
        <f>L267*86400</f>
        <v/>
      </c>
      <c r="N267" s="24">
        <f t="array" ref="N267">INDEX('MATCH INFO'!O:O, INT((ROW()-2)/10)+2 + 157)</f>
        <v/>
      </c>
    </row>
    <row r="268">
      <c r="A268" s="23" t="n"/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>
        <f>L268*86400</f>
        <v/>
      </c>
      <c r="N268" s="24">
        <f t="array" ref="N268">INDEX('MATCH INFO'!O:O, INT((ROW()-2)/10)+2 + 157)</f>
        <v/>
      </c>
    </row>
    <row r="269">
      <c r="A269" s="23" t="n"/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>
        <f>L269*86400</f>
        <v/>
      </c>
      <c r="N269" s="24">
        <f t="array" ref="N269">INDEX('MATCH INFO'!O:O, INT((ROW()-2)/10)+2 + 157)</f>
        <v/>
      </c>
    </row>
    <row r="270">
      <c r="A270" s="23" t="n"/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>
        <f>L270*86400</f>
        <v/>
      </c>
      <c r="N270" s="24">
        <f t="array" ref="N270">INDEX('MATCH INFO'!O:O, INT((ROW()-2)/10)+2 + 157)</f>
        <v/>
      </c>
    </row>
    <row r="271">
      <c r="A271" s="23" t="n"/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>
        <f>L271*86400</f>
        <v/>
      </c>
      <c r="N271" s="24">
        <f t="array" ref="N271">INDEX('MATCH INFO'!O:O, INT((ROW()-2)/10)+2 + 157)</f>
        <v/>
      </c>
    </row>
    <row r="272">
      <c r="A272" s="23" t="n"/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>
        <f>L272*86400</f>
        <v/>
      </c>
      <c r="N272" s="24">
        <f t="array" ref="N272">INDEX('MATCH INFO'!O:O, INT((ROW()-2)/10)+2 + 157)</f>
        <v/>
      </c>
    </row>
    <row r="273">
      <c r="A273" s="23" t="n"/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>
        <f>L273*86400</f>
        <v/>
      </c>
      <c r="N273" s="24">
        <f t="array" ref="N273">INDEX('MATCH INFO'!O:O, INT((ROW()-2)/10)+2 + 157)</f>
        <v/>
      </c>
    </row>
    <row r="274">
      <c r="A274" s="23" t="n"/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>
        <f>L274*86400</f>
        <v/>
      </c>
      <c r="N274" s="24">
        <f t="array" ref="N274">INDEX('MATCH INFO'!O:O, INT((ROW()-2)/10)+2 + 157)</f>
        <v/>
      </c>
    </row>
    <row r="275">
      <c r="A275" s="23" t="n"/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>
        <f>L275*86400</f>
        <v/>
      </c>
      <c r="N275" s="24">
        <f t="array" ref="N275">INDEX('MATCH INFO'!O:O, INT((ROW()-2)/10)+2 + 157)</f>
        <v/>
      </c>
    </row>
    <row r="276">
      <c r="A276" s="23" t="n"/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>
        <f>L276*86400</f>
        <v/>
      </c>
      <c r="N276" s="24">
        <f t="array" ref="N276">INDEX('MATCH INFO'!O:O, INT((ROW()-2)/10)+2 + 157)</f>
        <v/>
      </c>
    </row>
    <row r="277">
      <c r="A277" s="23" t="n"/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>
        <f>L277*86400</f>
        <v/>
      </c>
      <c r="N277" s="24">
        <f t="array" ref="N277">INDEX('MATCH INFO'!O:O, INT((ROW()-2)/10)+2 + 157)</f>
        <v/>
      </c>
    </row>
    <row r="278">
      <c r="A278" s="23" t="n"/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>
        <f>L278*86400</f>
        <v/>
      </c>
      <c r="N278" s="24">
        <f t="array" ref="N278">INDEX('MATCH INFO'!O:O, INT((ROW()-2)/10)+2 + 157)</f>
        <v/>
      </c>
    </row>
    <row r="279">
      <c r="A279" s="23" t="n"/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>
        <f>L279*86400</f>
        <v/>
      </c>
      <c r="N279" s="24">
        <f t="array" ref="N279">INDEX('MATCH INFO'!O:O, INT((ROW()-2)/10)+2 + 157)</f>
        <v/>
      </c>
    </row>
    <row r="280">
      <c r="A280" s="23" t="n"/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>
        <f>L280*86400</f>
        <v/>
      </c>
      <c r="N280" s="24">
        <f t="array" ref="N280">INDEX('MATCH INFO'!O:O, INT((ROW()-2)/10)+2 + 157)</f>
        <v/>
      </c>
    </row>
    <row r="281">
      <c r="A281" s="23" t="n"/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>
        <f>L281*86400</f>
        <v/>
      </c>
      <c r="N281" s="24">
        <f t="array" ref="N281">INDEX('MATCH INFO'!O:O, INT((ROW()-2)/10)+2 + 157)</f>
        <v/>
      </c>
    </row>
    <row r="282">
      <c r="A282" s="23" t="n"/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>
        <f>L282*86400</f>
        <v/>
      </c>
      <c r="N282" s="24">
        <f t="array" ref="N282">INDEX('MATCH INFO'!O:O, INT((ROW()-2)/10)+2 + 157)</f>
        <v/>
      </c>
    </row>
    <row r="283">
      <c r="A283" s="23" t="n"/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>
        <f>L283*86400</f>
        <v/>
      </c>
      <c r="N283" s="24">
        <f t="array" ref="N283">INDEX('MATCH INFO'!O:O, INT((ROW()-2)/10)+2 + 157)</f>
        <v/>
      </c>
    </row>
    <row r="284">
      <c r="A284" s="23" t="n"/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>
        <f>L284*86400</f>
        <v/>
      </c>
      <c r="N284" s="24">
        <f t="array" ref="N284">INDEX('MATCH INFO'!O:O, INT((ROW()-2)/10)+2 + 157)</f>
        <v/>
      </c>
    </row>
    <row r="285">
      <c r="A285" s="23" t="n"/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>
        <f>L285*86400</f>
        <v/>
      </c>
      <c r="N285" s="24">
        <f t="array" ref="N285">INDEX('MATCH INFO'!O:O, INT((ROW()-2)/10)+2 + 157)</f>
        <v/>
      </c>
    </row>
    <row r="286">
      <c r="A286" s="23" t="n"/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>
        <f>L286*86400</f>
        <v/>
      </c>
      <c r="N286" s="24">
        <f t="array" ref="N286">INDEX('MATCH INFO'!O:O, INT((ROW()-2)/10)+2 + 157)</f>
        <v/>
      </c>
    </row>
    <row r="287">
      <c r="A287" s="23" t="n"/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>
        <f>L287*86400</f>
        <v/>
      </c>
      <c r="N287" s="24">
        <f t="array" ref="N287">INDEX('MATCH INFO'!O:O, INT((ROW()-2)/10)+2 + 157)</f>
        <v/>
      </c>
    </row>
    <row r="288">
      <c r="A288" s="23" t="n"/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>
        <f>L288*86400</f>
        <v/>
      </c>
      <c r="N288" s="24">
        <f t="array" ref="N288">INDEX('MATCH INFO'!O:O, INT((ROW()-2)/10)+2 + 157)</f>
        <v/>
      </c>
    </row>
    <row r="289">
      <c r="A289" s="23" t="n"/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>
        <f>L289*86400</f>
        <v/>
      </c>
      <c r="N289" s="24">
        <f t="array" ref="N289">INDEX('MATCH INFO'!O:O, INT((ROW()-2)/10)+2 + 157)</f>
        <v/>
      </c>
    </row>
    <row r="290">
      <c r="A290" s="23" t="n"/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>
        <f>L290*86400</f>
        <v/>
      </c>
      <c r="N290" s="24">
        <f t="array" ref="N290">INDEX('MATCH INFO'!O:O, INT((ROW()-2)/10)+2 + 157)</f>
        <v/>
      </c>
    </row>
    <row r="291">
      <c r="A291" s="23" t="n"/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>
        <f>L291*86400</f>
        <v/>
      </c>
      <c r="N291" s="24">
        <f t="array" ref="N291">INDEX('MATCH INFO'!O:O, INT((ROW()-2)/10)+2 + 157)</f>
        <v/>
      </c>
    </row>
    <row r="292">
      <c r="A292" s="23" t="n"/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>
        <f>L292*86400</f>
        <v/>
      </c>
      <c r="N292" s="24">
        <f t="array" ref="N292">INDEX('MATCH INFO'!O:O, INT((ROW()-2)/10)+2 + 157)</f>
        <v/>
      </c>
    </row>
    <row r="293">
      <c r="A293" s="23" t="n"/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>
        <f>L293*86400</f>
        <v/>
      </c>
      <c r="N293" s="24">
        <f t="array" ref="N293">INDEX('MATCH INFO'!O:O, INT((ROW()-2)/10)+2 + 157)</f>
        <v/>
      </c>
    </row>
    <row r="294">
      <c r="A294" s="23" t="n"/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>
        <f>L294*86400</f>
        <v/>
      </c>
      <c r="N294" s="24">
        <f t="array" ref="N294">INDEX('MATCH INFO'!O:O, INT((ROW()-2)/10)+2 + 157)</f>
        <v/>
      </c>
    </row>
    <row r="295">
      <c r="A295" s="23" t="n"/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>
        <f>L295*86400</f>
        <v/>
      </c>
      <c r="N295" s="24">
        <f t="array" ref="N295">INDEX('MATCH INFO'!O:O, INT((ROW()-2)/10)+2 + 157)</f>
        <v/>
      </c>
    </row>
    <row r="296">
      <c r="A296" s="23" t="n"/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>
        <f>L296*86400</f>
        <v/>
      </c>
      <c r="N296" s="24">
        <f t="array" ref="N296">INDEX('MATCH INFO'!O:O, INT((ROW()-2)/10)+2 + 157)</f>
        <v/>
      </c>
    </row>
    <row r="297">
      <c r="A297" s="23" t="n"/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>
        <f>L297*86400</f>
        <v/>
      </c>
      <c r="N297" s="24">
        <f t="array" ref="N297">INDEX('MATCH INFO'!O:O, INT((ROW()-2)/10)+2 + 157)</f>
        <v/>
      </c>
    </row>
    <row r="298">
      <c r="A298" s="23" t="n"/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>
        <f>L298*86400</f>
        <v/>
      </c>
      <c r="N298" s="24">
        <f t="array" ref="N298">INDEX('MATCH INFO'!O:O, INT((ROW()-2)/10)+2 + 157)</f>
        <v/>
      </c>
    </row>
    <row r="299">
      <c r="A299" s="23" t="n"/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>
        <f>L299*86400</f>
        <v/>
      </c>
      <c r="N299" s="24">
        <f t="array" ref="N299">INDEX('MATCH INFO'!O:O, INT((ROW()-2)/10)+2 + 157)</f>
        <v/>
      </c>
    </row>
    <row r="300">
      <c r="A300" s="23" t="n"/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>
        <f>L300*86400</f>
        <v/>
      </c>
      <c r="N300" s="24">
        <f t="array" ref="N300">INDEX('MATCH INFO'!O:O, INT((ROW()-2)/10)+2 + 157)</f>
        <v/>
      </c>
    </row>
    <row r="301">
      <c r="A301" s="23" t="n"/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>
        <f>L301*86400</f>
        <v/>
      </c>
      <c r="N301" s="24">
        <f t="array" ref="N301">INDEX('MATCH INFO'!O:O, INT((ROW()-2)/10)+2 + 157)</f>
        <v/>
      </c>
    </row>
    <row r="302">
      <c r="A302" s="23" t="n"/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>
        <f>L302*86400</f>
        <v/>
      </c>
      <c r="N302" s="24">
        <f t="array" ref="N302">INDEX('MATCH INFO'!O:O, INT((ROW()-2)/10)+2 + 157)</f>
        <v/>
      </c>
    </row>
    <row r="303">
      <c r="A303" s="23" t="n"/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>
        <f>L303*86400</f>
        <v/>
      </c>
      <c r="N303" s="24">
        <f t="array" ref="N303">INDEX('MATCH INFO'!O:O, INT((ROW()-2)/10)+2 + 157)</f>
        <v/>
      </c>
    </row>
    <row r="304">
      <c r="A304" s="23" t="n"/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>
        <f>L304*86400</f>
        <v/>
      </c>
      <c r="N304" s="24">
        <f t="array" ref="N304">INDEX('MATCH INFO'!O:O, INT((ROW()-2)/10)+2 + 157)</f>
        <v/>
      </c>
    </row>
    <row r="305">
      <c r="A305" s="23" t="n"/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>
        <f>L305*86400</f>
        <v/>
      </c>
      <c r="N305" s="24">
        <f t="array" ref="N305">INDEX('MATCH INFO'!O:O, INT((ROW()-2)/10)+2 + 157)</f>
        <v/>
      </c>
    </row>
    <row r="306">
      <c r="A306" s="23" t="n"/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>
        <f>L306*86400</f>
        <v/>
      </c>
      <c r="N306" s="24">
        <f t="array" ref="N306">INDEX('MATCH INFO'!O:O, INT((ROW()-2)/10)+2 + 157)</f>
        <v/>
      </c>
    </row>
    <row r="307">
      <c r="A307" s="23" t="n"/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>
        <f>L307*86400</f>
        <v/>
      </c>
      <c r="N307" s="24">
        <f t="array" ref="N307">INDEX('MATCH INFO'!O:O, INT((ROW()-2)/10)+2 + 157)</f>
        <v/>
      </c>
    </row>
    <row r="308">
      <c r="A308" s="23" t="n"/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>
        <f>L308*86400</f>
        <v/>
      </c>
      <c r="N308" s="24">
        <f t="array" ref="N308">INDEX('MATCH INFO'!O:O, INT((ROW()-2)/10)+2 + 157)</f>
        <v/>
      </c>
    </row>
    <row r="309">
      <c r="A309" s="23" t="n"/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>
        <f>L309*86400</f>
        <v/>
      </c>
      <c r="N309" s="24">
        <f t="array" ref="N309">INDEX('MATCH INFO'!O:O, INT((ROW()-2)/10)+2 + 157)</f>
        <v/>
      </c>
    </row>
    <row r="310">
      <c r="A310" s="23" t="n"/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>
        <f>L310*86400</f>
        <v/>
      </c>
      <c r="N310" s="24">
        <f t="array" ref="N310">INDEX('MATCH INFO'!O:O, INT((ROW()-2)/10)+2 + 157)</f>
        <v/>
      </c>
    </row>
    <row r="311">
      <c r="A311" s="23" t="n"/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>
        <f>L311*86400</f>
        <v/>
      </c>
      <c r="N311" s="24">
        <f t="array" ref="N311">INDEX('MATCH INFO'!O:O, INT((ROW()-2)/10)+2 + 157)</f>
        <v/>
      </c>
    </row>
  </sheetData>
  <conditionalFormatting sqref="A2:N311">
    <cfRule type="expression" priority="1" dxfId="1">
      <formula>MOD(ROW()-1, 10)=0</formula>
    </cfRule>
    <cfRule type="expression" priority="2" dxfId="0">
      <formula>MOD(INT((ROW()-2)/10), 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10" defaultRowHeight="18"/>
  <cols>
    <col width="14.7109375" customWidth="1" style="3" min="4" max="4"/>
    <col width="14.7109375" customWidth="1" style="3" min="5" max="7"/>
    <col width="14.7109375" customWidth="1" style="3" min="8" max="8"/>
    <col width="14.7109375" customWidth="1" style="3" min="9" max="9"/>
    <col width="14.7109375" customWidth="1" style="3" min="10" max="10"/>
    <col width="14.7109375" customWidth="1" style="3" min="11" max="11"/>
  </cols>
  <sheetData>
    <row r="1">
      <c r="A1" s="8" t="inlineStr">
        <is>
          <t>TEAM</t>
        </is>
      </c>
      <c r="B1" s="8" t="inlineStr">
        <is>
          <t>PLAYER</t>
        </is>
      </c>
      <c r="C1" s="8" t="inlineStr">
        <is>
          <t>POSITION</t>
        </is>
      </c>
      <c r="D1" s="8" t="inlineStr">
        <is>
          <t>TOTAL ELIMS</t>
        </is>
      </c>
      <c r="E1" s="8" t="inlineStr">
        <is>
          <t>TOTAL DEATHS</t>
        </is>
      </c>
      <c r="F1" s="8" t="inlineStr">
        <is>
          <t>TOTAL ASSISTS</t>
        </is>
      </c>
      <c r="G1" s="8" t="inlineStr">
        <is>
          <t>TOTAL DAMAGE</t>
        </is>
      </c>
      <c r="H1" s="8" t="inlineStr">
        <is>
          <t>TOTAL HEAL</t>
        </is>
      </c>
      <c r="I1" s="8" t="inlineStr">
        <is>
          <t>TOTAL MITIGATED</t>
        </is>
      </c>
      <c r="J1" s="8" t="inlineStr">
        <is>
          <t>TOTAL E/D</t>
        </is>
      </c>
      <c r="K1" s="8" t="inlineStr">
        <is>
          <t>TOTAL PLAYTIME</t>
        </is>
      </c>
    </row>
    <row r="2">
      <c r="A2" s="9" t="inlineStr">
        <is>
          <t>CR</t>
        </is>
      </c>
      <c r="B2" s="9" t="inlineStr">
        <is>
          <t>JUNBIN</t>
        </is>
      </c>
      <c r="C2" s="9" t="inlineStr">
        <is>
          <t>TANK</t>
        </is>
      </c>
      <c r="D2" s="56">
        <f>SUMIF(MATCH_W1!$B:$B,$B2,MATCH_W1!$F:$F)+SUMIF(MATCH_W2!$B:$B,$B2,MATCH_W2!$F:$F)+SUMIF(MATCH_W3!$B:$B,$B2,MATCH_W3!$F:$F)+SUMIF(MATCH_W4!$B:$B,$B2,MATCH_W4!$F:$F)+SUMIF(MATCH_W5!$B:$B,$B2,MATCH_W5!$F:$F)+SUMIF(MATCH_W6!$B:$B,$B2,MATCH_W6!$F:$F)</f>
        <v/>
      </c>
      <c r="E2" s="56">
        <f>SUMIF(MATCH_W1!$B:$B,$B2,MATCH_W1!$G:$G)+SUMIF(MATCH_W2!$B:$B,$B2,MATCH_W2!$G:$G)+SUMIF(MATCH_W3!$B:$B,$B2,MATCH_W3!$G:$G)+SUMIF(MATCH_W4!$B:$B,$B2,MATCH_W4!$G:$G)+SUMIF(MATCH_W5!$B:$B,$B2,MATCH_W5!$G:$G)+SUMIF(MATCH_W6!$B:$B,$B2,MATCH_W6!$G:$G)</f>
        <v/>
      </c>
      <c r="F2" s="56">
        <f>SUMIF(MATCH_W1!$B:$B,$B2,MATCH_W1!$H:$H)+SUMIF(MATCH_W2!$B:$B,$B2,MATCH_W2!$H:$H)+SUMIF(MATCH_W3!$B:$B,$B2,MATCH_W3!$H:$H)+SUMIF(MATCH_W4!$B:$B,$B2,MATCH_W4!$H:$H)+SUMIF(MATCH_W5!$B:$B,$B2,MATCH_W5!$H:$H)+SUMIF(MATCH_W6!$B:$B,$B2,MATCH_W6!$H:$H)</f>
        <v/>
      </c>
      <c r="G2" s="56">
        <f>SUMIF(MATCH_W1!$B:$B,$B2,MATCH_W1!$I:$I)+SUMIF(MATCH_W2!$B:$B,$B2,MATCH_W2!$I:$I)+SUMIF(MATCH_W3!$B:$B,$B2,MATCH_W3!$I:$I)+SUMIF(MATCH_W4!$B:$B,$B2,MATCH_W4!$I:$I)+SUMIF(MATCH_W5!$B:$B,$B2,MATCH_W5!$I:$I)+SUMIF(MATCH_W6!$B:$B,$B2,MATCH_W6!$I:$I)</f>
        <v/>
      </c>
      <c r="H2" s="56">
        <f>SUMIF(MATCH_W1!$B:$B,$B2,MATCH_W1!$J:$J)+SUMIF(MATCH_W2!$B:$B,$B2,MATCH_W2!$J:$J)+SUMIF(MATCH_W3!$B:$B,$B2,MATCH_W3!$J:$J)+SUMIF(MATCH_W4!$B:$B,$B2,MATCH_W4!$J:$J)+SUMIF(MATCH_W5!$B:$B,$B2,MATCH_W5!$J:$J)+SUMIF(MATCH_W6!$B:$B,$B2,MATCH_W6!$J:$J)</f>
        <v/>
      </c>
      <c r="I2" s="56">
        <f>SUMIF(MATCH_W1!$B:$B,$B2,MATCH_W1!$K:$K)+SUMIF(MATCH_W2!$B:$B,$B2,MATCH_W2!$K:$K)+SUMIF(MATCH_W3!$B:$B,$B2,MATCH_W3!$K:$K)+SUMIF(MATCH_W4!$B:$B,$B2,MATCH_W4!$K:$K)+SUMIF(MATCH_W5!$B:$B,$B2,MATCH_W5!$K:$K)+SUMIF(MATCH_W6!$B:$B,$B2,MATCH_W6!$K:$K)</f>
        <v/>
      </c>
      <c r="J2" s="57">
        <f>IFERROR(D2/E2,0)</f>
        <v/>
      </c>
      <c r="K2" s="58">
        <f>SUMIF(MATCH_W1!$B:$B,$B2,MATCH_W1!$M:$M)+SUMIF(MATCH_W2!$B:$B,$B2,MATCH_W2!$M:$M)+SUMIF(MATCH_W3!$B:$B,$B2,MATCH_W3!$M:$M)+SUMIF(MATCH_W4!$B:$B,$B2,MATCH_W4!$M:$M)+SUMIF(MATCH_W5!$B:$B,$B2,MATCH_W5!$M:$M)+SUMIF(MATCH_W6!$B:$B,$B2,MATCH_W6!$M:$M)</f>
        <v/>
      </c>
    </row>
    <row r="3">
      <c r="A3" s="9" t="inlineStr">
        <is>
          <t>CR</t>
        </is>
      </c>
      <c r="B3" s="9" t="inlineStr">
        <is>
          <t>MAX</t>
        </is>
      </c>
      <c r="C3" s="9" t="inlineStr">
        <is>
          <t>TANK</t>
        </is>
      </c>
      <c r="D3" s="56">
        <f>SUMIF(MATCH_W1!$B:$B,$B3,MATCH_W1!$F:$F)+SUMIF(MATCH_W2!$B:$B,$B3,MATCH_W2!$F:$F)+SUMIF(MATCH_W3!$B:$B,$B3,MATCH_W3!$F:$F)+SUMIF(MATCH_W4!$B:$B,$B3,MATCH_W4!$F:$F)+SUMIF(MATCH_W5!$B:$B,$B3,MATCH_W5!$F:$F)+SUMIF(MATCH_W6!$B:$B,$B3,MATCH_W6!$F:$F)</f>
        <v/>
      </c>
      <c r="E3" s="56">
        <f>SUMIF(MATCH_W1!$B:$B,$B3,MATCH_W1!$G:$G)+SUMIF(MATCH_W2!$B:$B,$B3,MATCH_W2!$G:$G)+SUMIF(MATCH_W3!$B:$B,$B3,MATCH_W3!$G:$G)+SUMIF(MATCH_W4!$B:$B,$B3,MATCH_W4!$G:$G)+SUMIF(MATCH_W5!$B:$B,$B3,MATCH_W5!$G:$G)+SUMIF(MATCH_W6!$B:$B,$B3,MATCH_W6!$G:$G)</f>
        <v/>
      </c>
      <c r="F3" s="56">
        <f>SUMIF(MATCH_W1!$B:$B,$B3,MATCH_W1!$H:$H)+SUMIF(MATCH_W2!$B:$B,$B3,MATCH_W2!$H:$H)+SUMIF(MATCH_W3!$B:$B,$B3,MATCH_W3!$H:$H)+SUMIF(MATCH_W4!$B:$B,$B3,MATCH_W4!$H:$H)+SUMIF(MATCH_W5!$B:$B,$B3,MATCH_W5!$H:$H)+SUMIF(MATCH_W6!$B:$B,$B3,MATCH_W6!$H:$H)</f>
        <v/>
      </c>
      <c r="G3" s="56">
        <f>SUMIF(MATCH_W1!$B:$B,$B3,MATCH_W1!$I:$I)+SUMIF(MATCH_W2!$B:$B,$B3,MATCH_W2!$I:$I)+SUMIF(MATCH_W3!$B:$B,$B3,MATCH_W3!$I:$I)+SUMIF(MATCH_W4!$B:$B,$B3,MATCH_W4!$I:$I)+SUMIF(MATCH_W5!$B:$B,$B3,MATCH_W5!$I:$I)+SUMIF(MATCH_W6!$B:$B,$B3,MATCH_W6!$I:$I)</f>
        <v/>
      </c>
      <c r="H3" s="56">
        <f>SUMIF(MATCH_W1!$B:$B,$B3,MATCH_W1!$J:$J)+SUMIF(MATCH_W2!$B:$B,$B3,MATCH_W2!$J:$J)+SUMIF(MATCH_W3!$B:$B,$B3,MATCH_W3!$J:$J)+SUMIF(MATCH_W4!$B:$B,$B3,MATCH_W4!$J:$J)+SUMIF(MATCH_W5!$B:$B,$B3,MATCH_W5!$J:$J)+SUMIF(MATCH_W6!$B:$B,$B3,MATCH_W6!$J:$J)</f>
        <v/>
      </c>
      <c r="I3" s="56">
        <f>SUMIF(MATCH_W1!$B:$B,$B3,MATCH_W1!$K:$K)+SUMIF(MATCH_W2!$B:$B,$B3,MATCH_W2!$K:$K)+SUMIF(MATCH_W3!$B:$B,$B3,MATCH_W3!$K:$K)+SUMIF(MATCH_W4!$B:$B,$B3,MATCH_W4!$K:$K)+SUMIF(MATCH_W5!$B:$B,$B3,MATCH_W5!$K:$K)+SUMIF(MATCH_W6!$B:$B,$B3,MATCH_W6!$K:$K)</f>
        <v/>
      </c>
      <c r="J3" s="57">
        <f>IFERROR(D3/E3,0)</f>
        <v/>
      </c>
      <c r="K3" s="58">
        <f>SUMIF(MATCH_W1!$B:$B,$B3,MATCH_W1!$M:$M)+SUMIF(MATCH_W2!$B:$B,$B3,MATCH_W2!$M:$M)+SUMIF(MATCH_W3!$B:$B,$B3,MATCH_W3!$M:$M)+SUMIF(MATCH_W4!$B:$B,$B3,MATCH_W4!$M:$M)+SUMIF(MATCH_W5!$B:$B,$B3,MATCH_W5!$M:$M)+SUMIF(MATCH_W6!$B:$B,$B3,MATCH_W6!$M:$M)</f>
        <v/>
      </c>
    </row>
    <row r="4">
      <c r="A4" s="9" t="inlineStr">
        <is>
          <t>CR</t>
        </is>
      </c>
      <c r="B4" s="9" t="inlineStr">
        <is>
          <t>HEESANG</t>
        </is>
      </c>
      <c r="C4" s="9" t="inlineStr">
        <is>
          <t>DPS</t>
        </is>
      </c>
      <c r="D4" s="56">
        <f>SUMIF(MATCH_W1!$B:$B,$B4,MATCH_W1!$F:$F)+SUMIF(MATCH_W2!$B:$B,$B4,MATCH_W2!$F:$F)+SUMIF(MATCH_W3!$B:$B,$B4,MATCH_W3!$F:$F)+SUMIF(MATCH_W4!$B:$B,$B4,MATCH_W4!$F:$F)+SUMIF(MATCH_W5!$B:$B,$B4,MATCH_W5!$F:$F)+SUMIF(MATCH_W6!$B:$B,$B4,MATCH_W6!$F:$F)</f>
        <v/>
      </c>
      <c r="E4" s="56">
        <f>SUMIF(MATCH_W1!$B:$B,$B4,MATCH_W1!$G:$G)+SUMIF(MATCH_W2!$B:$B,$B4,MATCH_W2!$G:$G)+SUMIF(MATCH_W3!$B:$B,$B4,MATCH_W3!$G:$G)+SUMIF(MATCH_W4!$B:$B,$B4,MATCH_W4!$G:$G)+SUMIF(MATCH_W5!$B:$B,$B4,MATCH_W5!$G:$G)+SUMIF(MATCH_W6!$B:$B,$B4,MATCH_W6!$G:$G)</f>
        <v/>
      </c>
      <c r="F4" s="56">
        <f>SUMIF(MATCH_W1!$B:$B,$B4,MATCH_W1!$H:$H)+SUMIF(MATCH_W2!$B:$B,$B4,MATCH_W2!$H:$H)+SUMIF(MATCH_W3!$B:$B,$B4,MATCH_W3!$H:$H)+SUMIF(MATCH_W4!$B:$B,$B4,MATCH_W4!$H:$H)+SUMIF(MATCH_W5!$B:$B,$B4,MATCH_W5!$H:$H)+SUMIF(MATCH_W6!$B:$B,$B4,MATCH_W6!$H:$H)</f>
        <v/>
      </c>
      <c r="G4" s="56">
        <f>SUMIF(MATCH_W1!$B:$B,$B4,MATCH_W1!$I:$I)+SUMIF(MATCH_W2!$B:$B,$B4,MATCH_W2!$I:$I)+SUMIF(MATCH_W3!$B:$B,$B4,MATCH_W3!$I:$I)+SUMIF(MATCH_W4!$B:$B,$B4,MATCH_W4!$I:$I)+SUMIF(MATCH_W5!$B:$B,$B4,MATCH_W5!$I:$I)+SUMIF(MATCH_W6!$B:$B,$B4,MATCH_W6!$I:$I)</f>
        <v/>
      </c>
      <c r="H4" s="56">
        <f>SUMIF(MATCH_W1!$B:$B,$B4,MATCH_W1!$J:$J)+SUMIF(MATCH_W2!$B:$B,$B4,MATCH_W2!$J:$J)+SUMIF(MATCH_W3!$B:$B,$B4,MATCH_W3!$J:$J)+SUMIF(MATCH_W4!$B:$B,$B4,MATCH_W4!$J:$J)+SUMIF(MATCH_W5!$B:$B,$B4,MATCH_W5!$J:$J)+SUMIF(MATCH_W6!$B:$B,$B4,MATCH_W6!$J:$J)</f>
        <v/>
      </c>
      <c r="I4" s="56">
        <f>SUMIF(MATCH_W1!$B:$B,$B4,MATCH_W1!$K:$K)+SUMIF(MATCH_W2!$B:$B,$B4,MATCH_W2!$K:$K)+SUMIF(MATCH_W3!$B:$B,$B4,MATCH_W3!$K:$K)+SUMIF(MATCH_W4!$B:$B,$B4,MATCH_W4!$K:$K)+SUMIF(MATCH_W5!$B:$B,$B4,MATCH_W5!$K:$K)+SUMIF(MATCH_W6!$B:$B,$B4,MATCH_W6!$K:$K)</f>
        <v/>
      </c>
      <c r="J4" s="57">
        <f>IFERROR(D4/E4,0)</f>
        <v/>
      </c>
      <c r="K4" s="58">
        <f>SUMIF(MATCH_W1!$B:$B,$B4,MATCH_W1!$M:$M)+SUMIF(MATCH_W2!$B:$B,$B4,MATCH_W2!$M:$M)+SUMIF(MATCH_W3!$B:$B,$B4,MATCH_W3!$M:$M)+SUMIF(MATCH_W4!$B:$B,$B4,MATCH_W4!$M:$M)+SUMIF(MATCH_W5!$B:$B,$B4,MATCH_W5!$M:$M)+SUMIF(MATCH_W6!$B:$B,$B4,MATCH_W6!$M:$M)</f>
        <v/>
      </c>
    </row>
    <row r="5">
      <c r="A5" s="9" t="inlineStr">
        <is>
          <t>CR</t>
        </is>
      </c>
      <c r="B5" s="9" t="inlineStr">
        <is>
          <t>LIP</t>
        </is>
      </c>
      <c r="C5" s="9" t="inlineStr">
        <is>
          <t>DPS</t>
        </is>
      </c>
      <c r="D5" s="56">
        <f>SUMIF(MATCH_W1!$B:$B,$B5,MATCH_W1!$F:$F)+SUMIF(MATCH_W2!$B:$B,$B5,MATCH_W2!$F:$F)+SUMIF(MATCH_W3!$B:$B,$B5,MATCH_W3!$F:$F)+SUMIF(MATCH_W4!$B:$B,$B5,MATCH_W4!$F:$F)+SUMIF(MATCH_W5!$B:$B,$B5,MATCH_W5!$F:$F)+SUMIF(MATCH_W6!$B:$B,$B5,MATCH_W6!$F:$F)</f>
        <v/>
      </c>
      <c r="E5" s="56">
        <f>SUMIF(MATCH_W1!$B:$B,$B5,MATCH_W1!$G:$G)+SUMIF(MATCH_W2!$B:$B,$B5,MATCH_W2!$G:$G)+SUMIF(MATCH_W3!$B:$B,$B5,MATCH_W3!$G:$G)+SUMIF(MATCH_W4!$B:$B,$B5,MATCH_W4!$G:$G)+SUMIF(MATCH_W5!$B:$B,$B5,MATCH_W5!$G:$G)+SUMIF(MATCH_W6!$B:$B,$B5,MATCH_W6!$G:$G)</f>
        <v/>
      </c>
      <c r="F5" s="56">
        <f>SUMIF(MATCH_W1!$B:$B,$B5,MATCH_W1!$H:$H)+SUMIF(MATCH_W2!$B:$B,$B5,MATCH_W2!$H:$H)+SUMIF(MATCH_W3!$B:$B,$B5,MATCH_W3!$H:$H)+SUMIF(MATCH_W4!$B:$B,$B5,MATCH_W4!$H:$H)+SUMIF(MATCH_W5!$B:$B,$B5,MATCH_W5!$H:$H)+SUMIF(MATCH_W6!$B:$B,$B5,MATCH_W6!$H:$H)</f>
        <v/>
      </c>
      <c r="G5" s="56">
        <f>SUMIF(MATCH_W1!$B:$B,$B5,MATCH_W1!$I:$I)+SUMIF(MATCH_W2!$B:$B,$B5,MATCH_W2!$I:$I)+SUMIF(MATCH_W3!$B:$B,$B5,MATCH_W3!$I:$I)+SUMIF(MATCH_W4!$B:$B,$B5,MATCH_W4!$I:$I)+SUMIF(MATCH_W5!$B:$B,$B5,MATCH_W5!$I:$I)+SUMIF(MATCH_W6!$B:$B,$B5,MATCH_W6!$I:$I)</f>
        <v/>
      </c>
      <c r="H5" s="56">
        <f>SUMIF(MATCH_W1!$B:$B,$B5,MATCH_W1!$J:$J)+SUMIF(MATCH_W2!$B:$B,$B5,MATCH_W2!$J:$J)+SUMIF(MATCH_W3!$B:$B,$B5,MATCH_W3!$J:$J)+SUMIF(MATCH_W4!$B:$B,$B5,MATCH_W4!$J:$J)+SUMIF(MATCH_W5!$B:$B,$B5,MATCH_W5!$J:$J)+SUMIF(MATCH_W6!$B:$B,$B5,MATCH_W6!$J:$J)</f>
        <v/>
      </c>
      <c r="I5" s="56">
        <f>SUMIF(MATCH_W1!$B:$B,$B5,MATCH_W1!$K:$K)+SUMIF(MATCH_W2!$B:$B,$B5,MATCH_W2!$K:$K)+SUMIF(MATCH_W3!$B:$B,$B5,MATCH_W3!$K:$K)+SUMIF(MATCH_W4!$B:$B,$B5,MATCH_W4!$K:$K)+SUMIF(MATCH_W5!$B:$B,$B5,MATCH_W5!$K:$K)+SUMIF(MATCH_W6!$B:$B,$B5,MATCH_W6!$K:$K)</f>
        <v/>
      </c>
      <c r="J5" s="57">
        <f>IFERROR(D5/E5,0)</f>
        <v/>
      </c>
      <c r="K5" s="58">
        <f>SUMIF(MATCH_W1!$B:$B,$B5,MATCH_W1!$M:$M)+SUMIF(MATCH_W2!$B:$B,$B5,MATCH_W2!$M:$M)+SUMIF(MATCH_W3!$B:$B,$B5,MATCH_W3!$M:$M)+SUMIF(MATCH_W4!$B:$B,$B5,MATCH_W4!$M:$M)+SUMIF(MATCH_W5!$B:$B,$B5,MATCH_W5!$M:$M)+SUMIF(MATCH_W6!$B:$B,$B5,MATCH_W6!$M:$M)</f>
        <v/>
      </c>
    </row>
    <row r="6">
      <c r="A6" s="9" t="inlineStr">
        <is>
          <t>CR</t>
        </is>
      </c>
      <c r="B6" s="9" t="inlineStr">
        <is>
          <t>STALK3R</t>
        </is>
      </c>
      <c r="C6" s="9" t="inlineStr">
        <is>
          <t>DPS</t>
        </is>
      </c>
      <c r="D6" s="56">
        <f>SUMIF(MATCH_W1!$B:$B,$B6,MATCH_W1!$F:$F)+SUMIF(MATCH_W2!$B:$B,$B6,MATCH_W2!$F:$F)+SUMIF(MATCH_W3!$B:$B,$B6,MATCH_W3!$F:$F)+SUMIF(MATCH_W4!$B:$B,$B6,MATCH_W4!$F:$F)+SUMIF(MATCH_W5!$B:$B,$B6,MATCH_W5!$F:$F)+SUMIF(MATCH_W6!$B:$B,$B6,MATCH_W6!$F:$F)</f>
        <v/>
      </c>
      <c r="E6" s="56">
        <f>SUMIF(MATCH_W1!$B:$B,$B6,MATCH_W1!$G:$G)+SUMIF(MATCH_W2!$B:$B,$B6,MATCH_W2!$G:$G)+SUMIF(MATCH_W3!$B:$B,$B6,MATCH_W3!$G:$G)+SUMIF(MATCH_W4!$B:$B,$B6,MATCH_W4!$G:$G)+SUMIF(MATCH_W5!$B:$B,$B6,MATCH_W5!$G:$G)+SUMIF(MATCH_W6!$B:$B,$B6,MATCH_W6!$G:$G)</f>
        <v/>
      </c>
      <c r="F6" s="56">
        <f>SUMIF(MATCH_W1!$B:$B,$B6,MATCH_W1!$H:$H)+SUMIF(MATCH_W2!$B:$B,$B6,MATCH_W2!$H:$H)+SUMIF(MATCH_W3!$B:$B,$B6,MATCH_W3!$H:$H)+SUMIF(MATCH_W4!$B:$B,$B6,MATCH_W4!$H:$H)+SUMIF(MATCH_W5!$B:$B,$B6,MATCH_W5!$H:$H)+SUMIF(MATCH_W6!$B:$B,$B6,MATCH_W6!$H:$H)</f>
        <v/>
      </c>
      <c r="G6" s="56">
        <f>SUMIF(MATCH_W1!$B:$B,$B6,MATCH_W1!$I:$I)+SUMIF(MATCH_W2!$B:$B,$B6,MATCH_W2!$I:$I)+SUMIF(MATCH_W3!$B:$B,$B6,MATCH_W3!$I:$I)+SUMIF(MATCH_W4!$B:$B,$B6,MATCH_W4!$I:$I)+SUMIF(MATCH_W5!$B:$B,$B6,MATCH_W5!$I:$I)+SUMIF(MATCH_W6!$B:$B,$B6,MATCH_W6!$I:$I)</f>
        <v/>
      </c>
      <c r="H6" s="56">
        <f>SUMIF(MATCH_W1!$B:$B,$B6,MATCH_W1!$J:$J)+SUMIF(MATCH_W2!$B:$B,$B6,MATCH_W2!$J:$J)+SUMIF(MATCH_W3!$B:$B,$B6,MATCH_W3!$J:$J)+SUMIF(MATCH_W4!$B:$B,$B6,MATCH_W4!$J:$J)+SUMIF(MATCH_W5!$B:$B,$B6,MATCH_W5!$J:$J)+SUMIF(MATCH_W6!$B:$B,$B6,MATCH_W6!$J:$J)</f>
        <v/>
      </c>
      <c r="I6" s="56">
        <f>SUMIF(MATCH_W1!$B:$B,$B6,MATCH_W1!$K:$K)+SUMIF(MATCH_W2!$B:$B,$B6,MATCH_W2!$K:$K)+SUMIF(MATCH_W3!$B:$B,$B6,MATCH_W3!$K:$K)+SUMIF(MATCH_W4!$B:$B,$B6,MATCH_W4!$K:$K)+SUMIF(MATCH_W5!$B:$B,$B6,MATCH_W5!$K:$K)+SUMIF(MATCH_W6!$B:$B,$B6,MATCH_W6!$K:$K)</f>
        <v/>
      </c>
      <c r="J6" s="57">
        <f>IFERROR(D6/E6,0)</f>
        <v/>
      </c>
      <c r="K6" s="58">
        <f>SUMIF(MATCH_W1!$B:$B,$B6,MATCH_W1!$M:$M)+SUMIF(MATCH_W2!$B:$B,$B6,MATCH_W2!$M:$M)+SUMIF(MATCH_W3!$B:$B,$B6,MATCH_W3!$M:$M)+SUMIF(MATCH_W4!$B:$B,$B6,MATCH_W4!$M:$M)+SUMIF(MATCH_W5!$B:$B,$B6,MATCH_W5!$M:$M)+SUMIF(MATCH_W6!$B:$B,$B6,MATCH_W6!$M:$M)</f>
        <v/>
      </c>
    </row>
    <row r="7">
      <c r="A7" s="9" t="inlineStr">
        <is>
          <t>CR</t>
        </is>
      </c>
      <c r="B7" s="9" t="inlineStr">
        <is>
          <t>CH0R0NG</t>
        </is>
      </c>
      <c r="C7" s="9" t="inlineStr">
        <is>
          <t>SPT</t>
        </is>
      </c>
      <c r="D7" s="56">
        <f>SUMIF(MATCH_W1!$B:$B,$B7,MATCH_W1!$F:$F)+SUMIF(MATCH_W2!$B:$B,$B7,MATCH_W2!$F:$F)+SUMIF(MATCH_W3!$B:$B,$B7,MATCH_W3!$F:$F)+SUMIF(MATCH_W4!$B:$B,$B7,MATCH_W4!$F:$F)+SUMIF(MATCH_W5!$B:$B,$B7,MATCH_W5!$F:$F)+SUMIF(MATCH_W6!$B:$B,$B7,MATCH_W6!$F:$F)</f>
        <v/>
      </c>
      <c r="E7" s="56">
        <f>SUMIF(MATCH_W1!$B:$B,$B7,MATCH_W1!$G:$G)+SUMIF(MATCH_W2!$B:$B,$B7,MATCH_W2!$G:$G)+SUMIF(MATCH_W3!$B:$B,$B7,MATCH_W3!$G:$G)+SUMIF(MATCH_W4!$B:$B,$B7,MATCH_W4!$G:$G)+SUMIF(MATCH_W5!$B:$B,$B7,MATCH_W5!$G:$G)+SUMIF(MATCH_W6!$B:$B,$B7,MATCH_W6!$G:$G)</f>
        <v/>
      </c>
      <c r="F7" s="56">
        <f>SUMIF(MATCH_W1!$B:$B,$B7,MATCH_W1!$H:$H)+SUMIF(MATCH_W2!$B:$B,$B7,MATCH_W2!$H:$H)+SUMIF(MATCH_W3!$B:$B,$B7,MATCH_W3!$H:$H)+SUMIF(MATCH_W4!$B:$B,$B7,MATCH_W4!$H:$H)+SUMIF(MATCH_W5!$B:$B,$B7,MATCH_W5!$H:$H)+SUMIF(MATCH_W6!$B:$B,$B7,MATCH_W6!$H:$H)</f>
        <v/>
      </c>
      <c r="G7" s="56">
        <f>SUMIF(MATCH_W1!$B:$B,$B7,MATCH_W1!$I:$I)+SUMIF(MATCH_W2!$B:$B,$B7,MATCH_W2!$I:$I)+SUMIF(MATCH_W3!$B:$B,$B7,MATCH_W3!$I:$I)+SUMIF(MATCH_W4!$B:$B,$B7,MATCH_W4!$I:$I)+SUMIF(MATCH_W5!$B:$B,$B7,MATCH_W5!$I:$I)+SUMIF(MATCH_W6!$B:$B,$B7,MATCH_W6!$I:$I)</f>
        <v/>
      </c>
      <c r="H7" s="56">
        <f>SUMIF(MATCH_W1!$B:$B,$B7,MATCH_W1!$J:$J)+SUMIF(MATCH_W2!$B:$B,$B7,MATCH_W2!$J:$J)+SUMIF(MATCH_W3!$B:$B,$B7,MATCH_W3!$J:$J)+SUMIF(MATCH_W4!$B:$B,$B7,MATCH_W4!$J:$J)+SUMIF(MATCH_W5!$B:$B,$B7,MATCH_W5!$J:$J)+SUMIF(MATCH_W6!$B:$B,$B7,MATCH_W6!$J:$J)</f>
        <v/>
      </c>
      <c r="I7" s="56">
        <f>SUMIF(MATCH_W1!$B:$B,$B7,MATCH_W1!$K:$K)+SUMIF(MATCH_W2!$B:$B,$B7,MATCH_W2!$K:$K)+SUMIF(MATCH_W3!$B:$B,$B7,MATCH_W3!$K:$K)+SUMIF(MATCH_W4!$B:$B,$B7,MATCH_W4!$K:$K)+SUMIF(MATCH_W5!$B:$B,$B7,MATCH_W5!$K:$K)+SUMIF(MATCH_W6!$B:$B,$B7,MATCH_W6!$K:$K)</f>
        <v/>
      </c>
      <c r="J7" s="57">
        <f>IFERROR(D7/E7,0)</f>
        <v/>
      </c>
      <c r="K7" s="58">
        <f>SUMIF(MATCH_W1!$B:$B,$B7,MATCH_W1!$M:$M)+SUMIF(MATCH_W2!$B:$B,$B7,MATCH_W2!$M:$M)+SUMIF(MATCH_W3!$B:$B,$B7,MATCH_W3!$M:$M)+SUMIF(MATCH_W4!$B:$B,$B7,MATCH_W4!$M:$M)+SUMIF(MATCH_W5!$B:$B,$B7,MATCH_W5!$M:$M)+SUMIF(MATCH_W6!$B:$B,$B7,MATCH_W6!$M:$M)</f>
        <v/>
      </c>
    </row>
    <row r="8">
      <c r="A8" s="8" t="inlineStr">
        <is>
          <t>CR</t>
        </is>
      </c>
      <c r="B8" s="9" t="inlineStr">
        <is>
          <t>VIGILANTE</t>
        </is>
      </c>
      <c r="C8" s="9" t="inlineStr">
        <is>
          <t>SPT</t>
        </is>
      </c>
      <c r="D8" s="56">
        <f>SUMIF(MATCH_W1!$B:$B,$B8,MATCH_W1!$F:$F)+SUMIF(MATCH_W2!$B:$B,$B8,MATCH_W2!$F:$F)+SUMIF(MATCH_W3!$B:$B,$B8,MATCH_W3!$F:$F)+SUMIF(MATCH_W4!$B:$B,$B8,MATCH_W4!$F:$F)+SUMIF(MATCH_W5!$B:$B,$B8,MATCH_W5!$F:$F)+SUMIF(MATCH_W6!$B:$B,$B8,MATCH_W6!$F:$F)</f>
        <v/>
      </c>
      <c r="E8" s="56">
        <f>SUMIF(MATCH_W1!$B:$B,$B8,MATCH_W1!$G:$G)+SUMIF(MATCH_W2!$B:$B,$B8,MATCH_W2!$G:$G)+SUMIF(MATCH_W3!$B:$B,$B8,MATCH_W3!$G:$G)+SUMIF(MATCH_W4!$B:$B,$B8,MATCH_W4!$G:$G)+SUMIF(MATCH_W5!$B:$B,$B8,MATCH_W5!$G:$G)+SUMIF(MATCH_W6!$B:$B,$B8,MATCH_W6!$G:$G)</f>
        <v/>
      </c>
      <c r="F8" s="56">
        <f>SUMIF(MATCH_W1!$B:$B,$B8,MATCH_W1!$H:$H)+SUMIF(MATCH_W2!$B:$B,$B8,MATCH_W2!$H:$H)+SUMIF(MATCH_W3!$B:$B,$B8,MATCH_W3!$H:$H)+SUMIF(MATCH_W4!$B:$B,$B8,MATCH_W4!$H:$H)+SUMIF(MATCH_W5!$B:$B,$B8,MATCH_W5!$H:$H)+SUMIF(MATCH_W6!$B:$B,$B8,MATCH_W6!$H:$H)</f>
        <v/>
      </c>
      <c r="G8" s="56">
        <f>SUMIF(MATCH_W1!$B:$B,$B8,MATCH_W1!$I:$I)+SUMIF(MATCH_W2!$B:$B,$B8,MATCH_W2!$I:$I)+SUMIF(MATCH_W3!$B:$B,$B8,MATCH_W3!$I:$I)+SUMIF(MATCH_W4!$B:$B,$B8,MATCH_W4!$I:$I)+SUMIF(MATCH_W5!$B:$B,$B8,MATCH_W5!$I:$I)+SUMIF(MATCH_W6!$B:$B,$B8,MATCH_W6!$I:$I)</f>
        <v/>
      </c>
      <c r="H8" s="56">
        <f>SUMIF(MATCH_W1!$B:$B,$B8,MATCH_W1!$J:$J)+SUMIF(MATCH_W2!$B:$B,$B8,MATCH_W2!$J:$J)+SUMIF(MATCH_W3!$B:$B,$B8,MATCH_W3!$J:$J)+SUMIF(MATCH_W4!$B:$B,$B8,MATCH_W4!$J:$J)+SUMIF(MATCH_W5!$B:$B,$B8,MATCH_W5!$J:$J)+SUMIF(MATCH_W6!$B:$B,$B8,MATCH_W6!$J:$J)</f>
        <v/>
      </c>
      <c r="I8" s="56">
        <f>SUMIF(MATCH_W1!$B:$B,$B8,MATCH_W1!$K:$K)+SUMIF(MATCH_W2!$B:$B,$B8,MATCH_W2!$K:$K)+SUMIF(MATCH_W3!$B:$B,$B8,MATCH_W3!$K:$K)+SUMIF(MATCH_W4!$B:$B,$B8,MATCH_W4!$K:$K)+SUMIF(MATCH_W5!$B:$B,$B8,MATCH_W5!$K:$K)+SUMIF(MATCH_W6!$B:$B,$B8,MATCH_W6!$K:$K)</f>
        <v/>
      </c>
      <c r="J8" s="57">
        <f>IFERROR(D8/E8,0)</f>
        <v/>
      </c>
      <c r="K8" s="58">
        <f>SUMIF(MATCH_W1!$B:$B,$B8,MATCH_W1!$M:$M)+SUMIF(MATCH_W2!$B:$B,$B8,MATCH_W2!$M:$M)+SUMIF(MATCH_W3!$B:$B,$B8,MATCH_W3!$M:$M)+SUMIF(MATCH_W4!$B:$B,$B8,MATCH_W4!$M:$M)+SUMIF(MATCH_W5!$B:$B,$B8,MATCH_W5!$M:$M)+SUMIF(MATCH_W6!$B:$B,$B8,MATCH_W6!$M:$M)</f>
        <v/>
      </c>
    </row>
    <row r="9">
      <c r="A9" s="8" t="inlineStr">
        <is>
          <t>FLC</t>
        </is>
      </c>
      <c r="B9" s="8" t="inlineStr">
        <is>
          <t>SOMEONE</t>
        </is>
      </c>
      <c r="C9" s="8" t="inlineStr">
        <is>
          <t>TANK</t>
        </is>
      </c>
      <c r="D9" s="56">
        <f>SUMIF(MATCH_W1!$B:$B,$B9,MATCH_W1!$F:$F)+SUMIF(MATCH_W2!$B:$B,$B9,MATCH_W2!$F:$F)+SUMIF(MATCH_W3!$B:$B,$B9,MATCH_W3!$F:$F)+SUMIF(MATCH_W4!$B:$B,$B9,MATCH_W4!$F:$F)+SUMIF(MATCH_W5!$B:$B,$B9,MATCH_W5!$F:$F)+SUMIF(MATCH_W6!$B:$B,$B9,MATCH_W6!$F:$F)</f>
        <v/>
      </c>
      <c r="E9" s="56">
        <f>SUMIF(MATCH_W1!$B:$B,$B9,MATCH_W1!$G:$G)+SUMIF(MATCH_W2!$B:$B,$B9,MATCH_W2!$G:$G)+SUMIF(MATCH_W3!$B:$B,$B9,MATCH_W3!$G:$G)+SUMIF(MATCH_W4!$B:$B,$B9,MATCH_W4!$G:$G)+SUMIF(MATCH_W5!$B:$B,$B9,MATCH_W5!$G:$G)+SUMIF(MATCH_W6!$B:$B,$B9,MATCH_W6!$G:$G)</f>
        <v/>
      </c>
      <c r="F9" s="56">
        <f>SUMIF(MATCH_W1!$B:$B,$B9,MATCH_W1!$H:$H)+SUMIF(MATCH_W2!$B:$B,$B9,MATCH_W2!$H:$H)+SUMIF(MATCH_W3!$B:$B,$B9,MATCH_W3!$H:$H)+SUMIF(MATCH_W4!$B:$B,$B9,MATCH_W4!$H:$H)+SUMIF(MATCH_W5!$B:$B,$B9,MATCH_W5!$H:$H)+SUMIF(MATCH_W6!$B:$B,$B9,MATCH_W6!$H:$H)</f>
        <v/>
      </c>
      <c r="G9" s="56">
        <f>SUMIF(MATCH_W1!$B:$B,$B9,MATCH_W1!$I:$I)+SUMIF(MATCH_W2!$B:$B,$B9,MATCH_W2!$I:$I)+SUMIF(MATCH_W3!$B:$B,$B9,MATCH_W3!$I:$I)+SUMIF(MATCH_W4!$B:$B,$B9,MATCH_W4!$I:$I)+SUMIF(MATCH_W5!$B:$B,$B9,MATCH_W5!$I:$I)+SUMIF(MATCH_W6!$B:$B,$B9,MATCH_W6!$I:$I)</f>
        <v/>
      </c>
      <c r="H9" s="56">
        <f>SUMIF(MATCH_W1!$B:$B,$B9,MATCH_W1!$J:$J)+SUMIF(MATCH_W2!$B:$B,$B9,MATCH_W2!$J:$J)+SUMIF(MATCH_W3!$B:$B,$B9,MATCH_W3!$J:$J)+SUMIF(MATCH_W4!$B:$B,$B9,MATCH_W4!$J:$J)+SUMIF(MATCH_W5!$B:$B,$B9,MATCH_W5!$J:$J)+SUMIF(MATCH_W6!$B:$B,$B9,MATCH_W6!$J:$J)</f>
        <v/>
      </c>
      <c r="I9" s="56">
        <f>SUMIF(MATCH_W1!$B:$B,$B9,MATCH_W1!$K:$K)+SUMIF(MATCH_W2!$B:$B,$B9,MATCH_W2!$K:$K)+SUMIF(MATCH_W3!$B:$B,$B9,MATCH_W3!$K:$K)+SUMIF(MATCH_W4!$B:$B,$B9,MATCH_W4!$K:$K)+SUMIF(MATCH_W5!$B:$B,$B9,MATCH_W5!$K:$K)+SUMIF(MATCH_W6!$B:$B,$B9,MATCH_W6!$K:$K)</f>
        <v/>
      </c>
      <c r="J9" s="57">
        <f>IFERROR(D9/E9,0)</f>
        <v/>
      </c>
      <c r="K9" s="58">
        <f>SUMIF(MATCH_W1!$B:$B,$B9,MATCH_W1!$M:$M)+SUMIF(MATCH_W2!$B:$B,$B9,MATCH_W2!$M:$M)+SUMIF(MATCH_W3!$B:$B,$B9,MATCH_W3!$M:$M)+SUMIF(MATCH_W4!$B:$B,$B9,MATCH_W4!$M:$M)+SUMIF(MATCH_W5!$B:$B,$B9,MATCH_W5!$M:$M)+SUMIF(MATCH_W6!$B:$B,$B9,MATCH_W6!$M:$M)</f>
        <v/>
      </c>
    </row>
    <row r="10">
      <c r="A10" s="8" t="inlineStr">
        <is>
          <t>FLC</t>
        </is>
      </c>
      <c r="B10" s="8" t="inlineStr">
        <is>
          <t>HANBIN</t>
        </is>
      </c>
      <c r="C10" s="8" t="inlineStr">
        <is>
          <t>TANK</t>
        </is>
      </c>
      <c r="D10" s="56">
        <f>SUMIF(MATCH_W1!$B:$B,$B10,MATCH_W1!$F:$F)+SUMIF(MATCH_W2!$B:$B,$B10,MATCH_W2!$F:$F)+SUMIF(MATCH_W3!$B:$B,$B10,MATCH_W3!$F:$F)+SUMIF(MATCH_W4!$B:$B,$B10,MATCH_W4!$F:$F)+SUMIF(MATCH_W5!$B:$B,$B10,MATCH_W5!$F:$F)+SUMIF(MATCH_W6!$B:$B,$B10,MATCH_W6!$F:$F)</f>
        <v/>
      </c>
      <c r="E10" s="56">
        <f>SUMIF(MATCH_W1!$B:$B,$B10,MATCH_W1!$G:$G)+SUMIF(MATCH_W2!$B:$B,$B10,MATCH_W2!$G:$G)+SUMIF(MATCH_W3!$B:$B,$B10,MATCH_W3!$G:$G)+SUMIF(MATCH_W4!$B:$B,$B10,MATCH_W4!$G:$G)+SUMIF(MATCH_W5!$B:$B,$B10,MATCH_W5!$G:$G)+SUMIF(MATCH_W6!$B:$B,$B10,MATCH_W6!$G:$G)</f>
        <v/>
      </c>
      <c r="F10" s="56">
        <f>SUMIF(MATCH_W1!$B:$B,$B10,MATCH_W1!$H:$H)+SUMIF(MATCH_W2!$B:$B,$B10,MATCH_W2!$H:$H)+SUMIF(MATCH_W3!$B:$B,$B10,MATCH_W3!$H:$H)+SUMIF(MATCH_W4!$B:$B,$B10,MATCH_W4!$H:$H)+SUMIF(MATCH_W5!$B:$B,$B10,MATCH_W5!$H:$H)+SUMIF(MATCH_W6!$B:$B,$B10,MATCH_W6!$H:$H)</f>
        <v/>
      </c>
      <c r="G10" s="56">
        <f>SUMIF(MATCH_W1!$B:$B,$B10,MATCH_W1!$I:$I)+SUMIF(MATCH_W2!$B:$B,$B10,MATCH_W2!$I:$I)+SUMIF(MATCH_W3!$B:$B,$B10,MATCH_W3!$I:$I)+SUMIF(MATCH_W4!$B:$B,$B10,MATCH_W4!$I:$I)+SUMIF(MATCH_W5!$B:$B,$B10,MATCH_W5!$I:$I)+SUMIF(MATCH_W6!$B:$B,$B10,MATCH_W6!$I:$I)</f>
        <v/>
      </c>
      <c r="H10" s="56">
        <f>SUMIF(MATCH_W1!$B:$B,$B10,MATCH_W1!$J:$J)+SUMIF(MATCH_W2!$B:$B,$B10,MATCH_W2!$J:$J)+SUMIF(MATCH_W3!$B:$B,$B10,MATCH_W3!$J:$J)+SUMIF(MATCH_W4!$B:$B,$B10,MATCH_W4!$J:$J)+SUMIF(MATCH_W5!$B:$B,$B10,MATCH_W5!$J:$J)+SUMIF(MATCH_W6!$B:$B,$B10,MATCH_W6!$J:$J)</f>
        <v/>
      </c>
      <c r="I10" s="56">
        <f>SUMIF(MATCH_W1!$B:$B,$B10,MATCH_W1!$K:$K)+SUMIF(MATCH_W2!$B:$B,$B10,MATCH_W2!$K:$K)+SUMIF(MATCH_W3!$B:$B,$B10,MATCH_W3!$K:$K)+SUMIF(MATCH_W4!$B:$B,$B10,MATCH_W4!$K:$K)+SUMIF(MATCH_W5!$B:$B,$B10,MATCH_W5!$K:$K)+SUMIF(MATCH_W6!$B:$B,$B10,MATCH_W6!$K:$K)</f>
        <v/>
      </c>
      <c r="J10" s="57">
        <f>IFERROR(D10/E10,0)</f>
        <v/>
      </c>
      <c r="K10" s="58">
        <f>SUMIF(MATCH_W1!$B:$B,$B10,MATCH_W1!$M:$M)+SUMIF(MATCH_W2!$B:$B,$B10,MATCH_W2!$M:$M)+SUMIF(MATCH_W3!$B:$B,$B10,MATCH_W3!$M:$M)+SUMIF(MATCH_W4!$B:$B,$B10,MATCH_W4!$M:$M)+SUMIF(MATCH_W5!$B:$B,$B10,MATCH_W5!$M:$M)+SUMIF(MATCH_W6!$B:$B,$B10,MATCH_W6!$M:$M)</f>
        <v/>
      </c>
    </row>
    <row r="11">
      <c r="A11" s="8" t="inlineStr">
        <is>
          <t>FLC</t>
        </is>
      </c>
      <c r="B11" s="8" t="inlineStr">
        <is>
          <t>CHECKMATE</t>
        </is>
      </c>
      <c r="C11" s="8" t="inlineStr">
        <is>
          <t>DPS</t>
        </is>
      </c>
      <c r="D11" s="56">
        <f>SUMIF(MATCH_W1!$B:$B,$B11,MATCH_W1!$F:$F)+SUMIF(MATCH_W2!$B:$B,$B11,MATCH_W2!$F:$F)+SUMIF(MATCH_W3!$B:$B,$B11,MATCH_W3!$F:$F)+SUMIF(MATCH_W4!$B:$B,$B11,MATCH_W4!$F:$F)+SUMIF(MATCH_W5!$B:$B,$B11,MATCH_W5!$F:$F)+SUMIF(MATCH_W6!$B:$B,$B11,MATCH_W6!$F:$F)</f>
        <v/>
      </c>
      <c r="E11" s="56">
        <f>SUMIF(MATCH_W1!$B:$B,$B11,MATCH_W1!$G:$G)+SUMIF(MATCH_W2!$B:$B,$B11,MATCH_W2!$G:$G)+SUMIF(MATCH_W3!$B:$B,$B11,MATCH_W3!$G:$G)+SUMIF(MATCH_W4!$B:$B,$B11,MATCH_W4!$G:$G)+SUMIF(MATCH_W5!$B:$B,$B11,MATCH_W5!$G:$G)+SUMIF(MATCH_W6!$B:$B,$B11,MATCH_W6!$G:$G)</f>
        <v/>
      </c>
      <c r="F11" s="56">
        <f>SUMIF(MATCH_W1!$B:$B,$B11,MATCH_W1!$H:$H)+SUMIF(MATCH_W2!$B:$B,$B11,MATCH_W2!$H:$H)+SUMIF(MATCH_W3!$B:$B,$B11,MATCH_W3!$H:$H)+SUMIF(MATCH_W4!$B:$B,$B11,MATCH_W4!$H:$H)+SUMIF(MATCH_W5!$B:$B,$B11,MATCH_W5!$H:$H)+SUMIF(MATCH_W6!$B:$B,$B11,MATCH_W6!$H:$H)</f>
        <v/>
      </c>
      <c r="G11" s="56">
        <f>SUMIF(MATCH_W1!$B:$B,$B11,MATCH_W1!$I:$I)+SUMIF(MATCH_W2!$B:$B,$B11,MATCH_W2!$I:$I)+SUMIF(MATCH_W3!$B:$B,$B11,MATCH_W3!$I:$I)+SUMIF(MATCH_W4!$B:$B,$B11,MATCH_W4!$I:$I)+SUMIF(MATCH_W5!$B:$B,$B11,MATCH_W5!$I:$I)+SUMIF(MATCH_W6!$B:$B,$B11,MATCH_W6!$I:$I)</f>
        <v/>
      </c>
      <c r="H11" s="56">
        <f>SUMIF(MATCH_W1!$B:$B,$B11,MATCH_W1!$J:$J)+SUMIF(MATCH_W2!$B:$B,$B11,MATCH_W2!$J:$J)+SUMIF(MATCH_W3!$B:$B,$B11,MATCH_W3!$J:$J)+SUMIF(MATCH_W4!$B:$B,$B11,MATCH_W4!$J:$J)+SUMIF(MATCH_W5!$B:$B,$B11,MATCH_W5!$J:$J)+SUMIF(MATCH_W6!$B:$B,$B11,MATCH_W6!$J:$J)</f>
        <v/>
      </c>
      <c r="I11" s="56">
        <f>SUMIF(MATCH_W1!$B:$B,$B11,MATCH_W1!$K:$K)+SUMIF(MATCH_W2!$B:$B,$B11,MATCH_W2!$K:$K)+SUMIF(MATCH_W3!$B:$B,$B11,MATCH_W3!$K:$K)+SUMIF(MATCH_W4!$B:$B,$B11,MATCH_W4!$K:$K)+SUMIF(MATCH_W5!$B:$B,$B11,MATCH_W5!$K:$K)+SUMIF(MATCH_W6!$B:$B,$B11,MATCH_W6!$K:$K)</f>
        <v/>
      </c>
      <c r="J11" s="57">
        <f>IFERROR(D11/E11,0)</f>
        <v/>
      </c>
      <c r="K11" s="58">
        <f>SUMIF(MATCH_W1!$B:$B,$B11,MATCH_W1!$M:$M)+SUMIF(MATCH_W2!$B:$B,$B11,MATCH_W2!$M:$M)+SUMIF(MATCH_W3!$B:$B,$B11,MATCH_W3!$M:$M)+SUMIF(MATCH_W4!$B:$B,$B11,MATCH_W4!$M:$M)+SUMIF(MATCH_W5!$B:$B,$B11,MATCH_W5!$M:$M)+SUMIF(MATCH_W6!$B:$B,$B11,MATCH_W6!$M:$M)</f>
        <v/>
      </c>
    </row>
    <row r="12">
      <c r="A12" s="8" t="inlineStr">
        <is>
          <t>FLC</t>
        </is>
      </c>
      <c r="B12" s="8" t="inlineStr">
        <is>
          <t>SP1NT</t>
        </is>
      </c>
      <c r="C12" s="8" t="inlineStr">
        <is>
          <t>DPS</t>
        </is>
      </c>
      <c r="D12" s="56">
        <f>SUMIF(MATCH_W1!$B:$B,$B12,MATCH_W1!$F:$F)+SUMIF(MATCH_W2!$B:$B,$B12,MATCH_W2!$F:$F)+SUMIF(MATCH_W3!$B:$B,$B12,MATCH_W3!$F:$F)+SUMIF(MATCH_W4!$B:$B,$B12,MATCH_W4!$F:$F)+SUMIF(MATCH_W5!$B:$B,$B12,MATCH_W5!$F:$F)+SUMIF(MATCH_W6!$B:$B,$B12,MATCH_W6!$F:$F)</f>
        <v/>
      </c>
      <c r="E12" s="56">
        <f>SUMIF(MATCH_W1!$B:$B,$B12,MATCH_W1!$G:$G)+SUMIF(MATCH_W2!$B:$B,$B12,MATCH_W2!$G:$G)+SUMIF(MATCH_W3!$B:$B,$B12,MATCH_W3!$G:$G)+SUMIF(MATCH_W4!$B:$B,$B12,MATCH_W4!$G:$G)+SUMIF(MATCH_W5!$B:$B,$B12,MATCH_W5!$G:$G)+SUMIF(MATCH_W6!$B:$B,$B12,MATCH_W6!$G:$G)</f>
        <v/>
      </c>
      <c r="F12" s="56">
        <f>SUMIF(MATCH_W1!$B:$B,$B12,MATCH_W1!$H:$H)+SUMIF(MATCH_W2!$B:$B,$B12,MATCH_W2!$H:$H)+SUMIF(MATCH_W3!$B:$B,$B12,MATCH_W3!$H:$H)+SUMIF(MATCH_W4!$B:$B,$B12,MATCH_W4!$H:$H)+SUMIF(MATCH_W5!$B:$B,$B12,MATCH_W5!$H:$H)+SUMIF(MATCH_W6!$B:$B,$B12,MATCH_W6!$H:$H)</f>
        <v/>
      </c>
      <c r="G12" s="56">
        <f>SUMIF(MATCH_W1!$B:$B,$B12,MATCH_W1!$I:$I)+SUMIF(MATCH_W2!$B:$B,$B12,MATCH_W2!$I:$I)+SUMIF(MATCH_W3!$B:$B,$B12,MATCH_W3!$I:$I)+SUMIF(MATCH_W4!$B:$B,$B12,MATCH_W4!$I:$I)+SUMIF(MATCH_W5!$B:$B,$B12,MATCH_W5!$I:$I)+SUMIF(MATCH_W6!$B:$B,$B12,MATCH_W6!$I:$I)</f>
        <v/>
      </c>
      <c r="H12" s="56">
        <f>SUMIF(MATCH_W1!$B:$B,$B12,MATCH_W1!$J:$J)+SUMIF(MATCH_W2!$B:$B,$B12,MATCH_W2!$J:$J)+SUMIF(MATCH_W3!$B:$B,$B12,MATCH_W3!$J:$J)+SUMIF(MATCH_W4!$B:$B,$B12,MATCH_W4!$J:$J)+SUMIF(MATCH_W5!$B:$B,$B12,MATCH_W5!$J:$J)+SUMIF(MATCH_W6!$B:$B,$B12,MATCH_W6!$J:$J)</f>
        <v/>
      </c>
      <c r="I12" s="56">
        <f>SUMIF(MATCH_W1!$B:$B,$B12,MATCH_W1!$K:$K)+SUMIF(MATCH_W2!$B:$B,$B12,MATCH_W2!$K:$K)+SUMIF(MATCH_W3!$B:$B,$B12,MATCH_W3!$K:$K)+SUMIF(MATCH_W4!$B:$B,$B12,MATCH_W4!$K:$K)+SUMIF(MATCH_W5!$B:$B,$B12,MATCH_W5!$K:$K)+SUMIF(MATCH_W6!$B:$B,$B12,MATCH_W6!$K:$K)</f>
        <v/>
      </c>
      <c r="J12" s="57">
        <f>IFERROR(D12/E12,0)</f>
        <v/>
      </c>
      <c r="K12" s="58">
        <f>SUMIF(MATCH_W1!$B:$B,$B12,MATCH_W1!$M:$M)+SUMIF(MATCH_W2!$B:$B,$B12,MATCH_W2!$M:$M)+SUMIF(MATCH_W3!$B:$B,$B12,MATCH_W3!$M:$M)+SUMIF(MATCH_W4!$B:$B,$B12,MATCH_W4!$M:$M)+SUMIF(MATCH_W5!$B:$B,$B12,MATCH_W5!$M:$M)+SUMIF(MATCH_W6!$B:$B,$B12,MATCH_W6!$M:$M)</f>
        <v/>
      </c>
    </row>
    <row r="13">
      <c r="A13" s="8" t="inlineStr">
        <is>
          <t>FLC</t>
        </is>
      </c>
      <c r="B13" s="8" t="inlineStr">
        <is>
          <t>MER1T</t>
        </is>
      </c>
      <c r="C13" s="8" t="inlineStr">
        <is>
          <t>DPS</t>
        </is>
      </c>
      <c r="D13" s="56">
        <f>SUMIF(MATCH_W1!$B:$B,$B13,MATCH_W1!$F:$F)+SUMIF(MATCH_W2!$B:$B,$B13,MATCH_W2!$F:$F)+SUMIF(MATCH_W3!$B:$B,$B13,MATCH_W3!$F:$F)+SUMIF(MATCH_W4!$B:$B,$B13,MATCH_W4!$F:$F)+SUMIF(MATCH_W5!$B:$B,$B13,MATCH_W5!$F:$F)+SUMIF(MATCH_W6!$B:$B,$B13,MATCH_W6!$F:$F)</f>
        <v/>
      </c>
      <c r="E13" s="56">
        <f>SUMIF(MATCH_W1!$B:$B,$B13,MATCH_W1!$G:$G)+SUMIF(MATCH_W2!$B:$B,$B13,MATCH_W2!$G:$G)+SUMIF(MATCH_W3!$B:$B,$B13,MATCH_W3!$G:$G)+SUMIF(MATCH_W4!$B:$B,$B13,MATCH_W4!$G:$G)+SUMIF(MATCH_W5!$B:$B,$B13,MATCH_W5!$G:$G)+SUMIF(MATCH_W6!$B:$B,$B13,MATCH_W6!$G:$G)</f>
        <v/>
      </c>
      <c r="F13" s="56">
        <f>SUMIF(MATCH_W1!$B:$B,$B13,MATCH_W1!$H:$H)+SUMIF(MATCH_W2!$B:$B,$B13,MATCH_W2!$H:$H)+SUMIF(MATCH_W3!$B:$B,$B13,MATCH_W3!$H:$H)+SUMIF(MATCH_W4!$B:$B,$B13,MATCH_W4!$H:$H)+SUMIF(MATCH_W5!$B:$B,$B13,MATCH_W5!$H:$H)+SUMIF(MATCH_W6!$B:$B,$B13,MATCH_W6!$H:$H)</f>
        <v/>
      </c>
      <c r="G13" s="56">
        <f>SUMIF(MATCH_W1!$B:$B,$B13,MATCH_W1!$I:$I)+SUMIF(MATCH_W2!$B:$B,$B13,MATCH_W2!$I:$I)+SUMIF(MATCH_W3!$B:$B,$B13,MATCH_W3!$I:$I)+SUMIF(MATCH_W4!$B:$B,$B13,MATCH_W4!$I:$I)+SUMIF(MATCH_W5!$B:$B,$B13,MATCH_W5!$I:$I)+SUMIF(MATCH_W6!$B:$B,$B13,MATCH_W6!$I:$I)</f>
        <v/>
      </c>
      <c r="H13" s="56">
        <f>SUMIF(MATCH_W1!$B:$B,$B13,MATCH_W1!$J:$J)+SUMIF(MATCH_W2!$B:$B,$B13,MATCH_W2!$J:$J)+SUMIF(MATCH_W3!$B:$B,$B13,MATCH_W3!$J:$J)+SUMIF(MATCH_W4!$B:$B,$B13,MATCH_W4!$J:$J)+SUMIF(MATCH_W5!$B:$B,$B13,MATCH_W5!$J:$J)+SUMIF(MATCH_W6!$B:$B,$B13,MATCH_W6!$J:$J)</f>
        <v/>
      </c>
      <c r="I13" s="56">
        <f>SUMIF(MATCH_W1!$B:$B,$B13,MATCH_W1!$K:$K)+SUMIF(MATCH_W2!$B:$B,$B13,MATCH_W2!$K:$K)+SUMIF(MATCH_W3!$B:$B,$B13,MATCH_W3!$K:$K)+SUMIF(MATCH_W4!$B:$B,$B13,MATCH_W4!$K:$K)+SUMIF(MATCH_W5!$B:$B,$B13,MATCH_W5!$K:$K)+SUMIF(MATCH_W6!$B:$B,$B13,MATCH_W6!$K:$K)</f>
        <v/>
      </c>
      <c r="J13" s="57">
        <f>IFERROR(D13/E13,0)</f>
        <v/>
      </c>
      <c r="K13" s="58">
        <f>SUMIF(MATCH_W1!$B:$B,$B13,MATCH_W1!$M:$M)+SUMIF(MATCH_W2!$B:$B,$B13,MATCH_W2!$M:$M)+SUMIF(MATCH_W3!$B:$B,$B13,MATCH_W3!$M:$M)+SUMIF(MATCH_W4!$B:$B,$B13,MATCH_W4!$M:$M)+SUMIF(MATCH_W5!$B:$B,$B13,MATCH_W5!$M:$M)+SUMIF(MATCH_W6!$B:$B,$B13,MATCH_W6!$M:$M)</f>
        <v/>
      </c>
    </row>
    <row r="14">
      <c r="A14" s="8" t="inlineStr">
        <is>
          <t>FLC</t>
        </is>
      </c>
      <c r="B14" s="8" t="inlineStr">
        <is>
          <t>CHIYO</t>
        </is>
      </c>
      <c r="C14" s="8" t="inlineStr">
        <is>
          <t>SPT</t>
        </is>
      </c>
      <c r="D14" s="56">
        <f>SUMIF(MATCH_W1!$B:$B,$B14,MATCH_W1!$F:$F)+SUMIF(MATCH_W2!$B:$B,$B14,MATCH_W2!$F:$F)+SUMIF(MATCH_W3!$B:$B,$B14,MATCH_W3!$F:$F)+SUMIF(MATCH_W4!$B:$B,$B14,MATCH_W4!$F:$F)+SUMIF(MATCH_W5!$B:$B,$B14,MATCH_W5!$F:$F)+SUMIF(MATCH_W6!$B:$B,$B14,MATCH_W6!$F:$F)</f>
        <v/>
      </c>
      <c r="E14" s="56">
        <f>SUMIF(MATCH_W1!$B:$B,$B14,MATCH_W1!$G:$G)+SUMIF(MATCH_W2!$B:$B,$B14,MATCH_W2!$G:$G)+SUMIF(MATCH_W3!$B:$B,$B14,MATCH_W3!$G:$G)+SUMIF(MATCH_W4!$B:$B,$B14,MATCH_W4!$G:$G)+SUMIF(MATCH_W5!$B:$B,$B14,MATCH_W5!$G:$G)+SUMIF(MATCH_W6!$B:$B,$B14,MATCH_W6!$G:$G)</f>
        <v/>
      </c>
      <c r="F14" s="56">
        <f>SUMIF(MATCH_W1!$B:$B,$B14,MATCH_W1!$H:$H)+SUMIF(MATCH_W2!$B:$B,$B14,MATCH_W2!$H:$H)+SUMIF(MATCH_W3!$B:$B,$B14,MATCH_W3!$H:$H)+SUMIF(MATCH_W4!$B:$B,$B14,MATCH_W4!$H:$H)+SUMIF(MATCH_W5!$B:$B,$B14,MATCH_W5!$H:$H)+SUMIF(MATCH_W6!$B:$B,$B14,MATCH_W6!$H:$H)</f>
        <v/>
      </c>
      <c r="G14" s="56">
        <f>SUMIF(MATCH_W1!$B:$B,$B14,MATCH_W1!$I:$I)+SUMIF(MATCH_W2!$B:$B,$B14,MATCH_W2!$I:$I)+SUMIF(MATCH_W3!$B:$B,$B14,MATCH_W3!$I:$I)+SUMIF(MATCH_W4!$B:$B,$B14,MATCH_W4!$I:$I)+SUMIF(MATCH_W5!$B:$B,$B14,MATCH_W5!$I:$I)+SUMIF(MATCH_W6!$B:$B,$B14,MATCH_W6!$I:$I)</f>
        <v/>
      </c>
      <c r="H14" s="56">
        <f>SUMIF(MATCH_W1!$B:$B,$B14,MATCH_W1!$J:$J)+SUMIF(MATCH_W2!$B:$B,$B14,MATCH_W2!$J:$J)+SUMIF(MATCH_W3!$B:$B,$B14,MATCH_W3!$J:$J)+SUMIF(MATCH_W4!$B:$B,$B14,MATCH_W4!$J:$J)+SUMIF(MATCH_W5!$B:$B,$B14,MATCH_W5!$J:$J)+SUMIF(MATCH_W6!$B:$B,$B14,MATCH_W6!$J:$J)</f>
        <v/>
      </c>
      <c r="I14" s="56">
        <f>SUMIF(MATCH_W1!$B:$B,$B14,MATCH_W1!$K:$K)+SUMIF(MATCH_W2!$B:$B,$B14,MATCH_W2!$K:$K)+SUMIF(MATCH_W3!$B:$B,$B14,MATCH_W3!$K:$K)+SUMIF(MATCH_W4!$B:$B,$B14,MATCH_W4!$K:$K)+SUMIF(MATCH_W5!$B:$B,$B14,MATCH_W5!$K:$K)+SUMIF(MATCH_W6!$B:$B,$B14,MATCH_W6!$K:$K)</f>
        <v/>
      </c>
      <c r="J14" s="57">
        <f>IFERROR(D14/E14,0)</f>
        <v/>
      </c>
      <c r="K14" s="58">
        <f>SUMIF(MATCH_W1!$B:$B,$B14,MATCH_W1!$M:$M)+SUMIF(MATCH_W2!$B:$B,$B14,MATCH_W2!$M:$M)+SUMIF(MATCH_W3!$B:$B,$B14,MATCH_W3!$M:$M)+SUMIF(MATCH_W4!$B:$B,$B14,MATCH_W4!$M:$M)+SUMIF(MATCH_W5!$B:$B,$B14,MATCH_W5!$M:$M)+SUMIF(MATCH_W6!$B:$B,$B14,MATCH_W6!$M:$M)</f>
        <v/>
      </c>
    </row>
    <row r="15">
      <c r="A15" s="8" t="inlineStr">
        <is>
          <t>FLC</t>
        </is>
      </c>
      <c r="B15" s="8" t="inlineStr">
        <is>
          <t>FIELDER</t>
        </is>
      </c>
      <c r="C15" s="8" t="inlineStr">
        <is>
          <t>SPT</t>
        </is>
      </c>
      <c r="D15" s="56">
        <f>SUMIF(MATCH_W1!$B:$B,$B15,MATCH_W1!$F:$F)+SUMIF(MATCH_W2!$B:$B,$B15,MATCH_W2!$F:$F)+SUMIF(MATCH_W3!$B:$B,$B15,MATCH_W3!$F:$F)+SUMIF(MATCH_W4!$B:$B,$B15,MATCH_W4!$F:$F)+SUMIF(MATCH_W5!$B:$B,$B15,MATCH_W5!$F:$F)+SUMIF(MATCH_W6!$B:$B,$B15,MATCH_W6!$F:$F)</f>
        <v/>
      </c>
      <c r="E15" s="56">
        <f>SUMIF(MATCH_W1!$B:$B,$B15,MATCH_W1!$G:$G)+SUMIF(MATCH_W2!$B:$B,$B15,MATCH_W2!$G:$G)+SUMIF(MATCH_W3!$B:$B,$B15,MATCH_W3!$G:$G)+SUMIF(MATCH_W4!$B:$B,$B15,MATCH_W4!$G:$G)+SUMIF(MATCH_W5!$B:$B,$B15,MATCH_W5!$G:$G)+SUMIF(MATCH_W6!$B:$B,$B15,MATCH_W6!$G:$G)</f>
        <v/>
      </c>
      <c r="F15" s="56">
        <f>SUMIF(MATCH_W1!$B:$B,$B15,MATCH_W1!$H:$H)+SUMIF(MATCH_W2!$B:$B,$B15,MATCH_W2!$H:$H)+SUMIF(MATCH_W3!$B:$B,$B15,MATCH_W3!$H:$H)+SUMIF(MATCH_W4!$B:$B,$B15,MATCH_W4!$H:$H)+SUMIF(MATCH_W5!$B:$B,$B15,MATCH_W5!$H:$H)+SUMIF(MATCH_W6!$B:$B,$B15,MATCH_W6!$H:$H)</f>
        <v/>
      </c>
      <c r="G15" s="56">
        <f>SUMIF(MATCH_W1!$B:$B,$B15,MATCH_W1!$I:$I)+SUMIF(MATCH_W2!$B:$B,$B15,MATCH_W2!$I:$I)+SUMIF(MATCH_W3!$B:$B,$B15,MATCH_W3!$I:$I)+SUMIF(MATCH_W4!$B:$B,$B15,MATCH_W4!$I:$I)+SUMIF(MATCH_W5!$B:$B,$B15,MATCH_W5!$I:$I)+SUMIF(MATCH_W6!$B:$B,$B15,MATCH_W6!$I:$I)</f>
        <v/>
      </c>
      <c r="H15" s="56">
        <f>SUMIF(MATCH_W1!$B:$B,$B15,MATCH_W1!$J:$J)+SUMIF(MATCH_W2!$B:$B,$B15,MATCH_W2!$J:$J)+SUMIF(MATCH_W3!$B:$B,$B15,MATCH_W3!$J:$J)+SUMIF(MATCH_W4!$B:$B,$B15,MATCH_W4!$J:$J)+SUMIF(MATCH_W5!$B:$B,$B15,MATCH_W5!$J:$J)+SUMIF(MATCH_W6!$B:$B,$B15,MATCH_W6!$J:$J)</f>
        <v/>
      </c>
      <c r="I15" s="56">
        <f>SUMIF(MATCH_W1!$B:$B,$B15,MATCH_W1!$K:$K)+SUMIF(MATCH_W2!$B:$B,$B15,MATCH_W2!$K:$K)+SUMIF(MATCH_W3!$B:$B,$B15,MATCH_W3!$K:$K)+SUMIF(MATCH_W4!$B:$B,$B15,MATCH_W4!$K:$K)+SUMIF(MATCH_W5!$B:$B,$B15,MATCH_W5!$K:$K)+SUMIF(MATCH_W6!$B:$B,$B15,MATCH_W6!$K:$K)</f>
        <v/>
      </c>
      <c r="J15" s="57">
        <f>IFERROR(D15/E15,0)</f>
        <v/>
      </c>
      <c r="K15" s="58">
        <f>SUMIF(MATCH_W1!$B:$B,$B15,MATCH_W1!$M:$M)+SUMIF(MATCH_W2!$B:$B,$B15,MATCH_W2!$M:$M)+SUMIF(MATCH_W3!$B:$B,$B15,MATCH_W3!$M:$M)+SUMIF(MATCH_W4!$B:$B,$B15,MATCH_W4!$M:$M)+SUMIF(MATCH_W5!$B:$B,$B15,MATCH_W5!$M:$M)+SUMIF(MATCH_W6!$B:$B,$B15,MATCH_W6!$M:$M)</f>
        <v/>
      </c>
    </row>
    <row r="16">
      <c r="A16" s="8" t="inlineStr">
        <is>
          <t>T1</t>
        </is>
      </c>
      <c r="B16" s="8" t="inlineStr">
        <is>
          <t>DONGHAK</t>
        </is>
      </c>
      <c r="C16" s="8" t="inlineStr">
        <is>
          <t>TANK</t>
        </is>
      </c>
      <c r="D16" s="56">
        <f>SUMIF(MATCH_W1!$B:$B,$B16,MATCH_W1!$F:$F)+SUMIF(MATCH_W2!$B:$B,$B16,MATCH_W2!$F:$F)+SUMIF(MATCH_W3!$B:$B,$B16,MATCH_W3!$F:$F)+SUMIF(MATCH_W4!$B:$B,$B16,MATCH_W4!$F:$F)+SUMIF(MATCH_W5!$B:$B,$B16,MATCH_W5!$F:$F)+SUMIF(MATCH_W6!$B:$B,$B16,MATCH_W6!$F:$F)</f>
        <v/>
      </c>
      <c r="E16" s="56">
        <f>SUMIF(MATCH_W1!$B:$B,$B16,MATCH_W1!$G:$G)+SUMIF(MATCH_W2!$B:$B,$B16,MATCH_W2!$G:$G)+SUMIF(MATCH_W3!$B:$B,$B16,MATCH_W3!$G:$G)+SUMIF(MATCH_W4!$B:$B,$B16,MATCH_W4!$G:$G)+SUMIF(MATCH_W5!$B:$B,$B16,MATCH_W5!$G:$G)+SUMIF(MATCH_W6!$B:$B,$B16,MATCH_W6!$G:$G)</f>
        <v/>
      </c>
      <c r="F16" s="56">
        <f>SUMIF(MATCH_W1!$B:$B,$B16,MATCH_W1!$H:$H)+SUMIF(MATCH_W2!$B:$B,$B16,MATCH_W2!$H:$H)+SUMIF(MATCH_W3!$B:$B,$B16,MATCH_W3!$H:$H)+SUMIF(MATCH_W4!$B:$B,$B16,MATCH_W4!$H:$H)+SUMIF(MATCH_W5!$B:$B,$B16,MATCH_W5!$H:$H)+SUMIF(MATCH_W6!$B:$B,$B16,MATCH_W6!$H:$H)</f>
        <v/>
      </c>
      <c r="G16" s="56">
        <f>SUMIF(MATCH_W1!$B:$B,$B16,MATCH_W1!$I:$I)+SUMIF(MATCH_W2!$B:$B,$B16,MATCH_W2!$I:$I)+SUMIF(MATCH_W3!$B:$B,$B16,MATCH_W3!$I:$I)+SUMIF(MATCH_W4!$B:$B,$B16,MATCH_W4!$I:$I)+SUMIF(MATCH_W5!$B:$B,$B16,MATCH_W5!$I:$I)+SUMIF(MATCH_W6!$B:$B,$B16,MATCH_W6!$I:$I)</f>
        <v/>
      </c>
      <c r="H16" s="56">
        <f>SUMIF(MATCH_W1!$B:$B,$B16,MATCH_W1!$J:$J)+SUMIF(MATCH_W2!$B:$B,$B16,MATCH_W2!$J:$J)+SUMIF(MATCH_W3!$B:$B,$B16,MATCH_W3!$J:$J)+SUMIF(MATCH_W4!$B:$B,$B16,MATCH_W4!$J:$J)+SUMIF(MATCH_W5!$B:$B,$B16,MATCH_W5!$J:$J)+SUMIF(MATCH_W6!$B:$B,$B16,MATCH_W6!$J:$J)</f>
        <v/>
      </c>
      <c r="I16" s="56">
        <f>SUMIF(MATCH_W1!$B:$B,$B16,MATCH_W1!$K:$K)+SUMIF(MATCH_W2!$B:$B,$B16,MATCH_W2!$K:$K)+SUMIF(MATCH_W3!$B:$B,$B16,MATCH_W3!$K:$K)+SUMIF(MATCH_W4!$B:$B,$B16,MATCH_W4!$K:$K)+SUMIF(MATCH_W5!$B:$B,$B16,MATCH_W5!$K:$K)+SUMIF(MATCH_W6!$B:$B,$B16,MATCH_W6!$K:$K)</f>
        <v/>
      </c>
      <c r="J16" s="57">
        <f>IFERROR(D16/E16,0)</f>
        <v/>
      </c>
      <c r="K16" s="58">
        <f>SUMIF(MATCH_W1!$B:$B,$B16,MATCH_W1!$M:$M)+SUMIF(MATCH_W2!$B:$B,$B16,MATCH_W2!$M:$M)+SUMIF(MATCH_W3!$B:$B,$B16,MATCH_W3!$M:$M)+SUMIF(MATCH_W4!$B:$B,$B16,MATCH_W4!$M:$M)+SUMIF(MATCH_W5!$B:$B,$B16,MATCH_W5!$M:$M)+SUMIF(MATCH_W6!$B:$B,$B16,MATCH_W6!$M:$M)</f>
        <v/>
      </c>
    </row>
    <row r="17">
      <c r="A17" s="8" t="inlineStr">
        <is>
          <t>T1</t>
        </is>
      </c>
      <c r="B17" s="8" t="inlineStr">
        <is>
          <t>JASM1NE</t>
        </is>
      </c>
      <c r="C17" s="8" t="inlineStr">
        <is>
          <t>TANK</t>
        </is>
      </c>
      <c r="D17" s="56">
        <f>SUMIF(MATCH_W1!$B:$B,$B17,MATCH_W1!$F:$F)+SUMIF(MATCH_W2!$B:$B,$B17,MATCH_W2!$F:$F)+SUMIF(MATCH_W3!$B:$B,$B17,MATCH_W3!$F:$F)+SUMIF(MATCH_W4!$B:$B,$B17,MATCH_W4!$F:$F)+SUMIF(MATCH_W5!$B:$B,$B17,MATCH_W5!$F:$F)+SUMIF(MATCH_W6!$B:$B,$B17,MATCH_W6!$F:$F)</f>
        <v/>
      </c>
      <c r="E17" s="56">
        <f>SUMIF(MATCH_W1!$B:$B,$B17,MATCH_W1!$G:$G)+SUMIF(MATCH_W2!$B:$B,$B17,MATCH_W2!$G:$G)+SUMIF(MATCH_W3!$B:$B,$B17,MATCH_W3!$G:$G)+SUMIF(MATCH_W4!$B:$B,$B17,MATCH_W4!$G:$G)+SUMIF(MATCH_W5!$B:$B,$B17,MATCH_W5!$G:$G)+SUMIF(MATCH_W6!$B:$B,$B17,MATCH_W6!$G:$G)</f>
        <v/>
      </c>
      <c r="F17" s="56">
        <f>SUMIF(MATCH_W1!$B:$B,$B17,MATCH_W1!$H:$H)+SUMIF(MATCH_W2!$B:$B,$B17,MATCH_W2!$H:$H)+SUMIF(MATCH_W3!$B:$B,$B17,MATCH_W3!$H:$H)+SUMIF(MATCH_W4!$B:$B,$B17,MATCH_W4!$H:$H)+SUMIF(MATCH_W5!$B:$B,$B17,MATCH_W5!$H:$H)+SUMIF(MATCH_W6!$B:$B,$B17,MATCH_W6!$H:$H)</f>
        <v/>
      </c>
      <c r="G17" s="56">
        <f>SUMIF(MATCH_W1!$B:$B,$B17,MATCH_W1!$I:$I)+SUMIF(MATCH_W2!$B:$B,$B17,MATCH_W2!$I:$I)+SUMIF(MATCH_W3!$B:$B,$B17,MATCH_W3!$I:$I)+SUMIF(MATCH_W4!$B:$B,$B17,MATCH_W4!$I:$I)+SUMIF(MATCH_W5!$B:$B,$B17,MATCH_W5!$I:$I)+SUMIF(MATCH_W6!$B:$B,$B17,MATCH_W6!$I:$I)</f>
        <v/>
      </c>
      <c r="H17" s="56">
        <f>SUMIF(MATCH_W1!$B:$B,$B17,MATCH_W1!$J:$J)+SUMIF(MATCH_W2!$B:$B,$B17,MATCH_W2!$J:$J)+SUMIF(MATCH_W3!$B:$B,$B17,MATCH_W3!$J:$J)+SUMIF(MATCH_W4!$B:$B,$B17,MATCH_W4!$J:$J)+SUMIF(MATCH_W5!$B:$B,$B17,MATCH_W5!$J:$J)+SUMIF(MATCH_W6!$B:$B,$B17,MATCH_W6!$J:$J)</f>
        <v/>
      </c>
      <c r="I17" s="56">
        <f>SUMIF(MATCH_W1!$B:$B,$B17,MATCH_W1!$K:$K)+SUMIF(MATCH_W2!$B:$B,$B17,MATCH_W2!$K:$K)+SUMIF(MATCH_W3!$B:$B,$B17,MATCH_W3!$K:$K)+SUMIF(MATCH_W4!$B:$B,$B17,MATCH_W4!$K:$K)+SUMIF(MATCH_W5!$B:$B,$B17,MATCH_W5!$K:$K)+SUMIF(MATCH_W6!$B:$B,$B17,MATCH_W6!$K:$K)</f>
        <v/>
      </c>
      <c r="J17" s="57">
        <f>IFERROR(D17/E17,0)</f>
        <v/>
      </c>
      <c r="K17" s="58">
        <f>SUMIF(MATCH_W1!$B:$B,$B17,MATCH_W1!$M:$M)+SUMIF(MATCH_W2!$B:$B,$B17,MATCH_W2!$M:$M)+SUMIF(MATCH_W3!$B:$B,$B17,MATCH_W3!$M:$M)+SUMIF(MATCH_W4!$B:$B,$B17,MATCH_W4!$M:$M)+SUMIF(MATCH_W5!$B:$B,$B17,MATCH_W5!$M:$M)+SUMIF(MATCH_W6!$B:$B,$B17,MATCH_W6!$M:$M)</f>
        <v/>
      </c>
    </row>
    <row r="18">
      <c r="A18" s="8" t="inlineStr">
        <is>
          <t>T1</t>
        </is>
      </c>
      <c r="B18" s="8" t="inlineStr">
        <is>
          <t>ZEST</t>
        </is>
      </c>
      <c r="C18" s="8" t="inlineStr">
        <is>
          <t>DPS</t>
        </is>
      </c>
      <c r="D18" s="56">
        <f>SUMIF(MATCH_W1!$B:$B,$B18,MATCH_W1!$F:$F)+SUMIF(MATCH_W2!$B:$B,$B18,MATCH_W2!$F:$F)+SUMIF(MATCH_W3!$B:$B,$B18,MATCH_W3!$F:$F)+SUMIF(MATCH_W4!$B:$B,$B18,MATCH_W4!$F:$F)+SUMIF(MATCH_W5!$B:$B,$B18,MATCH_W5!$F:$F)+SUMIF(MATCH_W6!$B:$B,$B18,MATCH_W6!$F:$F)</f>
        <v/>
      </c>
      <c r="E18" s="56">
        <f>SUMIF(MATCH_W1!$B:$B,$B18,MATCH_W1!$G:$G)+SUMIF(MATCH_W2!$B:$B,$B18,MATCH_W2!$G:$G)+SUMIF(MATCH_W3!$B:$B,$B18,MATCH_W3!$G:$G)+SUMIF(MATCH_W4!$B:$B,$B18,MATCH_W4!$G:$G)+SUMIF(MATCH_W5!$B:$B,$B18,MATCH_W5!$G:$G)+SUMIF(MATCH_W6!$B:$B,$B18,MATCH_W6!$G:$G)</f>
        <v/>
      </c>
      <c r="F18" s="56">
        <f>SUMIF(MATCH_W1!$B:$B,$B18,MATCH_W1!$H:$H)+SUMIF(MATCH_W2!$B:$B,$B18,MATCH_W2!$H:$H)+SUMIF(MATCH_W3!$B:$B,$B18,MATCH_W3!$H:$H)+SUMIF(MATCH_W4!$B:$B,$B18,MATCH_W4!$H:$H)+SUMIF(MATCH_W5!$B:$B,$B18,MATCH_W5!$H:$H)+SUMIF(MATCH_W6!$B:$B,$B18,MATCH_W6!$H:$H)</f>
        <v/>
      </c>
      <c r="G18" s="56">
        <f>SUMIF(MATCH_W1!$B:$B,$B18,MATCH_W1!$I:$I)+SUMIF(MATCH_W2!$B:$B,$B18,MATCH_W2!$I:$I)+SUMIF(MATCH_W3!$B:$B,$B18,MATCH_W3!$I:$I)+SUMIF(MATCH_W4!$B:$B,$B18,MATCH_W4!$I:$I)+SUMIF(MATCH_W5!$B:$B,$B18,MATCH_W5!$I:$I)+SUMIF(MATCH_W6!$B:$B,$B18,MATCH_W6!$I:$I)</f>
        <v/>
      </c>
      <c r="H18" s="56">
        <f>SUMIF(MATCH_W1!$B:$B,$B18,MATCH_W1!$J:$J)+SUMIF(MATCH_W2!$B:$B,$B18,MATCH_W2!$J:$J)+SUMIF(MATCH_W3!$B:$B,$B18,MATCH_W3!$J:$J)+SUMIF(MATCH_W4!$B:$B,$B18,MATCH_W4!$J:$J)+SUMIF(MATCH_W5!$B:$B,$B18,MATCH_W5!$J:$J)+SUMIF(MATCH_W6!$B:$B,$B18,MATCH_W6!$J:$J)</f>
        <v/>
      </c>
      <c r="I18" s="56">
        <f>SUMIF(MATCH_W1!$B:$B,$B18,MATCH_W1!$K:$K)+SUMIF(MATCH_W2!$B:$B,$B18,MATCH_W2!$K:$K)+SUMIF(MATCH_W3!$B:$B,$B18,MATCH_W3!$K:$K)+SUMIF(MATCH_W4!$B:$B,$B18,MATCH_W4!$K:$K)+SUMIF(MATCH_W5!$B:$B,$B18,MATCH_W5!$K:$K)+SUMIF(MATCH_W6!$B:$B,$B18,MATCH_W6!$K:$K)</f>
        <v/>
      </c>
      <c r="J18" s="57">
        <f>IFERROR(D18/E18,0)</f>
        <v/>
      </c>
      <c r="K18" s="58">
        <f>SUMIF(MATCH_W1!$B:$B,$B18,MATCH_W1!$M:$M)+SUMIF(MATCH_W2!$B:$B,$B18,MATCH_W2!$M:$M)+SUMIF(MATCH_W3!$B:$B,$B18,MATCH_W3!$M:$M)+SUMIF(MATCH_W4!$B:$B,$B18,MATCH_W4!$M:$M)+SUMIF(MATCH_W5!$B:$B,$B18,MATCH_W5!$M:$M)+SUMIF(MATCH_W6!$B:$B,$B18,MATCH_W6!$M:$M)</f>
        <v/>
      </c>
    </row>
    <row r="19">
      <c r="A19" s="8" t="inlineStr">
        <is>
          <t>T1</t>
        </is>
      </c>
      <c r="B19" s="8" t="inlineStr">
        <is>
          <t>PROUD</t>
        </is>
      </c>
      <c r="C19" s="8" t="inlineStr">
        <is>
          <t>DPS</t>
        </is>
      </c>
      <c r="D19" s="56">
        <f>SUMIF(MATCH_W1!$B:$B,$B19,MATCH_W1!$F:$F)+SUMIF(MATCH_W2!$B:$B,$B19,MATCH_W2!$F:$F)+SUMIF(MATCH_W3!$B:$B,$B19,MATCH_W3!$F:$F)+SUMIF(MATCH_W4!$B:$B,$B19,MATCH_W4!$F:$F)+SUMIF(MATCH_W5!$B:$B,$B19,MATCH_W5!$F:$F)+SUMIF(MATCH_W6!$B:$B,$B19,MATCH_W6!$F:$F)</f>
        <v/>
      </c>
      <c r="E19" s="56">
        <f>SUMIF(MATCH_W1!$B:$B,$B19,MATCH_W1!$G:$G)+SUMIF(MATCH_W2!$B:$B,$B19,MATCH_W2!$G:$G)+SUMIF(MATCH_W3!$B:$B,$B19,MATCH_W3!$G:$G)+SUMIF(MATCH_W4!$B:$B,$B19,MATCH_W4!$G:$G)+SUMIF(MATCH_W5!$B:$B,$B19,MATCH_W5!$G:$G)+SUMIF(MATCH_W6!$B:$B,$B19,MATCH_W6!$G:$G)</f>
        <v/>
      </c>
      <c r="F19" s="56">
        <f>SUMIF(MATCH_W1!$B:$B,$B19,MATCH_W1!$H:$H)+SUMIF(MATCH_W2!$B:$B,$B19,MATCH_W2!$H:$H)+SUMIF(MATCH_W3!$B:$B,$B19,MATCH_W3!$H:$H)+SUMIF(MATCH_W4!$B:$B,$B19,MATCH_W4!$H:$H)+SUMIF(MATCH_W5!$B:$B,$B19,MATCH_W5!$H:$H)+SUMIF(MATCH_W6!$B:$B,$B19,MATCH_W6!$H:$H)</f>
        <v/>
      </c>
      <c r="G19" s="56">
        <f>SUMIF(MATCH_W1!$B:$B,$B19,MATCH_W1!$I:$I)+SUMIF(MATCH_W2!$B:$B,$B19,MATCH_W2!$I:$I)+SUMIF(MATCH_W3!$B:$B,$B19,MATCH_W3!$I:$I)+SUMIF(MATCH_W4!$B:$B,$B19,MATCH_W4!$I:$I)+SUMIF(MATCH_W5!$B:$B,$B19,MATCH_W5!$I:$I)+SUMIF(MATCH_W6!$B:$B,$B19,MATCH_W6!$I:$I)</f>
        <v/>
      </c>
      <c r="H19" s="56">
        <f>SUMIF(MATCH_W1!$B:$B,$B19,MATCH_W1!$J:$J)+SUMIF(MATCH_W2!$B:$B,$B19,MATCH_W2!$J:$J)+SUMIF(MATCH_W3!$B:$B,$B19,MATCH_W3!$J:$J)+SUMIF(MATCH_W4!$B:$B,$B19,MATCH_W4!$J:$J)+SUMIF(MATCH_W5!$B:$B,$B19,MATCH_W5!$J:$J)+SUMIF(MATCH_W6!$B:$B,$B19,MATCH_W6!$J:$J)</f>
        <v/>
      </c>
      <c r="I19" s="56">
        <f>SUMIF(MATCH_W1!$B:$B,$B19,MATCH_W1!$K:$K)+SUMIF(MATCH_W2!$B:$B,$B19,MATCH_W2!$K:$K)+SUMIF(MATCH_W3!$B:$B,$B19,MATCH_W3!$K:$K)+SUMIF(MATCH_W4!$B:$B,$B19,MATCH_W4!$K:$K)+SUMIF(MATCH_W5!$B:$B,$B19,MATCH_W5!$K:$K)+SUMIF(MATCH_W6!$B:$B,$B19,MATCH_W6!$K:$K)</f>
        <v/>
      </c>
      <c r="J19" s="57">
        <f>IFERROR(D19/E19,0)</f>
        <v/>
      </c>
      <c r="K19" s="58">
        <f>SUMIF(MATCH_W1!$B:$B,$B19,MATCH_W1!$M:$M)+SUMIF(MATCH_W2!$B:$B,$B19,MATCH_W2!$M:$M)+SUMIF(MATCH_W3!$B:$B,$B19,MATCH_W3!$M:$M)+SUMIF(MATCH_W4!$B:$B,$B19,MATCH_W4!$M:$M)+SUMIF(MATCH_W5!$B:$B,$B19,MATCH_W5!$M:$M)+SUMIF(MATCH_W6!$B:$B,$B19,MATCH_W6!$M:$M)</f>
        <v/>
      </c>
    </row>
    <row r="20">
      <c r="A20" s="8" t="inlineStr">
        <is>
          <t>T1</t>
        </is>
      </c>
      <c r="B20" s="8" t="inlineStr">
        <is>
          <t>BLISS</t>
        </is>
      </c>
      <c r="C20" s="8" t="inlineStr">
        <is>
          <t>SPT</t>
        </is>
      </c>
      <c r="D20" s="56">
        <f>SUMIF(MATCH_W1!$B:$B,$B20,MATCH_W1!$F:$F)+SUMIF(MATCH_W2!$B:$B,$B20,MATCH_W2!$F:$F)+SUMIF(MATCH_W3!$B:$B,$B20,MATCH_W3!$F:$F)+SUMIF(MATCH_W4!$B:$B,$B20,MATCH_W4!$F:$F)+SUMIF(MATCH_W5!$B:$B,$B20,MATCH_W5!$F:$F)+SUMIF(MATCH_W6!$B:$B,$B20,MATCH_W6!$F:$F)</f>
        <v/>
      </c>
      <c r="E20" s="56">
        <f>SUMIF(MATCH_W1!$B:$B,$B20,MATCH_W1!$G:$G)+SUMIF(MATCH_W2!$B:$B,$B20,MATCH_W2!$G:$G)+SUMIF(MATCH_W3!$B:$B,$B20,MATCH_W3!$G:$G)+SUMIF(MATCH_W4!$B:$B,$B20,MATCH_W4!$G:$G)+SUMIF(MATCH_W5!$B:$B,$B20,MATCH_W5!$G:$G)+SUMIF(MATCH_W6!$B:$B,$B20,MATCH_W6!$G:$G)</f>
        <v/>
      </c>
      <c r="F20" s="56">
        <f>SUMIF(MATCH_W1!$B:$B,$B20,MATCH_W1!$H:$H)+SUMIF(MATCH_W2!$B:$B,$B20,MATCH_W2!$H:$H)+SUMIF(MATCH_W3!$B:$B,$B20,MATCH_W3!$H:$H)+SUMIF(MATCH_W4!$B:$B,$B20,MATCH_W4!$H:$H)+SUMIF(MATCH_W5!$B:$B,$B20,MATCH_W5!$H:$H)+SUMIF(MATCH_W6!$B:$B,$B20,MATCH_W6!$H:$H)</f>
        <v/>
      </c>
      <c r="G20" s="56">
        <f>SUMIF(MATCH_W1!$B:$B,$B20,MATCH_W1!$I:$I)+SUMIF(MATCH_W2!$B:$B,$B20,MATCH_W2!$I:$I)+SUMIF(MATCH_W3!$B:$B,$B20,MATCH_W3!$I:$I)+SUMIF(MATCH_W4!$B:$B,$B20,MATCH_W4!$I:$I)+SUMIF(MATCH_W5!$B:$B,$B20,MATCH_W5!$I:$I)+SUMIF(MATCH_W6!$B:$B,$B20,MATCH_W6!$I:$I)</f>
        <v/>
      </c>
      <c r="H20" s="56">
        <f>SUMIF(MATCH_W1!$B:$B,$B20,MATCH_W1!$J:$J)+SUMIF(MATCH_W2!$B:$B,$B20,MATCH_W2!$J:$J)+SUMIF(MATCH_W3!$B:$B,$B20,MATCH_W3!$J:$J)+SUMIF(MATCH_W4!$B:$B,$B20,MATCH_W4!$J:$J)+SUMIF(MATCH_W5!$B:$B,$B20,MATCH_W5!$J:$J)+SUMIF(MATCH_W6!$B:$B,$B20,MATCH_W6!$J:$J)</f>
        <v/>
      </c>
      <c r="I20" s="56">
        <f>SUMIF(MATCH_W1!$B:$B,$B20,MATCH_W1!$K:$K)+SUMIF(MATCH_W2!$B:$B,$B20,MATCH_W2!$K:$K)+SUMIF(MATCH_W3!$B:$B,$B20,MATCH_W3!$K:$K)+SUMIF(MATCH_W4!$B:$B,$B20,MATCH_W4!$K:$K)+SUMIF(MATCH_W5!$B:$B,$B20,MATCH_W5!$K:$K)+SUMIF(MATCH_W6!$B:$B,$B20,MATCH_W6!$K:$K)</f>
        <v/>
      </c>
      <c r="J20" s="57">
        <f>IFERROR(D20/E20,0)</f>
        <v/>
      </c>
      <c r="K20" s="58">
        <f>SUMIF(MATCH_W1!$B:$B,$B20,MATCH_W1!$M:$M)+SUMIF(MATCH_W2!$B:$B,$B20,MATCH_W2!$M:$M)+SUMIF(MATCH_W3!$B:$B,$B20,MATCH_W3!$M:$M)+SUMIF(MATCH_W4!$B:$B,$B20,MATCH_W4!$M:$M)+SUMIF(MATCH_W5!$B:$B,$B20,MATCH_W5!$M:$M)+SUMIF(MATCH_W6!$B:$B,$B20,MATCH_W6!$M:$M)</f>
        <v/>
      </c>
    </row>
    <row r="21">
      <c r="A21" s="8" t="inlineStr">
        <is>
          <t>T1</t>
        </is>
      </c>
      <c r="B21" s="8" t="inlineStr">
        <is>
          <t>SKEWED</t>
        </is>
      </c>
      <c r="C21" s="8" t="inlineStr">
        <is>
          <t>SPT</t>
        </is>
      </c>
      <c r="D21" s="56">
        <f>SUMIF(MATCH_W1!$B:$B,$B21,MATCH_W1!$F:$F)+SUMIF(MATCH_W2!$B:$B,$B21,MATCH_W2!$F:$F)+SUMIF(MATCH_W3!$B:$B,$B21,MATCH_W3!$F:$F)+SUMIF(MATCH_W4!$B:$B,$B21,MATCH_W4!$F:$F)+SUMIF(MATCH_W5!$B:$B,$B21,MATCH_W5!$F:$F)+SUMIF(MATCH_W6!$B:$B,$B21,MATCH_W6!$F:$F)</f>
        <v/>
      </c>
      <c r="E21" s="56">
        <f>SUMIF(MATCH_W1!$B:$B,$B21,MATCH_W1!$G:$G)+SUMIF(MATCH_W2!$B:$B,$B21,MATCH_W2!$G:$G)+SUMIF(MATCH_W3!$B:$B,$B21,MATCH_W3!$G:$G)+SUMIF(MATCH_W4!$B:$B,$B21,MATCH_W4!$G:$G)+SUMIF(MATCH_W5!$B:$B,$B21,MATCH_W5!$G:$G)+SUMIF(MATCH_W6!$B:$B,$B21,MATCH_W6!$G:$G)</f>
        <v/>
      </c>
      <c r="F21" s="56">
        <f>SUMIF(MATCH_W1!$B:$B,$B21,MATCH_W1!$H:$H)+SUMIF(MATCH_W2!$B:$B,$B21,MATCH_W2!$H:$H)+SUMIF(MATCH_W3!$B:$B,$B21,MATCH_W3!$H:$H)+SUMIF(MATCH_W4!$B:$B,$B21,MATCH_W4!$H:$H)+SUMIF(MATCH_W5!$B:$B,$B21,MATCH_W5!$H:$H)+SUMIF(MATCH_W6!$B:$B,$B21,MATCH_W6!$H:$H)</f>
        <v/>
      </c>
      <c r="G21" s="56">
        <f>SUMIF(MATCH_W1!$B:$B,$B21,MATCH_W1!$I:$I)+SUMIF(MATCH_W2!$B:$B,$B21,MATCH_W2!$I:$I)+SUMIF(MATCH_W3!$B:$B,$B21,MATCH_W3!$I:$I)+SUMIF(MATCH_W4!$B:$B,$B21,MATCH_W4!$I:$I)+SUMIF(MATCH_W5!$B:$B,$B21,MATCH_W5!$I:$I)+SUMIF(MATCH_W6!$B:$B,$B21,MATCH_W6!$I:$I)</f>
        <v/>
      </c>
      <c r="H21" s="56">
        <f>SUMIF(MATCH_W1!$B:$B,$B21,MATCH_W1!$J:$J)+SUMIF(MATCH_W2!$B:$B,$B21,MATCH_W2!$J:$J)+SUMIF(MATCH_W3!$B:$B,$B21,MATCH_W3!$J:$J)+SUMIF(MATCH_W4!$B:$B,$B21,MATCH_W4!$J:$J)+SUMIF(MATCH_W5!$B:$B,$B21,MATCH_W5!$J:$J)+SUMIF(MATCH_W6!$B:$B,$B21,MATCH_W6!$J:$J)</f>
        <v/>
      </c>
      <c r="I21" s="56">
        <f>SUMIF(MATCH_W1!$B:$B,$B21,MATCH_W1!$K:$K)+SUMIF(MATCH_W2!$B:$B,$B21,MATCH_W2!$K:$K)+SUMIF(MATCH_W3!$B:$B,$B21,MATCH_W3!$K:$K)+SUMIF(MATCH_W4!$B:$B,$B21,MATCH_W4!$K:$K)+SUMIF(MATCH_W5!$B:$B,$B21,MATCH_W5!$K:$K)+SUMIF(MATCH_W6!$B:$B,$B21,MATCH_W6!$K:$K)</f>
        <v/>
      </c>
      <c r="J21" s="57">
        <f>IFERROR(D21/E21,0)</f>
        <v/>
      </c>
      <c r="K21" s="58">
        <f>SUMIF(MATCH_W1!$B:$B,$B21,MATCH_W1!$M:$M)+SUMIF(MATCH_W2!$B:$B,$B21,MATCH_W2!$M:$M)+SUMIF(MATCH_W3!$B:$B,$B21,MATCH_W3!$M:$M)+SUMIF(MATCH_W4!$B:$B,$B21,MATCH_W4!$M:$M)+SUMIF(MATCH_W5!$B:$B,$B21,MATCH_W5!$M:$M)+SUMIF(MATCH_W6!$B:$B,$B21,MATCH_W6!$M:$M)</f>
        <v/>
      </c>
    </row>
    <row r="22">
      <c r="A22" s="8" t="inlineStr">
        <is>
          <t>T1</t>
        </is>
      </c>
      <c r="B22" s="8" t="inlineStr">
        <is>
          <t>FLETA</t>
        </is>
      </c>
      <c r="C22" s="8" t="inlineStr">
        <is>
          <t>SPT</t>
        </is>
      </c>
      <c r="D22" s="56">
        <f>SUMIF(MATCH_W1!$B:$B,$B22,MATCH_W1!$F:$F)+SUMIF(MATCH_W2!$B:$B,$B22,MATCH_W2!$F:$F)+SUMIF(MATCH_W3!$B:$B,$B22,MATCH_W3!$F:$F)+SUMIF(MATCH_W4!$B:$B,$B22,MATCH_W4!$F:$F)+SUMIF(MATCH_W5!$B:$B,$B22,MATCH_W5!$F:$F)+SUMIF(MATCH_W6!$B:$B,$B22,MATCH_W6!$F:$F)</f>
        <v/>
      </c>
      <c r="E22" s="56">
        <f>SUMIF(MATCH_W1!$B:$B,$B22,MATCH_W1!$G:$G)+SUMIF(MATCH_W2!$B:$B,$B22,MATCH_W2!$G:$G)+SUMIF(MATCH_W3!$B:$B,$B22,MATCH_W3!$G:$G)+SUMIF(MATCH_W4!$B:$B,$B22,MATCH_W4!$G:$G)+SUMIF(MATCH_W5!$B:$B,$B22,MATCH_W5!$G:$G)+SUMIF(MATCH_W6!$B:$B,$B22,MATCH_W6!$G:$G)</f>
        <v/>
      </c>
      <c r="F22" s="56">
        <f>SUMIF(MATCH_W1!$B:$B,$B22,MATCH_W1!$H:$H)+SUMIF(MATCH_W2!$B:$B,$B22,MATCH_W2!$H:$H)+SUMIF(MATCH_W3!$B:$B,$B22,MATCH_W3!$H:$H)+SUMIF(MATCH_W4!$B:$B,$B22,MATCH_W4!$H:$H)+SUMIF(MATCH_W5!$B:$B,$B22,MATCH_W5!$H:$H)+SUMIF(MATCH_W6!$B:$B,$B22,MATCH_W6!$H:$H)</f>
        <v/>
      </c>
      <c r="G22" s="56">
        <f>SUMIF(MATCH_W1!$B:$B,$B22,MATCH_W1!$I:$I)+SUMIF(MATCH_W2!$B:$B,$B22,MATCH_W2!$I:$I)+SUMIF(MATCH_W3!$B:$B,$B22,MATCH_W3!$I:$I)+SUMIF(MATCH_W4!$B:$B,$B22,MATCH_W4!$I:$I)+SUMIF(MATCH_W5!$B:$B,$B22,MATCH_W5!$I:$I)+SUMIF(MATCH_W6!$B:$B,$B22,MATCH_W6!$I:$I)</f>
        <v/>
      </c>
      <c r="H22" s="56">
        <f>SUMIF(MATCH_W1!$B:$B,$B22,MATCH_W1!$J:$J)+SUMIF(MATCH_W2!$B:$B,$B22,MATCH_W2!$J:$J)+SUMIF(MATCH_W3!$B:$B,$B22,MATCH_W3!$J:$J)+SUMIF(MATCH_W4!$B:$B,$B22,MATCH_W4!$J:$J)+SUMIF(MATCH_W5!$B:$B,$B22,MATCH_W5!$J:$J)+SUMIF(MATCH_W6!$B:$B,$B22,MATCH_W6!$J:$J)</f>
        <v/>
      </c>
      <c r="I22" s="56">
        <f>SUMIF(MATCH_W1!$B:$B,$B22,MATCH_W1!$K:$K)+SUMIF(MATCH_W2!$B:$B,$B22,MATCH_W2!$K:$K)+SUMIF(MATCH_W3!$B:$B,$B22,MATCH_W3!$K:$K)+SUMIF(MATCH_W4!$B:$B,$B22,MATCH_W4!$K:$K)+SUMIF(MATCH_W5!$B:$B,$B22,MATCH_W5!$K:$K)+SUMIF(MATCH_W6!$B:$B,$B22,MATCH_W6!$K:$K)</f>
        <v/>
      </c>
      <c r="J22" s="57">
        <f>IFERROR(D22/E22,0)</f>
        <v/>
      </c>
      <c r="K22" s="58">
        <f>SUMIF(MATCH_W1!$B:$B,$B22,MATCH_W1!$M:$M)+SUMIF(MATCH_W2!$B:$B,$B22,MATCH_W2!$M:$M)+SUMIF(MATCH_W3!$B:$B,$B22,MATCH_W3!$M:$M)+SUMIF(MATCH_W4!$B:$B,$B22,MATCH_W4!$M:$M)+SUMIF(MATCH_W5!$B:$B,$B22,MATCH_W5!$M:$M)+SUMIF(MATCH_W6!$B:$B,$B22,MATCH_W6!$M:$M)</f>
        <v/>
      </c>
    </row>
    <row r="23">
      <c r="A23" s="8" t="inlineStr">
        <is>
          <t>ZETA</t>
        </is>
      </c>
      <c r="B23" s="8" t="inlineStr">
        <is>
          <t>BERNAR</t>
        </is>
      </c>
      <c r="C23" s="8" t="inlineStr">
        <is>
          <t>TANK</t>
        </is>
      </c>
      <c r="D23" s="56">
        <f>SUMIF(MATCH_W1!$B:$B,$B23,MATCH_W1!$F:$F)+SUMIF(MATCH_W2!$B:$B,$B23,MATCH_W2!$F:$F)+SUMIF(MATCH_W3!$B:$B,$B23,MATCH_W3!$F:$F)+SUMIF(MATCH_W4!$B:$B,$B23,MATCH_W4!$F:$F)+SUMIF(MATCH_W5!$B:$B,$B23,MATCH_W5!$F:$F)+SUMIF(MATCH_W6!$B:$B,$B23,MATCH_W6!$F:$F)</f>
        <v/>
      </c>
      <c r="E23" s="56">
        <f>SUMIF(MATCH_W1!$B:$B,$B23,MATCH_W1!$G:$G)+SUMIF(MATCH_W2!$B:$B,$B23,MATCH_W2!$G:$G)+SUMIF(MATCH_W3!$B:$B,$B23,MATCH_W3!$G:$G)+SUMIF(MATCH_W4!$B:$B,$B23,MATCH_W4!$G:$G)+SUMIF(MATCH_W5!$B:$B,$B23,MATCH_W5!$G:$G)+SUMIF(MATCH_W6!$B:$B,$B23,MATCH_W6!$G:$G)</f>
        <v/>
      </c>
      <c r="F23" s="56">
        <f>SUMIF(MATCH_W1!$B:$B,$B23,MATCH_W1!$H:$H)+SUMIF(MATCH_W2!$B:$B,$B23,MATCH_W2!$H:$H)+SUMIF(MATCH_W3!$B:$B,$B23,MATCH_W3!$H:$H)+SUMIF(MATCH_W4!$B:$B,$B23,MATCH_W4!$H:$H)+SUMIF(MATCH_W5!$B:$B,$B23,MATCH_W5!$H:$H)+SUMIF(MATCH_W6!$B:$B,$B23,MATCH_W6!$H:$H)</f>
        <v/>
      </c>
      <c r="G23" s="56">
        <f>SUMIF(MATCH_W1!$B:$B,$B23,MATCH_W1!$I:$I)+SUMIF(MATCH_W2!$B:$B,$B23,MATCH_W2!$I:$I)+SUMIF(MATCH_W3!$B:$B,$B23,MATCH_W3!$I:$I)+SUMIF(MATCH_W4!$B:$B,$B23,MATCH_W4!$I:$I)+SUMIF(MATCH_W5!$B:$B,$B23,MATCH_W5!$I:$I)+SUMIF(MATCH_W6!$B:$B,$B23,MATCH_W6!$I:$I)</f>
        <v/>
      </c>
      <c r="H23" s="56">
        <f>SUMIF(MATCH_W1!$B:$B,$B23,MATCH_W1!$J:$J)+SUMIF(MATCH_W2!$B:$B,$B23,MATCH_W2!$J:$J)+SUMIF(MATCH_W3!$B:$B,$B23,MATCH_W3!$J:$J)+SUMIF(MATCH_W4!$B:$B,$B23,MATCH_W4!$J:$J)+SUMIF(MATCH_W5!$B:$B,$B23,MATCH_W5!$J:$J)+SUMIF(MATCH_W6!$B:$B,$B23,MATCH_W6!$J:$J)</f>
        <v/>
      </c>
      <c r="I23" s="56">
        <f>SUMIF(MATCH_W1!$B:$B,$B23,MATCH_W1!$K:$K)+SUMIF(MATCH_W2!$B:$B,$B23,MATCH_W2!$K:$K)+SUMIF(MATCH_W3!$B:$B,$B23,MATCH_W3!$K:$K)+SUMIF(MATCH_W4!$B:$B,$B23,MATCH_W4!$K:$K)+SUMIF(MATCH_W5!$B:$B,$B23,MATCH_W5!$K:$K)+SUMIF(MATCH_W6!$B:$B,$B23,MATCH_W6!$K:$K)</f>
        <v/>
      </c>
      <c r="J23" s="57">
        <f>IFERROR(D23/E23,0)</f>
        <v/>
      </c>
      <c r="K23" s="58">
        <f>SUMIF(MATCH_W1!$B:$B,$B23,MATCH_W1!$M:$M)+SUMIF(MATCH_W2!$B:$B,$B23,MATCH_W2!$M:$M)+SUMIF(MATCH_W3!$B:$B,$B23,MATCH_W3!$M:$M)+SUMIF(MATCH_W4!$B:$B,$B23,MATCH_W4!$M:$M)+SUMIF(MATCH_W5!$B:$B,$B23,MATCH_W5!$M:$M)+SUMIF(MATCH_W6!$B:$B,$B23,MATCH_W6!$M:$M)</f>
        <v/>
      </c>
    </row>
    <row r="24">
      <c r="A24" s="8" t="inlineStr">
        <is>
          <t>ZETA</t>
        </is>
      </c>
      <c r="B24" s="8" t="inlineStr">
        <is>
          <t>MEALGARU</t>
        </is>
      </c>
      <c r="C24" s="8" t="inlineStr">
        <is>
          <t>TANK</t>
        </is>
      </c>
      <c r="D24" s="56">
        <f>SUMIF(MATCH_W1!$B:$B,$B24,MATCH_W1!$F:$F)+SUMIF(MATCH_W2!$B:$B,$B24,MATCH_W2!$F:$F)+SUMIF(MATCH_W3!$B:$B,$B24,MATCH_W3!$F:$F)+SUMIF(MATCH_W4!$B:$B,$B24,MATCH_W4!$F:$F)+SUMIF(MATCH_W5!$B:$B,$B24,MATCH_W5!$F:$F)+SUMIF(MATCH_W6!$B:$B,$B24,MATCH_W6!$F:$F)</f>
        <v/>
      </c>
      <c r="E24" s="56">
        <f>SUMIF(MATCH_W1!$B:$B,$B24,MATCH_W1!$G:$G)+SUMIF(MATCH_W2!$B:$B,$B24,MATCH_W2!$G:$G)+SUMIF(MATCH_W3!$B:$B,$B24,MATCH_W3!$G:$G)+SUMIF(MATCH_W4!$B:$B,$B24,MATCH_W4!$G:$G)+SUMIF(MATCH_W5!$B:$B,$B24,MATCH_W5!$G:$G)+SUMIF(MATCH_W6!$B:$B,$B24,MATCH_W6!$G:$G)</f>
        <v/>
      </c>
      <c r="F24" s="56">
        <f>SUMIF(MATCH_W1!$B:$B,$B24,MATCH_W1!$H:$H)+SUMIF(MATCH_W2!$B:$B,$B24,MATCH_W2!$H:$H)+SUMIF(MATCH_W3!$B:$B,$B24,MATCH_W3!$H:$H)+SUMIF(MATCH_W4!$B:$B,$B24,MATCH_W4!$H:$H)+SUMIF(MATCH_W5!$B:$B,$B24,MATCH_W5!$H:$H)+SUMIF(MATCH_W6!$B:$B,$B24,MATCH_W6!$H:$H)</f>
        <v/>
      </c>
      <c r="G24" s="56">
        <f>SUMIF(MATCH_W1!$B:$B,$B24,MATCH_W1!$I:$I)+SUMIF(MATCH_W2!$B:$B,$B24,MATCH_W2!$I:$I)+SUMIF(MATCH_W3!$B:$B,$B24,MATCH_W3!$I:$I)+SUMIF(MATCH_W4!$B:$B,$B24,MATCH_W4!$I:$I)+SUMIF(MATCH_W5!$B:$B,$B24,MATCH_W5!$I:$I)+SUMIF(MATCH_W6!$B:$B,$B24,MATCH_W6!$I:$I)</f>
        <v/>
      </c>
      <c r="H24" s="56">
        <f>SUMIF(MATCH_W1!$B:$B,$B24,MATCH_W1!$J:$J)+SUMIF(MATCH_W2!$B:$B,$B24,MATCH_W2!$J:$J)+SUMIF(MATCH_W3!$B:$B,$B24,MATCH_W3!$J:$J)+SUMIF(MATCH_W4!$B:$B,$B24,MATCH_W4!$J:$J)+SUMIF(MATCH_W5!$B:$B,$B24,MATCH_W5!$J:$J)+SUMIF(MATCH_W6!$B:$B,$B24,MATCH_W6!$J:$J)</f>
        <v/>
      </c>
      <c r="I24" s="56">
        <f>SUMIF(MATCH_W1!$B:$B,$B24,MATCH_W1!$K:$K)+SUMIF(MATCH_W2!$B:$B,$B24,MATCH_W2!$K:$K)+SUMIF(MATCH_W3!$B:$B,$B24,MATCH_W3!$K:$K)+SUMIF(MATCH_W4!$B:$B,$B24,MATCH_W4!$K:$K)+SUMIF(MATCH_W5!$B:$B,$B24,MATCH_W5!$K:$K)+SUMIF(MATCH_W6!$B:$B,$B24,MATCH_W6!$K:$K)</f>
        <v/>
      </c>
      <c r="J24" s="57">
        <f>IFERROR(D24/E24,0)</f>
        <v/>
      </c>
      <c r="K24" s="58">
        <f>SUMIF(MATCH_W1!$B:$B,$B24,MATCH_W1!$M:$M)+SUMIF(MATCH_W2!$B:$B,$B24,MATCH_W2!$M:$M)+SUMIF(MATCH_W3!$B:$B,$B24,MATCH_W3!$M:$M)+SUMIF(MATCH_W4!$B:$B,$B24,MATCH_W4!$M:$M)+SUMIF(MATCH_W5!$B:$B,$B24,MATCH_W5!$M:$M)+SUMIF(MATCH_W6!$B:$B,$B24,MATCH_W6!$M:$M)</f>
        <v/>
      </c>
    </row>
    <row r="25">
      <c r="A25" s="8" t="inlineStr">
        <is>
          <t>ZETA</t>
        </is>
      </c>
      <c r="B25" s="8" t="inlineStr">
        <is>
          <t>PROPER</t>
        </is>
      </c>
      <c r="C25" s="8" t="inlineStr">
        <is>
          <t>DPS</t>
        </is>
      </c>
      <c r="D25" s="56">
        <f>SUMIF(MATCH_W1!$B:$B,$B25,MATCH_W1!$F:$F)+SUMIF(MATCH_W2!$B:$B,$B25,MATCH_W2!$F:$F)+SUMIF(MATCH_W3!$B:$B,$B25,MATCH_W3!$F:$F)+SUMIF(MATCH_W4!$B:$B,$B25,MATCH_W4!$F:$F)+SUMIF(MATCH_W5!$B:$B,$B25,MATCH_W5!$F:$F)+SUMIF(MATCH_W6!$B:$B,$B25,MATCH_W6!$F:$F)</f>
        <v/>
      </c>
      <c r="E25" s="56">
        <f>SUMIF(MATCH_W1!$B:$B,$B25,MATCH_W1!$G:$G)+SUMIF(MATCH_W2!$B:$B,$B25,MATCH_W2!$G:$G)+SUMIF(MATCH_W3!$B:$B,$B25,MATCH_W3!$G:$G)+SUMIF(MATCH_W4!$B:$B,$B25,MATCH_W4!$G:$G)+SUMIF(MATCH_W5!$B:$B,$B25,MATCH_W5!$G:$G)+SUMIF(MATCH_W6!$B:$B,$B25,MATCH_W6!$G:$G)</f>
        <v/>
      </c>
      <c r="F25" s="56">
        <f>SUMIF(MATCH_W1!$B:$B,$B25,MATCH_W1!$H:$H)+SUMIF(MATCH_W2!$B:$B,$B25,MATCH_W2!$H:$H)+SUMIF(MATCH_W3!$B:$B,$B25,MATCH_W3!$H:$H)+SUMIF(MATCH_W4!$B:$B,$B25,MATCH_W4!$H:$H)+SUMIF(MATCH_W5!$B:$B,$B25,MATCH_W5!$H:$H)+SUMIF(MATCH_W6!$B:$B,$B25,MATCH_W6!$H:$H)</f>
        <v/>
      </c>
      <c r="G25" s="56">
        <f>SUMIF(MATCH_W1!$B:$B,$B25,MATCH_W1!$I:$I)+SUMIF(MATCH_W2!$B:$B,$B25,MATCH_W2!$I:$I)+SUMIF(MATCH_W3!$B:$B,$B25,MATCH_W3!$I:$I)+SUMIF(MATCH_W4!$B:$B,$B25,MATCH_W4!$I:$I)+SUMIF(MATCH_W5!$B:$B,$B25,MATCH_W5!$I:$I)+SUMIF(MATCH_W6!$B:$B,$B25,MATCH_W6!$I:$I)</f>
        <v/>
      </c>
      <c r="H25" s="56">
        <f>SUMIF(MATCH_W1!$B:$B,$B25,MATCH_W1!$J:$J)+SUMIF(MATCH_W2!$B:$B,$B25,MATCH_W2!$J:$J)+SUMIF(MATCH_W3!$B:$B,$B25,MATCH_W3!$J:$J)+SUMIF(MATCH_W4!$B:$B,$B25,MATCH_W4!$J:$J)+SUMIF(MATCH_W5!$B:$B,$B25,MATCH_W5!$J:$J)+SUMIF(MATCH_W6!$B:$B,$B25,MATCH_W6!$J:$J)</f>
        <v/>
      </c>
      <c r="I25" s="56">
        <f>SUMIF(MATCH_W1!$B:$B,$B25,MATCH_W1!$K:$K)+SUMIF(MATCH_W2!$B:$B,$B25,MATCH_W2!$K:$K)+SUMIF(MATCH_W3!$B:$B,$B25,MATCH_W3!$K:$K)+SUMIF(MATCH_W4!$B:$B,$B25,MATCH_W4!$K:$K)+SUMIF(MATCH_W5!$B:$B,$B25,MATCH_W5!$K:$K)+SUMIF(MATCH_W6!$B:$B,$B25,MATCH_W6!$K:$K)</f>
        <v/>
      </c>
      <c r="J25" s="57">
        <f>IFERROR(D25/E25,0)</f>
        <v/>
      </c>
      <c r="K25" s="58">
        <f>SUMIF(MATCH_W1!$B:$B,$B25,MATCH_W1!$M:$M)+SUMIF(MATCH_W2!$B:$B,$B25,MATCH_W2!$M:$M)+SUMIF(MATCH_W3!$B:$B,$B25,MATCH_W3!$M:$M)+SUMIF(MATCH_W4!$B:$B,$B25,MATCH_W4!$M:$M)+SUMIF(MATCH_W5!$B:$B,$B25,MATCH_W5!$M:$M)+SUMIF(MATCH_W6!$B:$B,$B25,MATCH_W6!$M:$M)</f>
        <v/>
      </c>
    </row>
    <row r="26">
      <c r="A26" s="8" t="inlineStr">
        <is>
          <t>ZETA</t>
        </is>
      </c>
      <c r="B26" s="8" t="inlineStr">
        <is>
          <t>KNIFE</t>
        </is>
      </c>
      <c r="C26" s="8" t="inlineStr">
        <is>
          <t>DPS</t>
        </is>
      </c>
      <c r="D26" s="56">
        <f>SUMIF(MATCH_W1!$B:$B,$B26,MATCH_W1!$F:$F)+SUMIF(MATCH_W2!$B:$B,$B26,MATCH_W2!$F:$F)+SUMIF(MATCH_W3!$B:$B,$B26,MATCH_W3!$F:$F)+SUMIF(MATCH_W4!$B:$B,$B26,MATCH_W4!$F:$F)+SUMIF(MATCH_W5!$B:$B,$B26,MATCH_W5!$F:$F)+SUMIF(MATCH_W6!$B:$B,$B26,MATCH_W6!$F:$F)</f>
        <v/>
      </c>
      <c r="E26" s="56">
        <f>SUMIF(MATCH_W1!$B:$B,$B26,MATCH_W1!$G:$G)+SUMIF(MATCH_W2!$B:$B,$B26,MATCH_W2!$G:$G)+SUMIF(MATCH_W3!$B:$B,$B26,MATCH_W3!$G:$G)+SUMIF(MATCH_W4!$B:$B,$B26,MATCH_W4!$G:$G)+SUMIF(MATCH_W5!$B:$B,$B26,MATCH_W5!$G:$G)+SUMIF(MATCH_W6!$B:$B,$B26,MATCH_W6!$G:$G)</f>
        <v/>
      </c>
      <c r="F26" s="56">
        <f>SUMIF(MATCH_W1!$B:$B,$B26,MATCH_W1!$H:$H)+SUMIF(MATCH_W2!$B:$B,$B26,MATCH_W2!$H:$H)+SUMIF(MATCH_W3!$B:$B,$B26,MATCH_W3!$H:$H)+SUMIF(MATCH_W4!$B:$B,$B26,MATCH_W4!$H:$H)+SUMIF(MATCH_W5!$B:$B,$B26,MATCH_W5!$H:$H)+SUMIF(MATCH_W6!$B:$B,$B26,MATCH_W6!$H:$H)</f>
        <v/>
      </c>
      <c r="G26" s="56">
        <f>SUMIF(MATCH_W1!$B:$B,$B26,MATCH_W1!$I:$I)+SUMIF(MATCH_W2!$B:$B,$B26,MATCH_W2!$I:$I)+SUMIF(MATCH_W3!$B:$B,$B26,MATCH_W3!$I:$I)+SUMIF(MATCH_W4!$B:$B,$B26,MATCH_W4!$I:$I)+SUMIF(MATCH_W5!$B:$B,$B26,MATCH_W5!$I:$I)+SUMIF(MATCH_W6!$B:$B,$B26,MATCH_W6!$I:$I)</f>
        <v/>
      </c>
      <c r="H26" s="56">
        <f>SUMIF(MATCH_W1!$B:$B,$B26,MATCH_W1!$J:$J)+SUMIF(MATCH_W2!$B:$B,$B26,MATCH_W2!$J:$J)+SUMIF(MATCH_W3!$B:$B,$B26,MATCH_W3!$J:$J)+SUMIF(MATCH_W4!$B:$B,$B26,MATCH_W4!$J:$J)+SUMIF(MATCH_W5!$B:$B,$B26,MATCH_W5!$J:$J)+SUMIF(MATCH_W6!$B:$B,$B26,MATCH_W6!$J:$J)</f>
        <v/>
      </c>
      <c r="I26" s="56">
        <f>SUMIF(MATCH_W1!$B:$B,$B26,MATCH_W1!$K:$K)+SUMIF(MATCH_W2!$B:$B,$B26,MATCH_W2!$K:$K)+SUMIF(MATCH_W3!$B:$B,$B26,MATCH_W3!$K:$K)+SUMIF(MATCH_W4!$B:$B,$B26,MATCH_W4!$K:$K)+SUMIF(MATCH_W5!$B:$B,$B26,MATCH_W5!$K:$K)+SUMIF(MATCH_W6!$B:$B,$B26,MATCH_W6!$K:$K)</f>
        <v/>
      </c>
      <c r="J26" s="57">
        <f>IFERROR(D26/E26,0)</f>
        <v/>
      </c>
      <c r="K26" s="58">
        <f>SUMIF(MATCH_W1!$B:$B,$B26,MATCH_W1!$M:$M)+SUMIF(MATCH_W2!$B:$B,$B26,MATCH_W2!$M:$M)+SUMIF(MATCH_W3!$B:$B,$B26,MATCH_W3!$M:$M)+SUMIF(MATCH_W4!$B:$B,$B26,MATCH_W4!$M:$M)+SUMIF(MATCH_W5!$B:$B,$B26,MATCH_W5!$M:$M)+SUMIF(MATCH_W6!$B:$B,$B26,MATCH_W6!$M:$M)</f>
        <v/>
      </c>
    </row>
    <row r="27">
      <c r="A27" s="8" t="inlineStr">
        <is>
          <t>ZETA</t>
        </is>
      </c>
      <c r="B27" s="8" t="inlineStr">
        <is>
          <t>VIOL2T</t>
        </is>
      </c>
      <c r="C27" s="8" t="inlineStr">
        <is>
          <t>SPT</t>
        </is>
      </c>
      <c r="D27" s="56">
        <f>SUMIF(MATCH_W1!$B:$B,$B27,MATCH_W1!$F:$F)+SUMIF(MATCH_W2!$B:$B,$B27,MATCH_W2!$F:$F)+SUMIF(MATCH_W3!$B:$B,$B27,MATCH_W3!$F:$F)+SUMIF(MATCH_W4!$B:$B,$B27,MATCH_W4!$F:$F)+SUMIF(MATCH_W5!$B:$B,$B27,MATCH_W5!$F:$F)+SUMIF(MATCH_W6!$B:$B,$B27,MATCH_W6!$F:$F)</f>
        <v/>
      </c>
      <c r="E27" s="56">
        <f>SUMIF(MATCH_W1!$B:$B,$B27,MATCH_W1!$G:$G)+SUMIF(MATCH_W2!$B:$B,$B27,MATCH_W2!$G:$G)+SUMIF(MATCH_W3!$B:$B,$B27,MATCH_W3!$G:$G)+SUMIF(MATCH_W4!$B:$B,$B27,MATCH_W4!$G:$G)+SUMIF(MATCH_W5!$B:$B,$B27,MATCH_W5!$G:$G)+SUMIF(MATCH_W6!$B:$B,$B27,MATCH_W6!$G:$G)</f>
        <v/>
      </c>
      <c r="F27" s="56">
        <f>SUMIF(MATCH_W1!$B:$B,$B27,MATCH_W1!$H:$H)+SUMIF(MATCH_W2!$B:$B,$B27,MATCH_W2!$H:$H)+SUMIF(MATCH_W3!$B:$B,$B27,MATCH_W3!$H:$H)+SUMIF(MATCH_W4!$B:$B,$B27,MATCH_W4!$H:$H)+SUMIF(MATCH_W5!$B:$B,$B27,MATCH_W5!$H:$H)+SUMIF(MATCH_W6!$B:$B,$B27,MATCH_W6!$H:$H)</f>
        <v/>
      </c>
      <c r="G27" s="56">
        <f>SUMIF(MATCH_W1!$B:$B,$B27,MATCH_W1!$I:$I)+SUMIF(MATCH_W2!$B:$B,$B27,MATCH_W2!$I:$I)+SUMIF(MATCH_W3!$B:$B,$B27,MATCH_W3!$I:$I)+SUMIF(MATCH_W4!$B:$B,$B27,MATCH_W4!$I:$I)+SUMIF(MATCH_W5!$B:$B,$B27,MATCH_W5!$I:$I)+SUMIF(MATCH_W6!$B:$B,$B27,MATCH_W6!$I:$I)</f>
        <v/>
      </c>
      <c r="H27" s="56">
        <f>SUMIF(MATCH_W1!$B:$B,$B27,MATCH_W1!$J:$J)+SUMIF(MATCH_W2!$B:$B,$B27,MATCH_W2!$J:$J)+SUMIF(MATCH_W3!$B:$B,$B27,MATCH_W3!$J:$J)+SUMIF(MATCH_W4!$B:$B,$B27,MATCH_W4!$J:$J)+SUMIF(MATCH_W5!$B:$B,$B27,MATCH_W5!$J:$J)+SUMIF(MATCH_W6!$B:$B,$B27,MATCH_W6!$J:$J)</f>
        <v/>
      </c>
      <c r="I27" s="56">
        <f>SUMIF(MATCH_W1!$B:$B,$B27,MATCH_W1!$K:$K)+SUMIF(MATCH_W2!$B:$B,$B27,MATCH_W2!$K:$K)+SUMIF(MATCH_W3!$B:$B,$B27,MATCH_W3!$K:$K)+SUMIF(MATCH_W4!$B:$B,$B27,MATCH_W4!$K:$K)+SUMIF(MATCH_W5!$B:$B,$B27,MATCH_W5!$K:$K)+SUMIF(MATCH_W6!$B:$B,$B27,MATCH_W6!$K:$K)</f>
        <v/>
      </c>
      <c r="J27" s="57">
        <f>IFERROR(D27/E27,0)</f>
        <v/>
      </c>
      <c r="K27" s="58">
        <f>SUMIF(MATCH_W1!$B:$B,$B27,MATCH_W1!$M:$M)+SUMIF(MATCH_W2!$B:$B,$B27,MATCH_W2!$M:$M)+SUMIF(MATCH_W3!$B:$B,$B27,MATCH_W3!$M:$M)+SUMIF(MATCH_W4!$B:$B,$B27,MATCH_W4!$M:$M)+SUMIF(MATCH_W5!$B:$B,$B27,MATCH_W5!$M:$M)+SUMIF(MATCH_W6!$B:$B,$B27,MATCH_W6!$M:$M)</f>
        <v/>
      </c>
    </row>
    <row r="28">
      <c r="A28" s="8" t="inlineStr">
        <is>
          <t>ZETA</t>
        </is>
      </c>
      <c r="B28" s="8" t="inlineStr">
        <is>
          <t>SHU</t>
        </is>
      </c>
      <c r="C28" s="8" t="inlineStr">
        <is>
          <t>SPT</t>
        </is>
      </c>
      <c r="D28" s="56">
        <f>SUMIF(MATCH_W1!$B:$B,$B28,MATCH_W1!$F:$F)+SUMIF(MATCH_W2!$B:$B,$B28,MATCH_W2!$F:$F)+SUMIF(MATCH_W3!$B:$B,$B28,MATCH_W3!$F:$F)+SUMIF(MATCH_W4!$B:$B,$B28,MATCH_W4!$F:$F)+SUMIF(MATCH_W5!$B:$B,$B28,MATCH_W5!$F:$F)+SUMIF(MATCH_W6!$B:$B,$B28,MATCH_W6!$F:$F)</f>
        <v/>
      </c>
      <c r="E28" s="56">
        <f>SUMIF(MATCH_W1!$B:$B,$B28,MATCH_W1!$G:$G)+SUMIF(MATCH_W2!$B:$B,$B28,MATCH_W2!$G:$G)+SUMIF(MATCH_W3!$B:$B,$B28,MATCH_W3!$G:$G)+SUMIF(MATCH_W4!$B:$B,$B28,MATCH_W4!$G:$G)+SUMIF(MATCH_W5!$B:$B,$B28,MATCH_W5!$G:$G)+SUMIF(MATCH_W6!$B:$B,$B28,MATCH_W6!$G:$G)</f>
        <v/>
      </c>
      <c r="F28" s="56">
        <f>SUMIF(MATCH_W1!$B:$B,$B28,MATCH_W1!$H:$H)+SUMIF(MATCH_W2!$B:$B,$B28,MATCH_W2!$H:$H)+SUMIF(MATCH_W3!$B:$B,$B28,MATCH_W3!$H:$H)+SUMIF(MATCH_W4!$B:$B,$B28,MATCH_W4!$H:$H)+SUMIF(MATCH_W5!$B:$B,$B28,MATCH_W5!$H:$H)+SUMIF(MATCH_W6!$B:$B,$B28,MATCH_W6!$H:$H)</f>
        <v/>
      </c>
      <c r="G28" s="56">
        <f>SUMIF(MATCH_W1!$B:$B,$B28,MATCH_W1!$I:$I)+SUMIF(MATCH_W2!$B:$B,$B28,MATCH_W2!$I:$I)+SUMIF(MATCH_W3!$B:$B,$B28,MATCH_W3!$I:$I)+SUMIF(MATCH_W4!$B:$B,$B28,MATCH_W4!$I:$I)+SUMIF(MATCH_W5!$B:$B,$B28,MATCH_W5!$I:$I)+SUMIF(MATCH_W6!$B:$B,$B28,MATCH_W6!$I:$I)</f>
        <v/>
      </c>
      <c r="H28" s="56">
        <f>SUMIF(MATCH_W1!$B:$B,$B28,MATCH_W1!$J:$J)+SUMIF(MATCH_W2!$B:$B,$B28,MATCH_W2!$J:$J)+SUMIF(MATCH_W3!$B:$B,$B28,MATCH_W3!$J:$J)+SUMIF(MATCH_W4!$B:$B,$B28,MATCH_W4!$J:$J)+SUMIF(MATCH_W5!$B:$B,$B28,MATCH_W5!$J:$J)+SUMIF(MATCH_W6!$B:$B,$B28,MATCH_W6!$J:$J)</f>
        <v/>
      </c>
      <c r="I28" s="56">
        <f>SUMIF(MATCH_W1!$B:$B,$B28,MATCH_W1!$K:$K)+SUMIF(MATCH_W2!$B:$B,$B28,MATCH_W2!$K:$K)+SUMIF(MATCH_W3!$B:$B,$B28,MATCH_W3!$K:$K)+SUMIF(MATCH_W4!$B:$B,$B28,MATCH_W4!$K:$K)+SUMIF(MATCH_W5!$B:$B,$B28,MATCH_W5!$K:$K)+SUMIF(MATCH_W6!$B:$B,$B28,MATCH_W6!$K:$K)</f>
        <v/>
      </c>
      <c r="J28" s="57">
        <f>IFERROR(D28/E28,0)</f>
        <v/>
      </c>
      <c r="K28" s="58">
        <f>SUMIF(MATCH_W1!$B:$B,$B28,MATCH_W1!$M:$M)+SUMIF(MATCH_W2!$B:$B,$B28,MATCH_W2!$M:$M)+SUMIF(MATCH_W3!$B:$B,$B28,MATCH_W3!$M:$M)+SUMIF(MATCH_W4!$B:$B,$B28,MATCH_W4!$M:$M)+SUMIF(MATCH_W5!$B:$B,$B28,MATCH_W5!$M:$M)+SUMIF(MATCH_W6!$B:$B,$B28,MATCH_W6!$M:$M)</f>
        <v/>
      </c>
    </row>
    <row r="29">
      <c r="A29" s="8" t="inlineStr">
        <is>
          <t>PF</t>
        </is>
      </c>
      <c r="B29" s="8" t="inlineStr">
        <is>
          <t>F1NALLY</t>
        </is>
      </c>
      <c r="C29" s="8" t="inlineStr">
        <is>
          <t>TANK</t>
        </is>
      </c>
      <c r="D29" s="56">
        <f>SUMIF(MATCH_W1!$B:$B,$B29,MATCH_W1!$F:$F)+SUMIF(MATCH_W2!$B:$B,$B29,MATCH_W2!$F:$F)+SUMIF(MATCH_W3!$B:$B,$B29,MATCH_W3!$F:$F)+SUMIF(MATCH_W4!$B:$B,$B29,MATCH_W4!$F:$F)+SUMIF(MATCH_W5!$B:$B,$B29,MATCH_W5!$F:$F)+SUMIF(MATCH_W6!$B:$B,$B29,MATCH_W6!$F:$F)</f>
        <v/>
      </c>
      <c r="E29" s="56">
        <f>SUMIF(MATCH_W1!$B:$B,$B29,MATCH_W1!$G:$G)+SUMIF(MATCH_W2!$B:$B,$B29,MATCH_W2!$G:$G)+SUMIF(MATCH_W3!$B:$B,$B29,MATCH_W3!$G:$G)+SUMIF(MATCH_W4!$B:$B,$B29,MATCH_W4!$G:$G)+SUMIF(MATCH_W5!$B:$B,$B29,MATCH_W5!$G:$G)+SUMIF(MATCH_W6!$B:$B,$B29,MATCH_W6!$G:$G)</f>
        <v/>
      </c>
      <c r="F29" s="56">
        <f>SUMIF(MATCH_W1!$B:$B,$B29,MATCH_W1!$H:$H)+SUMIF(MATCH_W2!$B:$B,$B29,MATCH_W2!$H:$H)+SUMIF(MATCH_W3!$B:$B,$B29,MATCH_W3!$H:$H)+SUMIF(MATCH_W4!$B:$B,$B29,MATCH_W4!$H:$H)+SUMIF(MATCH_W5!$B:$B,$B29,MATCH_W5!$H:$H)+SUMIF(MATCH_W6!$B:$B,$B29,MATCH_W6!$H:$H)</f>
        <v/>
      </c>
      <c r="G29" s="56">
        <f>SUMIF(MATCH_W1!$B:$B,$B29,MATCH_W1!$I:$I)+SUMIF(MATCH_W2!$B:$B,$B29,MATCH_W2!$I:$I)+SUMIF(MATCH_W3!$B:$B,$B29,MATCH_W3!$I:$I)+SUMIF(MATCH_W4!$B:$B,$B29,MATCH_W4!$I:$I)+SUMIF(MATCH_W5!$B:$B,$B29,MATCH_W5!$I:$I)+SUMIF(MATCH_W6!$B:$B,$B29,MATCH_W6!$I:$I)</f>
        <v/>
      </c>
      <c r="H29" s="56">
        <f>SUMIF(MATCH_W1!$B:$B,$B29,MATCH_W1!$J:$J)+SUMIF(MATCH_W2!$B:$B,$B29,MATCH_W2!$J:$J)+SUMIF(MATCH_W3!$B:$B,$B29,MATCH_W3!$J:$J)+SUMIF(MATCH_W4!$B:$B,$B29,MATCH_W4!$J:$J)+SUMIF(MATCH_W5!$B:$B,$B29,MATCH_W5!$J:$J)+SUMIF(MATCH_W6!$B:$B,$B29,MATCH_W6!$J:$J)</f>
        <v/>
      </c>
      <c r="I29" s="56">
        <f>SUMIF(MATCH_W1!$B:$B,$B29,MATCH_W1!$K:$K)+SUMIF(MATCH_W2!$B:$B,$B29,MATCH_W2!$K:$K)+SUMIF(MATCH_W3!$B:$B,$B29,MATCH_W3!$K:$K)+SUMIF(MATCH_W4!$B:$B,$B29,MATCH_W4!$K:$K)+SUMIF(MATCH_W5!$B:$B,$B29,MATCH_W5!$K:$K)+SUMIF(MATCH_W6!$B:$B,$B29,MATCH_W6!$K:$K)</f>
        <v/>
      </c>
      <c r="J29" s="57">
        <f>IFERROR(D29/E29,0)</f>
        <v/>
      </c>
      <c r="K29" s="58">
        <f>SUMIF(MATCH_W1!$B:$B,$B29,MATCH_W1!$M:$M)+SUMIF(MATCH_W2!$B:$B,$B29,MATCH_W2!$M:$M)+SUMIF(MATCH_W3!$B:$B,$B29,MATCH_W3!$M:$M)+SUMIF(MATCH_W4!$B:$B,$B29,MATCH_W4!$M:$M)+SUMIF(MATCH_W5!$B:$B,$B29,MATCH_W5!$M:$M)+SUMIF(MATCH_W6!$B:$B,$B29,MATCH_W6!$M:$M)</f>
        <v/>
      </c>
    </row>
    <row r="30">
      <c r="A30" s="8" t="inlineStr">
        <is>
          <t>PF</t>
        </is>
      </c>
      <c r="B30" s="8" t="inlineStr">
        <is>
          <t>SORI</t>
        </is>
      </c>
      <c r="C30" s="8" t="inlineStr">
        <is>
          <t>DPS</t>
        </is>
      </c>
      <c r="D30" s="56">
        <f>SUMIF(MATCH_W1!$B:$B,$B30,MATCH_W1!$F:$F)+SUMIF(MATCH_W2!$B:$B,$B30,MATCH_W2!$F:$F)+SUMIF(MATCH_W3!$B:$B,$B30,MATCH_W3!$F:$F)+SUMIF(MATCH_W4!$B:$B,$B30,MATCH_W4!$F:$F)+SUMIF(MATCH_W5!$B:$B,$B30,MATCH_W5!$F:$F)+SUMIF(MATCH_W6!$B:$B,$B30,MATCH_W6!$F:$F)</f>
        <v/>
      </c>
      <c r="E30" s="56">
        <f>SUMIF(MATCH_W1!$B:$B,$B30,MATCH_W1!$G:$G)+SUMIF(MATCH_W2!$B:$B,$B30,MATCH_W2!$G:$G)+SUMIF(MATCH_W3!$B:$B,$B30,MATCH_W3!$G:$G)+SUMIF(MATCH_W4!$B:$B,$B30,MATCH_W4!$G:$G)+SUMIF(MATCH_W5!$B:$B,$B30,MATCH_W5!$G:$G)+SUMIF(MATCH_W6!$B:$B,$B30,MATCH_W6!$G:$G)</f>
        <v/>
      </c>
      <c r="F30" s="56">
        <f>SUMIF(MATCH_W1!$B:$B,$B30,MATCH_W1!$H:$H)+SUMIF(MATCH_W2!$B:$B,$B30,MATCH_W2!$H:$H)+SUMIF(MATCH_W3!$B:$B,$B30,MATCH_W3!$H:$H)+SUMIF(MATCH_W4!$B:$B,$B30,MATCH_W4!$H:$H)+SUMIF(MATCH_W5!$B:$B,$B30,MATCH_W5!$H:$H)+SUMIF(MATCH_W6!$B:$B,$B30,MATCH_W6!$H:$H)</f>
        <v/>
      </c>
      <c r="G30" s="56">
        <f>SUMIF(MATCH_W1!$B:$B,$B30,MATCH_W1!$I:$I)+SUMIF(MATCH_W2!$B:$B,$B30,MATCH_W2!$I:$I)+SUMIF(MATCH_W3!$B:$B,$B30,MATCH_W3!$I:$I)+SUMIF(MATCH_W4!$B:$B,$B30,MATCH_W4!$I:$I)+SUMIF(MATCH_W5!$B:$B,$B30,MATCH_W5!$I:$I)+SUMIF(MATCH_W6!$B:$B,$B30,MATCH_W6!$I:$I)</f>
        <v/>
      </c>
      <c r="H30" s="56">
        <f>SUMIF(MATCH_W1!$B:$B,$B30,MATCH_W1!$J:$J)+SUMIF(MATCH_W2!$B:$B,$B30,MATCH_W2!$J:$J)+SUMIF(MATCH_W3!$B:$B,$B30,MATCH_W3!$J:$J)+SUMIF(MATCH_W4!$B:$B,$B30,MATCH_W4!$J:$J)+SUMIF(MATCH_W5!$B:$B,$B30,MATCH_W5!$J:$J)+SUMIF(MATCH_W6!$B:$B,$B30,MATCH_W6!$J:$J)</f>
        <v/>
      </c>
      <c r="I30" s="56">
        <f>SUMIF(MATCH_W1!$B:$B,$B30,MATCH_W1!$K:$K)+SUMIF(MATCH_W2!$B:$B,$B30,MATCH_W2!$K:$K)+SUMIF(MATCH_W3!$B:$B,$B30,MATCH_W3!$K:$K)+SUMIF(MATCH_W4!$B:$B,$B30,MATCH_W4!$K:$K)+SUMIF(MATCH_W5!$B:$B,$B30,MATCH_W5!$K:$K)+SUMIF(MATCH_W6!$B:$B,$B30,MATCH_W6!$K:$K)</f>
        <v/>
      </c>
      <c r="J30" s="57">
        <f>IFERROR(D30/E30,0)</f>
        <v/>
      </c>
      <c r="K30" s="58">
        <f>SUMIF(MATCH_W1!$B:$B,$B30,MATCH_W1!$M:$M)+SUMIF(MATCH_W2!$B:$B,$B30,MATCH_W2!$M:$M)+SUMIF(MATCH_W3!$B:$B,$B30,MATCH_W3!$M:$M)+SUMIF(MATCH_W4!$B:$B,$B30,MATCH_W4!$M:$M)+SUMIF(MATCH_W5!$B:$B,$B30,MATCH_W5!$M:$M)+SUMIF(MATCH_W6!$B:$B,$B30,MATCH_W6!$M:$M)</f>
        <v/>
      </c>
    </row>
    <row r="31">
      <c r="A31" s="8" t="inlineStr">
        <is>
          <t>PF</t>
        </is>
      </c>
      <c r="B31" s="8" t="inlineStr">
        <is>
          <t>SOLA</t>
        </is>
      </c>
      <c r="C31" s="8" t="inlineStr">
        <is>
          <t>DPS</t>
        </is>
      </c>
      <c r="D31" s="56">
        <f>SUMIF(MATCH_W1!$B:$B,$B31,MATCH_W1!$F:$F)+SUMIF(MATCH_W2!$B:$B,$B31,MATCH_W2!$F:$F)+SUMIF(MATCH_W3!$B:$B,$B31,MATCH_W3!$F:$F)+SUMIF(MATCH_W4!$B:$B,$B31,MATCH_W4!$F:$F)+SUMIF(MATCH_W5!$B:$B,$B31,MATCH_W5!$F:$F)+SUMIF(MATCH_W6!$B:$B,$B31,MATCH_W6!$F:$F)</f>
        <v/>
      </c>
      <c r="E31" s="56">
        <f>SUMIF(MATCH_W1!$B:$B,$B31,MATCH_W1!$G:$G)+SUMIF(MATCH_W2!$B:$B,$B31,MATCH_W2!$G:$G)+SUMIF(MATCH_W3!$B:$B,$B31,MATCH_W3!$G:$G)+SUMIF(MATCH_W4!$B:$B,$B31,MATCH_W4!$G:$G)+SUMIF(MATCH_W5!$B:$B,$B31,MATCH_W5!$G:$G)+SUMIF(MATCH_W6!$B:$B,$B31,MATCH_W6!$G:$G)</f>
        <v/>
      </c>
      <c r="F31" s="56">
        <f>SUMIF(MATCH_W1!$B:$B,$B31,MATCH_W1!$H:$H)+SUMIF(MATCH_W2!$B:$B,$B31,MATCH_W2!$H:$H)+SUMIF(MATCH_W3!$B:$B,$B31,MATCH_W3!$H:$H)+SUMIF(MATCH_W4!$B:$B,$B31,MATCH_W4!$H:$H)+SUMIF(MATCH_W5!$B:$B,$B31,MATCH_W5!$H:$H)+SUMIF(MATCH_W6!$B:$B,$B31,MATCH_W6!$H:$H)</f>
        <v/>
      </c>
      <c r="G31" s="56">
        <f>SUMIF(MATCH_W1!$B:$B,$B31,MATCH_W1!$I:$I)+SUMIF(MATCH_W2!$B:$B,$B31,MATCH_W2!$I:$I)+SUMIF(MATCH_W3!$B:$B,$B31,MATCH_W3!$I:$I)+SUMIF(MATCH_W4!$B:$B,$B31,MATCH_W4!$I:$I)+SUMIF(MATCH_W5!$B:$B,$B31,MATCH_W5!$I:$I)+SUMIF(MATCH_W6!$B:$B,$B31,MATCH_W6!$I:$I)</f>
        <v/>
      </c>
      <c r="H31" s="56">
        <f>SUMIF(MATCH_W1!$B:$B,$B31,MATCH_W1!$J:$J)+SUMIF(MATCH_W2!$B:$B,$B31,MATCH_W2!$J:$J)+SUMIF(MATCH_W3!$B:$B,$B31,MATCH_W3!$J:$J)+SUMIF(MATCH_W4!$B:$B,$B31,MATCH_W4!$J:$J)+SUMIF(MATCH_W5!$B:$B,$B31,MATCH_W5!$J:$J)+SUMIF(MATCH_W6!$B:$B,$B31,MATCH_W6!$J:$J)</f>
        <v/>
      </c>
      <c r="I31" s="56">
        <f>SUMIF(MATCH_W1!$B:$B,$B31,MATCH_W1!$K:$K)+SUMIF(MATCH_W2!$B:$B,$B31,MATCH_W2!$K:$K)+SUMIF(MATCH_W3!$B:$B,$B31,MATCH_W3!$K:$K)+SUMIF(MATCH_W4!$B:$B,$B31,MATCH_W4!$K:$K)+SUMIF(MATCH_W5!$B:$B,$B31,MATCH_W5!$K:$K)+SUMIF(MATCH_W6!$B:$B,$B31,MATCH_W6!$K:$K)</f>
        <v/>
      </c>
      <c r="J31" s="57">
        <f>IFERROR(D31/E31,0)</f>
        <v/>
      </c>
      <c r="K31" s="58">
        <f>SUMIF(MATCH_W1!$B:$B,$B31,MATCH_W1!$M:$M)+SUMIF(MATCH_W2!$B:$B,$B31,MATCH_W2!$M:$M)+SUMIF(MATCH_W3!$B:$B,$B31,MATCH_W3!$M:$M)+SUMIF(MATCH_W4!$B:$B,$B31,MATCH_W4!$M:$M)+SUMIF(MATCH_W5!$B:$B,$B31,MATCH_W5!$M:$M)+SUMIF(MATCH_W6!$B:$B,$B31,MATCH_W6!$M:$M)</f>
        <v/>
      </c>
    </row>
    <row r="32">
      <c r="A32" s="8" t="inlineStr">
        <is>
          <t>PF</t>
        </is>
      </c>
      <c r="B32" s="8" t="inlineStr">
        <is>
          <t>SWOO</t>
        </is>
      </c>
      <c r="C32" s="8" t="inlineStr">
        <is>
          <t>SPT</t>
        </is>
      </c>
      <c r="D32" s="56">
        <f>SUMIF(MATCH_W1!$B:$B,$B32,MATCH_W1!$F:$F)+SUMIF(MATCH_W2!$B:$B,$B32,MATCH_W2!$F:$F)+SUMIF(MATCH_W3!$B:$B,$B32,MATCH_W3!$F:$F)+SUMIF(MATCH_W4!$B:$B,$B32,MATCH_W4!$F:$F)+SUMIF(MATCH_W5!$B:$B,$B32,MATCH_W5!$F:$F)+SUMIF(MATCH_W6!$B:$B,$B32,MATCH_W6!$F:$F)</f>
        <v/>
      </c>
      <c r="E32" s="56">
        <f>SUMIF(MATCH_W1!$B:$B,$B32,MATCH_W1!$G:$G)+SUMIF(MATCH_W2!$B:$B,$B32,MATCH_W2!$G:$G)+SUMIF(MATCH_W3!$B:$B,$B32,MATCH_W3!$G:$G)+SUMIF(MATCH_W4!$B:$B,$B32,MATCH_W4!$G:$G)+SUMIF(MATCH_W5!$B:$B,$B32,MATCH_W5!$G:$G)+SUMIF(MATCH_W6!$B:$B,$B32,MATCH_W6!$G:$G)</f>
        <v/>
      </c>
      <c r="F32" s="56">
        <f>SUMIF(MATCH_W1!$B:$B,$B32,MATCH_W1!$H:$H)+SUMIF(MATCH_W2!$B:$B,$B32,MATCH_W2!$H:$H)+SUMIF(MATCH_W3!$B:$B,$B32,MATCH_W3!$H:$H)+SUMIF(MATCH_W4!$B:$B,$B32,MATCH_W4!$H:$H)+SUMIF(MATCH_W5!$B:$B,$B32,MATCH_W5!$H:$H)+SUMIF(MATCH_W6!$B:$B,$B32,MATCH_W6!$H:$H)</f>
        <v/>
      </c>
      <c r="G32" s="56">
        <f>SUMIF(MATCH_W1!$B:$B,$B32,MATCH_W1!$I:$I)+SUMIF(MATCH_W2!$B:$B,$B32,MATCH_W2!$I:$I)+SUMIF(MATCH_W3!$B:$B,$B32,MATCH_W3!$I:$I)+SUMIF(MATCH_W4!$B:$B,$B32,MATCH_W4!$I:$I)+SUMIF(MATCH_W5!$B:$B,$B32,MATCH_W5!$I:$I)+SUMIF(MATCH_W6!$B:$B,$B32,MATCH_W6!$I:$I)</f>
        <v/>
      </c>
      <c r="H32" s="56">
        <f>SUMIF(MATCH_W1!$B:$B,$B32,MATCH_W1!$J:$J)+SUMIF(MATCH_W2!$B:$B,$B32,MATCH_W2!$J:$J)+SUMIF(MATCH_W3!$B:$B,$B32,MATCH_W3!$J:$J)+SUMIF(MATCH_W4!$B:$B,$B32,MATCH_W4!$J:$J)+SUMIF(MATCH_W5!$B:$B,$B32,MATCH_W5!$J:$J)+SUMIF(MATCH_W6!$B:$B,$B32,MATCH_W6!$J:$J)</f>
        <v/>
      </c>
      <c r="I32" s="56">
        <f>SUMIF(MATCH_W1!$B:$B,$B32,MATCH_W1!$K:$K)+SUMIF(MATCH_W2!$B:$B,$B32,MATCH_W2!$K:$K)+SUMIF(MATCH_W3!$B:$B,$B32,MATCH_W3!$K:$K)+SUMIF(MATCH_W4!$B:$B,$B32,MATCH_W4!$K:$K)+SUMIF(MATCH_W5!$B:$B,$B32,MATCH_W5!$K:$K)+SUMIF(MATCH_W6!$B:$B,$B32,MATCH_W6!$K:$K)</f>
        <v/>
      </c>
      <c r="J32" s="57">
        <f>IFERROR(D32/E32,0)</f>
        <v/>
      </c>
      <c r="K32" s="58">
        <f>SUMIF(MATCH_W1!$B:$B,$B32,MATCH_W1!$M:$M)+SUMIF(MATCH_W2!$B:$B,$B32,MATCH_W2!$M:$M)+SUMIF(MATCH_W3!$B:$B,$B32,MATCH_W3!$M:$M)+SUMIF(MATCH_W4!$B:$B,$B32,MATCH_W4!$M:$M)+SUMIF(MATCH_W5!$B:$B,$B32,MATCH_W5!$M:$M)+SUMIF(MATCH_W6!$B:$B,$B32,MATCH_W6!$M:$M)</f>
        <v/>
      </c>
    </row>
    <row r="33">
      <c r="A33" s="8" t="inlineStr">
        <is>
          <t>PF</t>
        </is>
      </c>
      <c r="B33" s="8" t="inlineStr">
        <is>
          <t>CAFFEINE</t>
        </is>
      </c>
      <c r="C33" s="8" t="inlineStr">
        <is>
          <t>SPT</t>
        </is>
      </c>
      <c r="D33" s="56">
        <f>SUMIF(MATCH_W1!$B:$B,$B33,MATCH_W1!$F:$F)+SUMIF(MATCH_W2!$B:$B,$B33,MATCH_W2!$F:$F)+SUMIF(MATCH_W3!$B:$B,$B33,MATCH_W3!$F:$F)+SUMIF(MATCH_W4!$B:$B,$B33,MATCH_W4!$F:$F)+SUMIF(MATCH_W5!$B:$B,$B33,MATCH_W5!$F:$F)+SUMIF(MATCH_W6!$B:$B,$B33,MATCH_W6!$F:$F)</f>
        <v/>
      </c>
      <c r="E33" s="56">
        <f>SUMIF(MATCH_W1!$B:$B,$B33,MATCH_W1!$G:$G)+SUMIF(MATCH_W2!$B:$B,$B33,MATCH_W2!$G:$G)+SUMIF(MATCH_W3!$B:$B,$B33,MATCH_W3!$G:$G)+SUMIF(MATCH_W4!$B:$B,$B33,MATCH_W4!$G:$G)+SUMIF(MATCH_W5!$B:$B,$B33,MATCH_W5!$G:$G)+SUMIF(MATCH_W6!$B:$B,$B33,MATCH_W6!$G:$G)</f>
        <v/>
      </c>
      <c r="F33" s="56">
        <f>SUMIF(MATCH_W1!$B:$B,$B33,MATCH_W1!$H:$H)+SUMIF(MATCH_W2!$B:$B,$B33,MATCH_W2!$H:$H)+SUMIF(MATCH_W3!$B:$B,$B33,MATCH_W3!$H:$H)+SUMIF(MATCH_W4!$B:$B,$B33,MATCH_W4!$H:$H)+SUMIF(MATCH_W5!$B:$B,$B33,MATCH_W5!$H:$H)+SUMIF(MATCH_W6!$B:$B,$B33,MATCH_W6!$H:$H)</f>
        <v/>
      </c>
      <c r="G33" s="56">
        <f>SUMIF(MATCH_W1!$B:$B,$B33,MATCH_W1!$I:$I)+SUMIF(MATCH_W2!$B:$B,$B33,MATCH_W2!$I:$I)+SUMIF(MATCH_W3!$B:$B,$B33,MATCH_W3!$I:$I)+SUMIF(MATCH_W4!$B:$B,$B33,MATCH_W4!$I:$I)+SUMIF(MATCH_W5!$B:$B,$B33,MATCH_W5!$I:$I)+SUMIF(MATCH_W6!$B:$B,$B33,MATCH_W6!$I:$I)</f>
        <v/>
      </c>
      <c r="H33" s="56">
        <f>SUMIF(MATCH_W1!$B:$B,$B33,MATCH_W1!$J:$J)+SUMIF(MATCH_W2!$B:$B,$B33,MATCH_W2!$J:$J)+SUMIF(MATCH_W3!$B:$B,$B33,MATCH_W3!$J:$J)+SUMIF(MATCH_W4!$B:$B,$B33,MATCH_W4!$J:$J)+SUMIF(MATCH_W5!$B:$B,$B33,MATCH_W5!$J:$J)+SUMIF(MATCH_W6!$B:$B,$B33,MATCH_W6!$J:$J)</f>
        <v/>
      </c>
      <c r="I33" s="56">
        <f>SUMIF(MATCH_W1!$B:$B,$B33,MATCH_W1!$K:$K)+SUMIF(MATCH_W2!$B:$B,$B33,MATCH_W2!$K:$K)+SUMIF(MATCH_W3!$B:$B,$B33,MATCH_W3!$K:$K)+SUMIF(MATCH_W4!$B:$B,$B33,MATCH_W4!$K:$K)+SUMIF(MATCH_W5!$B:$B,$B33,MATCH_W5!$K:$K)+SUMIF(MATCH_W6!$B:$B,$B33,MATCH_W6!$K:$K)</f>
        <v/>
      </c>
      <c r="J33" s="57">
        <f>IFERROR(D33/E33,0)</f>
        <v/>
      </c>
      <c r="K33" s="58">
        <f>SUMIF(MATCH_W1!$B:$B,$B33,MATCH_W1!$M:$M)+SUMIF(MATCH_W2!$B:$B,$B33,MATCH_W2!$M:$M)+SUMIF(MATCH_W3!$B:$B,$B33,MATCH_W3!$M:$M)+SUMIF(MATCH_W4!$B:$B,$B33,MATCH_W4!$M:$M)+SUMIF(MATCH_W5!$B:$B,$B33,MATCH_W5!$M:$M)+SUMIF(MATCH_W6!$B:$B,$B33,MATCH_W6!$M:$M)</f>
        <v/>
      </c>
    </row>
    <row r="34">
      <c r="A34" s="8" t="inlineStr">
        <is>
          <t>PF</t>
        </is>
      </c>
      <c r="B34" s="8" t="inlineStr">
        <is>
          <t>DUMBBELL</t>
        </is>
      </c>
      <c r="C34" s="8" t="inlineStr">
        <is>
          <t>SPT</t>
        </is>
      </c>
      <c r="D34" s="56">
        <f>SUMIF(MATCH_W1!$B:$B,$B34,MATCH_W1!$F:$F)+SUMIF(MATCH_W2!$B:$B,$B34,MATCH_W2!$F:$F)+SUMIF(MATCH_W3!$B:$B,$B34,MATCH_W3!$F:$F)+SUMIF(MATCH_W4!$B:$B,$B34,MATCH_W4!$F:$F)+SUMIF(MATCH_W5!$B:$B,$B34,MATCH_W5!$F:$F)+SUMIF(MATCH_W6!$B:$B,$B34,MATCH_W6!$F:$F)</f>
        <v/>
      </c>
      <c r="E34" s="56">
        <f>SUMIF(MATCH_W1!$B:$B,$B34,MATCH_W1!$G:$G)+SUMIF(MATCH_W2!$B:$B,$B34,MATCH_W2!$G:$G)+SUMIF(MATCH_W3!$B:$B,$B34,MATCH_W3!$G:$G)+SUMIF(MATCH_W4!$B:$B,$B34,MATCH_W4!$G:$G)+SUMIF(MATCH_W5!$B:$B,$B34,MATCH_W5!$G:$G)+SUMIF(MATCH_W6!$B:$B,$B34,MATCH_W6!$G:$G)</f>
        <v/>
      </c>
      <c r="F34" s="56">
        <f>SUMIF(MATCH_W1!$B:$B,$B34,MATCH_W1!$H:$H)+SUMIF(MATCH_W2!$B:$B,$B34,MATCH_W2!$H:$H)+SUMIF(MATCH_W3!$B:$B,$B34,MATCH_W3!$H:$H)+SUMIF(MATCH_W4!$B:$B,$B34,MATCH_W4!$H:$H)+SUMIF(MATCH_W5!$B:$B,$B34,MATCH_W5!$H:$H)+SUMIF(MATCH_W6!$B:$B,$B34,MATCH_W6!$H:$H)</f>
        <v/>
      </c>
      <c r="G34" s="56">
        <f>SUMIF(MATCH_W1!$B:$B,$B34,MATCH_W1!$I:$I)+SUMIF(MATCH_W2!$B:$B,$B34,MATCH_W2!$I:$I)+SUMIF(MATCH_W3!$B:$B,$B34,MATCH_W3!$I:$I)+SUMIF(MATCH_W4!$B:$B,$B34,MATCH_W4!$I:$I)+SUMIF(MATCH_W5!$B:$B,$B34,MATCH_W5!$I:$I)+SUMIF(MATCH_W6!$B:$B,$B34,MATCH_W6!$I:$I)</f>
        <v/>
      </c>
      <c r="H34" s="56">
        <f>SUMIF(MATCH_W1!$B:$B,$B34,MATCH_W1!$J:$J)+SUMIF(MATCH_W2!$B:$B,$B34,MATCH_W2!$J:$J)+SUMIF(MATCH_W3!$B:$B,$B34,MATCH_W3!$J:$J)+SUMIF(MATCH_W4!$B:$B,$B34,MATCH_W4!$J:$J)+SUMIF(MATCH_W5!$B:$B,$B34,MATCH_W5!$J:$J)+SUMIF(MATCH_W6!$B:$B,$B34,MATCH_W6!$J:$J)</f>
        <v/>
      </c>
      <c r="I34" s="56">
        <f>SUMIF(MATCH_W1!$B:$B,$B34,MATCH_W1!$K:$K)+SUMIF(MATCH_W2!$B:$B,$B34,MATCH_W2!$K:$K)+SUMIF(MATCH_W3!$B:$B,$B34,MATCH_W3!$K:$K)+SUMIF(MATCH_W4!$B:$B,$B34,MATCH_W4!$K:$K)+SUMIF(MATCH_W5!$B:$B,$B34,MATCH_W5!$K:$K)+SUMIF(MATCH_W6!$B:$B,$B34,MATCH_W6!$K:$K)</f>
        <v/>
      </c>
      <c r="J34" s="57">
        <f>IFERROR(D34/E34,0)</f>
        <v/>
      </c>
      <c r="K34" s="58">
        <f>SUMIF(MATCH_W1!$B:$B,$B34,MATCH_W1!$M:$M)+SUMIF(MATCH_W2!$B:$B,$B34,MATCH_W2!$M:$M)+SUMIF(MATCH_W3!$B:$B,$B34,MATCH_W3!$M:$M)+SUMIF(MATCH_W4!$B:$B,$B34,MATCH_W4!$M:$M)+SUMIF(MATCH_W5!$B:$B,$B34,MATCH_W5!$M:$M)+SUMIF(MATCH_W6!$B:$B,$B34,MATCH_W6!$M:$M)</f>
        <v/>
      </c>
    </row>
    <row r="35">
      <c r="A35" s="8" t="inlineStr">
        <is>
          <t>PF</t>
        </is>
      </c>
      <c r="B35" s="8" t="inlineStr">
        <is>
          <t>SOAE</t>
        </is>
      </c>
      <c r="C35" s="8" t="inlineStr">
        <is>
          <t>SPT</t>
        </is>
      </c>
      <c r="D35" s="56">
        <f>SUMIF(MATCH_W1!$B:$B,$B35,MATCH_W1!$F:$F)+SUMIF(MATCH_W2!$B:$B,$B35,MATCH_W2!$F:$F)+SUMIF(MATCH_W3!$B:$B,$B35,MATCH_W3!$F:$F)+SUMIF(MATCH_W4!$B:$B,$B35,MATCH_W4!$F:$F)+SUMIF(MATCH_W5!$B:$B,$B35,MATCH_W5!$F:$F)+SUMIF(MATCH_W6!$B:$B,$B35,MATCH_W6!$F:$F)</f>
        <v/>
      </c>
      <c r="E35" s="56">
        <f>SUMIF(MATCH_W1!$B:$B,$B35,MATCH_W1!$G:$G)+SUMIF(MATCH_W2!$B:$B,$B35,MATCH_W2!$G:$G)+SUMIF(MATCH_W3!$B:$B,$B35,MATCH_W3!$G:$G)+SUMIF(MATCH_W4!$B:$B,$B35,MATCH_W4!$G:$G)+SUMIF(MATCH_W5!$B:$B,$B35,MATCH_W5!$G:$G)+SUMIF(MATCH_W6!$B:$B,$B35,MATCH_W6!$G:$G)</f>
        <v/>
      </c>
      <c r="F35" s="56">
        <f>SUMIF(MATCH_W1!$B:$B,$B35,MATCH_W1!$H:$H)+SUMIF(MATCH_W2!$B:$B,$B35,MATCH_W2!$H:$H)+SUMIF(MATCH_W3!$B:$B,$B35,MATCH_W3!$H:$H)+SUMIF(MATCH_W4!$B:$B,$B35,MATCH_W4!$H:$H)+SUMIF(MATCH_W5!$B:$B,$B35,MATCH_W5!$H:$H)+SUMIF(MATCH_W6!$B:$B,$B35,MATCH_W6!$H:$H)</f>
        <v/>
      </c>
      <c r="G35" s="56">
        <f>SUMIF(MATCH_W1!$B:$B,$B35,MATCH_W1!$I:$I)+SUMIF(MATCH_W2!$B:$B,$B35,MATCH_W2!$I:$I)+SUMIF(MATCH_W3!$B:$B,$B35,MATCH_W3!$I:$I)+SUMIF(MATCH_W4!$B:$B,$B35,MATCH_W4!$I:$I)+SUMIF(MATCH_W5!$B:$B,$B35,MATCH_W5!$I:$I)+SUMIF(MATCH_W6!$B:$B,$B35,MATCH_W6!$I:$I)</f>
        <v/>
      </c>
      <c r="H35" s="56">
        <f>SUMIF(MATCH_W1!$B:$B,$B35,MATCH_W1!$J:$J)+SUMIF(MATCH_W2!$B:$B,$B35,MATCH_W2!$J:$J)+SUMIF(MATCH_W3!$B:$B,$B35,MATCH_W3!$J:$J)+SUMIF(MATCH_W4!$B:$B,$B35,MATCH_W4!$J:$J)+SUMIF(MATCH_W5!$B:$B,$B35,MATCH_W5!$J:$J)+SUMIF(MATCH_W6!$B:$B,$B35,MATCH_W6!$J:$J)</f>
        <v/>
      </c>
      <c r="I35" s="56">
        <f>SUMIF(MATCH_W1!$B:$B,$B35,MATCH_W1!$K:$K)+SUMIF(MATCH_W2!$B:$B,$B35,MATCH_W2!$K:$K)+SUMIF(MATCH_W3!$B:$B,$B35,MATCH_W3!$K:$K)+SUMIF(MATCH_W4!$B:$B,$B35,MATCH_W4!$K:$K)+SUMIF(MATCH_W5!$B:$B,$B35,MATCH_W5!$K:$K)+SUMIF(MATCH_W6!$B:$B,$B35,MATCH_W6!$K:$K)</f>
        <v/>
      </c>
      <c r="J35" s="57">
        <f>IFERROR(D35/E35,0)</f>
        <v/>
      </c>
      <c r="K35" s="58">
        <f>SUMIF(MATCH_W1!$B:$B,$B35,MATCH_W1!$M:$M)+SUMIF(MATCH_W2!$B:$B,$B35,MATCH_W2!$M:$M)+SUMIF(MATCH_W3!$B:$B,$B35,MATCH_W3!$M:$M)+SUMIF(MATCH_W4!$B:$B,$B35,MATCH_W4!$M:$M)+SUMIF(MATCH_W5!$B:$B,$B35,MATCH_W5!$M:$M)+SUMIF(MATCH_W6!$B:$B,$B35,MATCH_W6!$M:$M)</f>
        <v/>
      </c>
    </row>
    <row r="36">
      <c r="A36" s="8" t="inlineStr">
        <is>
          <t>CB</t>
        </is>
      </c>
      <c r="B36" s="8" t="inlineStr">
        <is>
          <t>BELOSREA</t>
        </is>
      </c>
      <c r="C36" s="8" t="inlineStr">
        <is>
          <t>TANK</t>
        </is>
      </c>
      <c r="D36" s="56">
        <f>SUMIF(MATCH_W1!$B:$B,$B36,MATCH_W1!$F:$F)+SUMIF(MATCH_W2!$B:$B,$B36,MATCH_W2!$F:$F)+SUMIF(MATCH_W3!$B:$B,$B36,MATCH_W3!$F:$F)+SUMIF(MATCH_W4!$B:$B,$B36,MATCH_W4!$F:$F)+SUMIF(MATCH_W5!$B:$B,$B36,MATCH_W5!$F:$F)+SUMIF(MATCH_W6!$B:$B,$B36,MATCH_W6!$F:$F)</f>
        <v/>
      </c>
      <c r="E36" s="56">
        <f>SUMIF(MATCH_W1!$B:$B,$B36,MATCH_W1!$G:$G)+SUMIF(MATCH_W2!$B:$B,$B36,MATCH_W2!$G:$G)+SUMIF(MATCH_W3!$B:$B,$B36,MATCH_W3!$G:$G)+SUMIF(MATCH_W4!$B:$B,$B36,MATCH_W4!$G:$G)+SUMIF(MATCH_W5!$B:$B,$B36,MATCH_W5!$G:$G)+SUMIF(MATCH_W6!$B:$B,$B36,MATCH_W6!$G:$G)</f>
        <v/>
      </c>
      <c r="F36" s="56">
        <f>SUMIF(MATCH_W1!$B:$B,$B36,MATCH_W1!$H:$H)+SUMIF(MATCH_W2!$B:$B,$B36,MATCH_W2!$H:$H)+SUMIF(MATCH_W3!$B:$B,$B36,MATCH_W3!$H:$H)+SUMIF(MATCH_W4!$B:$B,$B36,MATCH_W4!$H:$H)+SUMIF(MATCH_W5!$B:$B,$B36,MATCH_W5!$H:$H)+SUMIF(MATCH_W6!$B:$B,$B36,MATCH_W6!$H:$H)</f>
        <v/>
      </c>
      <c r="G36" s="56">
        <f>SUMIF(MATCH_W1!$B:$B,$B36,MATCH_W1!$I:$I)+SUMIF(MATCH_W2!$B:$B,$B36,MATCH_W2!$I:$I)+SUMIF(MATCH_W3!$B:$B,$B36,MATCH_W3!$I:$I)+SUMIF(MATCH_W4!$B:$B,$B36,MATCH_W4!$I:$I)+SUMIF(MATCH_W5!$B:$B,$B36,MATCH_W5!$I:$I)+SUMIF(MATCH_W6!$B:$B,$B36,MATCH_W6!$I:$I)</f>
        <v/>
      </c>
      <c r="H36" s="56">
        <f>SUMIF(MATCH_W1!$B:$B,$B36,MATCH_W1!$J:$J)+SUMIF(MATCH_W2!$B:$B,$B36,MATCH_W2!$J:$J)+SUMIF(MATCH_W3!$B:$B,$B36,MATCH_W3!$J:$J)+SUMIF(MATCH_W4!$B:$B,$B36,MATCH_W4!$J:$J)+SUMIF(MATCH_W5!$B:$B,$B36,MATCH_W5!$J:$J)+SUMIF(MATCH_W6!$B:$B,$B36,MATCH_W6!$J:$J)</f>
        <v/>
      </c>
      <c r="I36" s="56">
        <f>SUMIF(MATCH_W1!$B:$B,$B36,MATCH_W1!$K:$K)+SUMIF(MATCH_W2!$B:$B,$B36,MATCH_W2!$K:$K)+SUMIF(MATCH_W3!$B:$B,$B36,MATCH_W3!$K:$K)+SUMIF(MATCH_W4!$B:$B,$B36,MATCH_W4!$K:$K)+SUMIF(MATCH_W5!$B:$B,$B36,MATCH_W5!$K:$K)+SUMIF(MATCH_W6!$B:$B,$B36,MATCH_W6!$K:$K)</f>
        <v/>
      </c>
      <c r="J36" s="57">
        <f>IFERROR(D36/E36,0)</f>
        <v/>
      </c>
      <c r="K36" s="58">
        <f>SUMIF(MATCH_W1!$B:$B,$B36,MATCH_W1!$M:$M)+SUMIF(MATCH_W2!$B:$B,$B36,MATCH_W2!$M:$M)+SUMIF(MATCH_W3!$B:$B,$B36,MATCH_W3!$M:$M)+SUMIF(MATCH_W4!$B:$B,$B36,MATCH_W4!$M:$M)+SUMIF(MATCH_W5!$B:$B,$B36,MATCH_W5!$M:$M)+SUMIF(MATCH_W6!$B:$B,$B36,MATCH_W6!$M:$M)</f>
        <v/>
      </c>
    </row>
    <row r="37">
      <c r="A37" s="8" t="inlineStr">
        <is>
          <t>CB</t>
        </is>
      </c>
      <c r="B37" s="8" t="inlineStr">
        <is>
          <t>TREST</t>
        </is>
      </c>
      <c r="C37" s="8" t="inlineStr">
        <is>
          <t>DPS</t>
        </is>
      </c>
      <c r="D37" s="56">
        <f>SUMIF(MATCH_W1!$B:$B,$B37,MATCH_W1!$F:$F)+SUMIF(MATCH_W2!$B:$B,$B37,MATCH_W2!$F:$F)+SUMIF(MATCH_W3!$B:$B,$B37,MATCH_W3!$F:$F)+SUMIF(MATCH_W4!$B:$B,$B37,MATCH_W4!$F:$F)+SUMIF(MATCH_W5!$B:$B,$B37,MATCH_W5!$F:$F)+SUMIF(MATCH_W6!$B:$B,$B37,MATCH_W6!$F:$F)</f>
        <v/>
      </c>
      <c r="E37" s="56">
        <f>SUMIF(MATCH_W1!$B:$B,$B37,MATCH_W1!$G:$G)+SUMIF(MATCH_W2!$B:$B,$B37,MATCH_W2!$G:$G)+SUMIF(MATCH_W3!$B:$B,$B37,MATCH_W3!$G:$G)+SUMIF(MATCH_W4!$B:$B,$B37,MATCH_W4!$G:$G)+SUMIF(MATCH_W5!$B:$B,$B37,MATCH_W5!$G:$G)+SUMIF(MATCH_W6!$B:$B,$B37,MATCH_W6!$G:$G)</f>
        <v/>
      </c>
      <c r="F37" s="56">
        <f>SUMIF(MATCH_W1!$B:$B,$B37,MATCH_W1!$H:$H)+SUMIF(MATCH_W2!$B:$B,$B37,MATCH_W2!$H:$H)+SUMIF(MATCH_W3!$B:$B,$B37,MATCH_W3!$H:$H)+SUMIF(MATCH_W4!$B:$B,$B37,MATCH_W4!$H:$H)+SUMIF(MATCH_W5!$B:$B,$B37,MATCH_W5!$H:$H)+SUMIF(MATCH_W6!$B:$B,$B37,MATCH_W6!$H:$H)</f>
        <v/>
      </c>
      <c r="G37" s="56">
        <f>SUMIF(MATCH_W1!$B:$B,$B37,MATCH_W1!$I:$I)+SUMIF(MATCH_W2!$B:$B,$B37,MATCH_W2!$I:$I)+SUMIF(MATCH_W3!$B:$B,$B37,MATCH_W3!$I:$I)+SUMIF(MATCH_W4!$B:$B,$B37,MATCH_W4!$I:$I)+SUMIF(MATCH_W5!$B:$B,$B37,MATCH_W5!$I:$I)+SUMIF(MATCH_W6!$B:$B,$B37,MATCH_W6!$I:$I)</f>
        <v/>
      </c>
      <c r="H37" s="56">
        <f>SUMIF(MATCH_W1!$B:$B,$B37,MATCH_W1!$J:$J)+SUMIF(MATCH_W2!$B:$B,$B37,MATCH_W2!$J:$J)+SUMIF(MATCH_W3!$B:$B,$B37,MATCH_W3!$J:$J)+SUMIF(MATCH_W4!$B:$B,$B37,MATCH_W4!$J:$J)+SUMIF(MATCH_W5!$B:$B,$B37,MATCH_W5!$J:$J)+SUMIF(MATCH_W6!$B:$B,$B37,MATCH_W6!$J:$J)</f>
        <v/>
      </c>
      <c r="I37" s="56">
        <f>SUMIF(MATCH_W1!$B:$B,$B37,MATCH_W1!$K:$K)+SUMIF(MATCH_W2!$B:$B,$B37,MATCH_W2!$K:$K)+SUMIF(MATCH_W3!$B:$B,$B37,MATCH_W3!$K:$K)+SUMIF(MATCH_W4!$B:$B,$B37,MATCH_W4!$K:$K)+SUMIF(MATCH_W5!$B:$B,$B37,MATCH_W5!$K:$K)+SUMIF(MATCH_W6!$B:$B,$B37,MATCH_W6!$K:$K)</f>
        <v/>
      </c>
      <c r="J37" s="57">
        <f>IFERROR(D37/E37,0)</f>
        <v/>
      </c>
      <c r="K37" s="58">
        <f>SUMIF(MATCH_W1!$B:$B,$B37,MATCH_W1!$M:$M)+SUMIF(MATCH_W2!$B:$B,$B37,MATCH_W2!$M:$M)+SUMIF(MATCH_W3!$B:$B,$B37,MATCH_W3!$M:$M)+SUMIF(MATCH_W4!$B:$B,$B37,MATCH_W4!$M:$M)+SUMIF(MATCH_W5!$B:$B,$B37,MATCH_W5!$M:$M)+SUMIF(MATCH_W6!$B:$B,$B37,MATCH_W6!$M:$M)</f>
        <v/>
      </c>
    </row>
    <row r="38">
      <c r="A38" s="8" t="inlineStr">
        <is>
          <t>CB</t>
        </is>
      </c>
      <c r="B38" s="8" t="inlineStr">
        <is>
          <t>K4NE</t>
        </is>
      </c>
      <c r="C38" s="8" t="inlineStr">
        <is>
          <t>DPS</t>
        </is>
      </c>
      <c r="D38" s="56">
        <f>SUMIF(MATCH_W1!$B:$B,$B38,MATCH_W1!$F:$F)+SUMIF(MATCH_W2!$B:$B,$B38,MATCH_W2!$F:$F)+SUMIF(MATCH_W3!$B:$B,$B38,MATCH_W3!$F:$F)+SUMIF(MATCH_W4!$B:$B,$B38,MATCH_W4!$F:$F)+SUMIF(MATCH_W5!$B:$B,$B38,MATCH_W5!$F:$F)+SUMIF(MATCH_W6!$B:$B,$B38,MATCH_W6!$F:$F)</f>
        <v/>
      </c>
      <c r="E38" s="56">
        <f>SUMIF(MATCH_W1!$B:$B,$B38,MATCH_W1!$G:$G)+SUMIF(MATCH_W2!$B:$B,$B38,MATCH_W2!$G:$G)+SUMIF(MATCH_W3!$B:$B,$B38,MATCH_W3!$G:$G)+SUMIF(MATCH_W4!$B:$B,$B38,MATCH_W4!$G:$G)+SUMIF(MATCH_W5!$B:$B,$B38,MATCH_W5!$G:$G)+SUMIF(MATCH_W6!$B:$B,$B38,MATCH_W6!$G:$G)</f>
        <v/>
      </c>
      <c r="F38" s="56">
        <f>SUMIF(MATCH_W1!$B:$B,$B38,MATCH_W1!$H:$H)+SUMIF(MATCH_W2!$B:$B,$B38,MATCH_W2!$H:$H)+SUMIF(MATCH_W3!$B:$B,$B38,MATCH_W3!$H:$H)+SUMIF(MATCH_W4!$B:$B,$B38,MATCH_W4!$H:$H)+SUMIF(MATCH_W5!$B:$B,$B38,MATCH_W5!$H:$H)+SUMIF(MATCH_W6!$B:$B,$B38,MATCH_W6!$H:$H)</f>
        <v/>
      </c>
      <c r="G38" s="56">
        <f>SUMIF(MATCH_W1!$B:$B,$B38,MATCH_W1!$I:$I)+SUMIF(MATCH_W2!$B:$B,$B38,MATCH_W2!$I:$I)+SUMIF(MATCH_W3!$B:$B,$B38,MATCH_W3!$I:$I)+SUMIF(MATCH_W4!$B:$B,$B38,MATCH_W4!$I:$I)+SUMIF(MATCH_W5!$B:$B,$B38,MATCH_W5!$I:$I)+SUMIF(MATCH_W6!$B:$B,$B38,MATCH_W6!$I:$I)</f>
        <v/>
      </c>
      <c r="H38" s="56">
        <f>SUMIF(MATCH_W1!$B:$B,$B38,MATCH_W1!$J:$J)+SUMIF(MATCH_W2!$B:$B,$B38,MATCH_W2!$J:$J)+SUMIF(MATCH_W3!$B:$B,$B38,MATCH_W3!$J:$J)+SUMIF(MATCH_W4!$B:$B,$B38,MATCH_W4!$J:$J)+SUMIF(MATCH_W5!$B:$B,$B38,MATCH_W5!$J:$J)+SUMIF(MATCH_W6!$B:$B,$B38,MATCH_W6!$J:$J)</f>
        <v/>
      </c>
      <c r="I38" s="56">
        <f>SUMIF(MATCH_W1!$B:$B,$B38,MATCH_W1!$K:$K)+SUMIF(MATCH_W2!$B:$B,$B38,MATCH_W2!$K:$K)+SUMIF(MATCH_W3!$B:$B,$B38,MATCH_W3!$K:$K)+SUMIF(MATCH_W4!$B:$B,$B38,MATCH_W4!$K:$K)+SUMIF(MATCH_W5!$B:$B,$B38,MATCH_W5!$K:$K)+SUMIF(MATCH_W6!$B:$B,$B38,MATCH_W6!$K:$K)</f>
        <v/>
      </c>
      <c r="J38" s="57">
        <f>IFERROR(D38/E38,0)</f>
        <v/>
      </c>
      <c r="K38" s="58">
        <f>SUMIF(MATCH_W1!$B:$B,$B38,MATCH_W1!$M:$M)+SUMIF(MATCH_W2!$B:$B,$B38,MATCH_W2!$M:$M)+SUMIF(MATCH_W3!$B:$B,$B38,MATCH_W3!$M:$M)+SUMIF(MATCH_W4!$B:$B,$B38,MATCH_W4!$M:$M)+SUMIF(MATCH_W5!$B:$B,$B38,MATCH_W5!$M:$M)+SUMIF(MATCH_W6!$B:$B,$B38,MATCH_W6!$M:$M)</f>
        <v/>
      </c>
    </row>
    <row r="39">
      <c r="A39" s="8" t="inlineStr">
        <is>
          <t>CB</t>
        </is>
      </c>
      <c r="B39" s="8" t="inlineStr">
        <is>
          <t>PROFIT</t>
        </is>
      </c>
      <c r="C39" s="8" t="inlineStr">
        <is>
          <t>DPS</t>
        </is>
      </c>
      <c r="D39" s="56">
        <f>SUMIF(MATCH_W1!$B:$B,$B39,MATCH_W1!$F:$F)+SUMIF(MATCH_W2!$B:$B,$B39,MATCH_W2!$F:$F)+SUMIF(MATCH_W3!$B:$B,$B39,MATCH_W3!$F:$F)+SUMIF(MATCH_W4!$B:$B,$B39,MATCH_W4!$F:$F)+SUMIF(MATCH_W5!$B:$B,$B39,MATCH_W5!$F:$F)+SUMIF(MATCH_W6!$B:$B,$B39,MATCH_W6!$F:$F)</f>
        <v/>
      </c>
      <c r="E39" s="56">
        <f>SUMIF(MATCH_W1!$B:$B,$B39,MATCH_W1!$G:$G)+SUMIF(MATCH_W2!$B:$B,$B39,MATCH_W2!$G:$G)+SUMIF(MATCH_W3!$B:$B,$B39,MATCH_W3!$G:$G)+SUMIF(MATCH_W4!$B:$B,$B39,MATCH_W4!$G:$G)+SUMIF(MATCH_W5!$B:$B,$B39,MATCH_W5!$G:$G)+SUMIF(MATCH_W6!$B:$B,$B39,MATCH_W6!$G:$G)</f>
        <v/>
      </c>
      <c r="F39" s="56">
        <f>SUMIF(MATCH_W1!$B:$B,$B39,MATCH_W1!$H:$H)+SUMIF(MATCH_W2!$B:$B,$B39,MATCH_W2!$H:$H)+SUMIF(MATCH_W3!$B:$B,$B39,MATCH_W3!$H:$H)+SUMIF(MATCH_W4!$B:$B,$B39,MATCH_W4!$H:$H)+SUMIF(MATCH_W5!$B:$B,$B39,MATCH_W5!$H:$H)+SUMIF(MATCH_W6!$B:$B,$B39,MATCH_W6!$H:$H)</f>
        <v/>
      </c>
      <c r="G39" s="56">
        <f>SUMIF(MATCH_W1!$B:$B,$B39,MATCH_W1!$I:$I)+SUMIF(MATCH_W2!$B:$B,$B39,MATCH_W2!$I:$I)+SUMIF(MATCH_W3!$B:$B,$B39,MATCH_W3!$I:$I)+SUMIF(MATCH_W4!$B:$B,$B39,MATCH_W4!$I:$I)+SUMIF(MATCH_W5!$B:$B,$B39,MATCH_W5!$I:$I)+SUMIF(MATCH_W6!$B:$B,$B39,MATCH_W6!$I:$I)</f>
        <v/>
      </c>
      <c r="H39" s="56">
        <f>SUMIF(MATCH_W1!$B:$B,$B39,MATCH_W1!$J:$J)+SUMIF(MATCH_W2!$B:$B,$B39,MATCH_W2!$J:$J)+SUMIF(MATCH_W3!$B:$B,$B39,MATCH_W3!$J:$J)+SUMIF(MATCH_W4!$B:$B,$B39,MATCH_W4!$J:$J)+SUMIF(MATCH_W5!$B:$B,$B39,MATCH_W5!$J:$J)+SUMIF(MATCH_W6!$B:$B,$B39,MATCH_W6!$J:$J)</f>
        <v/>
      </c>
      <c r="I39" s="56">
        <f>SUMIF(MATCH_W1!$B:$B,$B39,MATCH_W1!$K:$K)+SUMIF(MATCH_W2!$B:$B,$B39,MATCH_W2!$K:$K)+SUMIF(MATCH_W3!$B:$B,$B39,MATCH_W3!$K:$K)+SUMIF(MATCH_W4!$B:$B,$B39,MATCH_W4!$K:$K)+SUMIF(MATCH_W5!$B:$B,$B39,MATCH_W5!$K:$K)+SUMIF(MATCH_W6!$B:$B,$B39,MATCH_W6!$K:$K)</f>
        <v/>
      </c>
      <c r="J39" s="57">
        <f>IFERROR(D39/E39,0)</f>
        <v/>
      </c>
      <c r="K39" s="58">
        <f>SUMIF(MATCH_W1!$B:$B,$B39,MATCH_W1!$M:$M)+SUMIF(MATCH_W2!$B:$B,$B39,MATCH_W2!$M:$M)+SUMIF(MATCH_W3!$B:$B,$B39,MATCH_W3!$M:$M)+SUMIF(MATCH_W4!$B:$B,$B39,MATCH_W4!$M:$M)+SUMIF(MATCH_W5!$B:$B,$B39,MATCH_W5!$M:$M)+SUMIF(MATCH_W6!$B:$B,$B39,MATCH_W6!$M:$M)</f>
        <v/>
      </c>
    </row>
    <row r="40">
      <c r="A40" s="8" t="inlineStr">
        <is>
          <t>CB</t>
        </is>
      </c>
      <c r="B40" s="8" t="inlineStr">
        <is>
          <t>TENTEN</t>
        </is>
      </c>
      <c r="C40" s="8" t="inlineStr">
        <is>
          <t>SPT</t>
        </is>
      </c>
      <c r="D40" s="56">
        <f>SUMIF(MATCH_W1!$B:$B,$B40,MATCH_W1!$F:$F)+SUMIF(MATCH_W2!$B:$B,$B40,MATCH_W2!$F:$F)+SUMIF(MATCH_W3!$B:$B,$B40,MATCH_W3!$F:$F)+SUMIF(MATCH_W4!$B:$B,$B40,MATCH_W4!$F:$F)+SUMIF(MATCH_W5!$B:$B,$B40,MATCH_W5!$F:$F)+SUMIF(MATCH_W6!$B:$B,$B40,MATCH_W6!$F:$F)</f>
        <v/>
      </c>
      <c r="E40" s="56">
        <f>SUMIF(MATCH_W1!$B:$B,$B40,MATCH_W1!$G:$G)+SUMIF(MATCH_W2!$B:$B,$B40,MATCH_W2!$G:$G)+SUMIF(MATCH_W3!$B:$B,$B40,MATCH_W3!$G:$G)+SUMIF(MATCH_W4!$B:$B,$B40,MATCH_W4!$G:$G)+SUMIF(MATCH_W5!$B:$B,$B40,MATCH_W5!$G:$G)+SUMIF(MATCH_W6!$B:$B,$B40,MATCH_W6!$G:$G)</f>
        <v/>
      </c>
      <c r="F40" s="56">
        <f>SUMIF(MATCH_W1!$B:$B,$B40,MATCH_W1!$H:$H)+SUMIF(MATCH_W2!$B:$B,$B40,MATCH_W2!$H:$H)+SUMIF(MATCH_W3!$B:$B,$B40,MATCH_W3!$H:$H)+SUMIF(MATCH_W4!$B:$B,$B40,MATCH_W4!$H:$H)+SUMIF(MATCH_W5!$B:$B,$B40,MATCH_W5!$H:$H)+SUMIF(MATCH_W6!$B:$B,$B40,MATCH_W6!$H:$H)</f>
        <v/>
      </c>
      <c r="G40" s="56">
        <f>SUMIF(MATCH_W1!$B:$B,$B40,MATCH_W1!$I:$I)+SUMIF(MATCH_W2!$B:$B,$B40,MATCH_W2!$I:$I)+SUMIF(MATCH_W3!$B:$B,$B40,MATCH_W3!$I:$I)+SUMIF(MATCH_W4!$B:$B,$B40,MATCH_W4!$I:$I)+SUMIF(MATCH_W5!$B:$B,$B40,MATCH_W5!$I:$I)+SUMIF(MATCH_W6!$B:$B,$B40,MATCH_W6!$I:$I)</f>
        <v/>
      </c>
      <c r="H40" s="56">
        <f>SUMIF(MATCH_W1!$B:$B,$B40,MATCH_W1!$J:$J)+SUMIF(MATCH_W2!$B:$B,$B40,MATCH_W2!$J:$J)+SUMIF(MATCH_W3!$B:$B,$B40,MATCH_W3!$J:$J)+SUMIF(MATCH_W4!$B:$B,$B40,MATCH_W4!$J:$J)+SUMIF(MATCH_W5!$B:$B,$B40,MATCH_W5!$J:$J)+SUMIF(MATCH_W6!$B:$B,$B40,MATCH_W6!$J:$J)</f>
        <v/>
      </c>
      <c r="I40" s="56">
        <f>SUMIF(MATCH_W1!$B:$B,$B40,MATCH_W1!$K:$K)+SUMIF(MATCH_W2!$B:$B,$B40,MATCH_W2!$K:$K)+SUMIF(MATCH_W3!$B:$B,$B40,MATCH_W3!$K:$K)+SUMIF(MATCH_W4!$B:$B,$B40,MATCH_W4!$K:$K)+SUMIF(MATCH_W5!$B:$B,$B40,MATCH_W5!$K:$K)+SUMIF(MATCH_W6!$B:$B,$B40,MATCH_W6!$K:$K)</f>
        <v/>
      </c>
      <c r="J40" s="57">
        <f>IFERROR(D40/E40,0)</f>
        <v/>
      </c>
      <c r="K40" s="58">
        <f>SUMIF(MATCH_W1!$B:$B,$B40,MATCH_W1!$M:$M)+SUMIF(MATCH_W2!$B:$B,$B40,MATCH_W2!$M:$M)+SUMIF(MATCH_W3!$B:$B,$B40,MATCH_W3!$M:$M)+SUMIF(MATCH_W4!$B:$B,$B40,MATCH_W4!$M:$M)+SUMIF(MATCH_W5!$B:$B,$B40,MATCH_W5!$M:$M)+SUMIF(MATCH_W6!$B:$B,$B40,MATCH_W6!$M:$M)</f>
        <v/>
      </c>
    </row>
    <row r="41">
      <c r="A41" s="8" t="inlineStr">
        <is>
          <t>CB</t>
        </is>
      </c>
      <c r="B41" s="8" t="inlineStr">
        <is>
          <t>AZENT</t>
        </is>
      </c>
      <c r="C41" s="8" t="inlineStr">
        <is>
          <t>SPT</t>
        </is>
      </c>
      <c r="D41" s="56">
        <f>SUMIF(MATCH_W1!$B:$B,$B41,MATCH_W1!$F:$F)+SUMIF(MATCH_W2!$B:$B,$B41,MATCH_W2!$F:$F)+SUMIF(MATCH_W3!$B:$B,$B41,MATCH_W3!$F:$F)+SUMIF(MATCH_W4!$B:$B,$B41,MATCH_W4!$F:$F)+SUMIF(MATCH_W5!$B:$B,$B41,MATCH_W5!$F:$F)+SUMIF(MATCH_W6!$B:$B,$B41,MATCH_W6!$F:$F)</f>
        <v/>
      </c>
      <c r="E41" s="56">
        <f>SUMIF(MATCH_W1!$B:$B,$B41,MATCH_W1!$G:$G)+SUMIF(MATCH_W2!$B:$B,$B41,MATCH_W2!$G:$G)+SUMIF(MATCH_W3!$B:$B,$B41,MATCH_W3!$G:$G)+SUMIF(MATCH_W4!$B:$B,$B41,MATCH_W4!$G:$G)+SUMIF(MATCH_W5!$B:$B,$B41,MATCH_W5!$G:$G)+SUMIF(MATCH_W6!$B:$B,$B41,MATCH_W6!$G:$G)</f>
        <v/>
      </c>
      <c r="F41" s="56">
        <f>SUMIF(MATCH_W1!$B:$B,$B41,MATCH_W1!$H:$H)+SUMIF(MATCH_W2!$B:$B,$B41,MATCH_W2!$H:$H)+SUMIF(MATCH_W3!$B:$B,$B41,MATCH_W3!$H:$H)+SUMIF(MATCH_W4!$B:$B,$B41,MATCH_W4!$H:$H)+SUMIF(MATCH_W5!$B:$B,$B41,MATCH_W5!$H:$H)+SUMIF(MATCH_W6!$B:$B,$B41,MATCH_W6!$H:$H)</f>
        <v/>
      </c>
      <c r="G41" s="56">
        <f>SUMIF(MATCH_W1!$B:$B,$B41,MATCH_W1!$I:$I)+SUMIF(MATCH_W2!$B:$B,$B41,MATCH_W2!$I:$I)+SUMIF(MATCH_W3!$B:$B,$B41,MATCH_W3!$I:$I)+SUMIF(MATCH_W4!$B:$B,$B41,MATCH_W4!$I:$I)+SUMIF(MATCH_W5!$B:$B,$B41,MATCH_W5!$I:$I)+SUMIF(MATCH_W6!$B:$B,$B41,MATCH_W6!$I:$I)</f>
        <v/>
      </c>
      <c r="H41" s="56">
        <f>SUMIF(MATCH_W1!$B:$B,$B41,MATCH_W1!$J:$J)+SUMIF(MATCH_W2!$B:$B,$B41,MATCH_W2!$J:$J)+SUMIF(MATCH_W3!$B:$B,$B41,MATCH_W3!$J:$J)+SUMIF(MATCH_W4!$B:$B,$B41,MATCH_W4!$J:$J)+SUMIF(MATCH_W5!$B:$B,$B41,MATCH_W5!$J:$J)+SUMIF(MATCH_W6!$B:$B,$B41,MATCH_W6!$J:$J)</f>
        <v/>
      </c>
      <c r="I41" s="56">
        <f>SUMIF(MATCH_W1!$B:$B,$B41,MATCH_W1!$K:$K)+SUMIF(MATCH_W2!$B:$B,$B41,MATCH_W2!$K:$K)+SUMIF(MATCH_W3!$B:$B,$B41,MATCH_W3!$K:$K)+SUMIF(MATCH_W4!$B:$B,$B41,MATCH_W4!$K:$K)+SUMIF(MATCH_W5!$B:$B,$B41,MATCH_W5!$K:$K)+SUMIF(MATCH_W6!$B:$B,$B41,MATCH_W6!$K:$K)</f>
        <v/>
      </c>
      <c r="J41" s="57">
        <f>IFERROR(D41/E41,0)</f>
        <v/>
      </c>
      <c r="K41" s="58">
        <f>SUMIF(MATCH_W1!$B:$B,$B41,MATCH_W1!$M:$M)+SUMIF(MATCH_W2!$B:$B,$B41,MATCH_W2!$M:$M)+SUMIF(MATCH_W3!$B:$B,$B41,MATCH_W3!$M:$M)+SUMIF(MATCH_W4!$B:$B,$B41,MATCH_W4!$M:$M)+SUMIF(MATCH_W5!$B:$B,$B41,MATCH_W5!$M:$M)+SUMIF(MATCH_W6!$B:$B,$B41,MATCH_W6!$M:$M)</f>
        <v/>
      </c>
    </row>
    <row r="42">
      <c r="A42" s="8" t="inlineStr">
        <is>
          <t>ROZE</t>
        </is>
      </c>
      <c r="B42" s="8" t="inlineStr">
        <is>
          <t>HEISER</t>
        </is>
      </c>
      <c r="C42" s="8" t="inlineStr">
        <is>
          <t>TANK</t>
        </is>
      </c>
      <c r="D42" s="56">
        <f>SUMIF(MATCH_W1!$B:$B,$B42,MATCH_W1!$F:$F)+SUMIF(MATCH_W2!$B:$B,$B42,MATCH_W2!$F:$F)+SUMIF(MATCH_W3!$B:$B,$B42,MATCH_W3!$F:$F)+SUMIF(MATCH_W4!$B:$B,$B42,MATCH_W4!$F:$F)+SUMIF(MATCH_W5!$B:$B,$B42,MATCH_W5!$F:$F)+SUMIF(MATCH_W6!$B:$B,$B42,MATCH_W6!$F:$F)</f>
        <v/>
      </c>
      <c r="E42" s="56">
        <f>SUMIF(MATCH_W1!$B:$B,$B42,MATCH_W1!$G:$G)+SUMIF(MATCH_W2!$B:$B,$B42,MATCH_W2!$G:$G)+SUMIF(MATCH_W3!$B:$B,$B42,MATCH_W3!$G:$G)+SUMIF(MATCH_W4!$B:$B,$B42,MATCH_W4!$G:$G)+SUMIF(MATCH_W5!$B:$B,$B42,MATCH_W5!$G:$G)+SUMIF(MATCH_W6!$B:$B,$B42,MATCH_W6!$G:$G)</f>
        <v/>
      </c>
      <c r="F42" s="56">
        <f>SUMIF(MATCH_W1!$B:$B,$B42,MATCH_W1!$H:$H)+SUMIF(MATCH_W2!$B:$B,$B42,MATCH_W2!$H:$H)+SUMIF(MATCH_W3!$B:$B,$B42,MATCH_W3!$H:$H)+SUMIF(MATCH_W4!$B:$B,$B42,MATCH_W4!$H:$H)+SUMIF(MATCH_W5!$B:$B,$B42,MATCH_W5!$H:$H)+SUMIF(MATCH_W6!$B:$B,$B42,MATCH_W6!$H:$H)</f>
        <v/>
      </c>
      <c r="G42" s="56">
        <f>SUMIF(MATCH_W1!$B:$B,$B42,MATCH_W1!$I:$I)+SUMIF(MATCH_W2!$B:$B,$B42,MATCH_W2!$I:$I)+SUMIF(MATCH_W3!$B:$B,$B42,MATCH_W3!$I:$I)+SUMIF(MATCH_W4!$B:$B,$B42,MATCH_W4!$I:$I)+SUMIF(MATCH_W5!$B:$B,$B42,MATCH_W5!$I:$I)+SUMIF(MATCH_W6!$B:$B,$B42,MATCH_W6!$I:$I)</f>
        <v/>
      </c>
      <c r="H42" s="56">
        <f>SUMIF(MATCH_W1!$B:$B,$B42,MATCH_W1!$J:$J)+SUMIF(MATCH_W2!$B:$B,$B42,MATCH_W2!$J:$J)+SUMIF(MATCH_W3!$B:$B,$B42,MATCH_W3!$J:$J)+SUMIF(MATCH_W4!$B:$B,$B42,MATCH_W4!$J:$J)+SUMIF(MATCH_W5!$B:$B,$B42,MATCH_W5!$J:$J)+SUMIF(MATCH_W6!$B:$B,$B42,MATCH_W6!$J:$J)</f>
        <v/>
      </c>
      <c r="I42" s="56">
        <f>SUMIF(MATCH_W1!$B:$B,$B42,MATCH_W1!$K:$K)+SUMIF(MATCH_W2!$B:$B,$B42,MATCH_W2!$K:$K)+SUMIF(MATCH_W3!$B:$B,$B42,MATCH_W3!$K:$K)+SUMIF(MATCH_W4!$B:$B,$B42,MATCH_W4!$K:$K)+SUMIF(MATCH_W5!$B:$B,$B42,MATCH_W5!$K:$K)+SUMIF(MATCH_W6!$B:$B,$B42,MATCH_W6!$K:$K)</f>
        <v/>
      </c>
      <c r="J42" s="57">
        <f>IFERROR(D42/E42,0)</f>
        <v/>
      </c>
      <c r="K42" s="58">
        <f>SUMIF(MATCH_W1!$B:$B,$B42,MATCH_W1!$M:$M)+SUMIF(MATCH_W2!$B:$B,$B42,MATCH_W2!$M:$M)+SUMIF(MATCH_W3!$B:$B,$B42,MATCH_W3!$M:$M)+SUMIF(MATCH_W4!$B:$B,$B42,MATCH_W4!$M:$M)+SUMIF(MATCH_W5!$B:$B,$B42,MATCH_W5!$M:$M)+SUMIF(MATCH_W6!$B:$B,$B42,MATCH_W6!$M:$M)</f>
        <v/>
      </c>
    </row>
    <row r="43">
      <c r="A43" s="8" t="inlineStr">
        <is>
          <t>ROZE</t>
        </is>
      </c>
      <c r="B43" s="8" t="inlineStr">
        <is>
          <t>HEESUNG</t>
        </is>
      </c>
      <c r="C43" s="8" t="inlineStr">
        <is>
          <t>TANK</t>
        </is>
      </c>
      <c r="D43" s="56">
        <f>SUMIF(MATCH_W1!$B:$B,$B43,MATCH_W1!$F:$F)+SUMIF(MATCH_W2!$B:$B,$B43,MATCH_W2!$F:$F)+SUMIF(MATCH_W3!$B:$B,$B43,MATCH_W3!$F:$F)+SUMIF(MATCH_W4!$B:$B,$B43,MATCH_W4!$F:$F)+SUMIF(MATCH_W5!$B:$B,$B43,MATCH_W5!$F:$F)+SUMIF(MATCH_W6!$B:$B,$B43,MATCH_W6!$F:$F)</f>
        <v/>
      </c>
      <c r="E43" s="56">
        <f>SUMIF(MATCH_W1!$B:$B,$B43,MATCH_W1!$G:$G)+SUMIF(MATCH_W2!$B:$B,$B43,MATCH_W2!$G:$G)+SUMIF(MATCH_W3!$B:$B,$B43,MATCH_W3!$G:$G)+SUMIF(MATCH_W4!$B:$B,$B43,MATCH_W4!$G:$G)+SUMIF(MATCH_W5!$B:$B,$B43,MATCH_W5!$G:$G)+SUMIF(MATCH_W6!$B:$B,$B43,MATCH_W6!$G:$G)</f>
        <v/>
      </c>
      <c r="F43" s="56">
        <f>SUMIF(MATCH_W1!$B:$B,$B43,MATCH_W1!$H:$H)+SUMIF(MATCH_W2!$B:$B,$B43,MATCH_W2!$H:$H)+SUMIF(MATCH_W3!$B:$B,$B43,MATCH_W3!$H:$H)+SUMIF(MATCH_W4!$B:$B,$B43,MATCH_W4!$H:$H)+SUMIF(MATCH_W5!$B:$B,$B43,MATCH_W5!$H:$H)+SUMIF(MATCH_W6!$B:$B,$B43,MATCH_W6!$H:$H)</f>
        <v/>
      </c>
      <c r="G43" s="56">
        <f>SUMIF(MATCH_W1!$B:$B,$B43,MATCH_W1!$I:$I)+SUMIF(MATCH_W2!$B:$B,$B43,MATCH_W2!$I:$I)+SUMIF(MATCH_W3!$B:$B,$B43,MATCH_W3!$I:$I)+SUMIF(MATCH_W4!$B:$B,$B43,MATCH_W4!$I:$I)+SUMIF(MATCH_W5!$B:$B,$B43,MATCH_W5!$I:$I)+SUMIF(MATCH_W6!$B:$B,$B43,MATCH_W6!$I:$I)</f>
        <v/>
      </c>
      <c r="H43" s="56">
        <f>SUMIF(MATCH_W1!$B:$B,$B43,MATCH_W1!$J:$J)+SUMIF(MATCH_W2!$B:$B,$B43,MATCH_W2!$J:$J)+SUMIF(MATCH_W3!$B:$B,$B43,MATCH_W3!$J:$J)+SUMIF(MATCH_W4!$B:$B,$B43,MATCH_W4!$J:$J)+SUMIF(MATCH_W5!$B:$B,$B43,MATCH_W5!$J:$J)+SUMIF(MATCH_W6!$B:$B,$B43,MATCH_W6!$J:$J)</f>
        <v/>
      </c>
      <c r="I43" s="56">
        <f>SUMIF(MATCH_W1!$B:$B,$B43,MATCH_W1!$K:$K)+SUMIF(MATCH_W2!$B:$B,$B43,MATCH_W2!$K:$K)+SUMIF(MATCH_W3!$B:$B,$B43,MATCH_W3!$K:$K)+SUMIF(MATCH_W4!$B:$B,$B43,MATCH_W4!$K:$K)+SUMIF(MATCH_W5!$B:$B,$B43,MATCH_W5!$K:$K)+SUMIF(MATCH_W6!$B:$B,$B43,MATCH_W6!$K:$K)</f>
        <v/>
      </c>
      <c r="J43" s="57">
        <f>IFERROR(D43/E43,0)</f>
        <v/>
      </c>
      <c r="K43" s="58">
        <f>SUMIF(MATCH_W1!$B:$B,$B43,MATCH_W1!$M:$M)+SUMIF(MATCH_W2!$B:$B,$B43,MATCH_W2!$M:$M)+SUMIF(MATCH_W3!$B:$B,$B43,MATCH_W3!$M:$M)+SUMIF(MATCH_W4!$B:$B,$B43,MATCH_W4!$M:$M)+SUMIF(MATCH_W5!$B:$B,$B43,MATCH_W5!$M:$M)+SUMIF(MATCH_W6!$B:$B,$B43,MATCH_W6!$M:$M)</f>
        <v/>
      </c>
    </row>
    <row r="44">
      <c r="A44" s="8" t="inlineStr">
        <is>
          <t>ROZE</t>
        </is>
      </c>
      <c r="B44" s="8" t="inlineStr">
        <is>
          <t>BECKY</t>
        </is>
      </c>
      <c r="C44" s="8" t="inlineStr">
        <is>
          <t>DPS</t>
        </is>
      </c>
      <c r="D44" s="56">
        <f>SUMIF(MATCH_W1!$B:$B,$B44,MATCH_W1!$F:$F)+SUMIF(MATCH_W2!$B:$B,$B44,MATCH_W2!$F:$F)+SUMIF(MATCH_W3!$B:$B,$B44,MATCH_W3!$F:$F)+SUMIF(MATCH_W4!$B:$B,$B44,MATCH_W4!$F:$F)+SUMIF(MATCH_W5!$B:$B,$B44,MATCH_W5!$F:$F)+SUMIF(MATCH_W6!$B:$B,$B44,MATCH_W6!$F:$F)</f>
        <v/>
      </c>
      <c r="E44" s="56">
        <f>SUMIF(MATCH_W1!$B:$B,$B44,MATCH_W1!$G:$G)+SUMIF(MATCH_W2!$B:$B,$B44,MATCH_W2!$G:$G)+SUMIF(MATCH_W3!$B:$B,$B44,MATCH_W3!$G:$G)+SUMIF(MATCH_W4!$B:$B,$B44,MATCH_W4!$G:$G)+SUMIF(MATCH_W5!$B:$B,$B44,MATCH_W5!$G:$G)+SUMIF(MATCH_W6!$B:$B,$B44,MATCH_W6!$G:$G)</f>
        <v/>
      </c>
      <c r="F44" s="56">
        <f>SUMIF(MATCH_W1!$B:$B,$B44,MATCH_W1!$H:$H)+SUMIF(MATCH_W2!$B:$B,$B44,MATCH_W2!$H:$H)+SUMIF(MATCH_W3!$B:$B,$B44,MATCH_W3!$H:$H)+SUMIF(MATCH_W4!$B:$B,$B44,MATCH_W4!$H:$H)+SUMIF(MATCH_W5!$B:$B,$B44,MATCH_W5!$H:$H)+SUMIF(MATCH_W6!$B:$B,$B44,MATCH_W6!$H:$H)</f>
        <v/>
      </c>
      <c r="G44" s="56">
        <f>SUMIF(MATCH_W1!$B:$B,$B44,MATCH_W1!$I:$I)+SUMIF(MATCH_W2!$B:$B,$B44,MATCH_W2!$I:$I)+SUMIF(MATCH_W3!$B:$B,$B44,MATCH_W3!$I:$I)+SUMIF(MATCH_W4!$B:$B,$B44,MATCH_W4!$I:$I)+SUMIF(MATCH_W5!$B:$B,$B44,MATCH_W5!$I:$I)+SUMIF(MATCH_W6!$B:$B,$B44,MATCH_W6!$I:$I)</f>
        <v/>
      </c>
      <c r="H44" s="56">
        <f>SUMIF(MATCH_W1!$B:$B,$B44,MATCH_W1!$J:$J)+SUMIF(MATCH_W2!$B:$B,$B44,MATCH_W2!$J:$J)+SUMIF(MATCH_W3!$B:$B,$B44,MATCH_W3!$J:$J)+SUMIF(MATCH_W4!$B:$B,$B44,MATCH_W4!$J:$J)+SUMIF(MATCH_W5!$B:$B,$B44,MATCH_W5!$J:$J)+SUMIF(MATCH_W6!$B:$B,$B44,MATCH_W6!$J:$J)</f>
        <v/>
      </c>
      <c r="I44" s="56">
        <f>SUMIF(MATCH_W1!$B:$B,$B44,MATCH_W1!$K:$K)+SUMIF(MATCH_W2!$B:$B,$B44,MATCH_W2!$K:$K)+SUMIF(MATCH_W3!$B:$B,$B44,MATCH_W3!$K:$K)+SUMIF(MATCH_W4!$B:$B,$B44,MATCH_W4!$K:$K)+SUMIF(MATCH_W5!$B:$B,$B44,MATCH_W5!$K:$K)+SUMIF(MATCH_W6!$B:$B,$B44,MATCH_W6!$K:$K)</f>
        <v/>
      </c>
      <c r="J44" s="57">
        <f>IFERROR(D44/E44,0)</f>
        <v/>
      </c>
      <c r="K44" s="58">
        <f>SUMIF(MATCH_W1!$B:$B,$B44,MATCH_W1!$M:$M)+SUMIF(MATCH_W2!$B:$B,$B44,MATCH_W2!$M:$M)+SUMIF(MATCH_W3!$B:$B,$B44,MATCH_W3!$M:$M)+SUMIF(MATCH_W4!$B:$B,$B44,MATCH_W4!$M:$M)+SUMIF(MATCH_W5!$B:$B,$B44,MATCH_W5!$M:$M)+SUMIF(MATCH_W6!$B:$B,$B44,MATCH_W6!$M:$M)</f>
        <v/>
      </c>
    </row>
    <row r="45">
      <c r="A45" s="8" t="inlineStr">
        <is>
          <t>ROZE</t>
        </is>
      </c>
      <c r="B45" s="8" t="inlineStr">
        <is>
          <t>KILO</t>
        </is>
      </c>
      <c r="C45" s="8" t="inlineStr">
        <is>
          <t>DPS</t>
        </is>
      </c>
      <c r="D45" s="56">
        <f>SUMIF(MATCH_W1!$B:$B,$B45,MATCH_W1!$F:$F)+SUMIF(MATCH_W2!$B:$B,$B45,MATCH_W2!$F:$F)+SUMIF(MATCH_W3!$B:$B,$B45,MATCH_W3!$F:$F)+SUMIF(MATCH_W4!$B:$B,$B45,MATCH_W4!$F:$F)+SUMIF(MATCH_W5!$B:$B,$B45,MATCH_W5!$F:$F)+SUMIF(MATCH_W6!$B:$B,$B45,MATCH_W6!$F:$F)</f>
        <v/>
      </c>
      <c r="E45" s="56">
        <f>SUMIF(MATCH_W1!$B:$B,$B45,MATCH_W1!$G:$G)+SUMIF(MATCH_W2!$B:$B,$B45,MATCH_W2!$G:$G)+SUMIF(MATCH_W3!$B:$B,$B45,MATCH_W3!$G:$G)+SUMIF(MATCH_W4!$B:$B,$B45,MATCH_W4!$G:$G)+SUMIF(MATCH_W5!$B:$B,$B45,MATCH_W5!$G:$G)+SUMIF(MATCH_W6!$B:$B,$B45,MATCH_W6!$G:$G)</f>
        <v/>
      </c>
      <c r="F45" s="56">
        <f>SUMIF(MATCH_W1!$B:$B,$B45,MATCH_W1!$H:$H)+SUMIF(MATCH_W2!$B:$B,$B45,MATCH_W2!$H:$H)+SUMIF(MATCH_W3!$B:$B,$B45,MATCH_W3!$H:$H)+SUMIF(MATCH_W4!$B:$B,$B45,MATCH_W4!$H:$H)+SUMIF(MATCH_W5!$B:$B,$B45,MATCH_W5!$H:$H)+SUMIF(MATCH_W6!$B:$B,$B45,MATCH_W6!$H:$H)</f>
        <v/>
      </c>
      <c r="G45" s="56">
        <f>SUMIF(MATCH_W1!$B:$B,$B45,MATCH_W1!$I:$I)+SUMIF(MATCH_W2!$B:$B,$B45,MATCH_W2!$I:$I)+SUMIF(MATCH_W3!$B:$B,$B45,MATCH_W3!$I:$I)+SUMIF(MATCH_W4!$B:$B,$B45,MATCH_W4!$I:$I)+SUMIF(MATCH_W5!$B:$B,$B45,MATCH_W5!$I:$I)+SUMIF(MATCH_W6!$B:$B,$B45,MATCH_W6!$I:$I)</f>
        <v/>
      </c>
      <c r="H45" s="56">
        <f>SUMIF(MATCH_W1!$B:$B,$B45,MATCH_W1!$J:$J)+SUMIF(MATCH_W2!$B:$B,$B45,MATCH_W2!$J:$J)+SUMIF(MATCH_W3!$B:$B,$B45,MATCH_W3!$J:$J)+SUMIF(MATCH_W4!$B:$B,$B45,MATCH_W4!$J:$J)+SUMIF(MATCH_W5!$B:$B,$B45,MATCH_W5!$J:$J)+SUMIF(MATCH_W6!$B:$B,$B45,MATCH_W6!$J:$J)</f>
        <v/>
      </c>
      <c r="I45" s="56">
        <f>SUMIF(MATCH_W1!$B:$B,$B45,MATCH_W1!$K:$K)+SUMIF(MATCH_W2!$B:$B,$B45,MATCH_W2!$K:$K)+SUMIF(MATCH_W3!$B:$B,$B45,MATCH_W3!$K:$K)+SUMIF(MATCH_W4!$B:$B,$B45,MATCH_W4!$K:$K)+SUMIF(MATCH_W5!$B:$B,$B45,MATCH_W5!$K:$K)+SUMIF(MATCH_W6!$B:$B,$B45,MATCH_W6!$K:$K)</f>
        <v/>
      </c>
      <c r="J45" s="57">
        <f>IFERROR(D45/E45,0)</f>
        <v/>
      </c>
      <c r="K45" s="58">
        <f>SUMIF(MATCH_W1!$B:$B,$B45,MATCH_W1!$M:$M)+SUMIF(MATCH_W2!$B:$B,$B45,MATCH_W2!$M:$M)+SUMIF(MATCH_W3!$B:$B,$B45,MATCH_W3!$M:$M)+SUMIF(MATCH_W4!$B:$B,$B45,MATCH_W4!$M:$M)+SUMIF(MATCH_W5!$B:$B,$B45,MATCH_W5!$M:$M)+SUMIF(MATCH_W6!$B:$B,$B45,MATCH_W6!$M:$M)</f>
        <v/>
      </c>
    </row>
    <row r="46">
      <c r="A46" s="8" t="inlineStr">
        <is>
          <t>ROZE</t>
        </is>
      </c>
      <c r="B46" s="8" t="inlineStr">
        <is>
          <t>TAEJONG</t>
        </is>
      </c>
      <c r="C46" s="8" t="inlineStr">
        <is>
          <t>DPS</t>
        </is>
      </c>
      <c r="D46" s="56">
        <f>SUMIF(MATCH_W1!$B:$B,$B46,MATCH_W1!$F:$F)+SUMIF(MATCH_W2!$B:$B,$B46,MATCH_W2!$F:$F)+SUMIF(MATCH_W3!$B:$B,$B46,MATCH_W3!$F:$F)+SUMIF(MATCH_W4!$B:$B,$B46,MATCH_W4!$F:$F)+SUMIF(MATCH_W5!$B:$B,$B46,MATCH_W5!$F:$F)+SUMIF(MATCH_W6!$B:$B,$B46,MATCH_W6!$F:$F)</f>
        <v/>
      </c>
      <c r="E46" s="56">
        <f>SUMIF(MATCH_W1!$B:$B,$B46,MATCH_W1!$G:$G)+SUMIF(MATCH_W2!$B:$B,$B46,MATCH_W2!$G:$G)+SUMIF(MATCH_W3!$B:$B,$B46,MATCH_W3!$G:$G)+SUMIF(MATCH_W4!$B:$B,$B46,MATCH_W4!$G:$G)+SUMIF(MATCH_W5!$B:$B,$B46,MATCH_W5!$G:$G)+SUMIF(MATCH_W6!$B:$B,$B46,MATCH_W6!$G:$G)</f>
        <v/>
      </c>
      <c r="F46" s="56">
        <f>SUMIF(MATCH_W1!$B:$B,$B46,MATCH_W1!$H:$H)+SUMIF(MATCH_W2!$B:$B,$B46,MATCH_W2!$H:$H)+SUMIF(MATCH_W3!$B:$B,$B46,MATCH_W3!$H:$H)+SUMIF(MATCH_W4!$B:$B,$B46,MATCH_W4!$H:$H)+SUMIF(MATCH_W5!$B:$B,$B46,MATCH_W5!$H:$H)+SUMIF(MATCH_W6!$B:$B,$B46,MATCH_W6!$H:$H)</f>
        <v/>
      </c>
      <c r="G46" s="56">
        <f>SUMIF(MATCH_W1!$B:$B,$B46,MATCH_W1!$I:$I)+SUMIF(MATCH_W2!$B:$B,$B46,MATCH_W2!$I:$I)+SUMIF(MATCH_W3!$B:$B,$B46,MATCH_W3!$I:$I)+SUMIF(MATCH_W4!$B:$B,$B46,MATCH_W4!$I:$I)+SUMIF(MATCH_W5!$B:$B,$B46,MATCH_W5!$I:$I)+SUMIF(MATCH_W6!$B:$B,$B46,MATCH_W6!$I:$I)</f>
        <v/>
      </c>
      <c r="H46" s="56">
        <f>SUMIF(MATCH_W1!$B:$B,$B46,MATCH_W1!$J:$J)+SUMIF(MATCH_W2!$B:$B,$B46,MATCH_W2!$J:$J)+SUMIF(MATCH_W3!$B:$B,$B46,MATCH_W3!$J:$J)+SUMIF(MATCH_W4!$B:$B,$B46,MATCH_W4!$J:$J)+SUMIF(MATCH_W5!$B:$B,$B46,MATCH_W5!$J:$J)+SUMIF(MATCH_W6!$B:$B,$B46,MATCH_W6!$J:$J)</f>
        <v/>
      </c>
      <c r="I46" s="56">
        <f>SUMIF(MATCH_W1!$B:$B,$B46,MATCH_W1!$K:$K)+SUMIF(MATCH_W2!$B:$B,$B46,MATCH_W2!$K:$K)+SUMIF(MATCH_W3!$B:$B,$B46,MATCH_W3!$K:$K)+SUMIF(MATCH_W4!$B:$B,$B46,MATCH_W4!$K:$K)+SUMIF(MATCH_W5!$B:$B,$B46,MATCH_W5!$K:$K)+SUMIF(MATCH_W6!$B:$B,$B46,MATCH_W6!$K:$K)</f>
        <v/>
      </c>
      <c r="J46" s="57">
        <f>IFERROR(D46/E46,0)</f>
        <v/>
      </c>
      <c r="K46" s="58">
        <f>SUMIF(MATCH_W1!$B:$B,$B46,MATCH_W1!$M:$M)+SUMIF(MATCH_W2!$B:$B,$B46,MATCH_W2!$M:$M)+SUMIF(MATCH_W3!$B:$B,$B46,MATCH_W3!$M:$M)+SUMIF(MATCH_W4!$B:$B,$B46,MATCH_W4!$M:$M)+SUMIF(MATCH_W5!$B:$B,$B46,MATCH_W5!$M:$M)+SUMIF(MATCH_W6!$B:$B,$B46,MATCH_W6!$M:$M)</f>
        <v/>
      </c>
    </row>
    <row r="47">
      <c r="A47" s="8" t="inlineStr">
        <is>
          <t>ROZE</t>
        </is>
      </c>
      <c r="B47" s="8" t="inlineStr">
        <is>
          <t>OPENER</t>
        </is>
      </c>
      <c r="C47" s="8" t="inlineStr">
        <is>
          <t>SPT</t>
        </is>
      </c>
      <c r="D47" s="56">
        <f>SUMIF(MATCH_W1!$B:$B,$B47,MATCH_W1!$F:$F)+SUMIF(MATCH_W2!$B:$B,$B47,MATCH_W2!$F:$F)+SUMIF(MATCH_W3!$B:$B,$B47,MATCH_W3!$F:$F)+SUMIF(MATCH_W4!$B:$B,$B47,MATCH_W4!$F:$F)+SUMIF(MATCH_W5!$B:$B,$B47,MATCH_W5!$F:$F)+SUMIF(MATCH_W6!$B:$B,$B47,MATCH_W6!$F:$F)</f>
        <v/>
      </c>
      <c r="E47" s="56">
        <f>SUMIF(MATCH_W1!$B:$B,$B47,MATCH_W1!$G:$G)+SUMIF(MATCH_W2!$B:$B,$B47,MATCH_W2!$G:$G)+SUMIF(MATCH_W3!$B:$B,$B47,MATCH_W3!$G:$G)+SUMIF(MATCH_W4!$B:$B,$B47,MATCH_W4!$G:$G)+SUMIF(MATCH_W5!$B:$B,$B47,MATCH_W5!$G:$G)+SUMIF(MATCH_W6!$B:$B,$B47,MATCH_W6!$G:$G)</f>
        <v/>
      </c>
      <c r="F47" s="56">
        <f>SUMIF(MATCH_W1!$B:$B,$B47,MATCH_W1!$H:$H)+SUMIF(MATCH_W2!$B:$B,$B47,MATCH_W2!$H:$H)+SUMIF(MATCH_W3!$B:$B,$B47,MATCH_W3!$H:$H)+SUMIF(MATCH_W4!$B:$B,$B47,MATCH_W4!$H:$H)+SUMIF(MATCH_W5!$B:$B,$B47,MATCH_W5!$H:$H)+SUMIF(MATCH_W6!$B:$B,$B47,MATCH_W6!$H:$H)</f>
        <v/>
      </c>
      <c r="G47" s="56">
        <f>SUMIF(MATCH_W1!$B:$B,$B47,MATCH_W1!$I:$I)+SUMIF(MATCH_W2!$B:$B,$B47,MATCH_W2!$I:$I)+SUMIF(MATCH_W3!$B:$B,$B47,MATCH_W3!$I:$I)+SUMIF(MATCH_W4!$B:$B,$B47,MATCH_W4!$I:$I)+SUMIF(MATCH_W5!$B:$B,$B47,MATCH_W5!$I:$I)+SUMIF(MATCH_W6!$B:$B,$B47,MATCH_W6!$I:$I)</f>
        <v/>
      </c>
      <c r="H47" s="56">
        <f>SUMIF(MATCH_W1!$B:$B,$B47,MATCH_W1!$J:$J)+SUMIF(MATCH_W2!$B:$B,$B47,MATCH_W2!$J:$J)+SUMIF(MATCH_W3!$B:$B,$B47,MATCH_W3!$J:$J)+SUMIF(MATCH_W4!$B:$B,$B47,MATCH_W4!$J:$J)+SUMIF(MATCH_W5!$B:$B,$B47,MATCH_W5!$J:$J)+SUMIF(MATCH_W6!$B:$B,$B47,MATCH_W6!$J:$J)</f>
        <v/>
      </c>
      <c r="I47" s="56">
        <f>SUMIF(MATCH_W1!$B:$B,$B47,MATCH_W1!$K:$K)+SUMIF(MATCH_W2!$B:$B,$B47,MATCH_W2!$K:$K)+SUMIF(MATCH_W3!$B:$B,$B47,MATCH_W3!$K:$K)+SUMIF(MATCH_W4!$B:$B,$B47,MATCH_W4!$K:$K)+SUMIF(MATCH_W5!$B:$B,$B47,MATCH_W5!$K:$K)+SUMIF(MATCH_W6!$B:$B,$B47,MATCH_W6!$K:$K)</f>
        <v/>
      </c>
      <c r="J47" s="57">
        <f>IFERROR(D47/E47,0)</f>
        <v/>
      </c>
      <c r="K47" s="58">
        <f>SUMIF(MATCH_W1!$B:$B,$B47,MATCH_W1!$M:$M)+SUMIF(MATCH_W2!$B:$B,$B47,MATCH_W2!$M:$M)+SUMIF(MATCH_W3!$B:$B,$B47,MATCH_W3!$M:$M)+SUMIF(MATCH_W4!$B:$B,$B47,MATCH_W4!$M:$M)+SUMIF(MATCH_W5!$B:$B,$B47,MATCH_W5!$M:$M)+SUMIF(MATCH_W6!$B:$B,$B47,MATCH_W6!$M:$M)</f>
        <v/>
      </c>
    </row>
    <row r="48">
      <c r="A48" s="8" t="inlineStr">
        <is>
          <t>ROZE</t>
        </is>
      </c>
      <c r="B48" s="8" t="inlineStr">
        <is>
          <t>IRONY</t>
        </is>
      </c>
      <c r="C48" s="8" t="inlineStr">
        <is>
          <t>SPT</t>
        </is>
      </c>
      <c r="D48" s="56">
        <f>SUMIF(MATCH_W1!$B:$B,$B48,MATCH_W1!$F:$F)+SUMIF(MATCH_W2!$B:$B,$B48,MATCH_W2!$F:$F)+SUMIF(MATCH_W3!$B:$B,$B48,MATCH_W3!$F:$F)+SUMIF(MATCH_W4!$B:$B,$B48,MATCH_W4!$F:$F)+SUMIF(MATCH_W5!$B:$B,$B48,MATCH_W5!$F:$F)+SUMIF(MATCH_W6!$B:$B,$B48,MATCH_W6!$F:$F)</f>
        <v/>
      </c>
      <c r="E48" s="56">
        <f>SUMIF(MATCH_W1!$B:$B,$B48,MATCH_W1!$G:$G)+SUMIF(MATCH_W2!$B:$B,$B48,MATCH_W2!$G:$G)+SUMIF(MATCH_W3!$B:$B,$B48,MATCH_W3!$G:$G)+SUMIF(MATCH_W4!$B:$B,$B48,MATCH_W4!$G:$G)+SUMIF(MATCH_W5!$B:$B,$B48,MATCH_W5!$G:$G)+SUMIF(MATCH_W6!$B:$B,$B48,MATCH_W6!$G:$G)</f>
        <v/>
      </c>
      <c r="F48" s="56">
        <f>SUMIF(MATCH_W1!$B:$B,$B48,MATCH_W1!$H:$H)+SUMIF(MATCH_W2!$B:$B,$B48,MATCH_W2!$H:$H)+SUMIF(MATCH_W3!$B:$B,$B48,MATCH_W3!$H:$H)+SUMIF(MATCH_W4!$B:$B,$B48,MATCH_W4!$H:$H)+SUMIF(MATCH_W5!$B:$B,$B48,MATCH_W5!$H:$H)+SUMIF(MATCH_W6!$B:$B,$B48,MATCH_W6!$H:$H)</f>
        <v/>
      </c>
      <c r="G48" s="56">
        <f>SUMIF(MATCH_W1!$B:$B,$B48,MATCH_W1!$I:$I)+SUMIF(MATCH_W2!$B:$B,$B48,MATCH_W2!$I:$I)+SUMIF(MATCH_W3!$B:$B,$B48,MATCH_W3!$I:$I)+SUMIF(MATCH_W4!$B:$B,$B48,MATCH_W4!$I:$I)+SUMIF(MATCH_W5!$B:$B,$B48,MATCH_W5!$I:$I)+SUMIF(MATCH_W6!$B:$B,$B48,MATCH_W6!$I:$I)</f>
        <v/>
      </c>
      <c r="H48" s="56">
        <f>SUMIF(MATCH_W1!$B:$B,$B48,MATCH_W1!$J:$J)+SUMIF(MATCH_W2!$B:$B,$B48,MATCH_W2!$J:$J)+SUMIF(MATCH_W3!$B:$B,$B48,MATCH_W3!$J:$J)+SUMIF(MATCH_W4!$B:$B,$B48,MATCH_W4!$J:$J)+SUMIF(MATCH_W5!$B:$B,$B48,MATCH_W5!$J:$J)+SUMIF(MATCH_W6!$B:$B,$B48,MATCH_W6!$J:$J)</f>
        <v/>
      </c>
      <c r="I48" s="56">
        <f>SUMIF(MATCH_W1!$B:$B,$B48,MATCH_W1!$K:$K)+SUMIF(MATCH_W2!$B:$B,$B48,MATCH_W2!$K:$K)+SUMIF(MATCH_W3!$B:$B,$B48,MATCH_W3!$K:$K)+SUMIF(MATCH_W4!$B:$B,$B48,MATCH_W4!$K:$K)+SUMIF(MATCH_W5!$B:$B,$B48,MATCH_W5!$K:$K)+SUMIF(MATCH_W6!$B:$B,$B48,MATCH_W6!$K:$K)</f>
        <v/>
      </c>
      <c r="J48" s="57">
        <f>IFERROR(D48/E48,0)</f>
        <v/>
      </c>
      <c r="K48" s="58">
        <f>SUMIF(MATCH_W1!$B:$B,$B48,MATCH_W1!$M:$M)+SUMIF(MATCH_W2!$B:$B,$B48,MATCH_W2!$M:$M)+SUMIF(MATCH_W3!$B:$B,$B48,MATCH_W3!$M:$M)+SUMIF(MATCH_W4!$B:$B,$B48,MATCH_W4!$M:$M)+SUMIF(MATCH_W5!$B:$B,$B48,MATCH_W5!$M:$M)+SUMIF(MATCH_W6!$B:$B,$B48,MATCH_W6!$M:$M)</f>
        <v/>
      </c>
    </row>
    <row r="49">
      <c r="A49" s="8" t="inlineStr">
        <is>
          <t>SEJ</t>
        </is>
      </c>
      <c r="B49" s="8" t="inlineStr">
        <is>
          <t>DOX</t>
        </is>
      </c>
      <c r="C49" s="8" t="inlineStr">
        <is>
          <t>TANK</t>
        </is>
      </c>
      <c r="D49" s="56">
        <f>SUMIF(MATCH_W1!$B:$B,$B49,MATCH_W1!$F:$F)+SUMIF(MATCH_W2!$B:$B,$B49,MATCH_W2!$F:$F)+SUMIF(MATCH_W3!$B:$B,$B49,MATCH_W3!$F:$F)+SUMIF(MATCH_W4!$B:$B,$B49,MATCH_W4!$F:$F)+SUMIF(MATCH_W5!$B:$B,$B49,MATCH_W5!$F:$F)+SUMIF(MATCH_W6!$B:$B,$B49,MATCH_W6!$F:$F)</f>
        <v/>
      </c>
      <c r="E49" s="56">
        <f>SUMIF(MATCH_W1!$B:$B,$B49,MATCH_W1!$G:$G)+SUMIF(MATCH_W2!$B:$B,$B49,MATCH_W2!$G:$G)+SUMIF(MATCH_W3!$B:$B,$B49,MATCH_W3!$G:$G)+SUMIF(MATCH_W4!$B:$B,$B49,MATCH_W4!$G:$G)+SUMIF(MATCH_W5!$B:$B,$B49,MATCH_W5!$G:$G)+SUMIF(MATCH_W6!$B:$B,$B49,MATCH_W6!$G:$G)</f>
        <v/>
      </c>
      <c r="F49" s="56">
        <f>SUMIF(MATCH_W1!$B:$B,$B49,MATCH_W1!$H:$H)+SUMIF(MATCH_W2!$B:$B,$B49,MATCH_W2!$H:$H)+SUMIF(MATCH_W3!$B:$B,$B49,MATCH_W3!$H:$H)+SUMIF(MATCH_W4!$B:$B,$B49,MATCH_W4!$H:$H)+SUMIF(MATCH_W5!$B:$B,$B49,MATCH_W5!$H:$H)+SUMIF(MATCH_W6!$B:$B,$B49,MATCH_W6!$H:$H)</f>
        <v/>
      </c>
      <c r="G49" s="56">
        <f>SUMIF(MATCH_W1!$B:$B,$B49,MATCH_W1!$I:$I)+SUMIF(MATCH_W2!$B:$B,$B49,MATCH_W2!$I:$I)+SUMIF(MATCH_W3!$B:$B,$B49,MATCH_W3!$I:$I)+SUMIF(MATCH_W4!$B:$B,$B49,MATCH_W4!$I:$I)+SUMIF(MATCH_W5!$B:$B,$B49,MATCH_W5!$I:$I)+SUMIF(MATCH_W6!$B:$B,$B49,MATCH_W6!$I:$I)</f>
        <v/>
      </c>
      <c r="H49" s="56">
        <f>SUMIF(MATCH_W1!$B:$B,$B49,MATCH_W1!$J:$J)+SUMIF(MATCH_W2!$B:$B,$B49,MATCH_W2!$J:$J)+SUMIF(MATCH_W3!$B:$B,$B49,MATCH_W3!$J:$J)+SUMIF(MATCH_W4!$B:$B,$B49,MATCH_W4!$J:$J)+SUMIF(MATCH_W5!$B:$B,$B49,MATCH_W5!$J:$J)+SUMIF(MATCH_W6!$B:$B,$B49,MATCH_W6!$J:$J)</f>
        <v/>
      </c>
      <c r="I49" s="56">
        <f>SUMIF(MATCH_W1!$B:$B,$B49,MATCH_W1!$K:$K)+SUMIF(MATCH_W2!$B:$B,$B49,MATCH_W2!$K:$K)+SUMIF(MATCH_W3!$B:$B,$B49,MATCH_W3!$K:$K)+SUMIF(MATCH_W4!$B:$B,$B49,MATCH_W4!$K:$K)+SUMIF(MATCH_W5!$B:$B,$B49,MATCH_W5!$K:$K)+SUMIF(MATCH_W6!$B:$B,$B49,MATCH_W6!$K:$K)</f>
        <v/>
      </c>
      <c r="J49" s="57">
        <f>IFERROR(D49/E49,0)</f>
        <v/>
      </c>
      <c r="K49" s="58">
        <f>SUMIF(MATCH_W1!$B:$B,$B49,MATCH_W1!$M:$M)+SUMIF(MATCH_W2!$B:$B,$B49,MATCH_W2!$M:$M)+SUMIF(MATCH_W3!$B:$B,$B49,MATCH_W3!$M:$M)+SUMIF(MATCH_W4!$B:$B,$B49,MATCH_W4!$M:$M)+SUMIF(MATCH_W5!$B:$B,$B49,MATCH_W5!$M:$M)+SUMIF(MATCH_W6!$B:$B,$B49,MATCH_W6!$M:$M)</f>
        <v/>
      </c>
    </row>
    <row r="50">
      <c r="A50" s="8" t="inlineStr">
        <is>
          <t>SEJ</t>
        </is>
      </c>
      <c r="B50" s="8" t="inlineStr">
        <is>
          <t>SENTIER</t>
        </is>
      </c>
      <c r="C50" s="8" t="inlineStr">
        <is>
          <t>TANK</t>
        </is>
      </c>
      <c r="D50" s="56">
        <f>SUMIF(MATCH_W1!$B:$B,$B50,MATCH_W1!$F:$F)+SUMIF(MATCH_W2!$B:$B,$B50,MATCH_W2!$F:$F)+SUMIF(MATCH_W3!$B:$B,$B50,MATCH_W3!$F:$F)+SUMIF(MATCH_W4!$B:$B,$B50,MATCH_W4!$F:$F)+SUMIF(MATCH_W5!$B:$B,$B50,MATCH_W5!$F:$F)+SUMIF(MATCH_W6!$B:$B,$B50,MATCH_W6!$F:$F)</f>
        <v/>
      </c>
      <c r="E50" s="56">
        <f>SUMIF(MATCH_W1!$B:$B,$B50,MATCH_W1!$G:$G)+SUMIF(MATCH_W2!$B:$B,$B50,MATCH_W2!$G:$G)+SUMIF(MATCH_W3!$B:$B,$B50,MATCH_W3!$G:$G)+SUMIF(MATCH_W4!$B:$B,$B50,MATCH_W4!$G:$G)+SUMIF(MATCH_W5!$B:$B,$B50,MATCH_W5!$G:$G)+SUMIF(MATCH_W6!$B:$B,$B50,MATCH_W6!$G:$G)</f>
        <v/>
      </c>
      <c r="F50" s="56">
        <f>SUMIF(MATCH_W1!$B:$B,$B50,MATCH_W1!$H:$H)+SUMIF(MATCH_W2!$B:$B,$B50,MATCH_W2!$H:$H)+SUMIF(MATCH_W3!$B:$B,$B50,MATCH_W3!$H:$H)+SUMIF(MATCH_W4!$B:$B,$B50,MATCH_W4!$H:$H)+SUMIF(MATCH_W5!$B:$B,$B50,MATCH_W5!$H:$H)+SUMIF(MATCH_W6!$B:$B,$B50,MATCH_W6!$H:$H)</f>
        <v/>
      </c>
      <c r="G50" s="56">
        <f>SUMIF(MATCH_W1!$B:$B,$B50,MATCH_W1!$I:$I)+SUMIF(MATCH_W2!$B:$B,$B50,MATCH_W2!$I:$I)+SUMIF(MATCH_W3!$B:$B,$B50,MATCH_W3!$I:$I)+SUMIF(MATCH_W4!$B:$B,$B50,MATCH_W4!$I:$I)+SUMIF(MATCH_W5!$B:$B,$B50,MATCH_W5!$I:$I)+SUMIF(MATCH_W6!$B:$B,$B50,MATCH_W6!$I:$I)</f>
        <v/>
      </c>
      <c r="H50" s="56">
        <f>SUMIF(MATCH_W1!$B:$B,$B50,MATCH_W1!$J:$J)+SUMIF(MATCH_W2!$B:$B,$B50,MATCH_W2!$J:$J)+SUMIF(MATCH_W3!$B:$B,$B50,MATCH_W3!$J:$J)+SUMIF(MATCH_W4!$B:$B,$B50,MATCH_W4!$J:$J)+SUMIF(MATCH_W5!$B:$B,$B50,MATCH_W5!$J:$J)+SUMIF(MATCH_W6!$B:$B,$B50,MATCH_W6!$J:$J)</f>
        <v/>
      </c>
      <c r="I50" s="56">
        <f>SUMIF(MATCH_W1!$B:$B,$B50,MATCH_W1!$K:$K)+SUMIF(MATCH_W2!$B:$B,$B50,MATCH_W2!$K:$K)+SUMIF(MATCH_W3!$B:$B,$B50,MATCH_W3!$K:$K)+SUMIF(MATCH_W4!$B:$B,$B50,MATCH_W4!$K:$K)+SUMIF(MATCH_W5!$B:$B,$B50,MATCH_W5!$K:$K)+SUMIF(MATCH_W6!$B:$B,$B50,MATCH_W6!$K:$K)</f>
        <v/>
      </c>
      <c r="J50" s="57">
        <f>IFERROR(D50/E50,0)</f>
        <v/>
      </c>
      <c r="K50" s="58">
        <f>SUMIF(MATCH_W1!$B:$B,$B50,MATCH_W1!$M:$M)+SUMIF(MATCH_W2!$B:$B,$B50,MATCH_W2!$M:$M)+SUMIF(MATCH_W3!$B:$B,$B50,MATCH_W3!$M:$M)+SUMIF(MATCH_W4!$B:$B,$B50,MATCH_W4!$M:$M)+SUMIF(MATCH_W5!$B:$B,$B50,MATCH_W5!$M:$M)+SUMIF(MATCH_W6!$B:$B,$B50,MATCH_W6!$M:$M)</f>
        <v/>
      </c>
    </row>
    <row r="51">
      <c r="A51" s="8" t="inlineStr">
        <is>
          <t>SEJ</t>
        </is>
      </c>
      <c r="B51" s="8" t="inlineStr">
        <is>
          <t>M1NUT2</t>
        </is>
      </c>
      <c r="C51" s="8" t="inlineStr">
        <is>
          <t>DPS</t>
        </is>
      </c>
      <c r="D51" s="56">
        <f>SUMIF(MATCH_W1!$B:$B,$B51,MATCH_W1!$F:$F)+SUMIF(MATCH_W2!$B:$B,$B51,MATCH_W2!$F:$F)+SUMIF(MATCH_W3!$B:$B,$B51,MATCH_W3!$F:$F)+SUMIF(MATCH_W4!$B:$B,$B51,MATCH_W4!$F:$F)+SUMIF(MATCH_W5!$B:$B,$B51,MATCH_W5!$F:$F)+SUMIF(MATCH_W6!$B:$B,$B51,MATCH_W6!$F:$F)</f>
        <v/>
      </c>
      <c r="E51" s="56">
        <f>SUMIF(MATCH_W1!$B:$B,$B51,MATCH_W1!$G:$G)+SUMIF(MATCH_W2!$B:$B,$B51,MATCH_W2!$G:$G)+SUMIF(MATCH_W3!$B:$B,$B51,MATCH_W3!$G:$G)+SUMIF(MATCH_W4!$B:$B,$B51,MATCH_W4!$G:$G)+SUMIF(MATCH_W5!$B:$B,$B51,MATCH_W5!$G:$G)+SUMIF(MATCH_W6!$B:$B,$B51,MATCH_W6!$G:$G)</f>
        <v/>
      </c>
      <c r="F51" s="56">
        <f>SUMIF(MATCH_W1!$B:$B,$B51,MATCH_W1!$H:$H)+SUMIF(MATCH_W2!$B:$B,$B51,MATCH_W2!$H:$H)+SUMIF(MATCH_W3!$B:$B,$B51,MATCH_W3!$H:$H)+SUMIF(MATCH_W4!$B:$B,$B51,MATCH_W4!$H:$H)+SUMIF(MATCH_W5!$B:$B,$B51,MATCH_W5!$H:$H)+SUMIF(MATCH_W6!$B:$B,$B51,MATCH_W6!$H:$H)</f>
        <v/>
      </c>
      <c r="G51" s="56">
        <f>SUMIF(MATCH_W1!$B:$B,$B51,MATCH_W1!$I:$I)+SUMIF(MATCH_W2!$B:$B,$B51,MATCH_W2!$I:$I)+SUMIF(MATCH_W3!$B:$B,$B51,MATCH_W3!$I:$I)+SUMIF(MATCH_W4!$B:$B,$B51,MATCH_W4!$I:$I)+SUMIF(MATCH_W5!$B:$B,$B51,MATCH_W5!$I:$I)+SUMIF(MATCH_W6!$B:$B,$B51,MATCH_W6!$I:$I)</f>
        <v/>
      </c>
      <c r="H51" s="56">
        <f>SUMIF(MATCH_W1!$B:$B,$B51,MATCH_W1!$J:$J)+SUMIF(MATCH_W2!$B:$B,$B51,MATCH_W2!$J:$J)+SUMIF(MATCH_W3!$B:$B,$B51,MATCH_W3!$J:$J)+SUMIF(MATCH_W4!$B:$B,$B51,MATCH_W4!$J:$J)+SUMIF(MATCH_W5!$B:$B,$B51,MATCH_W5!$J:$J)+SUMIF(MATCH_W6!$B:$B,$B51,MATCH_W6!$J:$J)</f>
        <v/>
      </c>
      <c r="I51" s="56">
        <f>SUMIF(MATCH_W1!$B:$B,$B51,MATCH_W1!$K:$K)+SUMIF(MATCH_W2!$B:$B,$B51,MATCH_W2!$K:$K)+SUMIF(MATCH_W3!$B:$B,$B51,MATCH_W3!$K:$K)+SUMIF(MATCH_W4!$B:$B,$B51,MATCH_W4!$K:$K)+SUMIF(MATCH_W5!$B:$B,$B51,MATCH_W5!$K:$K)+SUMIF(MATCH_W6!$B:$B,$B51,MATCH_W6!$K:$K)</f>
        <v/>
      </c>
      <c r="J51" s="57">
        <f>IFERROR(D51/E51,0)</f>
        <v/>
      </c>
      <c r="K51" s="58">
        <f>SUMIF(MATCH_W1!$B:$B,$B51,MATCH_W1!$M:$M)+SUMIF(MATCH_W2!$B:$B,$B51,MATCH_W2!$M:$M)+SUMIF(MATCH_W3!$B:$B,$B51,MATCH_W3!$M:$M)+SUMIF(MATCH_W4!$B:$B,$B51,MATCH_W4!$M:$M)+SUMIF(MATCH_W5!$B:$B,$B51,MATCH_W5!$M:$M)+SUMIF(MATCH_W6!$B:$B,$B51,MATCH_W6!$M:$M)</f>
        <v/>
      </c>
    </row>
    <row r="52">
      <c r="A52" s="8" t="inlineStr">
        <is>
          <t>SEJ</t>
        </is>
      </c>
      <c r="B52" s="8" t="inlineStr">
        <is>
          <t>D4RT</t>
        </is>
      </c>
      <c r="C52" s="8" t="inlineStr">
        <is>
          <t>DPS</t>
        </is>
      </c>
      <c r="D52" s="56">
        <f>SUMIF(MATCH_W1!$B:$B,$B52,MATCH_W1!$F:$F)+SUMIF(MATCH_W2!$B:$B,$B52,MATCH_W2!$F:$F)+SUMIF(MATCH_W3!$B:$B,$B52,MATCH_W3!$F:$F)+SUMIF(MATCH_W4!$B:$B,$B52,MATCH_W4!$F:$F)+SUMIF(MATCH_W5!$B:$B,$B52,MATCH_W5!$F:$F)+SUMIF(MATCH_W6!$B:$B,$B52,MATCH_W6!$F:$F)</f>
        <v/>
      </c>
      <c r="E52" s="56">
        <f>SUMIF(MATCH_W1!$B:$B,$B52,MATCH_W1!$G:$G)+SUMIF(MATCH_W2!$B:$B,$B52,MATCH_W2!$G:$G)+SUMIF(MATCH_W3!$B:$B,$B52,MATCH_W3!$G:$G)+SUMIF(MATCH_W4!$B:$B,$B52,MATCH_W4!$G:$G)+SUMIF(MATCH_W5!$B:$B,$B52,MATCH_W5!$G:$G)+SUMIF(MATCH_W6!$B:$B,$B52,MATCH_W6!$G:$G)</f>
        <v/>
      </c>
      <c r="F52" s="56">
        <f>SUMIF(MATCH_W1!$B:$B,$B52,MATCH_W1!$H:$H)+SUMIF(MATCH_W2!$B:$B,$B52,MATCH_W2!$H:$H)+SUMIF(MATCH_W3!$B:$B,$B52,MATCH_W3!$H:$H)+SUMIF(MATCH_W4!$B:$B,$B52,MATCH_W4!$H:$H)+SUMIF(MATCH_W5!$B:$B,$B52,MATCH_W5!$H:$H)+SUMIF(MATCH_W6!$B:$B,$B52,MATCH_W6!$H:$H)</f>
        <v/>
      </c>
      <c r="G52" s="56">
        <f>SUMIF(MATCH_W1!$B:$B,$B52,MATCH_W1!$I:$I)+SUMIF(MATCH_W2!$B:$B,$B52,MATCH_W2!$I:$I)+SUMIF(MATCH_W3!$B:$B,$B52,MATCH_W3!$I:$I)+SUMIF(MATCH_W4!$B:$B,$B52,MATCH_W4!$I:$I)+SUMIF(MATCH_W5!$B:$B,$B52,MATCH_W5!$I:$I)+SUMIF(MATCH_W6!$B:$B,$B52,MATCH_W6!$I:$I)</f>
        <v/>
      </c>
      <c r="H52" s="56">
        <f>SUMIF(MATCH_W1!$B:$B,$B52,MATCH_W1!$J:$J)+SUMIF(MATCH_W2!$B:$B,$B52,MATCH_W2!$J:$J)+SUMIF(MATCH_W3!$B:$B,$B52,MATCH_W3!$J:$J)+SUMIF(MATCH_W4!$B:$B,$B52,MATCH_W4!$J:$J)+SUMIF(MATCH_W5!$B:$B,$B52,MATCH_W5!$J:$J)+SUMIF(MATCH_W6!$B:$B,$B52,MATCH_W6!$J:$J)</f>
        <v/>
      </c>
      <c r="I52" s="56">
        <f>SUMIF(MATCH_W1!$B:$B,$B52,MATCH_W1!$K:$K)+SUMIF(MATCH_W2!$B:$B,$B52,MATCH_W2!$K:$K)+SUMIF(MATCH_W3!$B:$B,$B52,MATCH_W3!$K:$K)+SUMIF(MATCH_W4!$B:$B,$B52,MATCH_W4!$K:$K)+SUMIF(MATCH_W5!$B:$B,$B52,MATCH_W5!$K:$K)+SUMIF(MATCH_W6!$B:$B,$B52,MATCH_W6!$K:$K)</f>
        <v/>
      </c>
      <c r="J52" s="57">
        <f>IFERROR(D52/E52,0)</f>
        <v/>
      </c>
      <c r="K52" s="58">
        <f>SUMIF(MATCH_W1!$B:$B,$B52,MATCH_W1!$M:$M)+SUMIF(MATCH_W2!$B:$B,$B52,MATCH_W2!$M:$M)+SUMIF(MATCH_W3!$B:$B,$B52,MATCH_W3!$M:$M)+SUMIF(MATCH_W4!$B:$B,$B52,MATCH_W4!$M:$M)+SUMIF(MATCH_W5!$B:$B,$B52,MATCH_W5!$M:$M)+SUMIF(MATCH_W6!$B:$B,$B52,MATCH_W6!$M:$M)</f>
        <v/>
      </c>
    </row>
    <row r="53">
      <c r="A53" s="8" t="inlineStr">
        <is>
          <t>SEJ</t>
        </is>
      </c>
      <c r="B53" s="8" t="inlineStr">
        <is>
          <t>OFF</t>
        </is>
      </c>
      <c r="C53" s="8" t="inlineStr">
        <is>
          <t>SPT</t>
        </is>
      </c>
      <c r="D53" s="56">
        <f>SUMIF(MATCH_W1!$B:$B,$B53,MATCH_W1!$F:$F)+SUMIF(MATCH_W2!$B:$B,$B53,MATCH_W2!$F:$F)+SUMIF(MATCH_W3!$B:$B,$B53,MATCH_W3!$F:$F)+SUMIF(MATCH_W4!$B:$B,$B53,MATCH_W4!$F:$F)+SUMIF(MATCH_W5!$B:$B,$B53,MATCH_W5!$F:$F)+SUMIF(MATCH_W6!$B:$B,$B53,MATCH_W6!$F:$F)</f>
        <v/>
      </c>
      <c r="E53" s="56">
        <f>SUMIF(MATCH_W1!$B:$B,$B53,MATCH_W1!$G:$G)+SUMIF(MATCH_W2!$B:$B,$B53,MATCH_W2!$G:$G)+SUMIF(MATCH_W3!$B:$B,$B53,MATCH_W3!$G:$G)+SUMIF(MATCH_W4!$B:$B,$B53,MATCH_W4!$G:$G)+SUMIF(MATCH_W5!$B:$B,$B53,MATCH_W5!$G:$G)+SUMIF(MATCH_W6!$B:$B,$B53,MATCH_W6!$G:$G)</f>
        <v/>
      </c>
      <c r="F53" s="56">
        <f>SUMIF(MATCH_W1!$B:$B,$B53,MATCH_W1!$H:$H)+SUMIF(MATCH_W2!$B:$B,$B53,MATCH_W2!$H:$H)+SUMIF(MATCH_W3!$B:$B,$B53,MATCH_W3!$H:$H)+SUMIF(MATCH_W4!$B:$B,$B53,MATCH_W4!$H:$H)+SUMIF(MATCH_W5!$B:$B,$B53,MATCH_W5!$H:$H)+SUMIF(MATCH_W6!$B:$B,$B53,MATCH_W6!$H:$H)</f>
        <v/>
      </c>
      <c r="G53" s="56">
        <f>SUMIF(MATCH_W1!$B:$B,$B53,MATCH_W1!$I:$I)+SUMIF(MATCH_W2!$B:$B,$B53,MATCH_W2!$I:$I)+SUMIF(MATCH_W3!$B:$B,$B53,MATCH_W3!$I:$I)+SUMIF(MATCH_W4!$B:$B,$B53,MATCH_W4!$I:$I)+SUMIF(MATCH_W5!$B:$B,$B53,MATCH_W5!$I:$I)+SUMIF(MATCH_W6!$B:$B,$B53,MATCH_W6!$I:$I)</f>
        <v/>
      </c>
      <c r="H53" s="56">
        <f>SUMIF(MATCH_W1!$B:$B,$B53,MATCH_W1!$J:$J)+SUMIF(MATCH_W2!$B:$B,$B53,MATCH_W2!$J:$J)+SUMIF(MATCH_W3!$B:$B,$B53,MATCH_W3!$J:$J)+SUMIF(MATCH_W4!$B:$B,$B53,MATCH_W4!$J:$J)+SUMIF(MATCH_W5!$B:$B,$B53,MATCH_W5!$J:$J)+SUMIF(MATCH_W6!$B:$B,$B53,MATCH_W6!$J:$J)</f>
        <v/>
      </c>
      <c r="I53" s="56">
        <f>SUMIF(MATCH_W1!$B:$B,$B53,MATCH_W1!$K:$K)+SUMIF(MATCH_W2!$B:$B,$B53,MATCH_W2!$K:$K)+SUMIF(MATCH_W3!$B:$B,$B53,MATCH_W3!$K:$K)+SUMIF(MATCH_W4!$B:$B,$B53,MATCH_W4!$K:$K)+SUMIF(MATCH_W5!$B:$B,$B53,MATCH_W5!$K:$K)+SUMIF(MATCH_W6!$B:$B,$B53,MATCH_W6!$K:$K)</f>
        <v/>
      </c>
      <c r="J53" s="57">
        <f>IFERROR(D53/E53,0)</f>
        <v/>
      </c>
      <c r="K53" s="58">
        <f>SUMIF(MATCH_W1!$B:$B,$B53,MATCH_W1!$M:$M)+SUMIF(MATCH_W2!$B:$B,$B53,MATCH_W2!$M:$M)+SUMIF(MATCH_W3!$B:$B,$B53,MATCH_W3!$M:$M)+SUMIF(MATCH_W4!$B:$B,$B53,MATCH_W4!$M:$M)+SUMIF(MATCH_W5!$B:$B,$B53,MATCH_W5!$M:$M)+SUMIF(MATCH_W6!$B:$B,$B53,MATCH_W6!$M:$M)</f>
        <v/>
      </c>
    </row>
    <row r="54">
      <c r="A54" s="8" t="inlineStr">
        <is>
          <t>SEJ</t>
        </is>
      </c>
      <c r="B54" s="8" t="inlineStr">
        <is>
          <t>LAVENDER</t>
        </is>
      </c>
      <c r="C54" s="8" t="inlineStr">
        <is>
          <t>SPT</t>
        </is>
      </c>
      <c r="D54" s="56">
        <f>SUMIF(MATCH_W1!$B:$B,$B54,MATCH_W1!$F:$F)+SUMIF(MATCH_W2!$B:$B,$B54,MATCH_W2!$F:$F)+SUMIF(MATCH_W3!$B:$B,$B54,MATCH_W3!$F:$F)+SUMIF(MATCH_W4!$B:$B,$B54,MATCH_W4!$F:$F)+SUMIF(MATCH_W5!$B:$B,$B54,MATCH_W5!$F:$F)+SUMIF(MATCH_W6!$B:$B,$B54,MATCH_W6!$F:$F)</f>
        <v/>
      </c>
      <c r="E54" s="56">
        <f>SUMIF(MATCH_W1!$B:$B,$B54,MATCH_W1!$G:$G)+SUMIF(MATCH_W2!$B:$B,$B54,MATCH_W2!$G:$G)+SUMIF(MATCH_W3!$B:$B,$B54,MATCH_W3!$G:$G)+SUMIF(MATCH_W4!$B:$B,$B54,MATCH_W4!$G:$G)+SUMIF(MATCH_W5!$B:$B,$B54,MATCH_W5!$G:$G)+SUMIF(MATCH_W6!$B:$B,$B54,MATCH_W6!$G:$G)</f>
        <v/>
      </c>
      <c r="F54" s="56">
        <f>SUMIF(MATCH_W1!$B:$B,$B54,MATCH_W1!$H:$H)+SUMIF(MATCH_W2!$B:$B,$B54,MATCH_W2!$H:$H)+SUMIF(MATCH_W3!$B:$B,$B54,MATCH_W3!$H:$H)+SUMIF(MATCH_W4!$B:$B,$B54,MATCH_W4!$H:$H)+SUMIF(MATCH_W5!$B:$B,$B54,MATCH_W5!$H:$H)+SUMIF(MATCH_W6!$B:$B,$B54,MATCH_W6!$H:$H)</f>
        <v/>
      </c>
      <c r="G54" s="56">
        <f>SUMIF(MATCH_W1!$B:$B,$B54,MATCH_W1!$I:$I)+SUMIF(MATCH_W2!$B:$B,$B54,MATCH_W2!$I:$I)+SUMIF(MATCH_W3!$B:$B,$B54,MATCH_W3!$I:$I)+SUMIF(MATCH_W4!$B:$B,$B54,MATCH_W4!$I:$I)+SUMIF(MATCH_W5!$B:$B,$B54,MATCH_W5!$I:$I)+SUMIF(MATCH_W6!$B:$B,$B54,MATCH_W6!$I:$I)</f>
        <v/>
      </c>
      <c r="H54" s="56">
        <f>SUMIF(MATCH_W1!$B:$B,$B54,MATCH_W1!$J:$J)+SUMIF(MATCH_W2!$B:$B,$B54,MATCH_W2!$J:$J)+SUMIF(MATCH_W3!$B:$B,$B54,MATCH_W3!$J:$J)+SUMIF(MATCH_W4!$B:$B,$B54,MATCH_W4!$J:$J)+SUMIF(MATCH_W5!$B:$B,$B54,MATCH_W5!$J:$J)+SUMIF(MATCH_W6!$B:$B,$B54,MATCH_W6!$J:$J)</f>
        <v/>
      </c>
      <c r="I54" s="56">
        <f>SUMIF(MATCH_W1!$B:$B,$B54,MATCH_W1!$K:$K)+SUMIF(MATCH_W2!$B:$B,$B54,MATCH_W2!$K:$K)+SUMIF(MATCH_W3!$B:$B,$B54,MATCH_W3!$K:$K)+SUMIF(MATCH_W4!$B:$B,$B54,MATCH_W4!$K:$K)+SUMIF(MATCH_W5!$B:$B,$B54,MATCH_W5!$K:$K)+SUMIF(MATCH_W6!$B:$B,$B54,MATCH_W6!$K:$K)</f>
        <v/>
      </c>
      <c r="J54" s="57">
        <f>IFERROR(D54/E54,0)</f>
        <v/>
      </c>
      <c r="K54" s="58">
        <f>SUMIF(MATCH_W1!$B:$B,$B54,MATCH_W1!$M:$M)+SUMIF(MATCH_W2!$B:$B,$B54,MATCH_W2!$M:$M)+SUMIF(MATCH_W3!$B:$B,$B54,MATCH_W3!$M:$M)+SUMIF(MATCH_W4!$B:$B,$B54,MATCH_W4!$M:$M)+SUMIF(MATCH_W5!$B:$B,$B54,MATCH_W5!$M:$M)+SUMIF(MATCH_W6!$B:$B,$B54,MATCH_W6!$M:$M)</f>
        <v/>
      </c>
    </row>
    <row r="55">
      <c r="A55" s="8" t="inlineStr">
        <is>
          <t>O2</t>
        </is>
      </c>
      <c r="B55" s="8" t="inlineStr">
        <is>
          <t>FATE</t>
        </is>
      </c>
      <c r="C55" s="8" t="inlineStr">
        <is>
          <t>TANK</t>
        </is>
      </c>
      <c r="D55" s="56">
        <f>SUMIF(MATCH_W1!$B:$B,$B55,MATCH_W1!$F:$F)+SUMIF(MATCH_W2!$B:$B,$B55,MATCH_W2!$F:$F)+SUMIF(MATCH_W3!$B:$B,$B55,MATCH_W3!$F:$F)+SUMIF(MATCH_W4!$B:$B,$B55,MATCH_W4!$F:$F)+SUMIF(MATCH_W5!$B:$B,$B55,MATCH_W5!$F:$F)+SUMIF(MATCH_W6!$B:$B,$B55,MATCH_W6!$F:$F)</f>
        <v/>
      </c>
      <c r="E55" s="56">
        <f>SUMIF(MATCH_W1!$B:$B,$B55,MATCH_W1!$G:$G)+SUMIF(MATCH_W2!$B:$B,$B55,MATCH_W2!$G:$G)+SUMIF(MATCH_W3!$B:$B,$B55,MATCH_W3!$G:$G)+SUMIF(MATCH_W4!$B:$B,$B55,MATCH_W4!$G:$G)+SUMIF(MATCH_W5!$B:$B,$B55,MATCH_W5!$G:$G)+SUMIF(MATCH_W6!$B:$B,$B55,MATCH_W6!$G:$G)</f>
        <v/>
      </c>
      <c r="F55" s="56">
        <f>SUMIF(MATCH_W1!$B:$B,$B55,MATCH_W1!$H:$H)+SUMIF(MATCH_W2!$B:$B,$B55,MATCH_W2!$H:$H)+SUMIF(MATCH_W3!$B:$B,$B55,MATCH_W3!$H:$H)+SUMIF(MATCH_W4!$B:$B,$B55,MATCH_W4!$H:$H)+SUMIF(MATCH_W5!$B:$B,$B55,MATCH_W5!$H:$H)+SUMIF(MATCH_W6!$B:$B,$B55,MATCH_W6!$H:$H)</f>
        <v/>
      </c>
      <c r="G55" s="56">
        <f>SUMIF(MATCH_W1!$B:$B,$B55,MATCH_W1!$I:$I)+SUMIF(MATCH_W2!$B:$B,$B55,MATCH_W2!$I:$I)+SUMIF(MATCH_W3!$B:$B,$B55,MATCH_W3!$I:$I)+SUMIF(MATCH_W4!$B:$B,$B55,MATCH_W4!$I:$I)+SUMIF(MATCH_W5!$B:$B,$B55,MATCH_W5!$I:$I)+SUMIF(MATCH_W6!$B:$B,$B55,MATCH_W6!$I:$I)</f>
        <v/>
      </c>
      <c r="H55" s="56">
        <f>SUMIF(MATCH_W1!$B:$B,$B55,MATCH_W1!$J:$J)+SUMIF(MATCH_W2!$B:$B,$B55,MATCH_W2!$J:$J)+SUMIF(MATCH_W3!$B:$B,$B55,MATCH_W3!$J:$J)+SUMIF(MATCH_W4!$B:$B,$B55,MATCH_W4!$J:$J)+SUMIF(MATCH_W5!$B:$B,$B55,MATCH_W5!$J:$J)+SUMIF(MATCH_W6!$B:$B,$B55,MATCH_W6!$J:$J)</f>
        <v/>
      </c>
      <c r="I55" s="56">
        <f>SUMIF(MATCH_W1!$B:$B,$B55,MATCH_W1!$K:$K)+SUMIF(MATCH_W2!$B:$B,$B55,MATCH_W2!$K:$K)+SUMIF(MATCH_W3!$B:$B,$B55,MATCH_W3!$K:$K)+SUMIF(MATCH_W4!$B:$B,$B55,MATCH_W4!$K:$K)+SUMIF(MATCH_W5!$B:$B,$B55,MATCH_W5!$K:$K)+SUMIF(MATCH_W6!$B:$B,$B55,MATCH_W6!$K:$K)</f>
        <v/>
      </c>
      <c r="J55" s="57">
        <f>IFERROR(D55/E55,0)</f>
        <v/>
      </c>
      <c r="K55" s="58">
        <f>SUMIF(MATCH_W1!$B:$B,$B55,MATCH_W1!$M:$M)+SUMIF(MATCH_W2!$B:$B,$B55,MATCH_W2!$M:$M)+SUMIF(MATCH_W3!$B:$B,$B55,MATCH_W3!$M:$M)+SUMIF(MATCH_W4!$B:$B,$B55,MATCH_W4!$M:$M)+SUMIF(MATCH_W5!$B:$B,$B55,MATCH_W5!$M:$M)+SUMIF(MATCH_W6!$B:$B,$B55,MATCH_W6!$M:$M)</f>
        <v/>
      </c>
    </row>
    <row r="56">
      <c r="A56" s="8" t="inlineStr">
        <is>
          <t>O2</t>
        </is>
      </c>
      <c r="B56" s="8" t="inlineStr">
        <is>
          <t>HOMERUNBALL</t>
        </is>
      </c>
      <c r="C56" s="8" t="inlineStr">
        <is>
          <t>TANK</t>
        </is>
      </c>
      <c r="D56" s="56">
        <f>SUMIF(MATCH_W1!$B:$B,$B56,MATCH_W1!$F:$F)+SUMIF(MATCH_W2!$B:$B,$B56,MATCH_W2!$F:$F)+SUMIF(MATCH_W3!$B:$B,$B56,MATCH_W3!$F:$F)+SUMIF(MATCH_W4!$B:$B,$B56,MATCH_W4!$F:$F)+SUMIF(MATCH_W5!$B:$B,$B56,MATCH_W5!$F:$F)+SUMIF(MATCH_W6!$B:$B,$B56,MATCH_W6!$F:$F)</f>
        <v/>
      </c>
      <c r="E56" s="56">
        <f>SUMIF(MATCH_W1!$B:$B,$B56,MATCH_W1!$G:$G)+SUMIF(MATCH_W2!$B:$B,$B56,MATCH_W2!$G:$G)+SUMIF(MATCH_W3!$B:$B,$B56,MATCH_W3!$G:$G)+SUMIF(MATCH_W4!$B:$B,$B56,MATCH_W4!$G:$G)+SUMIF(MATCH_W5!$B:$B,$B56,MATCH_W5!$G:$G)+SUMIF(MATCH_W6!$B:$B,$B56,MATCH_W6!$G:$G)</f>
        <v/>
      </c>
      <c r="F56" s="56">
        <f>SUMIF(MATCH_W1!$B:$B,$B56,MATCH_W1!$H:$H)+SUMIF(MATCH_W2!$B:$B,$B56,MATCH_W2!$H:$H)+SUMIF(MATCH_W3!$B:$B,$B56,MATCH_W3!$H:$H)+SUMIF(MATCH_W4!$B:$B,$B56,MATCH_W4!$H:$H)+SUMIF(MATCH_W5!$B:$B,$B56,MATCH_W5!$H:$H)+SUMIF(MATCH_W6!$B:$B,$B56,MATCH_W6!$H:$H)</f>
        <v/>
      </c>
      <c r="G56" s="56">
        <f>SUMIF(MATCH_W1!$B:$B,$B56,MATCH_W1!$I:$I)+SUMIF(MATCH_W2!$B:$B,$B56,MATCH_W2!$I:$I)+SUMIF(MATCH_W3!$B:$B,$B56,MATCH_W3!$I:$I)+SUMIF(MATCH_W4!$B:$B,$B56,MATCH_W4!$I:$I)+SUMIF(MATCH_W5!$B:$B,$B56,MATCH_W5!$I:$I)+SUMIF(MATCH_W6!$B:$B,$B56,MATCH_W6!$I:$I)</f>
        <v/>
      </c>
      <c r="H56" s="56">
        <f>SUMIF(MATCH_W1!$B:$B,$B56,MATCH_W1!$J:$J)+SUMIF(MATCH_W2!$B:$B,$B56,MATCH_W2!$J:$J)+SUMIF(MATCH_W3!$B:$B,$B56,MATCH_W3!$J:$J)+SUMIF(MATCH_W4!$B:$B,$B56,MATCH_W4!$J:$J)+SUMIF(MATCH_W5!$B:$B,$B56,MATCH_W5!$J:$J)+SUMIF(MATCH_W6!$B:$B,$B56,MATCH_W6!$J:$J)</f>
        <v/>
      </c>
      <c r="I56" s="56">
        <f>SUMIF(MATCH_W1!$B:$B,$B56,MATCH_W1!$K:$K)+SUMIF(MATCH_W2!$B:$B,$B56,MATCH_W2!$K:$K)+SUMIF(MATCH_W3!$B:$B,$B56,MATCH_W3!$K:$K)+SUMIF(MATCH_W4!$B:$B,$B56,MATCH_W4!$K:$K)+SUMIF(MATCH_W5!$B:$B,$B56,MATCH_W5!$K:$K)+SUMIF(MATCH_W6!$B:$B,$B56,MATCH_W6!$K:$K)</f>
        <v/>
      </c>
      <c r="J56" s="57">
        <f>IFERROR(D56/E56,0)</f>
        <v/>
      </c>
      <c r="K56" s="58">
        <f>SUMIF(MATCH_W1!$B:$B,$B56,MATCH_W1!$M:$M)+SUMIF(MATCH_W2!$B:$B,$B56,MATCH_W2!$M:$M)+SUMIF(MATCH_W3!$B:$B,$B56,MATCH_W3!$M:$M)+SUMIF(MATCH_W4!$B:$B,$B56,MATCH_W4!$M:$M)+SUMIF(MATCH_W5!$B:$B,$B56,MATCH_W5!$M:$M)+SUMIF(MATCH_W6!$B:$B,$B56,MATCH_W6!$M:$M)</f>
        <v/>
      </c>
    </row>
    <row r="57">
      <c r="A57" s="8" t="inlineStr">
        <is>
          <t>O2</t>
        </is>
      </c>
      <c r="B57" s="8" t="inlineStr">
        <is>
          <t>WUTIAN</t>
        </is>
      </c>
      <c r="C57" s="8" t="inlineStr">
        <is>
          <t>DPS</t>
        </is>
      </c>
      <c r="D57" s="56">
        <f>SUMIF(MATCH_W1!$B:$B,$B57,MATCH_W1!$F:$F)+SUMIF(MATCH_W2!$B:$B,$B57,MATCH_W2!$F:$F)+SUMIF(MATCH_W3!$B:$B,$B57,MATCH_W3!$F:$F)+SUMIF(MATCH_W4!$B:$B,$B57,MATCH_W4!$F:$F)+SUMIF(MATCH_W5!$B:$B,$B57,MATCH_W5!$F:$F)+SUMIF(MATCH_W6!$B:$B,$B57,MATCH_W6!$F:$F)</f>
        <v/>
      </c>
      <c r="E57" s="56">
        <f>SUMIF(MATCH_W1!$B:$B,$B57,MATCH_W1!$G:$G)+SUMIF(MATCH_W2!$B:$B,$B57,MATCH_W2!$G:$G)+SUMIF(MATCH_W3!$B:$B,$B57,MATCH_W3!$G:$G)+SUMIF(MATCH_W4!$B:$B,$B57,MATCH_W4!$G:$G)+SUMIF(MATCH_W5!$B:$B,$B57,MATCH_W5!$G:$G)+SUMIF(MATCH_W6!$B:$B,$B57,MATCH_W6!$G:$G)</f>
        <v/>
      </c>
      <c r="F57" s="56">
        <f>SUMIF(MATCH_W1!$B:$B,$B57,MATCH_W1!$H:$H)+SUMIF(MATCH_W2!$B:$B,$B57,MATCH_W2!$H:$H)+SUMIF(MATCH_W3!$B:$B,$B57,MATCH_W3!$H:$H)+SUMIF(MATCH_W4!$B:$B,$B57,MATCH_W4!$H:$H)+SUMIF(MATCH_W5!$B:$B,$B57,MATCH_W5!$H:$H)+SUMIF(MATCH_W6!$B:$B,$B57,MATCH_W6!$H:$H)</f>
        <v/>
      </c>
      <c r="G57" s="56">
        <f>SUMIF(MATCH_W1!$B:$B,$B57,MATCH_W1!$I:$I)+SUMIF(MATCH_W2!$B:$B,$B57,MATCH_W2!$I:$I)+SUMIF(MATCH_W3!$B:$B,$B57,MATCH_W3!$I:$I)+SUMIF(MATCH_W4!$B:$B,$B57,MATCH_W4!$I:$I)+SUMIF(MATCH_W5!$B:$B,$B57,MATCH_W5!$I:$I)+SUMIF(MATCH_W6!$B:$B,$B57,MATCH_W6!$I:$I)</f>
        <v/>
      </c>
      <c r="H57" s="56">
        <f>SUMIF(MATCH_W1!$B:$B,$B57,MATCH_W1!$J:$J)+SUMIF(MATCH_W2!$B:$B,$B57,MATCH_W2!$J:$J)+SUMIF(MATCH_W3!$B:$B,$B57,MATCH_W3!$J:$J)+SUMIF(MATCH_W4!$B:$B,$B57,MATCH_W4!$J:$J)+SUMIF(MATCH_W5!$B:$B,$B57,MATCH_W5!$J:$J)+SUMIF(MATCH_W6!$B:$B,$B57,MATCH_W6!$J:$J)</f>
        <v/>
      </c>
      <c r="I57" s="56">
        <f>SUMIF(MATCH_W1!$B:$B,$B57,MATCH_W1!$K:$K)+SUMIF(MATCH_W2!$B:$B,$B57,MATCH_W2!$K:$K)+SUMIF(MATCH_W3!$B:$B,$B57,MATCH_W3!$K:$K)+SUMIF(MATCH_W4!$B:$B,$B57,MATCH_W4!$K:$K)+SUMIF(MATCH_W5!$B:$B,$B57,MATCH_W5!$K:$K)+SUMIF(MATCH_W6!$B:$B,$B57,MATCH_W6!$K:$K)</f>
        <v/>
      </c>
      <c r="J57" s="57">
        <f>IFERROR(D57/E57,0)</f>
        <v/>
      </c>
      <c r="K57" s="58">
        <f>SUMIF(MATCH_W1!$B:$B,$B57,MATCH_W1!$M:$M)+SUMIF(MATCH_W2!$B:$B,$B57,MATCH_W2!$M:$M)+SUMIF(MATCH_W3!$B:$B,$B57,MATCH_W3!$M:$M)+SUMIF(MATCH_W4!$B:$B,$B57,MATCH_W4!$M:$M)+SUMIF(MATCH_W5!$B:$B,$B57,MATCH_W5!$M:$M)+SUMIF(MATCH_W6!$B:$B,$B57,MATCH_W6!$M:$M)</f>
        <v/>
      </c>
    </row>
    <row r="58">
      <c r="A58" s="8" t="inlineStr">
        <is>
          <t>O2</t>
        </is>
      </c>
      <c r="B58" s="8" t="inlineStr">
        <is>
          <t>PERR</t>
        </is>
      </c>
      <c r="C58" s="8" t="inlineStr">
        <is>
          <t>DPS</t>
        </is>
      </c>
      <c r="D58" s="56">
        <f>SUMIF(MATCH_W1!$B:$B,$B58,MATCH_W1!$F:$F)+SUMIF(MATCH_W2!$B:$B,$B58,MATCH_W2!$F:$F)+SUMIF(MATCH_W3!$B:$B,$B58,MATCH_W3!$F:$F)+SUMIF(MATCH_W4!$B:$B,$B58,MATCH_W4!$F:$F)+SUMIF(MATCH_W5!$B:$B,$B58,MATCH_W5!$F:$F)+SUMIF(MATCH_W6!$B:$B,$B58,MATCH_W6!$F:$F)</f>
        <v/>
      </c>
      <c r="E58" s="56">
        <f>SUMIF(MATCH_W1!$B:$B,$B58,MATCH_W1!$G:$G)+SUMIF(MATCH_W2!$B:$B,$B58,MATCH_W2!$G:$G)+SUMIF(MATCH_W3!$B:$B,$B58,MATCH_W3!$G:$G)+SUMIF(MATCH_W4!$B:$B,$B58,MATCH_W4!$G:$G)+SUMIF(MATCH_W5!$B:$B,$B58,MATCH_W5!$G:$G)+SUMIF(MATCH_W6!$B:$B,$B58,MATCH_W6!$G:$G)</f>
        <v/>
      </c>
      <c r="F58" s="56">
        <f>SUMIF(MATCH_W1!$B:$B,$B58,MATCH_W1!$H:$H)+SUMIF(MATCH_W2!$B:$B,$B58,MATCH_W2!$H:$H)+SUMIF(MATCH_W3!$B:$B,$B58,MATCH_W3!$H:$H)+SUMIF(MATCH_W4!$B:$B,$B58,MATCH_W4!$H:$H)+SUMIF(MATCH_W5!$B:$B,$B58,MATCH_W5!$H:$H)+SUMIF(MATCH_W6!$B:$B,$B58,MATCH_W6!$H:$H)</f>
        <v/>
      </c>
      <c r="G58" s="56">
        <f>SUMIF(MATCH_W1!$B:$B,$B58,MATCH_W1!$I:$I)+SUMIF(MATCH_W2!$B:$B,$B58,MATCH_W2!$I:$I)+SUMIF(MATCH_W3!$B:$B,$B58,MATCH_W3!$I:$I)+SUMIF(MATCH_W4!$B:$B,$B58,MATCH_W4!$I:$I)+SUMIF(MATCH_W5!$B:$B,$B58,MATCH_W5!$I:$I)+SUMIF(MATCH_W6!$B:$B,$B58,MATCH_W6!$I:$I)</f>
        <v/>
      </c>
      <c r="H58" s="56">
        <f>SUMIF(MATCH_W1!$B:$B,$B58,MATCH_W1!$J:$J)+SUMIF(MATCH_W2!$B:$B,$B58,MATCH_W2!$J:$J)+SUMIF(MATCH_W3!$B:$B,$B58,MATCH_W3!$J:$J)+SUMIF(MATCH_W4!$B:$B,$B58,MATCH_W4!$J:$J)+SUMIF(MATCH_W5!$B:$B,$B58,MATCH_W5!$J:$J)+SUMIF(MATCH_W6!$B:$B,$B58,MATCH_W6!$J:$J)</f>
        <v/>
      </c>
      <c r="I58" s="56">
        <f>SUMIF(MATCH_W1!$B:$B,$B58,MATCH_W1!$K:$K)+SUMIF(MATCH_W2!$B:$B,$B58,MATCH_W2!$K:$K)+SUMIF(MATCH_W3!$B:$B,$B58,MATCH_W3!$K:$K)+SUMIF(MATCH_W4!$B:$B,$B58,MATCH_W4!$K:$K)+SUMIF(MATCH_W5!$B:$B,$B58,MATCH_W5!$K:$K)+SUMIF(MATCH_W6!$B:$B,$B58,MATCH_W6!$K:$K)</f>
        <v/>
      </c>
      <c r="J58" s="57">
        <f>IFERROR(D58/E58,0)</f>
        <v/>
      </c>
      <c r="K58" s="58">
        <f>SUMIF(MATCH_W1!$B:$B,$B58,MATCH_W1!$M:$M)+SUMIF(MATCH_W2!$B:$B,$B58,MATCH_W2!$M:$M)+SUMIF(MATCH_W3!$B:$B,$B58,MATCH_W3!$M:$M)+SUMIF(MATCH_W4!$B:$B,$B58,MATCH_W4!$M:$M)+SUMIF(MATCH_W5!$B:$B,$B58,MATCH_W5!$M:$M)+SUMIF(MATCH_W6!$B:$B,$B58,MATCH_W6!$M:$M)</f>
        <v/>
      </c>
    </row>
    <row r="59">
      <c r="A59" s="8" t="inlineStr">
        <is>
          <t>O2</t>
        </is>
      </c>
      <c r="B59" s="8" t="inlineStr">
        <is>
          <t>A1IEN</t>
        </is>
      </c>
      <c r="C59" s="8" t="inlineStr">
        <is>
          <t>DPS</t>
        </is>
      </c>
      <c r="D59" s="56">
        <f>SUMIF(MATCH_W1!$B:$B,$B59,MATCH_W1!$F:$F)+SUMIF(MATCH_W2!$B:$B,$B59,MATCH_W2!$F:$F)+SUMIF(MATCH_W3!$B:$B,$B59,MATCH_W3!$F:$F)+SUMIF(MATCH_W4!$B:$B,$B59,MATCH_W4!$F:$F)+SUMIF(MATCH_W5!$B:$B,$B59,MATCH_W5!$F:$F)+SUMIF(MATCH_W6!$B:$B,$B59,MATCH_W6!$F:$F)</f>
        <v/>
      </c>
      <c r="E59" s="56">
        <f>SUMIF(MATCH_W1!$B:$B,$B59,MATCH_W1!$G:$G)+SUMIF(MATCH_W2!$B:$B,$B59,MATCH_W2!$G:$G)+SUMIF(MATCH_W3!$B:$B,$B59,MATCH_W3!$G:$G)+SUMIF(MATCH_W4!$B:$B,$B59,MATCH_W4!$G:$G)+SUMIF(MATCH_W5!$B:$B,$B59,MATCH_W5!$G:$G)+SUMIF(MATCH_W6!$B:$B,$B59,MATCH_W6!$G:$G)</f>
        <v/>
      </c>
      <c r="F59" s="56">
        <f>SUMIF(MATCH_W1!$B:$B,$B59,MATCH_W1!$H:$H)+SUMIF(MATCH_W2!$B:$B,$B59,MATCH_W2!$H:$H)+SUMIF(MATCH_W3!$B:$B,$B59,MATCH_W3!$H:$H)+SUMIF(MATCH_W4!$B:$B,$B59,MATCH_W4!$H:$H)+SUMIF(MATCH_W5!$B:$B,$B59,MATCH_W5!$H:$H)+SUMIF(MATCH_W6!$B:$B,$B59,MATCH_W6!$H:$H)</f>
        <v/>
      </c>
      <c r="G59" s="56">
        <f>SUMIF(MATCH_W1!$B:$B,$B59,MATCH_W1!$I:$I)+SUMIF(MATCH_W2!$B:$B,$B59,MATCH_W2!$I:$I)+SUMIF(MATCH_W3!$B:$B,$B59,MATCH_W3!$I:$I)+SUMIF(MATCH_W4!$B:$B,$B59,MATCH_W4!$I:$I)+SUMIF(MATCH_W5!$B:$B,$B59,MATCH_W5!$I:$I)+SUMIF(MATCH_W6!$B:$B,$B59,MATCH_W6!$I:$I)</f>
        <v/>
      </c>
      <c r="H59" s="56">
        <f>SUMIF(MATCH_W1!$B:$B,$B59,MATCH_W1!$J:$J)+SUMIF(MATCH_W2!$B:$B,$B59,MATCH_W2!$J:$J)+SUMIF(MATCH_W3!$B:$B,$B59,MATCH_W3!$J:$J)+SUMIF(MATCH_W4!$B:$B,$B59,MATCH_W4!$J:$J)+SUMIF(MATCH_W5!$B:$B,$B59,MATCH_W5!$J:$J)+SUMIF(MATCH_W6!$B:$B,$B59,MATCH_W6!$J:$J)</f>
        <v/>
      </c>
      <c r="I59" s="56">
        <f>SUMIF(MATCH_W1!$B:$B,$B59,MATCH_W1!$K:$K)+SUMIF(MATCH_W2!$B:$B,$B59,MATCH_W2!$K:$K)+SUMIF(MATCH_W3!$B:$B,$B59,MATCH_W3!$K:$K)+SUMIF(MATCH_W4!$B:$B,$B59,MATCH_W4!$K:$K)+SUMIF(MATCH_W5!$B:$B,$B59,MATCH_W5!$K:$K)+SUMIF(MATCH_W6!$B:$B,$B59,MATCH_W6!$K:$K)</f>
        <v/>
      </c>
      <c r="J59" s="57">
        <f>IFERROR(D59/E59,0)</f>
        <v/>
      </c>
      <c r="K59" s="58">
        <f>SUMIF(MATCH_W1!$B:$B,$B59,MATCH_W1!$M:$M)+SUMIF(MATCH_W2!$B:$B,$B59,MATCH_W2!$M:$M)+SUMIF(MATCH_W3!$B:$B,$B59,MATCH_W3!$M:$M)+SUMIF(MATCH_W4!$B:$B,$B59,MATCH_W4!$M:$M)+SUMIF(MATCH_W5!$B:$B,$B59,MATCH_W5!$M:$M)+SUMIF(MATCH_W6!$B:$B,$B59,MATCH_W6!$M:$M)</f>
        <v/>
      </c>
    </row>
    <row r="60">
      <c r="A60" s="8" t="inlineStr">
        <is>
          <t>O2</t>
        </is>
      </c>
      <c r="B60" s="8" t="inlineStr">
        <is>
          <t>FAITH</t>
        </is>
      </c>
      <c r="C60" s="8" t="inlineStr">
        <is>
          <t>SPT</t>
        </is>
      </c>
      <c r="D60" s="56">
        <f>SUMIF(MATCH_W1!$B:$B,$B60,MATCH_W1!$F:$F)+SUMIF(MATCH_W2!$B:$B,$B60,MATCH_W2!$F:$F)+SUMIF(MATCH_W3!$B:$B,$B60,MATCH_W3!$F:$F)+SUMIF(MATCH_W4!$B:$B,$B60,MATCH_W4!$F:$F)+SUMIF(MATCH_W5!$B:$B,$B60,MATCH_W5!$F:$F)+SUMIF(MATCH_W6!$B:$B,$B60,MATCH_W6!$F:$F)</f>
        <v/>
      </c>
      <c r="E60" s="56">
        <f>SUMIF(MATCH_W1!$B:$B,$B60,MATCH_W1!$G:$G)+SUMIF(MATCH_W2!$B:$B,$B60,MATCH_W2!$G:$G)+SUMIF(MATCH_W3!$B:$B,$B60,MATCH_W3!$G:$G)+SUMIF(MATCH_W4!$B:$B,$B60,MATCH_W4!$G:$G)+SUMIF(MATCH_W5!$B:$B,$B60,MATCH_W5!$G:$G)+SUMIF(MATCH_W6!$B:$B,$B60,MATCH_W6!$G:$G)</f>
        <v/>
      </c>
      <c r="F60" s="56">
        <f>SUMIF(MATCH_W1!$B:$B,$B60,MATCH_W1!$H:$H)+SUMIF(MATCH_W2!$B:$B,$B60,MATCH_W2!$H:$H)+SUMIF(MATCH_W3!$B:$B,$B60,MATCH_W3!$H:$H)+SUMIF(MATCH_W4!$B:$B,$B60,MATCH_W4!$H:$H)+SUMIF(MATCH_W5!$B:$B,$B60,MATCH_W5!$H:$H)+SUMIF(MATCH_W6!$B:$B,$B60,MATCH_W6!$H:$H)</f>
        <v/>
      </c>
      <c r="G60" s="56">
        <f>SUMIF(MATCH_W1!$B:$B,$B60,MATCH_W1!$I:$I)+SUMIF(MATCH_W2!$B:$B,$B60,MATCH_W2!$I:$I)+SUMIF(MATCH_W3!$B:$B,$B60,MATCH_W3!$I:$I)+SUMIF(MATCH_W4!$B:$B,$B60,MATCH_W4!$I:$I)+SUMIF(MATCH_W5!$B:$B,$B60,MATCH_W5!$I:$I)+SUMIF(MATCH_W6!$B:$B,$B60,MATCH_W6!$I:$I)</f>
        <v/>
      </c>
      <c r="H60" s="56">
        <f>SUMIF(MATCH_W1!$B:$B,$B60,MATCH_W1!$J:$J)+SUMIF(MATCH_W2!$B:$B,$B60,MATCH_W2!$J:$J)+SUMIF(MATCH_W3!$B:$B,$B60,MATCH_W3!$J:$J)+SUMIF(MATCH_W4!$B:$B,$B60,MATCH_W4!$J:$J)+SUMIF(MATCH_W5!$B:$B,$B60,MATCH_W5!$J:$J)+SUMIF(MATCH_W6!$B:$B,$B60,MATCH_W6!$J:$J)</f>
        <v/>
      </c>
      <c r="I60" s="56">
        <f>SUMIF(MATCH_W1!$B:$B,$B60,MATCH_W1!$K:$K)+SUMIF(MATCH_W2!$B:$B,$B60,MATCH_W2!$K:$K)+SUMIF(MATCH_W3!$B:$B,$B60,MATCH_W3!$K:$K)+SUMIF(MATCH_W4!$B:$B,$B60,MATCH_W4!$K:$K)+SUMIF(MATCH_W5!$B:$B,$B60,MATCH_W5!$K:$K)+SUMIF(MATCH_W6!$B:$B,$B60,MATCH_W6!$K:$K)</f>
        <v/>
      </c>
      <c r="J60" s="57">
        <f>IFERROR(D60/E60,0)</f>
        <v/>
      </c>
      <c r="K60" s="58">
        <f>SUMIF(MATCH_W1!$B:$B,$B60,MATCH_W1!$M:$M)+SUMIF(MATCH_W2!$B:$B,$B60,MATCH_W2!$M:$M)+SUMIF(MATCH_W3!$B:$B,$B60,MATCH_W3!$M:$M)+SUMIF(MATCH_W4!$B:$B,$B60,MATCH_W4!$M:$M)+SUMIF(MATCH_W5!$B:$B,$B60,MATCH_W5!$M:$M)+SUMIF(MATCH_W6!$B:$B,$B60,MATCH_W6!$M:$M)</f>
        <v/>
      </c>
    </row>
    <row r="61">
      <c r="A61" s="8" t="inlineStr">
        <is>
          <t>O2</t>
        </is>
      </c>
      <c r="B61" s="8" t="inlineStr">
        <is>
          <t>GAMJUNG</t>
        </is>
      </c>
      <c r="C61" s="8" t="inlineStr">
        <is>
          <t>SPT</t>
        </is>
      </c>
      <c r="D61" s="56">
        <f>SUMIF(MATCH_W1!$B:$B,$B61,MATCH_W1!$F:$F)+SUMIF(MATCH_W2!$B:$B,$B61,MATCH_W2!$F:$F)+SUMIF(MATCH_W3!$B:$B,$B61,MATCH_W3!$F:$F)+SUMIF(MATCH_W4!$B:$B,$B61,MATCH_W4!$F:$F)+SUMIF(MATCH_W5!$B:$B,$B61,MATCH_W5!$F:$F)+SUMIF(MATCH_W6!$B:$B,$B61,MATCH_W6!$F:$F)</f>
        <v/>
      </c>
      <c r="E61" s="56">
        <f>SUMIF(MATCH_W1!$B:$B,$B61,MATCH_W1!$G:$G)+SUMIF(MATCH_W2!$B:$B,$B61,MATCH_W2!$G:$G)+SUMIF(MATCH_W3!$B:$B,$B61,MATCH_W3!$G:$G)+SUMIF(MATCH_W4!$B:$B,$B61,MATCH_W4!$G:$G)+SUMIF(MATCH_W5!$B:$B,$B61,MATCH_W5!$G:$G)+SUMIF(MATCH_W6!$B:$B,$B61,MATCH_W6!$G:$G)</f>
        <v/>
      </c>
      <c r="F61" s="56">
        <f>SUMIF(MATCH_W1!$B:$B,$B61,MATCH_W1!$H:$H)+SUMIF(MATCH_W2!$B:$B,$B61,MATCH_W2!$H:$H)+SUMIF(MATCH_W3!$B:$B,$B61,MATCH_W3!$H:$H)+SUMIF(MATCH_W4!$B:$B,$B61,MATCH_W4!$H:$H)+SUMIF(MATCH_W5!$B:$B,$B61,MATCH_W5!$H:$H)+SUMIF(MATCH_W6!$B:$B,$B61,MATCH_W6!$H:$H)</f>
        <v/>
      </c>
      <c r="G61" s="56">
        <f>SUMIF(MATCH_W1!$B:$B,$B61,MATCH_W1!$I:$I)+SUMIF(MATCH_W2!$B:$B,$B61,MATCH_W2!$I:$I)+SUMIF(MATCH_W3!$B:$B,$B61,MATCH_W3!$I:$I)+SUMIF(MATCH_W4!$B:$B,$B61,MATCH_W4!$I:$I)+SUMIF(MATCH_W5!$B:$B,$B61,MATCH_W5!$I:$I)+SUMIF(MATCH_W6!$B:$B,$B61,MATCH_W6!$I:$I)</f>
        <v/>
      </c>
      <c r="H61" s="56">
        <f>SUMIF(MATCH_W1!$B:$B,$B61,MATCH_W1!$J:$J)+SUMIF(MATCH_W2!$B:$B,$B61,MATCH_W2!$J:$J)+SUMIF(MATCH_W3!$B:$B,$B61,MATCH_W3!$J:$J)+SUMIF(MATCH_W4!$B:$B,$B61,MATCH_W4!$J:$J)+SUMIF(MATCH_W5!$B:$B,$B61,MATCH_W5!$J:$J)+SUMIF(MATCH_W6!$B:$B,$B61,MATCH_W6!$J:$J)</f>
        <v/>
      </c>
      <c r="I61" s="56">
        <f>SUMIF(MATCH_W1!$B:$B,$B61,MATCH_W1!$K:$K)+SUMIF(MATCH_W2!$B:$B,$B61,MATCH_W2!$K:$K)+SUMIF(MATCH_W3!$B:$B,$B61,MATCH_W3!$K:$K)+SUMIF(MATCH_W4!$B:$B,$B61,MATCH_W4!$K:$K)+SUMIF(MATCH_W5!$B:$B,$B61,MATCH_W5!$K:$K)+SUMIF(MATCH_W6!$B:$B,$B61,MATCH_W6!$K:$K)</f>
        <v/>
      </c>
      <c r="J61" s="57">
        <f>IFERROR(D61/E61,0)</f>
        <v/>
      </c>
      <c r="K61" s="58">
        <f>SUMIF(MATCH_W1!$B:$B,$B61,MATCH_W1!$M:$M)+SUMIF(MATCH_W2!$B:$B,$B61,MATCH_W2!$M:$M)+SUMIF(MATCH_W3!$B:$B,$B61,MATCH_W3!$M:$M)+SUMIF(MATCH_W4!$B:$B,$B61,MATCH_W4!$M:$M)+SUMIF(MATCH_W5!$B:$B,$B61,MATCH_W5!$M:$M)+SUMIF(MATCH_W6!$B:$B,$B61,MATCH_W6!$M:$M)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10" defaultRowHeight="18"/>
  <cols>
    <col width="14.7109375" customWidth="1" style="3" min="4" max="6"/>
    <col width="14.7109375" customWidth="1" style="3" min="7" max="7"/>
    <col width="14.7109375" customWidth="1" style="3" min="8" max="8"/>
    <col width="14.7109375" customWidth="1" style="3" min="9" max="10"/>
  </cols>
  <sheetData>
    <row r="1">
      <c r="A1" s="22" t="inlineStr">
        <is>
          <t>Team</t>
        </is>
      </c>
      <c r="B1" s="22" t="inlineStr">
        <is>
          <t>Player</t>
        </is>
      </c>
      <c r="C1" s="22" t="inlineStr">
        <is>
          <t>Position</t>
        </is>
      </c>
      <c r="D1" s="22" t="inlineStr">
        <is>
          <t>Playtime_Min</t>
        </is>
      </c>
      <c r="E1" s="22" t="inlineStr">
        <is>
          <t>Elim / 10</t>
        </is>
      </c>
      <c r="F1" s="22" t="inlineStr">
        <is>
          <t>Death / 10</t>
        </is>
      </c>
      <c r="G1" s="22" t="inlineStr">
        <is>
          <t>Assists / 10</t>
        </is>
      </c>
      <c r="H1" s="22" t="inlineStr">
        <is>
          <t>Damage / 10</t>
        </is>
      </c>
      <c r="I1" s="22" t="inlineStr">
        <is>
          <t>Heal / 10</t>
        </is>
      </c>
      <c r="J1" s="22" t="inlineStr">
        <is>
          <t>Mitigated / 10</t>
        </is>
      </c>
    </row>
    <row r="2">
      <c r="A2" t="inlineStr">
        <is>
          <t>CR</t>
        </is>
      </c>
      <c r="B2" t="inlineStr">
        <is>
          <t>JUNBIN</t>
        </is>
      </c>
      <c r="C2" t="inlineStr">
        <is>
          <t>TANK</t>
        </is>
      </c>
      <c r="D2" s="50">
        <f>'TOTAL STATISTICS'!K2/60</f>
        <v/>
      </c>
      <c r="E2" s="50">
        <f>IFERROR('TOTAL STATISTICS'!D2/'TOTAL STATISTICS'!K2*600,0)</f>
        <v/>
      </c>
      <c r="F2" s="50">
        <f>IFERROR('TOTAL STATISTICS'!E2/'TOTAL STATISTICS'!K2*600,0)</f>
        <v/>
      </c>
      <c r="G2" s="50">
        <f>IFERROR('TOTAL STATISTICS'!F2/'TOTAL STATISTICS'!K2*600,0)</f>
        <v/>
      </c>
      <c r="H2" s="50">
        <f>IFERROR('TOTAL STATISTICS'!G2/'TOTAL STATISTICS'!K2*600,0)</f>
        <v/>
      </c>
      <c r="I2" s="50">
        <f>IFERROR('TOTAL STATISTICS'!H2/'TOTAL STATISTICS'!K2*600,0)</f>
        <v/>
      </c>
      <c r="J2" s="50">
        <f>IFERROR('TOTAL STATISTICS'!I2/'TOTAL STATISTICS'!K2*600,0)</f>
        <v/>
      </c>
    </row>
    <row r="3">
      <c r="A3" t="inlineStr">
        <is>
          <t>CR</t>
        </is>
      </c>
      <c r="B3" t="inlineStr">
        <is>
          <t>MAX</t>
        </is>
      </c>
      <c r="C3" t="inlineStr">
        <is>
          <t>TANK</t>
        </is>
      </c>
      <c r="D3" s="50">
        <f>'TOTAL STATISTICS'!K3/60</f>
        <v/>
      </c>
      <c r="E3" s="50">
        <f>IFERROR('TOTAL STATISTICS'!D3/'TOTAL STATISTICS'!K3*600,0)</f>
        <v/>
      </c>
      <c r="F3" s="50">
        <f>IFERROR('TOTAL STATISTICS'!E3/'TOTAL STATISTICS'!K3*600,0)</f>
        <v/>
      </c>
      <c r="G3" s="50">
        <f>IFERROR('TOTAL STATISTICS'!F3/'TOTAL STATISTICS'!K3*600,0)</f>
        <v/>
      </c>
      <c r="H3" s="50">
        <f>IFERROR('TOTAL STATISTICS'!G3/'TOTAL STATISTICS'!K3*600,0)</f>
        <v/>
      </c>
      <c r="I3" s="50">
        <f>IFERROR('TOTAL STATISTICS'!H3/'TOTAL STATISTICS'!K3*600,0)</f>
        <v/>
      </c>
      <c r="J3" s="50">
        <f>IFERROR('TOTAL STATISTICS'!I3/'TOTAL STATISTICS'!K3*600,0)</f>
        <v/>
      </c>
    </row>
    <row r="4">
      <c r="A4" t="inlineStr">
        <is>
          <t>CR</t>
        </is>
      </c>
      <c r="B4" t="inlineStr">
        <is>
          <t>HEESANG</t>
        </is>
      </c>
      <c r="C4" t="inlineStr">
        <is>
          <t>DPS</t>
        </is>
      </c>
      <c r="D4" s="50">
        <f>'TOTAL STATISTICS'!K4/60</f>
        <v/>
      </c>
      <c r="E4" s="50">
        <f>IFERROR('TOTAL STATISTICS'!D4/'TOTAL STATISTICS'!K4*600,0)</f>
        <v/>
      </c>
      <c r="F4" s="50">
        <f>IFERROR('TOTAL STATISTICS'!E4/'TOTAL STATISTICS'!K4*600,0)</f>
        <v/>
      </c>
      <c r="G4" s="50">
        <f>IFERROR('TOTAL STATISTICS'!F4/'TOTAL STATISTICS'!K4*600,0)</f>
        <v/>
      </c>
      <c r="H4" s="50">
        <f>IFERROR('TOTAL STATISTICS'!G4/'TOTAL STATISTICS'!K4*600,0)</f>
        <v/>
      </c>
      <c r="I4" s="50">
        <f>IFERROR('TOTAL STATISTICS'!H4/'TOTAL STATISTICS'!K4*600,0)</f>
        <v/>
      </c>
      <c r="J4" s="50">
        <f>IFERROR('TOTAL STATISTICS'!I4/'TOTAL STATISTICS'!K4*600,0)</f>
        <v/>
      </c>
    </row>
    <row r="5">
      <c r="A5" t="inlineStr">
        <is>
          <t>CR</t>
        </is>
      </c>
      <c r="B5" t="inlineStr">
        <is>
          <t>LIP</t>
        </is>
      </c>
      <c r="C5" t="inlineStr">
        <is>
          <t>DPS</t>
        </is>
      </c>
      <c r="D5" s="50">
        <f>'TOTAL STATISTICS'!K5/60</f>
        <v/>
      </c>
      <c r="E5" s="50">
        <f>IFERROR('TOTAL STATISTICS'!D5/'TOTAL STATISTICS'!K5*600,0)</f>
        <v/>
      </c>
      <c r="F5" s="50">
        <f>IFERROR('TOTAL STATISTICS'!E5/'TOTAL STATISTICS'!K5*600,0)</f>
        <v/>
      </c>
      <c r="G5" s="50">
        <f>IFERROR('TOTAL STATISTICS'!F5/'TOTAL STATISTICS'!K5*600,0)</f>
        <v/>
      </c>
      <c r="H5" s="50">
        <f>IFERROR('TOTAL STATISTICS'!G5/'TOTAL STATISTICS'!K5*600,0)</f>
        <v/>
      </c>
      <c r="I5" s="50">
        <f>IFERROR('TOTAL STATISTICS'!H5/'TOTAL STATISTICS'!K5*600,0)</f>
        <v/>
      </c>
      <c r="J5" s="50">
        <f>IFERROR('TOTAL STATISTICS'!I5/'TOTAL STATISTICS'!K5*600,0)</f>
        <v/>
      </c>
    </row>
    <row r="6">
      <c r="A6" t="inlineStr">
        <is>
          <t>CR</t>
        </is>
      </c>
      <c r="B6" t="inlineStr">
        <is>
          <t>STALK3R</t>
        </is>
      </c>
      <c r="C6" t="inlineStr">
        <is>
          <t>DPS</t>
        </is>
      </c>
      <c r="D6" s="50">
        <f>'TOTAL STATISTICS'!K6/60</f>
        <v/>
      </c>
      <c r="E6" s="50">
        <f>IFERROR('TOTAL STATISTICS'!D6/'TOTAL STATISTICS'!K6*600,0)</f>
        <v/>
      </c>
      <c r="F6" s="50">
        <f>IFERROR('TOTAL STATISTICS'!E6/'TOTAL STATISTICS'!K6*600,0)</f>
        <v/>
      </c>
      <c r="G6" s="50">
        <f>IFERROR('TOTAL STATISTICS'!F6/'TOTAL STATISTICS'!K6*600,0)</f>
        <v/>
      </c>
      <c r="H6" s="50">
        <f>IFERROR('TOTAL STATISTICS'!G6/'TOTAL STATISTICS'!K6*600,0)</f>
        <v/>
      </c>
      <c r="I6" s="50">
        <f>IFERROR('TOTAL STATISTICS'!H6/'TOTAL STATISTICS'!K6*600,0)</f>
        <v/>
      </c>
      <c r="J6" s="50">
        <f>IFERROR('TOTAL STATISTICS'!I6/'TOTAL STATISTICS'!K6*600,0)</f>
        <v/>
      </c>
    </row>
    <row r="7">
      <c r="A7" t="inlineStr">
        <is>
          <t>CR</t>
        </is>
      </c>
      <c r="B7" t="inlineStr">
        <is>
          <t>CH0R0NG</t>
        </is>
      </c>
      <c r="C7" t="inlineStr">
        <is>
          <t>SPT</t>
        </is>
      </c>
      <c r="D7" s="50">
        <f>'TOTAL STATISTICS'!K7/60</f>
        <v/>
      </c>
      <c r="E7" s="50">
        <f>IFERROR('TOTAL STATISTICS'!D7/'TOTAL STATISTICS'!K7*600,0)</f>
        <v/>
      </c>
      <c r="F7" s="50">
        <f>IFERROR('TOTAL STATISTICS'!E7/'TOTAL STATISTICS'!K7*600,0)</f>
        <v/>
      </c>
      <c r="G7" s="50">
        <f>IFERROR('TOTAL STATISTICS'!F7/'TOTAL STATISTICS'!K7*600,0)</f>
        <v/>
      </c>
      <c r="H7" s="50">
        <f>IFERROR('TOTAL STATISTICS'!G7/'TOTAL STATISTICS'!K7*600,0)</f>
        <v/>
      </c>
      <c r="I7" s="50">
        <f>IFERROR('TOTAL STATISTICS'!H7/'TOTAL STATISTICS'!K7*600,0)</f>
        <v/>
      </c>
      <c r="J7" s="50">
        <f>IFERROR('TOTAL STATISTICS'!I7/'TOTAL STATISTICS'!K7*600,0)</f>
        <v/>
      </c>
    </row>
    <row r="8">
      <c r="A8" t="inlineStr">
        <is>
          <t>CR</t>
        </is>
      </c>
      <c r="B8" t="inlineStr">
        <is>
          <t>VIGILANTE</t>
        </is>
      </c>
      <c r="C8" t="inlineStr">
        <is>
          <t>SPT</t>
        </is>
      </c>
      <c r="D8" s="50">
        <f>'TOTAL STATISTICS'!K8/60</f>
        <v/>
      </c>
      <c r="E8" s="50">
        <f>IFERROR('TOTAL STATISTICS'!D8/'TOTAL STATISTICS'!K8*600,0)</f>
        <v/>
      </c>
      <c r="F8" s="50">
        <f>IFERROR('TOTAL STATISTICS'!E8/'TOTAL STATISTICS'!K8*600,0)</f>
        <v/>
      </c>
      <c r="G8" s="50">
        <f>IFERROR('TOTAL STATISTICS'!F8/'TOTAL STATISTICS'!K8*600,0)</f>
        <v/>
      </c>
      <c r="H8" s="50">
        <f>IFERROR('TOTAL STATISTICS'!G8/'TOTAL STATISTICS'!K8*600,0)</f>
        <v/>
      </c>
      <c r="I8" s="50">
        <f>IFERROR('TOTAL STATISTICS'!H8/'TOTAL STATISTICS'!K8*600,0)</f>
        <v/>
      </c>
      <c r="J8" s="50">
        <f>IFERROR('TOTAL STATISTICS'!I8/'TOTAL STATISTICS'!K8*600,0)</f>
        <v/>
      </c>
    </row>
    <row r="9">
      <c r="A9" t="inlineStr">
        <is>
          <t>FLC</t>
        </is>
      </c>
      <c r="B9" t="inlineStr">
        <is>
          <t>SOMEONE</t>
        </is>
      </c>
      <c r="C9" t="inlineStr">
        <is>
          <t>TANK</t>
        </is>
      </c>
      <c r="D9" s="50">
        <f>'TOTAL STATISTICS'!K9/60</f>
        <v/>
      </c>
      <c r="E9" s="50">
        <f>IFERROR('TOTAL STATISTICS'!D9/'TOTAL STATISTICS'!K9*600,0)</f>
        <v/>
      </c>
      <c r="F9" s="50">
        <f>IFERROR('TOTAL STATISTICS'!E9/'TOTAL STATISTICS'!K9*600,0)</f>
        <v/>
      </c>
      <c r="G9" s="50">
        <f>IFERROR('TOTAL STATISTICS'!F9/'TOTAL STATISTICS'!K9*600,0)</f>
        <v/>
      </c>
      <c r="H9" s="50">
        <f>IFERROR('TOTAL STATISTICS'!G9/'TOTAL STATISTICS'!K9*600,0)</f>
        <v/>
      </c>
      <c r="I9" s="50">
        <f>IFERROR('TOTAL STATISTICS'!H9/'TOTAL STATISTICS'!K9*600,0)</f>
        <v/>
      </c>
      <c r="J9" s="50">
        <f>IFERROR('TOTAL STATISTICS'!I9/'TOTAL STATISTICS'!K9*600,0)</f>
        <v/>
      </c>
    </row>
    <row r="10">
      <c r="A10" t="inlineStr">
        <is>
          <t>FLC</t>
        </is>
      </c>
      <c r="B10" t="inlineStr">
        <is>
          <t>HANBIN</t>
        </is>
      </c>
      <c r="C10" t="inlineStr">
        <is>
          <t>TANK</t>
        </is>
      </c>
      <c r="D10" s="50">
        <f>'TOTAL STATISTICS'!K10/60</f>
        <v/>
      </c>
      <c r="E10" s="50">
        <f>IFERROR('TOTAL STATISTICS'!D10/'TOTAL STATISTICS'!K10*600,0)</f>
        <v/>
      </c>
      <c r="F10" s="50">
        <f>IFERROR('TOTAL STATISTICS'!E10/'TOTAL STATISTICS'!K10*600,0)</f>
        <v/>
      </c>
      <c r="G10" s="50">
        <f>IFERROR('TOTAL STATISTICS'!F10/'TOTAL STATISTICS'!K10*600,0)</f>
        <v/>
      </c>
      <c r="H10" s="50">
        <f>IFERROR('TOTAL STATISTICS'!G10/'TOTAL STATISTICS'!K10*600,0)</f>
        <v/>
      </c>
      <c r="I10" s="50">
        <f>IFERROR('TOTAL STATISTICS'!H10/'TOTAL STATISTICS'!K10*600,0)</f>
        <v/>
      </c>
      <c r="J10" s="50">
        <f>IFERROR('TOTAL STATISTICS'!I10/'TOTAL STATISTICS'!K10*600,0)</f>
        <v/>
      </c>
    </row>
    <row r="11">
      <c r="A11" t="inlineStr">
        <is>
          <t>FLC</t>
        </is>
      </c>
      <c r="B11" t="inlineStr">
        <is>
          <t>CHECKMATE</t>
        </is>
      </c>
      <c r="C11" t="inlineStr">
        <is>
          <t>DPS</t>
        </is>
      </c>
      <c r="D11" s="50">
        <f>'TOTAL STATISTICS'!K11/60</f>
        <v/>
      </c>
      <c r="E11" s="50">
        <f>IFERROR('TOTAL STATISTICS'!D11/'TOTAL STATISTICS'!K11*600,0)</f>
        <v/>
      </c>
      <c r="F11" s="50">
        <f>IFERROR('TOTAL STATISTICS'!E11/'TOTAL STATISTICS'!K11*600,0)</f>
        <v/>
      </c>
      <c r="G11" s="50">
        <f>IFERROR('TOTAL STATISTICS'!F11/'TOTAL STATISTICS'!K11*600,0)</f>
        <v/>
      </c>
      <c r="H11" s="50">
        <f>IFERROR('TOTAL STATISTICS'!G11/'TOTAL STATISTICS'!K11*600,0)</f>
        <v/>
      </c>
      <c r="I11" s="50">
        <f>IFERROR('TOTAL STATISTICS'!H11/'TOTAL STATISTICS'!K11*600,0)</f>
        <v/>
      </c>
      <c r="J11" s="50">
        <f>IFERROR('TOTAL STATISTICS'!I11/'TOTAL STATISTICS'!K11*600,0)</f>
        <v/>
      </c>
    </row>
    <row r="12">
      <c r="A12" t="inlineStr">
        <is>
          <t>FLC</t>
        </is>
      </c>
      <c r="B12" t="inlineStr">
        <is>
          <t>SP1NT</t>
        </is>
      </c>
      <c r="C12" t="inlineStr">
        <is>
          <t>DPS</t>
        </is>
      </c>
      <c r="D12" s="50">
        <f>'TOTAL STATISTICS'!K12/60</f>
        <v/>
      </c>
      <c r="E12" s="50">
        <f>IFERROR('TOTAL STATISTICS'!D12/'TOTAL STATISTICS'!K12*600,0)</f>
        <v/>
      </c>
      <c r="F12" s="50">
        <f>IFERROR('TOTAL STATISTICS'!E12/'TOTAL STATISTICS'!K12*600,0)</f>
        <v/>
      </c>
      <c r="G12" s="50">
        <f>IFERROR('TOTAL STATISTICS'!F12/'TOTAL STATISTICS'!K12*600,0)</f>
        <v/>
      </c>
      <c r="H12" s="50">
        <f>IFERROR('TOTAL STATISTICS'!G12/'TOTAL STATISTICS'!K12*600,0)</f>
        <v/>
      </c>
      <c r="I12" s="50">
        <f>IFERROR('TOTAL STATISTICS'!H12/'TOTAL STATISTICS'!K12*600,0)</f>
        <v/>
      </c>
      <c r="J12" s="50">
        <f>IFERROR('TOTAL STATISTICS'!I12/'TOTAL STATISTICS'!K12*600,0)</f>
        <v/>
      </c>
    </row>
    <row r="13">
      <c r="A13" t="inlineStr">
        <is>
          <t>FLC</t>
        </is>
      </c>
      <c r="B13" t="inlineStr">
        <is>
          <t>MER1T</t>
        </is>
      </c>
      <c r="C13" t="inlineStr">
        <is>
          <t>DPS</t>
        </is>
      </c>
      <c r="D13" s="50">
        <f>'TOTAL STATISTICS'!K13/60</f>
        <v/>
      </c>
      <c r="E13" s="50">
        <f>IFERROR('TOTAL STATISTICS'!D13/'TOTAL STATISTICS'!K13*600,0)</f>
        <v/>
      </c>
      <c r="F13" s="50">
        <f>IFERROR('TOTAL STATISTICS'!E13/'TOTAL STATISTICS'!K13*600,0)</f>
        <v/>
      </c>
      <c r="G13" s="50">
        <f>IFERROR('TOTAL STATISTICS'!F13/'TOTAL STATISTICS'!K13*600,0)</f>
        <v/>
      </c>
      <c r="H13" s="50">
        <f>IFERROR('TOTAL STATISTICS'!G13/'TOTAL STATISTICS'!K13*600,0)</f>
        <v/>
      </c>
      <c r="I13" s="50">
        <f>IFERROR('TOTAL STATISTICS'!H13/'TOTAL STATISTICS'!K13*600,0)</f>
        <v/>
      </c>
      <c r="J13" s="50">
        <f>IFERROR('TOTAL STATISTICS'!I13/'TOTAL STATISTICS'!K13*600,0)</f>
        <v/>
      </c>
    </row>
    <row r="14">
      <c r="A14" t="inlineStr">
        <is>
          <t>FLC</t>
        </is>
      </c>
      <c r="B14" t="inlineStr">
        <is>
          <t>CHIYO</t>
        </is>
      </c>
      <c r="C14" t="inlineStr">
        <is>
          <t>SPT</t>
        </is>
      </c>
      <c r="D14" s="50">
        <f>'TOTAL STATISTICS'!K14/60</f>
        <v/>
      </c>
      <c r="E14" s="50">
        <f>IFERROR('TOTAL STATISTICS'!D14/'TOTAL STATISTICS'!K14*600,0)</f>
        <v/>
      </c>
      <c r="F14" s="50">
        <f>IFERROR('TOTAL STATISTICS'!E14/'TOTAL STATISTICS'!K14*600,0)</f>
        <v/>
      </c>
      <c r="G14" s="50">
        <f>IFERROR('TOTAL STATISTICS'!F14/'TOTAL STATISTICS'!K14*600,0)</f>
        <v/>
      </c>
      <c r="H14" s="50">
        <f>IFERROR('TOTAL STATISTICS'!G14/'TOTAL STATISTICS'!K14*600,0)</f>
        <v/>
      </c>
      <c r="I14" s="50">
        <f>IFERROR('TOTAL STATISTICS'!H14/'TOTAL STATISTICS'!K14*600,0)</f>
        <v/>
      </c>
      <c r="J14" s="50">
        <f>IFERROR('TOTAL STATISTICS'!I14/'TOTAL STATISTICS'!K14*600,0)</f>
        <v/>
      </c>
    </row>
    <row r="15">
      <c r="A15" t="inlineStr">
        <is>
          <t>FLC</t>
        </is>
      </c>
      <c r="B15" t="inlineStr">
        <is>
          <t>FIELDER</t>
        </is>
      </c>
      <c r="C15" t="inlineStr">
        <is>
          <t>SPT</t>
        </is>
      </c>
      <c r="D15" s="50">
        <f>'TOTAL STATISTICS'!K15/60</f>
        <v/>
      </c>
      <c r="E15" s="50">
        <f>IFERROR('TOTAL STATISTICS'!D15/'TOTAL STATISTICS'!K15*600,0)</f>
        <v/>
      </c>
      <c r="F15" s="50">
        <f>IFERROR('TOTAL STATISTICS'!E15/'TOTAL STATISTICS'!K15*600,0)</f>
        <v/>
      </c>
      <c r="G15" s="50">
        <f>IFERROR('TOTAL STATISTICS'!F15/'TOTAL STATISTICS'!K15*600,0)</f>
        <v/>
      </c>
      <c r="H15" s="50">
        <f>IFERROR('TOTAL STATISTICS'!G15/'TOTAL STATISTICS'!K15*600,0)</f>
        <v/>
      </c>
      <c r="I15" s="50">
        <f>IFERROR('TOTAL STATISTICS'!H15/'TOTAL STATISTICS'!K15*600,0)</f>
        <v/>
      </c>
      <c r="J15" s="50">
        <f>IFERROR('TOTAL STATISTICS'!I15/'TOTAL STATISTICS'!K15*600,0)</f>
        <v/>
      </c>
    </row>
    <row r="16">
      <c r="A16" t="inlineStr">
        <is>
          <t>T1</t>
        </is>
      </c>
      <c r="B16" t="inlineStr">
        <is>
          <t>DONGHAK</t>
        </is>
      </c>
      <c r="C16" t="inlineStr">
        <is>
          <t>TANK</t>
        </is>
      </c>
      <c r="D16" s="50">
        <f>'TOTAL STATISTICS'!K16/60</f>
        <v/>
      </c>
      <c r="E16" s="50">
        <f>IFERROR('TOTAL STATISTICS'!D16/'TOTAL STATISTICS'!K16*600,0)</f>
        <v/>
      </c>
      <c r="F16" s="50">
        <f>IFERROR('TOTAL STATISTICS'!E16/'TOTAL STATISTICS'!K16*600,0)</f>
        <v/>
      </c>
      <c r="G16" s="50">
        <f>IFERROR('TOTAL STATISTICS'!F16/'TOTAL STATISTICS'!K16*600,0)</f>
        <v/>
      </c>
      <c r="H16" s="50">
        <f>IFERROR('TOTAL STATISTICS'!G16/'TOTAL STATISTICS'!K16*600,0)</f>
        <v/>
      </c>
      <c r="I16" s="50">
        <f>IFERROR('TOTAL STATISTICS'!H16/'TOTAL STATISTICS'!K16*600,0)</f>
        <v/>
      </c>
      <c r="J16" s="50">
        <f>IFERROR('TOTAL STATISTICS'!I16/'TOTAL STATISTICS'!K16*600,0)</f>
        <v/>
      </c>
    </row>
    <row r="17">
      <c r="A17" t="inlineStr">
        <is>
          <t>T1</t>
        </is>
      </c>
      <c r="B17" t="inlineStr">
        <is>
          <t>JASM1NE</t>
        </is>
      </c>
      <c r="C17" t="inlineStr">
        <is>
          <t>TANK</t>
        </is>
      </c>
      <c r="D17" s="50">
        <f>'TOTAL STATISTICS'!K17/60</f>
        <v/>
      </c>
      <c r="E17" s="50">
        <f>IFERROR('TOTAL STATISTICS'!D17/'TOTAL STATISTICS'!K17*600,0)</f>
        <v/>
      </c>
      <c r="F17" s="50">
        <f>IFERROR('TOTAL STATISTICS'!E17/'TOTAL STATISTICS'!K17*600,0)</f>
        <v/>
      </c>
      <c r="G17" s="50">
        <f>IFERROR('TOTAL STATISTICS'!F17/'TOTAL STATISTICS'!K17*600,0)</f>
        <v/>
      </c>
      <c r="H17" s="50">
        <f>IFERROR('TOTAL STATISTICS'!G17/'TOTAL STATISTICS'!K17*600,0)</f>
        <v/>
      </c>
      <c r="I17" s="50">
        <f>IFERROR('TOTAL STATISTICS'!H17/'TOTAL STATISTICS'!K17*600,0)</f>
        <v/>
      </c>
      <c r="J17" s="50">
        <f>IFERROR('TOTAL STATISTICS'!I17/'TOTAL STATISTICS'!K17*600,0)</f>
        <v/>
      </c>
    </row>
    <row r="18">
      <c r="A18" t="inlineStr">
        <is>
          <t>T1</t>
        </is>
      </c>
      <c r="B18" t="inlineStr">
        <is>
          <t>ZEST</t>
        </is>
      </c>
      <c r="C18" t="inlineStr">
        <is>
          <t>DPS</t>
        </is>
      </c>
      <c r="D18" s="50">
        <f>'TOTAL STATISTICS'!K18/60</f>
        <v/>
      </c>
      <c r="E18" s="50">
        <f>IFERROR('TOTAL STATISTICS'!D18/'TOTAL STATISTICS'!K18*600,0)</f>
        <v/>
      </c>
      <c r="F18" s="50">
        <f>IFERROR('TOTAL STATISTICS'!E18/'TOTAL STATISTICS'!K18*600,0)</f>
        <v/>
      </c>
      <c r="G18" s="50">
        <f>IFERROR('TOTAL STATISTICS'!F18/'TOTAL STATISTICS'!K18*600,0)</f>
        <v/>
      </c>
      <c r="H18" s="50">
        <f>IFERROR('TOTAL STATISTICS'!G18/'TOTAL STATISTICS'!K18*600,0)</f>
        <v/>
      </c>
      <c r="I18" s="50">
        <f>IFERROR('TOTAL STATISTICS'!H18/'TOTAL STATISTICS'!K18*600,0)</f>
        <v/>
      </c>
      <c r="J18" s="50">
        <f>IFERROR('TOTAL STATISTICS'!I18/'TOTAL STATISTICS'!K18*600,0)</f>
        <v/>
      </c>
    </row>
    <row r="19">
      <c r="A19" t="inlineStr">
        <is>
          <t>T1</t>
        </is>
      </c>
      <c r="B19" t="inlineStr">
        <is>
          <t>PROUD</t>
        </is>
      </c>
      <c r="C19" t="inlineStr">
        <is>
          <t>DPS</t>
        </is>
      </c>
      <c r="D19" s="50">
        <f>'TOTAL STATISTICS'!K19/60</f>
        <v/>
      </c>
      <c r="E19" s="50">
        <f>IFERROR('TOTAL STATISTICS'!D19/'TOTAL STATISTICS'!K19*600,0)</f>
        <v/>
      </c>
      <c r="F19" s="50">
        <f>IFERROR('TOTAL STATISTICS'!E19/'TOTAL STATISTICS'!K19*600,0)</f>
        <v/>
      </c>
      <c r="G19" s="50">
        <f>IFERROR('TOTAL STATISTICS'!F19/'TOTAL STATISTICS'!K19*600,0)</f>
        <v/>
      </c>
      <c r="H19" s="50">
        <f>IFERROR('TOTAL STATISTICS'!G19/'TOTAL STATISTICS'!K19*600,0)</f>
        <v/>
      </c>
      <c r="I19" s="50">
        <f>IFERROR('TOTAL STATISTICS'!H19/'TOTAL STATISTICS'!K19*600,0)</f>
        <v/>
      </c>
      <c r="J19" s="50">
        <f>IFERROR('TOTAL STATISTICS'!I19/'TOTAL STATISTICS'!K19*600,0)</f>
        <v/>
      </c>
    </row>
    <row r="20">
      <c r="A20" t="inlineStr">
        <is>
          <t>T1</t>
        </is>
      </c>
      <c r="B20" t="inlineStr">
        <is>
          <t>BLISS</t>
        </is>
      </c>
      <c r="C20" t="inlineStr">
        <is>
          <t>SPT</t>
        </is>
      </c>
      <c r="D20" s="50">
        <f>'TOTAL STATISTICS'!K20/60</f>
        <v/>
      </c>
      <c r="E20" s="50">
        <f>IFERROR('TOTAL STATISTICS'!D20/'TOTAL STATISTICS'!K20*600,0)</f>
        <v/>
      </c>
      <c r="F20" s="50">
        <f>IFERROR('TOTAL STATISTICS'!E20/'TOTAL STATISTICS'!K20*600,0)</f>
        <v/>
      </c>
      <c r="G20" s="50">
        <f>IFERROR('TOTAL STATISTICS'!F20/'TOTAL STATISTICS'!K20*600,0)</f>
        <v/>
      </c>
      <c r="H20" s="50">
        <f>IFERROR('TOTAL STATISTICS'!G20/'TOTAL STATISTICS'!K20*600,0)</f>
        <v/>
      </c>
      <c r="I20" s="50">
        <f>IFERROR('TOTAL STATISTICS'!H20/'TOTAL STATISTICS'!K20*600,0)</f>
        <v/>
      </c>
      <c r="J20" s="50">
        <f>IFERROR('TOTAL STATISTICS'!I20/'TOTAL STATISTICS'!K20*600,0)</f>
        <v/>
      </c>
    </row>
    <row r="21">
      <c r="A21" t="inlineStr">
        <is>
          <t>T1</t>
        </is>
      </c>
      <c r="B21" t="inlineStr">
        <is>
          <t>SKEWED</t>
        </is>
      </c>
      <c r="C21" t="inlineStr">
        <is>
          <t>SPT</t>
        </is>
      </c>
      <c r="D21" s="50">
        <f>'TOTAL STATISTICS'!K21/60</f>
        <v/>
      </c>
      <c r="E21" s="50">
        <f>IFERROR('TOTAL STATISTICS'!D21/'TOTAL STATISTICS'!K21*600,0)</f>
        <v/>
      </c>
      <c r="F21" s="50">
        <f>IFERROR('TOTAL STATISTICS'!E21/'TOTAL STATISTICS'!K21*600,0)</f>
        <v/>
      </c>
      <c r="G21" s="50">
        <f>IFERROR('TOTAL STATISTICS'!F21/'TOTAL STATISTICS'!K21*600,0)</f>
        <v/>
      </c>
      <c r="H21" s="50">
        <f>IFERROR('TOTAL STATISTICS'!G21/'TOTAL STATISTICS'!K21*600,0)</f>
        <v/>
      </c>
      <c r="I21" s="50">
        <f>IFERROR('TOTAL STATISTICS'!H21/'TOTAL STATISTICS'!K21*600,0)</f>
        <v/>
      </c>
      <c r="J21" s="50">
        <f>IFERROR('TOTAL STATISTICS'!I21/'TOTAL STATISTICS'!K21*600,0)</f>
        <v/>
      </c>
    </row>
    <row r="22">
      <c r="A22" t="inlineStr">
        <is>
          <t>T1</t>
        </is>
      </c>
      <c r="B22" t="inlineStr">
        <is>
          <t>FLETA</t>
        </is>
      </c>
      <c r="C22" t="inlineStr">
        <is>
          <t>SPT</t>
        </is>
      </c>
      <c r="D22" s="50">
        <f>'TOTAL STATISTICS'!K22/60</f>
        <v/>
      </c>
      <c r="E22" s="50">
        <f>IFERROR('TOTAL STATISTICS'!D22/'TOTAL STATISTICS'!K22*600,0)</f>
        <v/>
      </c>
      <c r="F22" s="50">
        <f>IFERROR('TOTAL STATISTICS'!E22/'TOTAL STATISTICS'!K22*600,0)</f>
        <v/>
      </c>
      <c r="G22" s="50">
        <f>IFERROR('TOTAL STATISTICS'!F22/'TOTAL STATISTICS'!K22*600,0)</f>
        <v/>
      </c>
      <c r="H22" s="50">
        <f>IFERROR('TOTAL STATISTICS'!G22/'TOTAL STATISTICS'!K22*600,0)</f>
        <v/>
      </c>
      <c r="I22" s="50">
        <f>IFERROR('TOTAL STATISTICS'!H22/'TOTAL STATISTICS'!K22*600,0)</f>
        <v/>
      </c>
      <c r="J22" s="50">
        <f>IFERROR('TOTAL STATISTICS'!I22/'TOTAL STATISTICS'!K22*600,0)</f>
        <v/>
      </c>
    </row>
    <row r="23">
      <c r="A23" t="inlineStr">
        <is>
          <t>ZETA</t>
        </is>
      </c>
      <c r="B23" t="inlineStr">
        <is>
          <t>BERNAR</t>
        </is>
      </c>
      <c r="C23" t="inlineStr">
        <is>
          <t>TANK</t>
        </is>
      </c>
      <c r="D23" s="50">
        <f>'TOTAL STATISTICS'!K23/60</f>
        <v/>
      </c>
      <c r="E23" s="50">
        <f>IFERROR('TOTAL STATISTICS'!D23/'TOTAL STATISTICS'!K23*600,0)</f>
        <v/>
      </c>
      <c r="F23" s="50">
        <f>IFERROR('TOTAL STATISTICS'!E23/'TOTAL STATISTICS'!K23*600,0)</f>
        <v/>
      </c>
      <c r="G23" s="50">
        <f>IFERROR('TOTAL STATISTICS'!F23/'TOTAL STATISTICS'!K23*600,0)</f>
        <v/>
      </c>
      <c r="H23" s="50">
        <f>IFERROR('TOTAL STATISTICS'!G23/'TOTAL STATISTICS'!K23*600,0)</f>
        <v/>
      </c>
      <c r="I23" s="50">
        <f>IFERROR('TOTAL STATISTICS'!H23/'TOTAL STATISTICS'!K23*600,0)</f>
        <v/>
      </c>
      <c r="J23" s="50">
        <f>IFERROR('TOTAL STATISTICS'!I23/'TOTAL STATISTICS'!K23*600,0)</f>
        <v/>
      </c>
    </row>
    <row r="24">
      <c r="A24" t="inlineStr">
        <is>
          <t>ZETA</t>
        </is>
      </c>
      <c r="B24" t="inlineStr">
        <is>
          <t>MEALGARU</t>
        </is>
      </c>
      <c r="C24" t="inlineStr">
        <is>
          <t>TANK</t>
        </is>
      </c>
      <c r="D24" s="50">
        <f>'TOTAL STATISTICS'!K24/60</f>
        <v/>
      </c>
      <c r="E24" s="50">
        <f>IFERROR('TOTAL STATISTICS'!D24/'TOTAL STATISTICS'!K24*600,0)</f>
        <v/>
      </c>
      <c r="F24" s="50">
        <f>IFERROR('TOTAL STATISTICS'!E24/'TOTAL STATISTICS'!K24*600,0)</f>
        <v/>
      </c>
      <c r="G24" s="50">
        <f>IFERROR('TOTAL STATISTICS'!F24/'TOTAL STATISTICS'!K24*600,0)</f>
        <v/>
      </c>
      <c r="H24" s="50">
        <f>IFERROR('TOTAL STATISTICS'!G24/'TOTAL STATISTICS'!K24*600,0)</f>
        <v/>
      </c>
      <c r="I24" s="50">
        <f>IFERROR('TOTAL STATISTICS'!H24/'TOTAL STATISTICS'!K24*600,0)</f>
        <v/>
      </c>
      <c r="J24" s="50">
        <f>IFERROR('TOTAL STATISTICS'!I24/'TOTAL STATISTICS'!K24*600,0)</f>
        <v/>
      </c>
    </row>
    <row r="25">
      <c r="A25" t="inlineStr">
        <is>
          <t>ZETA</t>
        </is>
      </c>
      <c r="B25" t="inlineStr">
        <is>
          <t>PROPER</t>
        </is>
      </c>
      <c r="C25" t="inlineStr">
        <is>
          <t>DPS</t>
        </is>
      </c>
      <c r="D25" s="50">
        <f>'TOTAL STATISTICS'!K25/60</f>
        <v/>
      </c>
      <c r="E25" s="50">
        <f>IFERROR('TOTAL STATISTICS'!D25/'TOTAL STATISTICS'!K25*600,0)</f>
        <v/>
      </c>
      <c r="F25" s="50">
        <f>IFERROR('TOTAL STATISTICS'!E25/'TOTAL STATISTICS'!K25*600,0)</f>
        <v/>
      </c>
      <c r="G25" s="50">
        <f>IFERROR('TOTAL STATISTICS'!F25/'TOTAL STATISTICS'!K25*600,0)</f>
        <v/>
      </c>
      <c r="H25" s="50">
        <f>IFERROR('TOTAL STATISTICS'!G25/'TOTAL STATISTICS'!K25*600,0)</f>
        <v/>
      </c>
      <c r="I25" s="50">
        <f>IFERROR('TOTAL STATISTICS'!H25/'TOTAL STATISTICS'!K25*600,0)</f>
        <v/>
      </c>
      <c r="J25" s="50">
        <f>IFERROR('TOTAL STATISTICS'!I25/'TOTAL STATISTICS'!K25*600,0)</f>
        <v/>
      </c>
    </row>
    <row r="26">
      <c r="A26" t="inlineStr">
        <is>
          <t>ZETA</t>
        </is>
      </c>
      <c r="B26" t="inlineStr">
        <is>
          <t>KNIFE</t>
        </is>
      </c>
      <c r="C26" t="inlineStr">
        <is>
          <t>DPS</t>
        </is>
      </c>
      <c r="D26" s="50">
        <f>'TOTAL STATISTICS'!K26/60</f>
        <v/>
      </c>
      <c r="E26" s="50">
        <f>IFERROR('TOTAL STATISTICS'!D26/'TOTAL STATISTICS'!K26*600,0)</f>
        <v/>
      </c>
      <c r="F26" s="50">
        <f>IFERROR('TOTAL STATISTICS'!E26/'TOTAL STATISTICS'!K26*600,0)</f>
        <v/>
      </c>
      <c r="G26" s="50">
        <f>IFERROR('TOTAL STATISTICS'!F26/'TOTAL STATISTICS'!K26*600,0)</f>
        <v/>
      </c>
      <c r="H26" s="50">
        <f>IFERROR('TOTAL STATISTICS'!G26/'TOTAL STATISTICS'!K26*600,0)</f>
        <v/>
      </c>
      <c r="I26" s="50">
        <f>IFERROR('TOTAL STATISTICS'!H26/'TOTAL STATISTICS'!K26*600,0)</f>
        <v/>
      </c>
      <c r="J26" s="50">
        <f>IFERROR('TOTAL STATISTICS'!I26/'TOTAL STATISTICS'!K26*600,0)</f>
        <v/>
      </c>
    </row>
    <row r="27">
      <c r="A27" t="inlineStr">
        <is>
          <t>ZETA</t>
        </is>
      </c>
      <c r="B27" t="inlineStr">
        <is>
          <t>VIOL2T</t>
        </is>
      </c>
      <c r="C27" t="inlineStr">
        <is>
          <t>SPT</t>
        </is>
      </c>
      <c r="D27" s="50">
        <f>'TOTAL STATISTICS'!K27/60</f>
        <v/>
      </c>
      <c r="E27" s="50">
        <f>IFERROR('TOTAL STATISTICS'!D27/'TOTAL STATISTICS'!K27*600,0)</f>
        <v/>
      </c>
      <c r="F27" s="50">
        <f>IFERROR('TOTAL STATISTICS'!E27/'TOTAL STATISTICS'!K27*600,0)</f>
        <v/>
      </c>
      <c r="G27" s="50">
        <f>IFERROR('TOTAL STATISTICS'!F27/'TOTAL STATISTICS'!K27*600,0)</f>
        <v/>
      </c>
      <c r="H27" s="50">
        <f>IFERROR('TOTAL STATISTICS'!G27/'TOTAL STATISTICS'!K27*600,0)</f>
        <v/>
      </c>
      <c r="I27" s="50">
        <f>IFERROR('TOTAL STATISTICS'!H27/'TOTAL STATISTICS'!K27*600,0)</f>
        <v/>
      </c>
      <c r="J27" s="50">
        <f>IFERROR('TOTAL STATISTICS'!I27/'TOTAL STATISTICS'!K27*600,0)</f>
        <v/>
      </c>
    </row>
    <row r="28">
      <c r="A28" t="inlineStr">
        <is>
          <t>ZETA</t>
        </is>
      </c>
      <c r="B28" t="inlineStr">
        <is>
          <t>SHU</t>
        </is>
      </c>
      <c r="C28" t="inlineStr">
        <is>
          <t>SPT</t>
        </is>
      </c>
      <c r="D28" s="50">
        <f>'TOTAL STATISTICS'!K28/60</f>
        <v/>
      </c>
      <c r="E28" s="50">
        <f>IFERROR('TOTAL STATISTICS'!D28/'TOTAL STATISTICS'!K28*600,0)</f>
        <v/>
      </c>
      <c r="F28" s="50">
        <f>IFERROR('TOTAL STATISTICS'!E28/'TOTAL STATISTICS'!K28*600,0)</f>
        <v/>
      </c>
      <c r="G28" s="50">
        <f>IFERROR('TOTAL STATISTICS'!F28/'TOTAL STATISTICS'!K28*600,0)</f>
        <v/>
      </c>
      <c r="H28" s="50">
        <f>IFERROR('TOTAL STATISTICS'!G28/'TOTAL STATISTICS'!K28*600,0)</f>
        <v/>
      </c>
      <c r="I28" s="50">
        <f>IFERROR('TOTAL STATISTICS'!H28/'TOTAL STATISTICS'!K28*600,0)</f>
        <v/>
      </c>
      <c r="J28" s="50">
        <f>IFERROR('TOTAL STATISTICS'!I28/'TOTAL STATISTICS'!K28*600,0)</f>
        <v/>
      </c>
    </row>
    <row r="29">
      <c r="A29" t="inlineStr">
        <is>
          <t>PF</t>
        </is>
      </c>
      <c r="B29" t="inlineStr">
        <is>
          <t>F1NALLY</t>
        </is>
      </c>
      <c r="C29" t="inlineStr">
        <is>
          <t>TANK</t>
        </is>
      </c>
      <c r="D29" s="50">
        <f>'TOTAL STATISTICS'!K29/60</f>
        <v/>
      </c>
      <c r="E29" s="50">
        <f>IFERROR('TOTAL STATISTICS'!D29/'TOTAL STATISTICS'!K29*600,0)</f>
        <v/>
      </c>
      <c r="F29" s="50">
        <f>IFERROR('TOTAL STATISTICS'!E29/'TOTAL STATISTICS'!K29*600,0)</f>
        <v/>
      </c>
      <c r="G29" s="50">
        <f>IFERROR('TOTAL STATISTICS'!F29/'TOTAL STATISTICS'!K29*600,0)</f>
        <v/>
      </c>
      <c r="H29" s="50">
        <f>IFERROR('TOTAL STATISTICS'!G29/'TOTAL STATISTICS'!K29*600,0)</f>
        <v/>
      </c>
      <c r="I29" s="50">
        <f>IFERROR('TOTAL STATISTICS'!H29/'TOTAL STATISTICS'!K29*600,0)</f>
        <v/>
      </c>
      <c r="J29" s="50">
        <f>IFERROR('TOTAL STATISTICS'!I29/'TOTAL STATISTICS'!K29*600,0)</f>
        <v/>
      </c>
    </row>
    <row r="30">
      <c r="A30" t="inlineStr">
        <is>
          <t>PF</t>
        </is>
      </c>
      <c r="B30" t="inlineStr">
        <is>
          <t>SORI</t>
        </is>
      </c>
      <c r="C30" t="inlineStr">
        <is>
          <t>DPS</t>
        </is>
      </c>
      <c r="D30" s="50">
        <f>'TOTAL STATISTICS'!K30/60</f>
        <v/>
      </c>
      <c r="E30" s="50">
        <f>IFERROR('TOTAL STATISTICS'!D30/'TOTAL STATISTICS'!K30*600,0)</f>
        <v/>
      </c>
      <c r="F30" s="50">
        <f>IFERROR('TOTAL STATISTICS'!E30/'TOTAL STATISTICS'!K30*600,0)</f>
        <v/>
      </c>
      <c r="G30" s="50">
        <f>IFERROR('TOTAL STATISTICS'!F30/'TOTAL STATISTICS'!K30*600,0)</f>
        <v/>
      </c>
      <c r="H30" s="50">
        <f>IFERROR('TOTAL STATISTICS'!G30/'TOTAL STATISTICS'!K30*600,0)</f>
        <v/>
      </c>
      <c r="I30" s="50">
        <f>IFERROR('TOTAL STATISTICS'!H30/'TOTAL STATISTICS'!K30*600,0)</f>
        <v/>
      </c>
      <c r="J30" s="50">
        <f>IFERROR('TOTAL STATISTICS'!I30/'TOTAL STATISTICS'!K30*600,0)</f>
        <v/>
      </c>
    </row>
    <row r="31">
      <c r="A31" t="inlineStr">
        <is>
          <t>PF</t>
        </is>
      </c>
      <c r="B31" t="inlineStr">
        <is>
          <t>SOLA</t>
        </is>
      </c>
      <c r="C31" t="inlineStr">
        <is>
          <t>DPS</t>
        </is>
      </c>
      <c r="D31" s="50">
        <f>'TOTAL STATISTICS'!K31/60</f>
        <v/>
      </c>
      <c r="E31" s="50">
        <f>IFERROR('TOTAL STATISTICS'!D31/'TOTAL STATISTICS'!K31*600,0)</f>
        <v/>
      </c>
      <c r="F31" s="50">
        <f>IFERROR('TOTAL STATISTICS'!E31/'TOTAL STATISTICS'!K31*600,0)</f>
        <v/>
      </c>
      <c r="G31" s="50">
        <f>IFERROR('TOTAL STATISTICS'!F31/'TOTAL STATISTICS'!K31*600,0)</f>
        <v/>
      </c>
      <c r="H31" s="50">
        <f>IFERROR('TOTAL STATISTICS'!G31/'TOTAL STATISTICS'!K31*600,0)</f>
        <v/>
      </c>
      <c r="I31" s="50">
        <f>IFERROR('TOTAL STATISTICS'!H31/'TOTAL STATISTICS'!K31*600,0)</f>
        <v/>
      </c>
      <c r="J31" s="50">
        <f>IFERROR('TOTAL STATISTICS'!I31/'TOTAL STATISTICS'!K31*600,0)</f>
        <v/>
      </c>
    </row>
    <row r="32">
      <c r="A32" t="inlineStr">
        <is>
          <t>PF</t>
        </is>
      </c>
      <c r="B32" t="inlineStr">
        <is>
          <t>SWOO</t>
        </is>
      </c>
      <c r="C32" t="inlineStr">
        <is>
          <t>SPT</t>
        </is>
      </c>
      <c r="D32" s="50">
        <f>'TOTAL STATISTICS'!K32/60</f>
        <v/>
      </c>
      <c r="E32" s="50">
        <f>IFERROR('TOTAL STATISTICS'!D32/'TOTAL STATISTICS'!K32*600,0)</f>
        <v/>
      </c>
      <c r="F32" s="50">
        <f>IFERROR('TOTAL STATISTICS'!E32/'TOTAL STATISTICS'!K32*600,0)</f>
        <v/>
      </c>
      <c r="G32" s="50">
        <f>IFERROR('TOTAL STATISTICS'!F32/'TOTAL STATISTICS'!K32*600,0)</f>
        <v/>
      </c>
      <c r="H32" s="50">
        <f>IFERROR('TOTAL STATISTICS'!G32/'TOTAL STATISTICS'!K32*600,0)</f>
        <v/>
      </c>
      <c r="I32" s="50">
        <f>IFERROR('TOTAL STATISTICS'!H32/'TOTAL STATISTICS'!K32*600,0)</f>
        <v/>
      </c>
      <c r="J32" s="50">
        <f>IFERROR('TOTAL STATISTICS'!I32/'TOTAL STATISTICS'!K32*600,0)</f>
        <v/>
      </c>
    </row>
    <row r="33">
      <c r="A33" t="inlineStr">
        <is>
          <t>PF</t>
        </is>
      </c>
      <c r="B33" t="inlineStr">
        <is>
          <t>CAFFEINE</t>
        </is>
      </c>
      <c r="C33" t="inlineStr">
        <is>
          <t>SPT</t>
        </is>
      </c>
      <c r="D33" s="50">
        <f>'TOTAL STATISTICS'!K33/60</f>
        <v/>
      </c>
      <c r="E33" s="50">
        <f>IFERROR('TOTAL STATISTICS'!D33/'TOTAL STATISTICS'!K33*600,0)</f>
        <v/>
      </c>
      <c r="F33" s="50">
        <f>IFERROR('TOTAL STATISTICS'!E33/'TOTAL STATISTICS'!K33*600,0)</f>
        <v/>
      </c>
      <c r="G33" s="50">
        <f>IFERROR('TOTAL STATISTICS'!F33/'TOTAL STATISTICS'!K33*600,0)</f>
        <v/>
      </c>
      <c r="H33" s="50">
        <f>IFERROR('TOTAL STATISTICS'!G33/'TOTAL STATISTICS'!K33*600,0)</f>
        <v/>
      </c>
      <c r="I33" s="50">
        <f>IFERROR('TOTAL STATISTICS'!H33/'TOTAL STATISTICS'!K33*600,0)</f>
        <v/>
      </c>
      <c r="J33" s="50">
        <f>IFERROR('TOTAL STATISTICS'!I33/'TOTAL STATISTICS'!K33*600,0)</f>
        <v/>
      </c>
    </row>
    <row r="34">
      <c r="A34" t="inlineStr">
        <is>
          <t>PF</t>
        </is>
      </c>
      <c r="B34" t="inlineStr">
        <is>
          <t>DUMBBELL</t>
        </is>
      </c>
      <c r="C34" t="inlineStr">
        <is>
          <t>SPT</t>
        </is>
      </c>
      <c r="D34" s="50">
        <f>'TOTAL STATISTICS'!K34/60</f>
        <v/>
      </c>
      <c r="E34" s="50">
        <f>IFERROR('TOTAL STATISTICS'!D34/'TOTAL STATISTICS'!K34*600,0)</f>
        <v/>
      </c>
      <c r="F34" s="50">
        <f>IFERROR('TOTAL STATISTICS'!E34/'TOTAL STATISTICS'!K34*600,0)</f>
        <v/>
      </c>
      <c r="G34" s="50">
        <f>IFERROR('TOTAL STATISTICS'!F34/'TOTAL STATISTICS'!K34*600,0)</f>
        <v/>
      </c>
      <c r="H34" s="50">
        <f>IFERROR('TOTAL STATISTICS'!G34/'TOTAL STATISTICS'!K34*600,0)</f>
        <v/>
      </c>
      <c r="I34" s="50">
        <f>IFERROR('TOTAL STATISTICS'!H34/'TOTAL STATISTICS'!K34*600,0)</f>
        <v/>
      </c>
      <c r="J34" s="50">
        <f>IFERROR('TOTAL STATISTICS'!I34/'TOTAL STATISTICS'!K34*600,0)</f>
        <v/>
      </c>
    </row>
    <row r="35">
      <c r="A35" t="inlineStr">
        <is>
          <t>PF</t>
        </is>
      </c>
      <c r="B35" t="inlineStr">
        <is>
          <t>SOAE</t>
        </is>
      </c>
      <c r="C35" t="inlineStr">
        <is>
          <t>SPT</t>
        </is>
      </c>
      <c r="D35" s="50">
        <f>'TOTAL STATISTICS'!K35/60</f>
        <v/>
      </c>
      <c r="E35" s="50">
        <f>IFERROR('TOTAL STATISTICS'!D35/'TOTAL STATISTICS'!K35*600,0)</f>
        <v/>
      </c>
      <c r="F35" s="50">
        <f>IFERROR('TOTAL STATISTICS'!E35/'TOTAL STATISTICS'!K35*600,0)</f>
        <v/>
      </c>
      <c r="G35" s="50">
        <f>IFERROR('TOTAL STATISTICS'!F35/'TOTAL STATISTICS'!K35*600,0)</f>
        <v/>
      </c>
      <c r="H35" s="50">
        <f>IFERROR('TOTAL STATISTICS'!G35/'TOTAL STATISTICS'!K35*600,0)</f>
        <v/>
      </c>
      <c r="I35" s="50">
        <f>IFERROR('TOTAL STATISTICS'!H35/'TOTAL STATISTICS'!K35*600,0)</f>
        <v/>
      </c>
      <c r="J35" s="50">
        <f>IFERROR('TOTAL STATISTICS'!I35/'TOTAL STATISTICS'!K35*600,0)</f>
        <v/>
      </c>
    </row>
    <row r="36">
      <c r="A36" t="inlineStr">
        <is>
          <t>CB</t>
        </is>
      </c>
      <c r="B36" t="inlineStr">
        <is>
          <t>BELOSREA</t>
        </is>
      </c>
      <c r="C36" t="inlineStr">
        <is>
          <t>TANK</t>
        </is>
      </c>
      <c r="D36" s="50">
        <f>'TOTAL STATISTICS'!K36/60</f>
        <v/>
      </c>
      <c r="E36" s="50">
        <f>IFERROR('TOTAL STATISTICS'!D36/'TOTAL STATISTICS'!K36*600,0)</f>
        <v/>
      </c>
      <c r="F36" s="50">
        <f>IFERROR('TOTAL STATISTICS'!E36/'TOTAL STATISTICS'!K36*600,0)</f>
        <v/>
      </c>
      <c r="G36" s="50">
        <f>IFERROR('TOTAL STATISTICS'!F36/'TOTAL STATISTICS'!K36*600,0)</f>
        <v/>
      </c>
      <c r="H36" s="50">
        <f>IFERROR('TOTAL STATISTICS'!G36/'TOTAL STATISTICS'!K36*600,0)</f>
        <v/>
      </c>
      <c r="I36" s="50">
        <f>IFERROR('TOTAL STATISTICS'!H36/'TOTAL STATISTICS'!K36*600,0)</f>
        <v/>
      </c>
      <c r="J36" s="50">
        <f>IFERROR('TOTAL STATISTICS'!I36/'TOTAL STATISTICS'!K36*600,0)</f>
        <v/>
      </c>
    </row>
    <row r="37">
      <c r="A37" t="inlineStr">
        <is>
          <t>CB</t>
        </is>
      </c>
      <c r="B37" t="inlineStr">
        <is>
          <t>TREST</t>
        </is>
      </c>
      <c r="C37" t="inlineStr">
        <is>
          <t>DPS</t>
        </is>
      </c>
      <c r="D37" s="50">
        <f>'TOTAL STATISTICS'!K37/60</f>
        <v/>
      </c>
      <c r="E37" s="50">
        <f>IFERROR('TOTAL STATISTICS'!D37/'TOTAL STATISTICS'!K37*600,0)</f>
        <v/>
      </c>
      <c r="F37" s="50">
        <f>IFERROR('TOTAL STATISTICS'!E37/'TOTAL STATISTICS'!K37*600,0)</f>
        <v/>
      </c>
      <c r="G37" s="50">
        <f>IFERROR('TOTAL STATISTICS'!F37/'TOTAL STATISTICS'!K37*600,0)</f>
        <v/>
      </c>
      <c r="H37" s="50">
        <f>IFERROR('TOTAL STATISTICS'!G37/'TOTAL STATISTICS'!K37*600,0)</f>
        <v/>
      </c>
      <c r="I37" s="50">
        <f>IFERROR('TOTAL STATISTICS'!H37/'TOTAL STATISTICS'!K37*600,0)</f>
        <v/>
      </c>
      <c r="J37" s="50">
        <f>IFERROR('TOTAL STATISTICS'!I37/'TOTAL STATISTICS'!K37*600,0)</f>
        <v/>
      </c>
    </row>
    <row r="38">
      <c r="A38" t="inlineStr">
        <is>
          <t>CB</t>
        </is>
      </c>
      <c r="B38" t="inlineStr">
        <is>
          <t>K4NE</t>
        </is>
      </c>
      <c r="C38" t="inlineStr">
        <is>
          <t>DPS</t>
        </is>
      </c>
      <c r="D38" s="50">
        <f>'TOTAL STATISTICS'!K38/60</f>
        <v/>
      </c>
      <c r="E38" s="50">
        <f>IFERROR('TOTAL STATISTICS'!D38/'TOTAL STATISTICS'!K38*600,0)</f>
        <v/>
      </c>
      <c r="F38" s="50">
        <f>IFERROR('TOTAL STATISTICS'!E38/'TOTAL STATISTICS'!K38*600,0)</f>
        <v/>
      </c>
      <c r="G38" s="50">
        <f>IFERROR('TOTAL STATISTICS'!F38/'TOTAL STATISTICS'!K38*600,0)</f>
        <v/>
      </c>
      <c r="H38" s="50">
        <f>IFERROR('TOTAL STATISTICS'!G38/'TOTAL STATISTICS'!K38*600,0)</f>
        <v/>
      </c>
      <c r="I38" s="50">
        <f>IFERROR('TOTAL STATISTICS'!H38/'TOTAL STATISTICS'!K38*600,0)</f>
        <v/>
      </c>
      <c r="J38" s="50">
        <f>IFERROR('TOTAL STATISTICS'!I38/'TOTAL STATISTICS'!K38*600,0)</f>
        <v/>
      </c>
    </row>
    <row r="39">
      <c r="A39" t="inlineStr">
        <is>
          <t>CB</t>
        </is>
      </c>
      <c r="B39" t="inlineStr">
        <is>
          <t>PROFIT</t>
        </is>
      </c>
      <c r="C39" t="inlineStr">
        <is>
          <t>DPS</t>
        </is>
      </c>
      <c r="D39" s="50">
        <f>'TOTAL STATISTICS'!K39/60</f>
        <v/>
      </c>
      <c r="E39" s="50">
        <f>IFERROR('TOTAL STATISTICS'!D39/'TOTAL STATISTICS'!K39*600,0)</f>
        <v/>
      </c>
      <c r="F39" s="50">
        <f>IFERROR('TOTAL STATISTICS'!E39/'TOTAL STATISTICS'!K39*600,0)</f>
        <v/>
      </c>
      <c r="G39" s="50">
        <f>IFERROR('TOTAL STATISTICS'!F39/'TOTAL STATISTICS'!K39*600,0)</f>
        <v/>
      </c>
      <c r="H39" s="50">
        <f>IFERROR('TOTAL STATISTICS'!G39/'TOTAL STATISTICS'!K39*600,0)</f>
        <v/>
      </c>
      <c r="I39" s="50">
        <f>IFERROR('TOTAL STATISTICS'!H39/'TOTAL STATISTICS'!K39*600,0)</f>
        <v/>
      </c>
      <c r="J39" s="50">
        <f>IFERROR('TOTAL STATISTICS'!I39/'TOTAL STATISTICS'!K39*600,0)</f>
        <v/>
      </c>
    </row>
    <row r="40">
      <c r="A40" t="inlineStr">
        <is>
          <t>CB</t>
        </is>
      </c>
      <c r="B40" t="inlineStr">
        <is>
          <t>TENTEN</t>
        </is>
      </c>
      <c r="C40" t="inlineStr">
        <is>
          <t>SPT</t>
        </is>
      </c>
      <c r="D40" s="50">
        <f>'TOTAL STATISTICS'!K40/60</f>
        <v/>
      </c>
      <c r="E40" s="50">
        <f>IFERROR('TOTAL STATISTICS'!D40/'TOTAL STATISTICS'!K40*600,0)</f>
        <v/>
      </c>
      <c r="F40" s="50">
        <f>IFERROR('TOTAL STATISTICS'!E40/'TOTAL STATISTICS'!K40*600,0)</f>
        <v/>
      </c>
      <c r="G40" s="50">
        <f>IFERROR('TOTAL STATISTICS'!F40/'TOTAL STATISTICS'!K40*600,0)</f>
        <v/>
      </c>
      <c r="H40" s="50">
        <f>IFERROR('TOTAL STATISTICS'!G40/'TOTAL STATISTICS'!K40*600,0)</f>
        <v/>
      </c>
      <c r="I40" s="50">
        <f>IFERROR('TOTAL STATISTICS'!H40/'TOTAL STATISTICS'!K40*600,0)</f>
        <v/>
      </c>
      <c r="J40" s="50">
        <f>IFERROR('TOTAL STATISTICS'!I40/'TOTAL STATISTICS'!K40*600,0)</f>
        <v/>
      </c>
    </row>
    <row r="41">
      <c r="A41" t="inlineStr">
        <is>
          <t>CB</t>
        </is>
      </c>
      <c r="B41" t="inlineStr">
        <is>
          <t>AZENT</t>
        </is>
      </c>
      <c r="C41" t="inlineStr">
        <is>
          <t>SPT</t>
        </is>
      </c>
      <c r="D41" s="50">
        <f>'TOTAL STATISTICS'!K41/60</f>
        <v/>
      </c>
      <c r="E41" s="50">
        <f>IFERROR('TOTAL STATISTICS'!D41/'TOTAL STATISTICS'!K41*600,0)</f>
        <v/>
      </c>
      <c r="F41" s="50">
        <f>IFERROR('TOTAL STATISTICS'!E41/'TOTAL STATISTICS'!K41*600,0)</f>
        <v/>
      </c>
      <c r="G41" s="50">
        <f>IFERROR('TOTAL STATISTICS'!F41/'TOTAL STATISTICS'!K41*600,0)</f>
        <v/>
      </c>
      <c r="H41" s="50">
        <f>IFERROR('TOTAL STATISTICS'!G41/'TOTAL STATISTICS'!K41*600,0)</f>
        <v/>
      </c>
      <c r="I41" s="50">
        <f>IFERROR('TOTAL STATISTICS'!H41/'TOTAL STATISTICS'!K41*600,0)</f>
        <v/>
      </c>
      <c r="J41" s="50">
        <f>IFERROR('TOTAL STATISTICS'!I41/'TOTAL STATISTICS'!K41*600,0)</f>
        <v/>
      </c>
    </row>
    <row r="42">
      <c r="A42" t="inlineStr">
        <is>
          <t>ROZE</t>
        </is>
      </c>
      <c r="B42" t="inlineStr">
        <is>
          <t>HEISER</t>
        </is>
      </c>
      <c r="C42" t="inlineStr">
        <is>
          <t>TANK</t>
        </is>
      </c>
      <c r="D42" s="50">
        <f>'TOTAL STATISTICS'!K42/60</f>
        <v/>
      </c>
      <c r="E42" s="50">
        <f>IFERROR('TOTAL STATISTICS'!D42/'TOTAL STATISTICS'!K42*600,0)</f>
        <v/>
      </c>
      <c r="F42" s="50">
        <f>IFERROR('TOTAL STATISTICS'!E42/'TOTAL STATISTICS'!K42*600,0)</f>
        <v/>
      </c>
      <c r="G42" s="50">
        <f>IFERROR('TOTAL STATISTICS'!F42/'TOTAL STATISTICS'!K42*600,0)</f>
        <v/>
      </c>
      <c r="H42" s="50">
        <f>IFERROR('TOTAL STATISTICS'!G42/'TOTAL STATISTICS'!K42*600,0)</f>
        <v/>
      </c>
      <c r="I42" s="50">
        <f>IFERROR('TOTAL STATISTICS'!H42/'TOTAL STATISTICS'!K42*600,0)</f>
        <v/>
      </c>
      <c r="J42" s="50">
        <f>IFERROR('TOTAL STATISTICS'!I42/'TOTAL STATISTICS'!K42*600,0)</f>
        <v/>
      </c>
    </row>
    <row r="43">
      <c r="A43" t="inlineStr">
        <is>
          <t>ROZE</t>
        </is>
      </c>
      <c r="B43" t="inlineStr">
        <is>
          <t>HEESUNG</t>
        </is>
      </c>
      <c r="C43" t="inlineStr">
        <is>
          <t>TANK</t>
        </is>
      </c>
      <c r="D43" s="50">
        <f>'TOTAL STATISTICS'!K43/60</f>
        <v/>
      </c>
      <c r="E43" s="50">
        <f>IFERROR('TOTAL STATISTICS'!D43/'TOTAL STATISTICS'!K43*600,0)</f>
        <v/>
      </c>
      <c r="F43" s="50">
        <f>IFERROR('TOTAL STATISTICS'!E43/'TOTAL STATISTICS'!K43*600,0)</f>
        <v/>
      </c>
      <c r="G43" s="50">
        <f>IFERROR('TOTAL STATISTICS'!F43/'TOTAL STATISTICS'!K43*600,0)</f>
        <v/>
      </c>
      <c r="H43" s="50">
        <f>IFERROR('TOTAL STATISTICS'!G43/'TOTAL STATISTICS'!K43*600,0)</f>
        <v/>
      </c>
      <c r="I43" s="50">
        <f>IFERROR('TOTAL STATISTICS'!H43/'TOTAL STATISTICS'!K43*600,0)</f>
        <v/>
      </c>
      <c r="J43" s="50">
        <f>IFERROR('TOTAL STATISTICS'!I43/'TOTAL STATISTICS'!K43*600,0)</f>
        <v/>
      </c>
    </row>
    <row r="44">
      <c r="A44" t="inlineStr">
        <is>
          <t>ROZE</t>
        </is>
      </c>
      <c r="B44" t="inlineStr">
        <is>
          <t>BECKY</t>
        </is>
      </c>
      <c r="C44" t="inlineStr">
        <is>
          <t>DPS</t>
        </is>
      </c>
      <c r="D44" s="50">
        <f>'TOTAL STATISTICS'!K44/60</f>
        <v/>
      </c>
      <c r="E44" s="50">
        <f>IFERROR('TOTAL STATISTICS'!D44/'TOTAL STATISTICS'!K44*600,0)</f>
        <v/>
      </c>
      <c r="F44" s="50">
        <f>IFERROR('TOTAL STATISTICS'!E44/'TOTAL STATISTICS'!K44*600,0)</f>
        <v/>
      </c>
      <c r="G44" s="50">
        <f>IFERROR('TOTAL STATISTICS'!F44/'TOTAL STATISTICS'!K44*600,0)</f>
        <v/>
      </c>
      <c r="H44" s="50">
        <f>IFERROR('TOTAL STATISTICS'!G44/'TOTAL STATISTICS'!K44*600,0)</f>
        <v/>
      </c>
      <c r="I44" s="50">
        <f>IFERROR('TOTAL STATISTICS'!H44/'TOTAL STATISTICS'!K44*600,0)</f>
        <v/>
      </c>
      <c r="J44" s="50">
        <f>IFERROR('TOTAL STATISTICS'!I44/'TOTAL STATISTICS'!K44*600,0)</f>
        <v/>
      </c>
    </row>
    <row r="45">
      <c r="A45" t="inlineStr">
        <is>
          <t>ROZE</t>
        </is>
      </c>
      <c r="B45" t="inlineStr">
        <is>
          <t>KILO</t>
        </is>
      </c>
      <c r="C45" t="inlineStr">
        <is>
          <t>DPS</t>
        </is>
      </c>
      <c r="D45" s="50">
        <f>'TOTAL STATISTICS'!K45/60</f>
        <v/>
      </c>
      <c r="E45" s="50">
        <f>IFERROR('TOTAL STATISTICS'!D45/'TOTAL STATISTICS'!K45*600,0)</f>
        <v/>
      </c>
      <c r="F45" s="50">
        <f>IFERROR('TOTAL STATISTICS'!E45/'TOTAL STATISTICS'!K45*600,0)</f>
        <v/>
      </c>
      <c r="G45" s="50">
        <f>IFERROR('TOTAL STATISTICS'!F45/'TOTAL STATISTICS'!K45*600,0)</f>
        <v/>
      </c>
      <c r="H45" s="50">
        <f>IFERROR('TOTAL STATISTICS'!G45/'TOTAL STATISTICS'!K45*600,0)</f>
        <v/>
      </c>
      <c r="I45" s="50">
        <f>IFERROR('TOTAL STATISTICS'!H45/'TOTAL STATISTICS'!K45*600,0)</f>
        <v/>
      </c>
      <c r="J45" s="50">
        <f>IFERROR('TOTAL STATISTICS'!I45/'TOTAL STATISTICS'!K45*600,0)</f>
        <v/>
      </c>
    </row>
    <row r="46">
      <c r="A46" t="inlineStr">
        <is>
          <t>ROZE</t>
        </is>
      </c>
      <c r="B46" t="inlineStr">
        <is>
          <t>TAEJONG</t>
        </is>
      </c>
      <c r="C46" t="inlineStr">
        <is>
          <t>DPS</t>
        </is>
      </c>
      <c r="D46" s="50">
        <f>'TOTAL STATISTICS'!K46/60</f>
        <v/>
      </c>
      <c r="E46" s="50">
        <f>IFERROR('TOTAL STATISTICS'!D46/'TOTAL STATISTICS'!K46*600,0)</f>
        <v/>
      </c>
      <c r="F46" s="50">
        <f>IFERROR('TOTAL STATISTICS'!E46/'TOTAL STATISTICS'!K46*600,0)</f>
        <v/>
      </c>
      <c r="G46" s="50">
        <f>IFERROR('TOTAL STATISTICS'!F46/'TOTAL STATISTICS'!K46*600,0)</f>
        <v/>
      </c>
      <c r="H46" s="50">
        <f>IFERROR('TOTAL STATISTICS'!G46/'TOTAL STATISTICS'!K46*600,0)</f>
        <v/>
      </c>
      <c r="I46" s="50">
        <f>IFERROR('TOTAL STATISTICS'!H46/'TOTAL STATISTICS'!K46*600,0)</f>
        <v/>
      </c>
      <c r="J46" s="50">
        <f>IFERROR('TOTAL STATISTICS'!I46/'TOTAL STATISTICS'!K46*600,0)</f>
        <v/>
      </c>
    </row>
    <row r="47">
      <c r="A47" t="inlineStr">
        <is>
          <t>ROZE</t>
        </is>
      </c>
      <c r="B47" t="inlineStr">
        <is>
          <t>OPENER</t>
        </is>
      </c>
      <c r="C47" t="inlineStr">
        <is>
          <t>SPT</t>
        </is>
      </c>
      <c r="D47" s="50">
        <f>'TOTAL STATISTICS'!K47/60</f>
        <v/>
      </c>
      <c r="E47" s="50">
        <f>IFERROR('TOTAL STATISTICS'!D47/'TOTAL STATISTICS'!K47*600,0)</f>
        <v/>
      </c>
      <c r="F47" s="50">
        <f>IFERROR('TOTAL STATISTICS'!E47/'TOTAL STATISTICS'!K47*600,0)</f>
        <v/>
      </c>
      <c r="G47" s="50">
        <f>IFERROR('TOTAL STATISTICS'!F47/'TOTAL STATISTICS'!K47*600,0)</f>
        <v/>
      </c>
      <c r="H47" s="50">
        <f>IFERROR('TOTAL STATISTICS'!G47/'TOTAL STATISTICS'!K47*600,0)</f>
        <v/>
      </c>
      <c r="I47" s="50">
        <f>IFERROR('TOTAL STATISTICS'!H47/'TOTAL STATISTICS'!K47*600,0)</f>
        <v/>
      </c>
      <c r="J47" s="50">
        <f>IFERROR('TOTAL STATISTICS'!I47/'TOTAL STATISTICS'!K47*600,0)</f>
        <v/>
      </c>
    </row>
    <row r="48">
      <c r="A48" t="inlineStr">
        <is>
          <t>ROZE</t>
        </is>
      </c>
      <c r="B48" t="inlineStr">
        <is>
          <t>IRONY</t>
        </is>
      </c>
      <c r="C48" t="inlineStr">
        <is>
          <t>SPT</t>
        </is>
      </c>
      <c r="D48" s="50">
        <f>'TOTAL STATISTICS'!K48/60</f>
        <v/>
      </c>
      <c r="E48" s="50">
        <f>IFERROR('TOTAL STATISTICS'!D48/'TOTAL STATISTICS'!K48*600,0)</f>
        <v/>
      </c>
      <c r="F48" s="50">
        <f>IFERROR('TOTAL STATISTICS'!E48/'TOTAL STATISTICS'!K48*600,0)</f>
        <v/>
      </c>
      <c r="G48" s="50">
        <f>IFERROR('TOTAL STATISTICS'!F48/'TOTAL STATISTICS'!K48*600,0)</f>
        <v/>
      </c>
      <c r="H48" s="50">
        <f>IFERROR('TOTAL STATISTICS'!G48/'TOTAL STATISTICS'!K48*600,0)</f>
        <v/>
      </c>
      <c r="I48" s="50">
        <f>IFERROR('TOTAL STATISTICS'!H48/'TOTAL STATISTICS'!K48*600,0)</f>
        <v/>
      </c>
      <c r="J48" s="50">
        <f>IFERROR('TOTAL STATISTICS'!I48/'TOTAL STATISTICS'!K48*600,0)</f>
        <v/>
      </c>
    </row>
    <row r="49">
      <c r="A49" t="inlineStr">
        <is>
          <t>SEJ</t>
        </is>
      </c>
      <c r="B49" t="inlineStr">
        <is>
          <t>DOX</t>
        </is>
      </c>
      <c r="C49" t="inlineStr">
        <is>
          <t>TANK</t>
        </is>
      </c>
      <c r="D49" s="50">
        <f>'TOTAL STATISTICS'!K49/60</f>
        <v/>
      </c>
      <c r="E49" s="50">
        <f>IFERROR('TOTAL STATISTICS'!D49/'TOTAL STATISTICS'!K49*600,0)</f>
        <v/>
      </c>
      <c r="F49" s="50">
        <f>IFERROR('TOTAL STATISTICS'!E49/'TOTAL STATISTICS'!K49*600,0)</f>
        <v/>
      </c>
      <c r="G49" s="50">
        <f>IFERROR('TOTAL STATISTICS'!F49/'TOTAL STATISTICS'!K49*600,0)</f>
        <v/>
      </c>
      <c r="H49" s="50">
        <f>IFERROR('TOTAL STATISTICS'!G49/'TOTAL STATISTICS'!K49*600,0)</f>
        <v/>
      </c>
      <c r="I49" s="50">
        <f>IFERROR('TOTAL STATISTICS'!H49/'TOTAL STATISTICS'!K49*600,0)</f>
        <v/>
      </c>
      <c r="J49" s="50">
        <f>IFERROR('TOTAL STATISTICS'!I49/'TOTAL STATISTICS'!K49*600,0)</f>
        <v/>
      </c>
    </row>
    <row r="50">
      <c r="A50" t="inlineStr">
        <is>
          <t>SEJ</t>
        </is>
      </c>
      <c r="B50" t="inlineStr">
        <is>
          <t>SENTIER</t>
        </is>
      </c>
      <c r="C50" t="inlineStr">
        <is>
          <t>TANK</t>
        </is>
      </c>
      <c r="D50" s="50">
        <f>'TOTAL STATISTICS'!K50/60</f>
        <v/>
      </c>
      <c r="E50" s="50">
        <f>IFERROR('TOTAL STATISTICS'!D50/'TOTAL STATISTICS'!K50*600,0)</f>
        <v/>
      </c>
      <c r="F50" s="50">
        <f>IFERROR('TOTAL STATISTICS'!E50/'TOTAL STATISTICS'!K50*600,0)</f>
        <v/>
      </c>
      <c r="G50" s="50">
        <f>IFERROR('TOTAL STATISTICS'!F50/'TOTAL STATISTICS'!K50*600,0)</f>
        <v/>
      </c>
      <c r="H50" s="50">
        <f>IFERROR('TOTAL STATISTICS'!G50/'TOTAL STATISTICS'!K50*600,0)</f>
        <v/>
      </c>
      <c r="I50" s="50">
        <f>IFERROR('TOTAL STATISTICS'!H50/'TOTAL STATISTICS'!K50*600,0)</f>
        <v/>
      </c>
      <c r="J50" s="50">
        <f>IFERROR('TOTAL STATISTICS'!I50/'TOTAL STATISTICS'!K50*600,0)</f>
        <v/>
      </c>
    </row>
    <row r="51">
      <c r="A51" t="inlineStr">
        <is>
          <t>SEJ</t>
        </is>
      </c>
      <c r="B51" t="inlineStr">
        <is>
          <t>M1NUT2</t>
        </is>
      </c>
      <c r="C51" t="inlineStr">
        <is>
          <t>DPS</t>
        </is>
      </c>
      <c r="D51" s="50">
        <f>'TOTAL STATISTICS'!K51/60</f>
        <v/>
      </c>
      <c r="E51" s="50">
        <f>IFERROR('TOTAL STATISTICS'!D51/'TOTAL STATISTICS'!K51*600,0)</f>
        <v/>
      </c>
      <c r="F51" s="50">
        <f>IFERROR('TOTAL STATISTICS'!E51/'TOTAL STATISTICS'!K51*600,0)</f>
        <v/>
      </c>
      <c r="G51" s="50">
        <f>IFERROR('TOTAL STATISTICS'!F51/'TOTAL STATISTICS'!K51*600,0)</f>
        <v/>
      </c>
      <c r="H51" s="50">
        <f>IFERROR('TOTAL STATISTICS'!G51/'TOTAL STATISTICS'!K51*600,0)</f>
        <v/>
      </c>
      <c r="I51" s="50">
        <f>IFERROR('TOTAL STATISTICS'!H51/'TOTAL STATISTICS'!K51*600,0)</f>
        <v/>
      </c>
      <c r="J51" s="50">
        <f>IFERROR('TOTAL STATISTICS'!I51/'TOTAL STATISTICS'!K51*600,0)</f>
        <v/>
      </c>
    </row>
    <row r="52">
      <c r="A52" t="inlineStr">
        <is>
          <t>SEJ</t>
        </is>
      </c>
      <c r="B52" t="inlineStr">
        <is>
          <t>D4RT</t>
        </is>
      </c>
      <c r="C52" t="inlineStr">
        <is>
          <t>DPS</t>
        </is>
      </c>
      <c r="D52" s="50">
        <f>'TOTAL STATISTICS'!K52/60</f>
        <v/>
      </c>
      <c r="E52" s="50">
        <f>IFERROR('TOTAL STATISTICS'!D52/'TOTAL STATISTICS'!K52*600,0)</f>
        <v/>
      </c>
      <c r="F52" s="50">
        <f>IFERROR('TOTAL STATISTICS'!E52/'TOTAL STATISTICS'!K52*600,0)</f>
        <v/>
      </c>
      <c r="G52" s="50">
        <f>IFERROR('TOTAL STATISTICS'!F52/'TOTAL STATISTICS'!K52*600,0)</f>
        <v/>
      </c>
      <c r="H52" s="50">
        <f>IFERROR('TOTAL STATISTICS'!G52/'TOTAL STATISTICS'!K52*600,0)</f>
        <v/>
      </c>
      <c r="I52" s="50">
        <f>IFERROR('TOTAL STATISTICS'!H52/'TOTAL STATISTICS'!K52*600,0)</f>
        <v/>
      </c>
      <c r="J52" s="50">
        <f>IFERROR('TOTAL STATISTICS'!I52/'TOTAL STATISTICS'!K52*600,0)</f>
        <v/>
      </c>
    </row>
    <row r="53">
      <c r="A53" t="inlineStr">
        <is>
          <t>SEJ</t>
        </is>
      </c>
      <c r="B53" t="inlineStr">
        <is>
          <t>OFF</t>
        </is>
      </c>
      <c r="C53" t="inlineStr">
        <is>
          <t>SPT</t>
        </is>
      </c>
      <c r="D53" s="50">
        <f>'TOTAL STATISTICS'!K53/60</f>
        <v/>
      </c>
      <c r="E53" s="50">
        <f>IFERROR('TOTAL STATISTICS'!D53/'TOTAL STATISTICS'!K53*600,0)</f>
        <v/>
      </c>
      <c r="F53" s="50">
        <f>IFERROR('TOTAL STATISTICS'!E53/'TOTAL STATISTICS'!K53*600,0)</f>
        <v/>
      </c>
      <c r="G53" s="50">
        <f>IFERROR('TOTAL STATISTICS'!F53/'TOTAL STATISTICS'!K53*600,0)</f>
        <v/>
      </c>
      <c r="H53" s="50">
        <f>IFERROR('TOTAL STATISTICS'!G53/'TOTAL STATISTICS'!K53*600,0)</f>
        <v/>
      </c>
      <c r="I53" s="50">
        <f>IFERROR('TOTAL STATISTICS'!H53/'TOTAL STATISTICS'!K53*600,0)</f>
        <v/>
      </c>
      <c r="J53" s="50">
        <f>IFERROR('TOTAL STATISTICS'!I53/'TOTAL STATISTICS'!K53*600,0)</f>
        <v/>
      </c>
    </row>
    <row r="54">
      <c r="A54" t="inlineStr">
        <is>
          <t>SEJ</t>
        </is>
      </c>
      <c r="B54" t="inlineStr">
        <is>
          <t>LAVENDER</t>
        </is>
      </c>
      <c r="C54" t="inlineStr">
        <is>
          <t>SPT</t>
        </is>
      </c>
      <c r="D54" s="50">
        <f>'TOTAL STATISTICS'!K54/60</f>
        <v/>
      </c>
      <c r="E54" s="50">
        <f>IFERROR('TOTAL STATISTICS'!D54/'TOTAL STATISTICS'!K54*600,0)</f>
        <v/>
      </c>
      <c r="F54" s="50">
        <f>IFERROR('TOTAL STATISTICS'!E54/'TOTAL STATISTICS'!K54*600,0)</f>
        <v/>
      </c>
      <c r="G54" s="50">
        <f>IFERROR('TOTAL STATISTICS'!F54/'TOTAL STATISTICS'!K54*600,0)</f>
        <v/>
      </c>
      <c r="H54" s="50">
        <f>IFERROR('TOTAL STATISTICS'!G54/'TOTAL STATISTICS'!K54*600,0)</f>
        <v/>
      </c>
      <c r="I54" s="50">
        <f>IFERROR('TOTAL STATISTICS'!H54/'TOTAL STATISTICS'!K54*600,0)</f>
        <v/>
      </c>
      <c r="J54" s="50">
        <f>IFERROR('TOTAL STATISTICS'!I54/'TOTAL STATISTICS'!K54*600,0)</f>
        <v/>
      </c>
    </row>
    <row r="55">
      <c r="A55" t="inlineStr">
        <is>
          <t>O2</t>
        </is>
      </c>
      <c r="B55" t="inlineStr">
        <is>
          <t>FATE</t>
        </is>
      </c>
      <c r="C55" t="inlineStr">
        <is>
          <t>TANK</t>
        </is>
      </c>
      <c r="D55" s="50">
        <f>'TOTAL STATISTICS'!K55/60</f>
        <v/>
      </c>
      <c r="E55" s="50">
        <f>IFERROR('TOTAL STATISTICS'!D55/'TOTAL STATISTICS'!K55*600,0)</f>
        <v/>
      </c>
      <c r="F55" s="50">
        <f>IFERROR('TOTAL STATISTICS'!E55/'TOTAL STATISTICS'!K55*600,0)</f>
        <v/>
      </c>
      <c r="G55" s="50">
        <f>IFERROR('TOTAL STATISTICS'!F55/'TOTAL STATISTICS'!K55*600,0)</f>
        <v/>
      </c>
      <c r="H55" s="50">
        <f>IFERROR('TOTAL STATISTICS'!G55/'TOTAL STATISTICS'!K55*600,0)</f>
        <v/>
      </c>
      <c r="I55" s="50">
        <f>IFERROR('TOTAL STATISTICS'!H55/'TOTAL STATISTICS'!K55*600,0)</f>
        <v/>
      </c>
      <c r="J55" s="50">
        <f>IFERROR('TOTAL STATISTICS'!I55/'TOTAL STATISTICS'!K55*600,0)</f>
        <v/>
      </c>
    </row>
    <row r="56">
      <c r="A56" t="inlineStr">
        <is>
          <t>O2</t>
        </is>
      </c>
      <c r="B56" t="inlineStr">
        <is>
          <t>HOMERUNBALL</t>
        </is>
      </c>
      <c r="C56" t="inlineStr">
        <is>
          <t>TANK</t>
        </is>
      </c>
      <c r="D56" s="50">
        <f>'TOTAL STATISTICS'!K56/60</f>
        <v/>
      </c>
      <c r="E56" s="50">
        <f>IFERROR('TOTAL STATISTICS'!D56/'TOTAL STATISTICS'!K56*600,0)</f>
        <v/>
      </c>
      <c r="F56" s="50">
        <f>IFERROR('TOTAL STATISTICS'!E56/'TOTAL STATISTICS'!K56*600,0)</f>
        <v/>
      </c>
      <c r="G56" s="50">
        <f>IFERROR('TOTAL STATISTICS'!F56/'TOTAL STATISTICS'!K56*600,0)</f>
        <v/>
      </c>
      <c r="H56" s="50">
        <f>IFERROR('TOTAL STATISTICS'!G56/'TOTAL STATISTICS'!K56*600,0)</f>
        <v/>
      </c>
      <c r="I56" s="50">
        <f>IFERROR('TOTAL STATISTICS'!H56/'TOTAL STATISTICS'!K56*600,0)</f>
        <v/>
      </c>
      <c r="J56" s="50">
        <f>IFERROR('TOTAL STATISTICS'!I56/'TOTAL STATISTICS'!K56*600,0)</f>
        <v/>
      </c>
    </row>
    <row r="57">
      <c r="A57" t="inlineStr">
        <is>
          <t>O2</t>
        </is>
      </c>
      <c r="B57" t="inlineStr">
        <is>
          <t>WUTIAN</t>
        </is>
      </c>
      <c r="C57" t="inlineStr">
        <is>
          <t>DPS</t>
        </is>
      </c>
      <c r="D57" s="50">
        <f>'TOTAL STATISTICS'!K57/60</f>
        <v/>
      </c>
      <c r="E57" s="50">
        <f>IFERROR('TOTAL STATISTICS'!D57/'TOTAL STATISTICS'!K57*600,0)</f>
        <v/>
      </c>
      <c r="F57" s="50">
        <f>IFERROR('TOTAL STATISTICS'!E57/'TOTAL STATISTICS'!K57*600,0)</f>
        <v/>
      </c>
      <c r="G57" s="50">
        <f>IFERROR('TOTAL STATISTICS'!F57/'TOTAL STATISTICS'!K57*600,0)</f>
        <v/>
      </c>
      <c r="H57" s="50">
        <f>IFERROR('TOTAL STATISTICS'!G57/'TOTAL STATISTICS'!K57*600,0)</f>
        <v/>
      </c>
      <c r="I57" s="50">
        <f>IFERROR('TOTAL STATISTICS'!H57/'TOTAL STATISTICS'!K57*600,0)</f>
        <v/>
      </c>
      <c r="J57" s="50">
        <f>IFERROR('TOTAL STATISTICS'!I57/'TOTAL STATISTICS'!K57*600,0)</f>
        <v/>
      </c>
    </row>
    <row r="58">
      <c r="A58" t="inlineStr">
        <is>
          <t>O2</t>
        </is>
      </c>
      <c r="B58" t="inlineStr">
        <is>
          <t>PERR</t>
        </is>
      </c>
      <c r="C58" t="inlineStr">
        <is>
          <t>DPS</t>
        </is>
      </c>
      <c r="D58" s="50">
        <f>'TOTAL STATISTICS'!K58/60</f>
        <v/>
      </c>
      <c r="E58" s="50">
        <f>IFERROR('TOTAL STATISTICS'!D58/'TOTAL STATISTICS'!K58*600,0)</f>
        <v/>
      </c>
      <c r="F58" s="50">
        <f>IFERROR('TOTAL STATISTICS'!E58/'TOTAL STATISTICS'!K58*600,0)</f>
        <v/>
      </c>
      <c r="G58" s="50">
        <f>IFERROR('TOTAL STATISTICS'!F58/'TOTAL STATISTICS'!K58*600,0)</f>
        <v/>
      </c>
      <c r="H58" s="50">
        <f>IFERROR('TOTAL STATISTICS'!G58/'TOTAL STATISTICS'!K58*600,0)</f>
        <v/>
      </c>
      <c r="I58" s="50">
        <f>IFERROR('TOTAL STATISTICS'!H58/'TOTAL STATISTICS'!K58*600,0)</f>
        <v/>
      </c>
      <c r="J58" s="50">
        <f>IFERROR('TOTAL STATISTICS'!I58/'TOTAL STATISTICS'!K58*600,0)</f>
        <v/>
      </c>
    </row>
    <row r="59">
      <c r="A59" t="inlineStr">
        <is>
          <t>O2</t>
        </is>
      </c>
      <c r="B59" t="inlineStr">
        <is>
          <t>A1IEN</t>
        </is>
      </c>
      <c r="C59" t="inlineStr">
        <is>
          <t>DPS</t>
        </is>
      </c>
      <c r="D59" s="50">
        <f>'TOTAL STATISTICS'!K59/60</f>
        <v/>
      </c>
      <c r="E59" s="50">
        <f>IFERROR('TOTAL STATISTICS'!D59/'TOTAL STATISTICS'!K59*600,0)</f>
        <v/>
      </c>
      <c r="F59" s="50">
        <f>IFERROR('TOTAL STATISTICS'!E59/'TOTAL STATISTICS'!K59*600,0)</f>
        <v/>
      </c>
      <c r="G59" s="50">
        <f>IFERROR('TOTAL STATISTICS'!F59/'TOTAL STATISTICS'!K59*600,0)</f>
        <v/>
      </c>
      <c r="H59" s="50">
        <f>IFERROR('TOTAL STATISTICS'!G59/'TOTAL STATISTICS'!K59*600,0)</f>
        <v/>
      </c>
      <c r="I59" s="50">
        <f>IFERROR('TOTAL STATISTICS'!H59/'TOTAL STATISTICS'!K59*600,0)</f>
        <v/>
      </c>
      <c r="J59" s="50">
        <f>IFERROR('TOTAL STATISTICS'!I59/'TOTAL STATISTICS'!K59*600,0)</f>
        <v/>
      </c>
    </row>
    <row r="60">
      <c r="A60" t="inlineStr">
        <is>
          <t>O2</t>
        </is>
      </c>
      <c r="B60" t="inlineStr">
        <is>
          <t>FAITH</t>
        </is>
      </c>
      <c r="C60" t="inlineStr">
        <is>
          <t>SPT</t>
        </is>
      </c>
      <c r="D60" s="50">
        <f>'TOTAL STATISTICS'!K60/60</f>
        <v/>
      </c>
      <c r="E60" s="50">
        <f>IFERROR('TOTAL STATISTICS'!D60/'TOTAL STATISTICS'!K60*600,0)</f>
        <v/>
      </c>
      <c r="F60" s="50">
        <f>IFERROR('TOTAL STATISTICS'!E60/'TOTAL STATISTICS'!K60*600,0)</f>
        <v/>
      </c>
      <c r="G60" s="50">
        <f>IFERROR('TOTAL STATISTICS'!F60/'TOTAL STATISTICS'!K60*600,0)</f>
        <v/>
      </c>
      <c r="H60" s="50">
        <f>IFERROR('TOTAL STATISTICS'!G60/'TOTAL STATISTICS'!K60*600,0)</f>
        <v/>
      </c>
      <c r="I60" s="50">
        <f>IFERROR('TOTAL STATISTICS'!H60/'TOTAL STATISTICS'!K60*600,0)</f>
        <v/>
      </c>
      <c r="J60" s="50">
        <f>IFERROR('TOTAL STATISTICS'!I60/'TOTAL STATISTICS'!K60*600,0)</f>
        <v/>
      </c>
    </row>
    <row r="61">
      <c r="A61" t="inlineStr">
        <is>
          <t>O2</t>
        </is>
      </c>
      <c r="B61" t="inlineStr">
        <is>
          <t>GAMJUNG</t>
        </is>
      </c>
      <c r="C61" t="inlineStr">
        <is>
          <t>SPT</t>
        </is>
      </c>
      <c r="D61" s="50">
        <f>'TOTAL STATISTICS'!K61/60</f>
        <v/>
      </c>
      <c r="E61" s="50">
        <f>IFERROR('TOTAL STATISTICS'!D61/'TOTAL STATISTICS'!K61*600,0)</f>
        <v/>
      </c>
      <c r="F61" s="50">
        <f>IFERROR('TOTAL STATISTICS'!E61/'TOTAL STATISTICS'!K61*600,0)</f>
        <v/>
      </c>
      <c r="G61" s="50">
        <f>IFERROR('TOTAL STATISTICS'!F61/'TOTAL STATISTICS'!K61*600,0)</f>
        <v/>
      </c>
      <c r="H61" s="50">
        <f>IFERROR('TOTAL STATISTICS'!G61/'TOTAL STATISTICS'!K61*600,0)</f>
        <v/>
      </c>
      <c r="I61" s="50">
        <f>IFERROR('TOTAL STATISTICS'!H61/'TOTAL STATISTICS'!K61*600,0)</f>
        <v/>
      </c>
      <c r="J61" s="50">
        <f>IFERROR('TOTAL STATISTICS'!I61/'TOTAL STATISTICS'!K61*600,0)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10" defaultRowHeight="18"/>
  <sheetData>
    <row r="1">
      <c r="A1" s="7" t="inlineStr">
        <is>
          <t>Date</t>
        </is>
      </c>
      <c r="B1" s="7" t="inlineStr">
        <is>
          <t>Match</t>
        </is>
      </c>
      <c r="C1" s="7" t="inlineStr">
        <is>
          <t>POTM</t>
        </is>
      </c>
      <c r="D1" s="7" t="inlineStr">
        <is>
          <t>Position</t>
        </is>
      </c>
    </row>
    <row r="2">
      <c r="A2" s="7" t="n"/>
      <c r="B2" s="7" t="n"/>
      <c r="C2" s="7" t="n"/>
      <c r="D2" s="7" t="n"/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2026-09-24T00:42:47Z</dcterms:created>
  <dcterms:modified xmlns:dcterms="http://purl.org/dc/terms/" xmlns:xsi="http://www.w3.org/2001/XMLSchema-instance" xsi:type="dcterms:W3CDTF">2026-09-24T00:42:48Z</dcterms:modified>
  <cp:lastModifiedBy>Leo Her</cp:lastModifiedBy>
</cp:coreProperties>
</file>