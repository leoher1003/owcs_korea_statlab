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17326b8f0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INFO" sheetId="1" r:id="R2896048499de4351"/>
    <x:sheet xmlns:r="http://schemas.openxmlformats.org/officeDocument/2006/relationships" name="MATCH INFO" sheetId="2" r:id="R0c9427711b414ff1"/>
    <x:sheet xmlns:r="http://schemas.openxmlformats.org/officeDocument/2006/relationships" name="MATCH_W1" sheetId="3" r:id="Rf6528d8c62e94890"/>
    <x:sheet xmlns:r="http://schemas.openxmlformats.org/officeDocument/2006/relationships" name="MATCH_W2" sheetId="4" r:id="R2b3d50665e354072"/>
    <x:sheet xmlns:r="http://schemas.openxmlformats.org/officeDocument/2006/relationships" name="MATCH_W3" sheetId="5" r:id="Rfd59ebaab00d45bd"/>
    <x:sheet xmlns:r="http://schemas.openxmlformats.org/officeDocument/2006/relationships" name="MATCH_W4" sheetId="6" r:id="R24b4a85e6b9a424d"/>
    <x:sheet xmlns:r="http://schemas.openxmlformats.org/officeDocument/2006/relationships" name="MATCH_W5" sheetId="7" r:id="R141226315b084849"/>
    <x:sheet xmlns:r="http://schemas.openxmlformats.org/officeDocument/2006/relationships" name="MATCH_W6" sheetId="8" r:id="Rd94d8f76427c4211"/>
    <x:sheet xmlns:r="http://schemas.openxmlformats.org/officeDocument/2006/relationships" name="TOTAL STATISTICS" sheetId="9" r:id="Rc045849967c847c0"/>
    <x:sheet xmlns:r="http://schemas.openxmlformats.org/officeDocument/2006/relationships" name="Per10 STATISTICS" sheetId="10" r:id="R3ce74e9b3bd7495c"/>
    <x:sheet xmlns:r="http://schemas.openxmlformats.org/officeDocument/2006/relationships" name="POTM" sheetId="11" r:id="Re0cdcd2d9c0e48eb"/>
  </x:sheets>
</x:workbook>
</file>

<file path=xl/sharedStrings.xml><?xml version="1.0" encoding="utf-8"?>
<x:sst xmlns:x="http://schemas.openxmlformats.org/spreadsheetml/2006/main">
  <x:si>
    <x:t xml:space="preserve">Team Name</x:t>
  </x:si>
  <x:si>
    <x:t xml:space="preserve">Shortened</x:t>
  </x:si>
  <x:si>
    <x:t xml:space="preserve">Player Name</x:t>
  </x:si>
  <x:si>
    <x:t xml:space="preserve">Player Position</x:t>
  </x:si>
  <x:si>
    <x:t xml:space="preserve">Detailed</x:t>
  </x:si>
  <x:si>
    <x:t xml:space="preserve">O2 Blast</x:t>
  </x:si>
  <x:si>
    <x:t xml:space="preserve">O2</x:t>
  </x:si>
  <x:si>
    <x:t xml:space="preserve">FATE</x:t>
  </x:si>
  <x:si>
    <x:t xml:space="preserve">TANK</x:t>
  </x:si>
  <x:si>
    <x:t xml:space="preserve">SEUNGAN</x:t>
  </x:si>
  <x:si>
    <x:t xml:space="preserve">WUTIAN</x:t>
  </x:si>
  <x:si>
    <x:t xml:space="preserve">DPS</x:t>
  </x:si>
  <x:si>
    <x:t xml:space="preserve">FLEX DPS</x:t>
  </x:si>
  <x:si>
    <x:t xml:space="preserve">PERR</x:t>
  </x:si>
  <x:si>
    <x:t xml:space="preserve">MAIN DPS</x:t>
  </x:si>
  <x:si>
    <x:t xml:space="preserve">FAITH</x:t>
  </x:si>
  <x:si>
    <x:t xml:space="preserve">SPT</x:t>
  </x:si>
  <x:si>
    <x:t xml:space="preserve">MAIN SPT</x:t>
  </x:si>
  <x:si>
    <x:t xml:space="preserve">MISIN</x:t>
  </x:si>
  <x:si>
    <x:t xml:space="preserve">FLEX SPT</x:t>
  </x:si>
  <x:si>
    <x:t xml:space="preserve">GAMJUNG</x:t>
  </x:si>
  <x:si>
    <x:t xml:space="preserve">Røde Zanside Gaming</x:t>
  </x:si>
  <x:si>
    <x:t xml:space="preserve">ROZE</x:t>
  </x:si>
  <x:si>
    <x:t xml:space="preserve">VOID</x:t>
  </x:si>
  <x:si>
    <x:t xml:space="preserve">HEISER</x:t>
  </x:si>
  <x:si>
    <x:t xml:space="preserve">BECKY</x:t>
  </x:si>
  <x:si>
    <x:t xml:space="preserve">KILO</x:t>
  </x:si>
  <x:si>
    <x:t xml:space="preserve">PROBE</x:t>
  </x:si>
  <x:si>
    <x:t xml:space="preserve">OPENER</x:t>
  </x:si>
  <x:si>
    <x:t xml:space="preserve">IRONY</x:t>
  </x:si>
  <x:si>
    <x:t xml:space="preserve">Cheeseburger</x:t>
  </x:si>
  <x:si>
    <x:t xml:space="preserve">CB</x:t>
  </x:si>
  <x:si>
    <x:t xml:space="preserve">FARMER</x:t>
  </x:si>
  <x:si>
    <x:t xml:space="preserve">GUR3UM</x:t>
  </x:si>
  <x:si>
    <x:t xml:space="preserve">ARGON</x:t>
  </x:si>
  <x:si>
    <x:t xml:space="preserve">M1NUT2</x:t>
  </x:si>
  <x:si>
    <x:t xml:space="preserve">TENTEN</x:t>
  </x:si>
  <x:si>
    <x:t xml:space="preserve">WOOCHAN</x:t>
  </x:si>
  <x:si>
    <x:t xml:space="preserve">Poker Face</x:t>
  </x:si>
  <x:si>
    <x:t xml:space="preserve">PF</x:t>
  </x:si>
  <x:si>
    <x:t xml:space="preserve">FEARFUL</x:t>
  </x:si>
  <x:si>
    <x:t xml:space="preserve">HYEON</x:t>
  </x:si>
  <x:si>
    <x:t xml:space="preserve">D0D0</x:t>
  </x:si>
  <x:si>
    <x:t xml:space="preserve">K4NE</x:t>
  </x:si>
  <x:si>
    <x:t xml:space="preserve">SP1NEL</x:t>
  </x:si>
  <x:si>
    <x:t xml:space="preserve">CARU</x:t>
  </x:si>
  <x:si>
    <x:t xml:space="preserve">ZETA DIVISION</x:t>
  </x:si>
  <x:si>
    <x:t xml:space="preserve">ZETA</x:t>
  </x:si>
  <x:si>
    <x:t xml:space="preserve">MEALGARU</x:t>
  </x:si>
  <x:si>
    <x:t xml:space="preserve">BERNAR</x:t>
  </x:si>
  <x:si>
    <x:t xml:space="preserve">PROPER</x:t>
  </x:si>
  <x:si>
    <x:t xml:space="preserve">KNIFE</x:t>
  </x:si>
  <x:si>
    <x:t xml:space="preserve">VIOL2T</x:t>
  </x:si>
  <x:si>
    <x:t xml:space="preserve">SHU</x:t>
  </x:si>
  <x:si>
    <x:t xml:space="preserve">Crazy Raccoon</x:t>
  </x:si>
  <x:si>
    <x:t xml:space="preserve">CR</x:t>
  </x:si>
  <x:si>
    <x:t xml:space="preserve">JUNBIN</x:t>
  </x:si>
  <x:si>
    <x:t xml:space="preserve">MAX</x:t>
  </x:si>
  <x:si>
    <x:t xml:space="preserve">HEESANG</x:t>
  </x:si>
  <x:si>
    <x:t xml:space="preserve">LIP</x:t>
  </x:si>
  <x:si>
    <x:t xml:space="preserve">STALK3R</x:t>
  </x:si>
  <x:si>
    <x:t xml:space="preserve">CH0R0NG</x:t>
  </x:si>
  <x:si>
    <x:t xml:space="preserve">VIGILANTE</x:t>
  </x:si>
  <x:si>
    <x:t xml:space="preserve">T1</x:t>
  </x:si>
  <x:si>
    <x:t xml:space="preserve">DONGHAK</x:t>
  </x:si>
  <x:si>
    <x:t xml:space="preserve">JASM1NE</x:t>
  </x:si>
  <x:si>
    <x:t xml:space="preserve">ZEST</x:t>
  </x:si>
  <x:si>
    <x:t xml:space="preserve">PROUD</x:t>
  </x:si>
  <x:si>
    <x:t xml:space="preserve">FLETA</x:t>
  </x:si>
  <x:si>
    <x:t xml:space="preserve">BLISS</x:t>
  </x:si>
  <x:si>
    <x:t xml:space="preserve">SKEWED</x:t>
  </x:si>
  <x:si>
    <x:t xml:space="preserve">Team Falcons</x:t>
  </x:si>
  <x:si>
    <x:t xml:space="preserve">FLC</x:t>
  </x:si>
  <x:si>
    <x:t xml:space="preserve">SOMEONE</x:t>
  </x:si>
  <x:si>
    <x:t xml:space="preserve">HANBIN</x:t>
  </x:si>
  <x:si>
    <x:t xml:space="preserve">SP1NT</x:t>
  </x:si>
  <x:si>
    <x:t xml:space="preserve">CHECKMATE</x:t>
  </x:si>
  <x:si>
    <x:t xml:space="preserve">MER1T</x:t>
  </x:si>
  <x:si>
    <x:t xml:space="preserve">CHIYO</x:t>
  </x:si>
  <x:si>
    <x:t xml:space="preserve">FIELDER</x:t>
  </x:si>
  <x:si>
    <x:t xml:space="preserve">SuperBad</x:t>
  </x:si>
  <x:si>
    <x:t xml:space="preserve">SB</x:t>
  </x:si>
  <x:si>
    <x:t xml:space="preserve">SENTIER</x:t>
  </x:si>
  <x:si>
    <x:t xml:space="preserve">HOMERUNBALL</x:t>
  </x:si>
  <x:si>
    <x:t xml:space="preserve">AZENT</x:t>
  </x:si>
  <x:si>
    <x:t xml:space="preserve">SORI</x:t>
  </x:si>
  <x:si>
    <x:t xml:space="preserve">SOAE</x:t>
  </x:si>
  <x:si>
    <x:t xml:space="preserve">DUMBBELL</x:t>
  </x:si>
  <x:si>
    <x:t xml:space="preserve">UNIV2R</x:t>
  </x:si>
  <x:si>
    <x:t xml:space="preserve">WEEK</x:t>
  </x:si>
  <x:si>
    <x:t xml:space="preserve">DAY</x:t>
  </x:si>
  <x:si>
    <x:t xml:space="preserve">MATCH</x:t>
  </x:si>
  <x:si>
    <x:t xml:space="preserve">Set #</x:t>
  </x:si>
  <x:si>
    <x:t xml:space="preserve">DATE</x:t>
  </x:si>
  <x:si>
    <x:t xml:space="preserve">PHASE</x:t>
  </x:si>
  <x:si>
    <x:t xml:space="preserve">TEAM 1</x:t>
  </x:si>
  <x:si>
    <x:t xml:space="preserve">TEAM 2</x:t>
  </x:si>
  <x:si>
    <x:t xml:space="preserve">MAP</x:t>
  </x:si>
  <x:si>
    <x:t xml:space="preserve">MAP TYPE</x:t>
  </x:si>
  <x:si>
    <x:t xml:space="preserve">TIME</x:t>
  </x:si>
  <x:si>
    <x:t xml:space="preserve">WINNER</x:t>
  </x:si>
  <x:si>
    <x:t xml:space="preserve">TEAM 1 BAN</x:t>
  </x:si>
  <x:si>
    <x:t xml:space="preserve">TEAM 2 BAN</x:t>
  </x:si>
  <x:si>
    <x:t xml:space="preserve">MATCH_ID</x:t>
  </x:si>
  <x:si>
    <x:t xml:space="preserve">TEAM 1 SCORE</x:t>
  </x:si>
  <x:si>
    <x:t xml:space="preserve">TEAM 2 SCORE</x:t>
  </x:si>
  <x:si>
    <x:t xml:space="preserve">Round Robin</x:t>
  </x:si>
  <x:si>
    <x:t xml:space="preserve">Ilios</x:t>
  </x:si>
  <x:si>
    <x:t xml:space="preserve">D.Va</x:t>
  </x:si>
  <x:si>
    <x:t xml:space="preserve">Jetpack Cat</x:t>
  </x:si>
  <x:si>
    <x:t xml:space="preserve">Suravasa</x:t>
  </x:si>
  <x:si>
    <x:t xml:space="preserve">Symmetra</x:t>
  </x:si>
  <x:si>
    <x:t xml:space="preserve">Domina</x:t>
  </x:si>
  <x:si>
    <x:t xml:space="preserve">Runasapi</x:t>
  </x:si>
  <x:si>
    <x:t xml:space="preserve">Lucio</x:t>
  </x:si>
  <x:si>
    <x:t xml:space="preserve">Pharah</x:t>
  </x:si>
  <x:si>
    <x:t xml:space="preserve">Antarctic Peninsula</x:t>
  </x:si>
  <x:si>
    <x:t xml:space="preserve">Mei</x:t>
  </x:si>
  <x:si>
    <x:t xml:space="preserve">Reinhardt</x:t>
  </x:si>
  <x:si>
    <x:t xml:space="preserve">King's Row</x:t>
  </x:si>
  <x:si>
    <x:t xml:space="preserve">New Queen Street</x:t>
  </x:si>
  <x:si>
    <x:t xml:space="preserve">Wrecking Ball</x:t>
  </x:si>
  <x:si>
    <x:t xml:space="preserve">Bastion</x:t>
  </x:si>
  <x:si>
    <x:t xml:space="preserve">Rialto</x:t>
  </x:si>
  <x:si>
    <x:t xml:space="preserve">New Junk City</x:t>
  </x:si>
  <x:si>
    <x:t xml:space="preserve">Cassidy</x:t>
  </x:si>
  <x:si>
    <x:t xml:space="preserve">Mauga</x:t>
  </x:si>
  <x:si>
    <x:t xml:space="preserve">Kiriko</x:t>
  </x:si>
  <x:si>
    <x:t xml:space="preserve">Zarya</x:t>
  </x:si>
  <x:si>
    <x:t xml:space="preserve">Juno</x:t>
  </x:si>
  <x:si>
    <x:t xml:space="preserve">Sigma</x:t>
  </x:si>
  <x:si>
    <x:t xml:space="preserve">Oasis</x:t>
  </x:si>
  <x:si>
    <x:t xml:space="preserve">Roadhog</x:t>
  </x:si>
  <x:si>
    <x:t xml:space="preserve">Numbani</x:t>
  </x:si>
  <x:si>
    <x:t xml:space="preserve">Illari</x:t>
  </x:si>
  <x:si>
    <x:t xml:space="preserve">Mizuki</x:t>
  </x:si>
  <x:si>
    <x:t xml:space="preserve">Sojourn</x:t>
  </x:si>
  <x:si>
    <x:t xml:space="preserve">Ana</x:t>
  </x:si>
  <x:si>
    <x:t xml:space="preserve">Hollywood</x:t>
  </x:si>
  <x:si>
    <x:t xml:space="preserve">Tracer</x:t>
  </x:si>
  <x:si>
    <x:t xml:space="preserve">Dorado</x:t>
  </x:si>
  <x:si>
    <x:t xml:space="preserve">Vendetta</x:t>
  </x:si>
  <x:si>
    <x:t xml:space="preserve">Ramattra</x:t>
  </x:si>
  <x:si>
    <x:t xml:space="preserve">Anran</x:t>
  </x:si>
  <x:si>
    <x:t xml:space="preserve">Hazard</x:t>
  </x:si>
  <x:si>
    <x:t xml:space="preserve">Circuit Royal</x:t>
  </x:si>
  <x:si>
    <x:t xml:space="preserve">Genji</x:t>
  </x:si>
  <x:si>
    <x:t xml:space="preserve">Zenyatta</x:t>
  </x:si>
  <x:si>
    <x:t xml:space="preserve">Mercy</x:t>
  </x:si>
  <x:si>
    <x:t xml:space="preserve">Widowmaker</x:t>
  </x:si>
  <x:si>
    <x:t xml:space="preserve">Emre</x:t>
  </x:si>
  <x:si>
    <x:t xml:space="preserve">Shion</x:t>
  </x:si>
  <x:si>
    <x:t xml:space="preserve">Winston</x:t>
  </x:si>
  <x:si>
    <x:t xml:space="preserve">Hanzo</x:t>
  </x:si>
  <x:si>
    <x:t xml:space="preserve">Lifeweaver</x:t>
  </x:si>
  <x:si>
    <x:t xml:space="preserve">Moira</x:t>
  </x:si>
  <x:si>
    <x:t xml:space="preserve">Torbjörn</x:t>
  </x:si>
  <x:si>
    <x:t xml:space="preserve">Wuyang</x:t>
  </x:si>
  <x:si>
    <x:t xml:space="preserve">Reaper</x:t>
  </x:si>
  <x:si>
    <x:t xml:space="preserve">Doomfist</x:t>
  </x:si>
  <x:si>
    <x:t xml:space="preserve">Orisa</x:t>
  </x:si>
  <x:si>
    <x:t xml:space="preserve">Brigitte</x:t>
  </x:si>
  <x:si>
    <x:t xml:space="preserve">LCQ</x:t>
  </x:si>
  <x:si>
    <x:t xml:space="preserve">2nd RR</x:t>
  </x:si>
  <x:si>
    <x:t xml:space="preserve">Nepal</x:t>
  </x:si>
  <x:si>
    <x:t xml:space="preserve">Aatlis</x:t>
  </x:si>
  <x:si>
    <x:t xml:space="preserve">Neon Junction</x:t>
  </x:si>
  <x:si>
    <x:t xml:space="preserve">Sierra</x:t>
  </x:si>
  <x:si>
    <x:t xml:space="preserve">Colosseo</x:t>
  </x:si>
  <x:si>
    <x:t xml:space="preserve">Playoffs</x:t>
  </x:si>
  <x:si>
    <x:t xml:space="preserve">Sombra</x:t>
  </x:si>
  <x:si>
    <x:t xml:space="preserve">Team</x:t>
  </x:si>
  <x:si>
    <x:t xml:space="preserve">Player</x:t>
  </x:si>
  <x:si>
    <x:t xml:space="preserve">Position</x:t>
  </x:si>
  <x:si>
    <x:t xml:space="preserve">Map</x:t>
  </x:si>
  <x:si>
    <x:t xml:space="preserve">Map Type</x:t>
  </x:si>
  <x:si>
    <x:t xml:space="preserve">Elim</x:t>
  </x:si>
  <x:si>
    <x:t xml:space="preserve">Death</x:t>
  </x:si>
  <x:si>
    <x:t xml:space="preserve">Assists</x:t>
  </x:si>
  <x:si>
    <x:t xml:space="preserve">Damage</x:t>
  </x:si>
  <x:si>
    <x:t xml:space="preserve">Heal</x:t>
  </x:si>
  <x:si>
    <x:t xml:space="preserve">Mitigated</x:t>
  </x:si>
  <x:si>
    <x:t xml:space="preserve">Playtime</x:t>
  </x:si>
  <x:si>
    <x:t xml:space="preserve">Playtime(Seconds)</x:t>
  </x:si>
  <x:si>
    <x:t xml:space="preserve">Control</x:t>
  </x:si>
  <x:si>
    <x:t xml:space="preserve">00:09:39</x:t>
  </x:si>
  <x:si>
    <x:t xml:space="preserve">Flashpoint</x:t>
  </x:si>
  <x:si>
    <x:t xml:space="preserve">00:15:00</x:t>
  </x:si>
  <x:si>
    <x:t xml:space="preserve">Push</x:t>
  </x:si>
  <x:si>
    <x:t xml:space="preserve">00:10:40</x:t>
  </x:si>
  <x:si>
    <x:t xml:space="preserve">00:07:30</x:t>
  </x:si>
  <x:si>
    <x:t xml:space="preserve">Hybrid</x:t>
  </x:si>
  <x:si>
    <x:t xml:space="preserve">00:14:05</x:t>
  </x:si>
  <x:si>
    <x:t xml:space="preserve">00:10:19</x:t>
  </x:si>
  <x:si>
    <x:t xml:space="preserve">00:08:25</x:t>
  </x:si>
  <x:si>
    <x:t xml:space="preserve">Escort</x:t>
  </x:si>
  <x:si>
    <x:t xml:space="preserve">00:15:22</x:t>
  </x:si>
  <x:si>
    <x:t xml:space="preserve">00:07:39</x:t>
  </x:si>
  <x:si>
    <x:t xml:space="preserve">00:16:20</x:t>
  </x:si>
  <x:si>
    <x:t xml:space="preserve">00:10:34</x:t>
  </x:si>
  <x:si>
    <x:t xml:space="preserve">00:08:22</x:t>
  </x:si>
  <x:si>
    <x:t xml:space="preserve">00:13:08</x:t>
  </x:si>
  <x:si>
    <x:t xml:space="preserve">00:03:31</x:t>
  </x:si>
  <x:si>
    <x:t xml:space="preserve">00:09:50</x:t>
  </x:si>
  <x:si>
    <x:t xml:space="preserve">00:10:22</x:t>
  </x:si>
  <x:si>
    <x:t xml:space="preserve">00:06:38</x:t>
  </x:si>
  <x:si>
    <x:t xml:space="preserve">00:09:27</x:t>
  </x:si>
  <x:si>
    <x:t xml:space="preserve">00:10:14</x:t>
  </x:si>
  <x:si>
    <x:t xml:space="preserve">00:10:23</x:t>
  </x:si>
  <x:si>
    <x:t xml:space="preserve">00:13:51</x:t>
  </x:si>
  <x:si>
    <x:t xml:space="preserve">00:13:17</x:t>
  </x:si>
  <x:si>
    <x:t xml:space="preserve">00:09:28</x:t>
  </x:si>
  <x:si>
    <x:t xml:space="preserve">00:07:04</x:t>
  </x:si>
  <x:si>
    <x:t xml:space="preserve">00:09:54</x:t>
  </x:si>
  <x:si>
    <x:t xml:space="preserve">00:10:57</x:t>
  </x:si>
  <x:si>
    <x:t xml:space="preserve">00:08:58</x:t>
  </x:si>
  <x:si>
    <x:t xml:space="preserve">00:10:30</x:t>
  </x:si>
  <x:si>
    <x:t xml:space="preserve">00:10:31</x:t>
  </x:si>
  <x:si>
    <x:t xml:space="preserve">00:07:06</x:t>
  </x:si>
  <x:si>
    <x:t xml:space="preserve">00:12:19</x:t>
  </x:si>
  <x:si>
    <x:t xml:space="preserve">00:14:08</x:t>
  </x:si>
  <x:si>
    <x:t xml:space="preserve">00:07:25</x:t>
  </x:si>
  <x:si>
    <x:t xml:space="preserve">00:07:56</x:t>
  </x:si>
  <x:si>
    <x:t xml:space="preserve">00:09:15</x:t>
  </x:si>
  <x:si>
    <x:t xml:space="preserve">00:06:31</x:t>
  </x:si>
  <x:si>
    <x:t xml:space="preserve">00:04:39</x:t>
  </x:si>
  <x:si>
    <x:t xml:space="preserve">00:06:10</x:t>
  </x:si>
  <x:si>
    <x:t xml:space="preserve">00:08:56</x:t>
  </x:si>
  <x:si>
    <x:t xml:space="preserve">00:06:40</x:t>
  </x:si>
  <x:si>
    <x:t xml:space="preserve">00:06:25</x:t>
  </x:si>
  <x:si>
    <x:t xml:space="preserve">00:05:03</x:t>
  </x:si>
  <x:si>
    <x:t xml:space="preserve">00:13:16</x:t>
  </x:si>
  <x:si>
    <x:t xml:space="preserve">00:06:44</x:t>
  </x:si>
  <x:si>
    <x:t xml:space="preserve">00:07:51</x:t>
  </x:si>
  <x:si>
    <x:t xml:space="preserve">00:15:52</x:t>
  </x:si>
  <x:si>
    <x:t xml:space="preserve">00:06:01</x:t>
  </x:si>
  <x:si>
    <x:t xml:space="preserve">00:05:58</x:t>
  </x:si>
  <x:si>
    <x:t xml:space="preserve">00:10:32</x:t>
  </x:si>
  <x:si>
    <x:t xml:space="preserve">00:11:16</x:t>
  </x:si>
  <x:si>
    <x:t xml:space="preserve">00:05:22</x:t>
  </x:si>
  <x:si>
    <x:t xml:space="preserve">00:08:14</x:t>
  </x:si>
  <x:si>
    <x:t xml:space="preserve">00:04:41</x:t>
  </x:si>
  <x:si>
    <x:t xml:space="preserve">00:11:40</x:t>
  </x:si>
  <x:si>
    <x:t xml:space="preserve">00:15:14</x:t>
  </x:si>
  <x:si>
    <x:t xml:space="preserve">00:13:24</x:t>
  </x:si>
  <x:si>
    <x:t xml:space="preserve">00:07:27</x:t>
  </x:si>
  <x:si>
    <x:t xml:space="preserve">00:13:52</x:t>
  </x:si>
  <x:si>
    <x:t xml:space="preserve">00:18:53</x:t>
  </x:si>
  <x:si>
    <x:t xml:space="preserve">00:04:14</x:t>
  </x:si>
  <x:si>
    <x:t xml:space="preserve">00:12:29</x:t>
  </x:si>
  <x:si>
    <x:t xml:space="preserve">00:07:07</x:t>
  </x:si>
  <x:si>
    <x:t xml:space="preserve">00:12:28</x:t>
  </x:si>
  <x:si>
    <x:t xml:space="preserve">00:09:00</x:t>
  </x:si>
  <x:si>
    <x:t xml:space="preserve">00:10:00</x:t>
  </x:si>
  <x:si>
    <x:t xml:space="preserve">00:09:26</x:t>
  </x:si>
  <x:si>
    <x:t xml:space="preserve">00:10:41</x:t>
  </x:si>
  <x:si>
    <x:t xml:space="preserve">00:13:35</x:t>
  </x:si>
  <x:si>
    <x:t xml:space="preserve">00:14:58</x:t>
  </x:si>
  <x:si>
    <x:t xml:space="preserve">00:12:11</x:t>
  </x:si>
  <x:si>
    <x:t xml:space="preserve">00:05:35</x:t>
  </x:si>
  <x:si>
    <x:t xml:space="preserve">00:11:55</x:t>
  </x:si>
  <x:si>
    <x:t xml:space="preserve">00:05:29</x:t>
  </x:si>
  <x:si>
    <x:t xml:space="preserve">00:11:43</x:t>
  </x:si>
  <x:si>
    <x:t xml:space="preserve">00:09:53</x:t>
  </x:si>
  <x:si>
    <x:t xml:space="preserve">00:05:17</x:t>
  </x:si>
  <x:si>
    <x:t xml:space="preserve">00:14:50</x:t>
  </x:si>
  <x:si>
    <x:t xml:space="preserve">00:17:24</x:t>
  </x:si>
  <x:si>
    <x:t xml:space="preserve">00:11:07</x:t>
  </x:si>
  <x:si>
    <x:t xml:space="preserve">00:06:11</x:t>
  </x:si>
  <x:si>
    <x:t xml:space="preserve">00:10:01</x:t>
  </x:si>
  <x:si>
    <x:t xml:space="preserve">00:09:04</x:t>
  </x:si>
  <x:si>
    <x:t xml:space="preserve">00:06:08</x:t>
  </x:si>
  <x:si>
    <x:t xml:space="preserve">00:11:31</x:t>
  </x:si>
  <x:si>
    <x:t xml:space="preserve">00:06:27</x:t>
  </x:si>
  <x:si>
    <x:t xml:space="preserve">00:06:51</x:t>
  </x:si>
  <x:si>
    <x:t xml:space="preserve">00:08:53</x:t>
  </x:si>
  <x:si>
    <x:t xml:space="preserve">00:09:17</x:t>
  </x:si>
  <x:si>
    <x:t xml:space="preserve">00:05:47</x:t>
  </x:si>
  <x:si>
    <x:t xml:space="preserve">00:11:18</x:t>
  </x:si>
  <x:si>
    <x:t xml:space="preserve">00:07:18</x:t>
  </x:si>
  <x:si>
    <x:t xml:space="preserve">00:11:50</x:t>
  </x:si>
  <x:si>
    <x:t xml:space="preserve">00:08:36</x:t>
  </x:si>
  <x:si>
    <x:t xml:space="preserve">00:10:07</x:t>
  </x:si>
  <x:si>
    <x:t xml:space="preserve">00:16:59</x:t>
  </x:si>
  <x:si>
    <x:t xml:space="preserve">00:13:23</x:t>
  </x:si>
  <x:si>
    <x:t xml:space="preserve">00:15:30</x:t>
  </x:si>
  <x:si>
    <x:t xml:space="preserve">00:10:25</x:t>
  </x:si>
  <x:si>
    <x:t xml:space="preserve">00:10:09</x:t>
  </x:si>
  <x:si>
    <x:t xml:space="preserve">00:10:52</x:t>
  </x:si>
  <x:si>
    <x:t xml:space="preserve">00:05:25</x:t>
  </x:si>
  <x:si>
    <x:t xml:space="preserve">00:07:09</x:t>
  </x:si>
  <x:si>
    <x:t xml:space="preserve">00:08:48</x:t>
  </x:si>
  <x:si>
    <x:t xml:space="preserve">00:04:43</x:t>
  </x:si>
  <x:si>
    <x:t xml:space="preserve">00:05:06</x:t>
  </x:si>
  <x:si>
    <x:t xml:space="preserve">00:10:05</x:t>
  </x:si>
  <x:si>
    <x:t xml:space="preserve">00:12:18</x:t>
  </x:si>
  <x:si>
    <x:t xml:space="preserve">00:18:48</x:t>
  </x:si>
  <x:si>
    <x:t xml:space="preserve">00:12:56</x:t>
  </x:si>
  <x:si>
    <x:t xml:space="preserve">00:11:35</x:t>
  </x:si>
  <x:si>
    <x:t xml:space="preserve">00:08:50</x:t>
  </x:si>
  <x:si>
    <x:t xml:space="preserve">00:12:06</x:t>
  </x:si>
  <x:si>
    <x:t xml:space="preserve">00:14:46</x:t>
  </x:si>
  <x:si>
    <x:t xml:space="preserve">00:23:23</x:t>
  </x:si>
  <x:si>
    <x:t xml:space="preserve">00:08:47</x:t>
  </x:si>
  <x:si>
    <x:t xml:space="preserve">00:11:02</x:t>
  </x:si>
  <x:si>
    <x:t xml:space="preserve">00:16:50</x:t>
  </x:si>
  <x:si>
    <x:t xml:space="preserve">00:12:32</x:t>
  </x:si>
  <x:si>
    <x:t xml:space="preserve">00:12:13</x:t>
  </x:si>
  <x:si>
    <x:t xml:space="preserve">00:13:31</x:t>
  </x:si>
  <x:si>
    <x:t xml:space="preserve">00:12:39</x:t>
  </x:si>
  <x:si>
    <x:t xml:space="preserve">00:14:18</x:t>
  </x:si>
  <x:si>
    <x:t xml:space="preserve">00:14:20</x:t>
  </x:si>
  <x:si>
    <x:t xml:space="preserve">00:08:41</x:t>
  </x:si>
  <x:si>
    <x:t xml:space="preserve">00:14:17</x:t>
  </x:si>
  <x:si>
    <x:t xml:space="preserve">00:13:58</x:t>
  </x:si>
  <x:si>
    <x:t xml:space="preserve">00:14:16</x:t>
  </x:si>
  <x:si>
    <x:t xml:space="preserve">00:15:56</x:t>
  </x:si>
  <x:si>
    <x:t xml:space="preserve">00:11:21</x:t>
  </x:si>
  <x:si>
    <x:t xml:space="preserve">00:13:40</x:t>
  </x:si>
  <x:si>
    <x:t xml:space="preserve">00:14:21</x:t>
  </x:si>
  <x:si>
    <x:t xml:space="preserve">00:08:03</x:t>
  </x:si>
  <x:si>
    <x:t xml:space="preserve">00:09:20</x:t>
  </x:si>
  <x:si>
    <x:t xml:space="preserve">00:11:03</x:t>
  </x:si>
  <x:si>
    <x:t xml:space="preserve">00:14:10</x:t>
  </x:si>
  <x:si>
    <x:t xml:space="preserve">00:16:16</x:t>
  </x:si>
  <x:si>
    <x:t xml:space="preserve">00:08:59</x:t>
  </x:si>
  <x:si>
    <x:t xml:space="preserve">00:06:33</x:t>
  </x:si>
  <x:si>
    <x:t xml:space="preserve">00:11:58</x:t>
  </x:si>
  <x:si>
    <x:t xml:space="preserve">00:16:04</x:t>
  </x:si>
  <x:si>
    <x:t xml:space="preserve">00:10:29</x:t>
  </x:si>
  <x:si>
    <x:t xml:space="preserve">00:10:02</x:t>
  </x:si>
  <x:si>
    <x:t xml:space="preserve">00:05:52</x:t>
  </x:si>
  <x:si>
    <x:t xml:space="preserve">00:15:05</x:t>
  </x:si>
  <x:si>
    <x:t xml:space="preserve">00:10:24</x:t>
  </x:si>
  <x:si>
    <x:t xml:space="preserve">00:15:59</x:t>
  </x:si>
  <x:si>
    <x:t xml:space="preserve">00:14:49</x:t>
  </x:si>
  <x:si>
    <x:t xml:space="preserve">00:11:47</x:t>
  </x:si>
  <x:si>
    <x:t xml:space="preserve">00:13:05</x:t>
  </x:si>
  <x:si>
    <x:t xml:space="preserve">00:09:09</x:t>
  </x:si>
  <x:si>
    <x:t xml:space="preserve">00:10:15</x:t>
  </x:si>
  <x:si>
    <x:t xml:space="preserve">00:10:27</x:t>
  </x:si>
  <x:si>
    <x:t xml:space="preserve">00:09:01</x:t>
  </x:si>
  <x:si>
    <x:t xml:space="preserve">00:13:48</x:t>
  </x:si>
  <x:si>
    <x:t xml:space="preserve">00:07:11</x:t>
  </x:si>
  <x:si>
    <x:t xml:space="preserve">00:12:03</x:t>
  </x:si>
  <x:si>
    <x:t xml:space="preserve">00:15:17</x:t>
  </x:si>
  <x:si>
    <x:t xml:space="preserve">00:11:01</x:t>
  </x:si>
  <x:si>
    <x:t xml:space="preserve">00:16:25</x:t>
  </x:si>
  <x:si>
    <x:t xml:space="preserve">00:10:08</x:t>
  </x:si>
  <x:si>
    <x:t xml:space="preserve">00:20:57</x:t>
  </x:si>
  <x:si>
    <x:t xml:space="preserve">TEAM</x:t>
  </x:si>
  <x:si>
    <x:t xml:space="preserve">PLAYER</x:t>
  </x:si>
  <x:si>
    <x:t xml:space="preserve">POSITION</x:t>
  </x:si>
  <x:si>
    <x:t xml:space="preserve">TOTAL ELIMS</x:t>
  </x:si>
  <x:si>
    <x:t xml:space="preserve">TOTAL DEATHS</x:t>
  </x:si>
  <x:si>
    <x:t xml:space="preserve">TOTAL ASSISTS</x:t>
  </x:si>
  <x:si>
    <x:t xml:space="preserve">TOTAL DAMAGE</x:t>
  </x:si>
  <x:si>
    <x:t xml:space="preserve">TOTAL HEAL</x:t>
  </x:si>
  <x:si>
    <x:t xml:space="preserve">TOTAL MITIGATED</x:t>
  </x:si>
  <x:si>
    <x:t xml:space="preserve">TOTAL E/D</x:t>
  </x:si>
  <x:si>
    <x:t xml:space="preserve">TOTAL PLAYTIME</x:t>
  </x:si>
  <x:si>
    <x:t xml:space="preserve">Playtime_Min</x:t>
  </x:si>
  <x:si>
    <x:t xml:space="preserve">Elim / 10</x:t>
  </x:si>
  <x:si>
    <x:t xml:space="preserve">Death / 10</x:t>
  </x:si>
  <x:si>
    <x:t xml:space="preserve">Assists / 10</x:t>
  </x:si>
  <x:si>
    <x:t xml:space="preserve">Damage / 10</x:t>
  </x:si>
  <x:si>
    <x:t xml:space="preserve">Heal / 10</x:t>
  </x:si>
  <x:si>
    <x:t xml:space="preserve">Mitigated / 10</x:t>
  </x:si>
  <x:si>
    <x:t xml:space="preserve">Date</x:t>
  </x:si>
  <x:si>
    <x:t xml:space="preserve">Match</x:t>
  </x:si>
  <x:si>
    <x:t xml:space="preserve">POTM</x:t>
  </x:si>
  <x:si>
    <x:t xml:space="preserve">26/6/5</x:t>
  </x:si>
  <x:si>
    <x:t xml:space="preserve">O2_ROZE</x:t>
  </x:si>
  <x:si>
    <x:t xml:space="preserve">FLC_CR</x:t>
  </x:si>
  <x:si>
    <x:t xml:space="preserve">T1_ZETA</x:t>
  </x:si>
  <x:si>
    <x:t xml:space="preserve">26/6/6</x:t>
  </x:si>
  <x:si>
    <x:t xml:space="preserve">PF_CB</x:t>
  </x:si>
  <x:si>
    <x:t xml:space="preserve">T1_SB</x:t>
  </x:si>
  <x:si>
    <x:t xml:space="preserve">ROZE_FLC</x:t>
  </x:si>
  <x:si>
    <x:t xml:space="preserve">26/6/7</x:t>
  </x:si>
  <x:si>
    <x:t xml:space="preserve">SB_O2</x:t>
  </x:si>
  <x:si>
    <x:t xml:space="preserve">ZETA_CB</x:t>
  </x:si>
  <x:si>
    <x:t xml:space="preserve">CR_PF</x:t>
  </x:si>
  <x:si>
    <x:t xml:space="preserve">26/6/12</x:t>
  </x:si>
  <x:si>
    <x:t xml:space="preserve">CB_SB</x:t>
  </x:si>
  <x:si>
    <x:t xml:space="preserve">O2_ZETA</x:t>
  </x:si>
  <x:si>
    <x:t xml:space="preserve">CR_ROZE</x:t>
  </x:si>
  <x:si>
    <x:t xml:space="preserve">26/6/13</x:t>
  </x:si>
  <x:si>
    <x:t xml:space="preserve">PF_FLC</x:t>
  </x:si>
  <x:si>
    <x:t xml:space="preserve">T1_O2</x:t>
  </x:si>
  <x:si>
    <x:t xml:space="preserve">SB_ZETA</x:t>
  </x:si>
  <x:si>
    <x:t xml:space="preserve">26/6/14</x:t>
  </x:si>
  <x:si>
    <x:t xml:space="preserve">ROZE_PF</x:t>
  </x:si>
  <x:si>
    <x:t xml:space="preserve">CR_CB</x:t>
  </x:si>
  <x:si>
    <x:t xml:space="preserve">FLC_T1</x:t>
  </x:si>
  <x:si>
    <x:t xml:space="preserve">26/6/19</x:t>
  </x:si>
  <x:si>
    <x:t xml:space="preserve">ROZE_CB</x:t>
  </x:si>
  <x:si>
    <x:t xml:space="preserve">FLC_O2</x:t>
  </x:si>
  <x:si>
    <x:t xml:space="preserve">T1_CR</x:t>
  </x:si>
  <x:si>
    <x:t xml:space="preserve">26/6/20</x:t>
  </x:si>
  <x:si>
    <x:t xml:space="preserve">PF_SB</x:t>
  </x:si>
  <x:si>
    <x:t xml:space="preserve">ZETA_ROZE</x:t>
  </x:si>
  <x:si>
    <x:t xml:space="preserve">CB_T1</x:t>
  </x:si>
  <x:si>
    <x:t xml:space="preserve">26/6/21</x:t>
  </x:si>
  <x:si>
    <x:t xml:space="preserve">FLC_SB</x:t>
  </x:si>
  <x:si>
    <x:t xml:space="preserve">O2_CR</x:t>
  </x:si>
  <x:si>
    <x:t xml:space="preserve">ZETA_PF</x:t>
  </x:si>
  <x:si>
    <x:t xml:space="preserve">26/6/26</x:t>
  </x:si>
  <x:si>
    <x:t xml:space="preserve">CB_O2</x:t>
  </x:si>
  <x:si>
    <x:t xml:space="preserve">ZETA_FLC</x:t>
  </x:si>
  <x:si>
    <x:t xml:space="preserve">SB_ROZE</x:t>
  </x:si>
  <x:si>
    <x:t xml:space="preserve">26/6/27</x:t>
  </x:si>
  <x:si>
    <x:t xml:space="preserve">PF_T1</x:t>
  </x:si>
  <x:si>
    <x:t xml:space="preserve">CB_FLC</x:t>
  </x:si>
  <x:si>
    <x:t xml:space="preserve">SB_CR</x:t>
  </x:si>
  <x:si>
    <x:t xml:space="preserve">26/6/28</x:t>
  </x:si>
  <x:si>
    <x:t xml:space="preserve">O2_PF</x:t>
  </x:si>
  <x:si>
    <x:t xml:space="preserve">ROZE_T1</x:t>
  </x:si>
  <x:si>
    <x:t xml:space="preserve">CR_ZETA</x:t>
  </x:si>
  <x:si>
    <x:t xml:space="preserve">26/7/3</x:t>
  </x:si>
  <x:si>
    <x:t xml:space="preserve">CR_FLC</x:t>
  </x:si>
  <x:si>
    <x:t xml:space="preserve">ZETA_T1</x:t>
  </x:si>
  <x:si>
    <x:t xml:space="preserve">26/7/4</x:t>
  </x:si>
  <x:si>
    <x:t xml:space="preserve">CR_T1</x:t>
  </x:si>
  <x:si>
    <x:t xml:space="preserve">26/7/5</x:t>
  </x:si>
  <x:si>
    <x:t xml:space="preserve">O2_CB</x:t>
  </x:si>
  <x:si>
    <x:t xml:space="preserve">T1_FLC</x:t>
  </x:si>
  <x:si>
    <x:t xml:space="preserve">26/7/10</x:t>
  </x:si>
  <x:si>
    <x:t xml:space="preserve">FLC_ROZE</x:t>
  </x:si>
  <x:si>
    <x:t xml:space="preserve">ZETA_O2</x:t>
  </x:si>
  <x:si>
    <x:t xml:space="preserve">26/7/11</x:t>
  </x:si>
  <x:si>
    <x:t xml:space="preserve">26/7/12</x:t>
  </x:si>
</x:sst>
</file>

<file path=xl/styles.xml><?xml version="1.0" encoding="utf-8"?>
<x:styleSheet xmlns:x="http://schemas.openxmlformats.org/spreadsheetml/2006/main">
  <x:numFmts count="3">
    <x:numFmt numFmtId="176" formatCode="0.00_ "/>
    <x:numFmt numFmtId="177" formatCode="#,##0.00_ "/>
    <x:numFmt numFmtId="178" formatCode="#,##0_ "/>
  </x:numFmts>
  <x:fonts count="9">
    <x:font>
      <x:sz val="12"/>
      <x:color theme="1"/>
      <x:name val="맑은 고딕"/>
    </x:font>
    <x:font>
      <x:sz val="12"/>
      <x:color rgb="FF000000"/>
      <x:name val="맑은 고딕"/>
    </x:font>
    <x:font>
      <x:sz val="10"/>
      <x:color theme="1"/>
      <x:name val="Arial Unicode MS"/>
    </x:font>
    <x:font>
      <x:sz val="12"/>
      <x:color theme="1"/>
      <x:name val="Arial Unicode MS"/>
    </x:font>
    <x:font>
      <x:b/>
      <x:sz val="12"/>
      <x:name val="맑은 고딕"/>
    </x:font>
    <x:font>
      <x:b/>
      <x:sz val="12"/>
      <x:color theme="1"/>
      <x:name val="맑은 고딕"/>
    </x:font>
    <x:font>
      <x:b/>
      <x:sz val="11"/>
      <x:name val="맑은 고딕"/>
    </x:font>
    <x:font>
      <x:sz val="12"/>
      <x:color theme="1"/>
      <x:name val="맑은 고딕"/>
    </x:font>
    <x:font>
      <x:sz val="8"/>
      <x:name val="굴림"/>
    </x:font>
  </x:fonts>
  <x:fills count="3">
    <x:fill>
      <x:patternFill patternType="none"/>
    </x:fill>
    <x:fill>
      <x:patternFill patternType="gray125"/>
    </x:fill>
    <x:fill>
      <x:patternFill patternType="solid">
        <x:fgColor theme="2" tint="-0.09998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6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0" fillId="0" borderId="0" xfId="0" applyAlignment="1"/>
    <x:xf numFmtId="0" fontId="4" fillId="0" borderId="2" xfId="0" applyFont="1" applyBorder="1" applyAlignment="1">
      <x:alignment horizontal="center" vertical="top"/>
    </x:xf>
    <x:xf numFmtId="0" fontId="1" fillId="0" borderId="2" xfId="0" applyFont="1" applyBorder="1">
      <x:alignment vertical="center"/>
    </x:xf>
    <x:xf numFmtId="0" fontId="0" fillId="0" borderId="2" xfId="0" applyBorder="1" applyAlignment="1"/>
    <x:xf numFmtId="0" fontId="0" fillId="0" borderId="2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176" fontId="3" fillId="0" borderId="1" xfId="0" applyNumberFormat="1" applyFont="1" applyBorder="1" applyAlignment="1">
      <x:alignment horizontal="center" vertical="center"/>
    </x:xf>
    <x:xf numFmtId="177" fontId="3" fillId="0" borderId="1" xfId="0" applyNumberFormat="1" applyFont="1" applyBorder="1" applyAlignment="1">
      <x:alignment horizontal="center" vertical="center"/>
    </x:xf>
    <x:xf numFmtId="178" fontId="0" fillId="0" borderId="1" xfId="0" applyNumberFormat="1" applyBorder="1" applyAlignment="1">
      <x:alignment horizontal="center" vertical="center"/>
    </x:xf>
    <x:xf numFmtId="0" fontId="1" fillId="0" borderId="5" xfId="0" applyFont="1" applyBorder="1">
      <x:alignment vertical="center"/>
    </x:xf>
    <x:xf numFmtId="0" fontId="0" fillId="0" borderId="4" xfId="0" applyBorder="1" applyAlignment="1"/>
    <x:xf numFmtId="0" fontId="0" fillId="0" borderId="5" xfId="0" applyBorder="1">
      <x:alignment vertical="center"/>
    </x:xf>
    <x:xf numFmtId="14" fontId="0" fillId="0" borderId="2" xfId="0" applyNumberFormat="1" applyBorder="1">
      <x:alignment vertical="center"/>
    </x:xf>
    <x:xf numFmtId="45" fontId="0" fillId="0" borderId="2" xfId="0" applyNumberFormat="1" applyBorder="1">
      <x:alignment vertical="center"/>
    </x:xf>
    <x:xf numFmtId="14" fontId="0" fillId="0" borderId="0" xfId="0" applyNumberFormat="1" applyAlignment="1"/>
    <x:xf numFmtId="0" fontId="0" fillId="0" borderId="5" xfId="0" applyBorder="1" applyAlignment="1"/>
    <x:xf numFmtId="0" fontId="0" fillId="0" borderId="3" xfId="0" applyBorder="1">
      <x:alignment vertical="center"/>
    </x:xf>
    <x:xf numFmtId="0" fontId="0" fillId="0" borderId="2" xfId="0" applyBorder="1" applyAlignment="1">
      <x:alignment horizontal="center" vertical="center"/>
    </x:xf>
    <x:xf numFmtId="0" fontId="6" fillId="0" borderId="2" xfId="0" applyFont="1" applyBorder="1" applyAlignment="1">
      <x:alignment horizontal="center" vertical="top"/>
    </x:xf>
    <x:xf numFmtId="0" fontId="0" fillId="0" borderId="0" xfId="0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0" fontId="5" fillId="0" borderId="2" xfId="0" applyFont="1" applyBorder="1" applyAlignment="1">
      <x:alignment horizontal="center" vertical="center"/>
    </x:xf>
    <x:xf numFmtId="0" fontId="0" fillId="0" borderId="2" xfId="0" applyBorder="1" applyAlignment="1">
      <x:alignment horizontal="center"/>
    </x:xf>
    <x:xf numFmtId="177" fontId="0" fillId="0" borderId="2" xfId="0" applyNumberFormat="1" applyBorder="1" applyAlignment="1">
      <x:alignment horizontal="center"/>
    </x:xf>
    <x:xf numFmtId="0" fontId="1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5" xfId="0" applyFill="1" applyBorder="1">
      <x:alignment vertical="center"/>
    </x:xf>
    <x:xf numFmtId="14" fontId="0" fillId="2" borderId="2" xfId="0" applyNumberFormat="1" applyFill="1" applyBorder="1">
      <x:alignment vertical="center"/>
    </x:xf>
    <x:xf numFmtId="0" fontId="2" fillId="2" borderId="0" xfId="0" applyFont="1" applyFill="1">
      <x:alignment vertical="center"/>
    </x:xf>
    <x:xf numFmtId="45" fontId="0" fillId="2" borderId="2" xfId="0" applyNumberFormat="1" applyFill="1" applyBorder="1">
      <x:alignment vertical="center"/>
    </x:xf>
    <x:xf numFmtId="14" fontId="1" fillId="2" borderId="2" xfId="0" applyNumberFormat="1" applyFont="1" applyFill="1" applyBorder="1">
      <x:alignment vertical="center"/>
    </x:xf>
    <x:xf numFmtId="0" fontId="0" fillId="2" borderId="2" xfId="0" applyFill="1" applyBorder="1" applyAlignment="1"/>
    <x:xf numFmtId="0" fontId="1" fillId="2" borderId="5" xfId="0" applyFont="1" applyFill="1" applyBorder="1">
      <x:alignment vertical="center"/>
    </x:xf>
    <x:xf numFmtId="0" fontId="0" fillId="2" borderId="0" xfId="0" applyFill="1">
      <x:alignment vertical="center"/>
    </x:xf>
    <x:xf numFmtId="14" fontId="0" fillId="2" borderId="0" xfId="0" applyNumberFormat="1" applyFill="1" applyAlignment="1"/>
    <x:xf numFmtId="0" fontId="0" fillId="2" borderId="0" xfId="0" applyFill="1" applyAlignment="1"/>
    <x:xf numFmtId="0" fontId="0" fillId="2" borderId="5" xfId="0" applyFill="1" applyBorder="1" applyAlignment="1"/>
    <x:xf numFmtId="0" fontId="0" fillId="0" borderId="6" xfId="0" applyBorder="1">
      <x:alignment vertical="center"/>
    </x:xf>
    <x:xf numFmtId="0" fontId="2" fillId="2" borderId="2" xfId="0" applyFont="1" applyFill="1" applyBorder="1">
      <x:alignment vertical="center"/>
    </x:xf>
    <x:xf numFmtId="0" fontId="2" fillId="0" borderId="2" xfId="0" applyFont="1" applyBorder="1">
      <x:alignment vertical="center"/>
    </x:xf>
    <x:xf numFmtId="14" fontId="0" fillId="0" borderId="2" xfId="0" applyNumberFormat="1" applyBorder="1" applyAlignment="1"/>
    <x:xf numFmtId="14" fontId="0" fillId="2" borderId="2" xfId="0" applyNumberFormat="1" applyFill="1" applyBorder="1" applyAlignment="1"/>
    <x:xf numFmtId="0" fontId="0" fillId="2" borderId="4" xfId="0" applyFill="1" applyBorder="1" applyAlignment="1"/>
    <x:xf numFmtId="0" fontId="0" fillId="2" borderId="3" xfId="0" applyFill="1" applyBorder="1">
      <x:alignment vertical="center"/>
    </x:xf>
    <x:xf numFmtId="0" fontId="1" fillId="2" borderId="0" xfId="0" applyFont="1" applyFill="1">
      <x:alignment vertical="center"/>
    </x:xf>
    <x:xf numFmtId="2" fontId="0" fillId="0" borderId="0" xfId="0" applyNumberFormat="1" applyAlignment="1"/>
    <x:xf numFmtId="0" fontId="7" fillId="0" borderId="2" xfId="0" applyFont="1" applyBorder="1">
      <x:alignment vertical="center"/>
    </x:xf>
    <x:xf numFmtId="0" fontId="7" fillId="0" borderId="3" xfId="0" applyFont="1" applyBorder="1">
      <x:alignment vertical="center"/>
    </x:xf>
    <x:xf numFmtId="0" fontId="7" fillId="0" borderId="0" xfId="0" applyFont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0" fillId="0" borderId="7" xfId="0" applyBorder="1" applyAlignment="1"/>
    <x:xf numFmtId="0" fontId="0" fillId="0" borderId="3" xfId="0" applyBorder="1" applyAlignment="1"/>
    <x:xf numFmtId="0" fontId="0" fillId="0" borderId="4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2" xfId="0" applyBorder="1" applyAlignment="1">
      <x:alignment horizontal="center" vertical="center"/>
    </x:xf>
  </x:cellXfs>
  <x:cellStyles count="1">
    <x:cellStyle name="표준" xfId="0"/>
  </x:cellStyles>
  <x:dxfs count="12">
    <x:dxf>
      <x:fill>
        <x:patternFill>
          <x:bgColor theme="0" tint="-0.24995"/>
        </x:patternFill>
      </x:fill>
    </x:dxf>
    <x:dxf>
      <x:border>
        <x:bottom style="thin">
          <x:color auto="1"/>
        </x:bottom>
      </x:border>
    </x:dxf>
    <x:dxf>
      <x:fill>
        <x:patternFill>
          <x:bgColor theme="0" tint="-0.24995"/>
        </x:patternFill>
      </x:fill>
    </x:dxf>
    <x:dxf>
      <x:border>
        <x:bottom style="thin">
          <x:color auto="1"/>
        </x:bottom>
      </x:border>
    </x:dxf>
    <x:dxf>
      <x:fill>
        <x:patternFill>
          <x:bgColor theme="0" tint="-0.24995"/>
        </x:patternFill>
      </x:fill>
    </x:dxf>
    <x:dxf>
      <x:border>
        <x:bottom style="thin">
          <x:color auto="1"/>
        </x:bottom>
      </x:border>
    </x:dxf>
    <x:dxf>
      <x:fill>
        <x:patternFill>
          <x:bgColor theme="0" tint="-0.24995"/>
        </x:patternFill>
      </x:fill>
    </x:dxf>
    <x:dxf>
      <x:border>
        <x:bottom style="thin">
          <x:color auto="1"/>
        </x:bottom>
      </x:border>
    </x:dxf>
    <x:dxf>
      <x:fill>
        <x:patternFill>
          <x:bgColor theme="0" tint="-0.24995"/>
        </x:patternFill>
      </x:fill>
    </x:dxf>
    <x:dxf>
      <x:border>
        <x:bottom style="thin">
          <x:color auto="1"/>
        </x:bottom>
      </x:border>
    </x:dxf>
    <x:dxf>
      <x:fill>
        <x:patternFill>
          <x:bgColor theme="0" tint="-0.24995"/>
        </x:patternFill>
      </x:fill>
    </x:dxf>
    <x:dxf>
      <x:border>
        <x:bottom style="thin">
          <x:color auto="1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30ae866a1421f" /><Relationship Type="http://schemas.openxmlformats.org/officeDocument/2006/relationships/theme" Target="/xl/theme/theme1.xml" Id="R001a2a1e81d24452" /><Relationship Type="http://schemas.openxmlformats.org/officeDocument/2006/relationships/sharedStrings" Target="/xl/sharedStrings.xml" Id="R072644c4145c48dc" /><Relationship Type="http://schemas.openxmlformats.org/officeDocument/2006/relationships/worksheet" Target="/xl/worksheets/sheet1.xml" Id="R2896048499de4351" /><Relationship Type="http://schemas.openxmlformats.org/officeDocument/2006/relationships/worksheet" Target="/xl/worksheets/sheet2.xml" Id="R0c9427711b414ff1" /><Relationship Type="http://schemas.openxmlformats.org/officeDocument/2006/relationships/worksheet" Target="/xl/worksheets/sheet3.xml" Id="Rf6528d8c62e94890" /><Relationship Type="http://schemas.openxmlformats.org/officeDocument/2006/relationships/worksheet" Target="/xl/worksheets/sheet4.xml" Id="R2b3d50665e354072" /><Relationship Type="http://schemas.openxmlformats.org/officeDocument/2006/relationships/worksheet" Target="/xl/worksheets/sheet5.xml" Id="Rfd59ebaab00d45bd" /><Relationship Type="http://schemas.openxmlformats.org/officeDocument/2006/relationships/worksheet" Target="/xl/worksheets/sheet6.xml" Id="R24b4a85e6b9a424d" /><Relationship Type="http://schemas.openxmlformats.org/officeDocument/2006/relationships/worksheet" Target="/xl/worksheets/sheet7.xml" Id="R141226315b084849" /><Relationship Type="http://schemas.openxmlformats.org/officeDocument/2006/relationships/worksheet" Target="/xl/worksheets/sheet8.xml" Id="Rd94d8f76427c4211" /><Relationship Type="http://schemas.openxmlformats.org/officeDocument/2006/relationships/worksheet" Target="/xl/worksheets/sheet9.xml" Id="Rc045849967c847c0" /><Relationship Type="http://schemas.openxmlformats.org/officeDocument/2006/relationships/worksheet" Target="/xl/worksheets/sheet10.xml" Id="R3ce74e9b3bd7495c" /><Relationship Type="http://schemas.openxmlformats.org/officeDocument/2006/relationships/worksheet" Target="/xl/worksheets/sheet11.xml" Id="Re0cdcd2d9c0e48eb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8"/>
  <x:cols>
    <x:col min="1" max="1" width="18.85546875" style="3" customWidth="1"/>
    <x:col min="3" max="3" width="13.140625" style="3" customWidth="1"/>
    <x:col min="4" max="4" width="12.28515625" style="3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</x:row>
    <x:row r="2">
      <x:c r="A2" s="5" t="s">
        <x:v>5</x:v>
      </x:c>
      <x:c r="B2" s="5" t="s">
        <x:v>6</x:v>
      </x:c>
      <x:c r="C2" s="5"/>
      <x:c r="D2" s="5"/>
      <x:c r="E2" s="7"/>
    </x:row>
    <x:row r="3">
      <x:c r="A3" s="54"/>
      <x:c r="B3" s="55"/>
      <x:c r="C3" s="5" t="s">
        <x:v>7</x:v>
      </x:c>
      <x:c r="D3" s="5" t="s">
        <x:v>8</x:v>
      </x:c>
      <x:c r="E3" s="7"/>
    </x:row>
    <x:row r="4">
      <x:c r="A4" s="56"/>
      <x:c r="B4" s="57"/>
      <x:c r="C4" s="5" t="s">
        <x:v>9</x:v>
      </x:c>
      <x:c r="D4" s="5" t="s">
        <x:v>8</x:v>
      </x:c>
      <x:c r="E4" s="7"/>
    </x:row>
    <x:row r="5">
      <x:c r="A5" s="56"/>
      <x:c r="B5" s="57"/>
      <x:c r="C5" s="5" t="s">
        <x:v>10</x:v>
      </x:c>
      <x:c r="D5" s="5" t="s">
        <x:v>11</x:v>
      </x:c>
      <x:c r="E5" s="51" t="s">
        <x:v>12</x:v>
      </x:c>
    </x:row>
    <x:row r="6">
      <x:c r="A6" s="56"/>
      <x:c r="B6" s="57"/>
      <x:c r="C6" s="5" t="s">
        <x:v>13</x:v>
      </x:c>
      <x:c r="D6" s="5" t="s">
        <x:v>11</x:v>
      </x:c>
      <x:c r="E6" s="51" t="s">
        <x:v>14</x:v>
      </x:c>
    </x:row>
    <x:row r="7">
      <x:c r="A7" s="56"/>
      <x:c r="B7" s="57"/>
      <x:c r="C7" s="5" t="s">
        <x:v>15</x:v>
      </x:c>
      <x:c r="D7" s="5" t="s">
        <x:v>16</x:v>
      </x:c>
      <x:c r="E7" s="51" t="s">
        <x:v>17</x:v>
      </x:c>
    </x:row>
    <x:row r="8">
      <x:c r="A8" s="56"/>
      <x:c r="B8" s="57"/>
      <x:c r="C8" s="5" t="s">
        <x:v>18</x:v>
      </x:c>
      <x:c r="D8" s="5" t="s">
        <x:v>16</x:v>
      </x:c>
      <x:c r="E8" s="51" t="s">
        <x:v>19</x:v>
      </x:c>
    </x:row>
    <x:row r="9">
      <x:c r="A9" s="58"/>
      <x:c r="B9" s="59"/>
      <x:c r="C9" s="5" t="s">
        <x:v>20</x:v>
      </x:c>
      <x:c r="D9" s="5" t="s">
        <x:v>16</x:v>
      </x:c>
      <x:c r="E9" s="51" t="s">
        <x:v>19</x:v>
      </x:c>
    </x:row>
    <x:row r="10">
      <x:c r="A10" s="5" t="s">
        <x:v>21</x:v>
      </x:c>
      <x:c r="B10" s="5" t="s">
        <x:v>22</x:v>
      </x:c>
      <x:c r="C10" s="5"/>
      <x:c r="D10" s="5"/>
      <x:c r="E10" s="7"/>
    </x:row>
    <x:row r="11">
      <x:c r="A11" s="54"/>
      <x:c r="B11" s="55"/>
      <x:c r="C11" s="5" t="s">
        <x:v>23</x:v>
      </x:c>
      <x:c r="D11" s="5" t="s">
        <x:v>8</x:v>
      </x:c>
      <x:c r="E11" s="7"/>
    </x:row>
    <x:row r="12">
      <x:c r="A12" s="56"/>
      <x:c r="B12" s="57"/>
      <x:c r="C12" s="5" t="s">
        <x:v>24</x:v>
      </x:c>
      <x:c r="D12" s="5" t="s">
        <x:v>8</x:v>
      </x:c>
      <x:c r="E12" s="7"/>
    </x:row>
    <x:row r="13">
      <x:c r="A13" s="56"/>
      <x:c r="B13" s="57"/>
      <x:c r="C13" s="5" t="s">
        <x:v>25</x:v>
      </x:c>
      <x:c r="D13" s="5" t="s">
        <x:v>11</x:v>
      </x:c>
      <x:c r="E13" s="51" t="s">
        <x:v>12</x:v>
      </x:c>
    </x:row>
    <x:row r="14">
      <x:c r="A14" s="56"/>
      <x:c r="B14" s="57"/>
      <x:c r="C14" s="5" t="s">
        <x:v>26</x:v>
      </x:c>
      <x:c r="D14" s="5" t="s">
        <x:v>11</x:v>
      </x:c>
      <x:c r="E14" s="51" t="s">
        <x:v>14</x:v>
      </x:c>
    </x:row>
    <x:row r="15">
      <x:c r="A15" s="56"/>
      <x:c r="B15" s="57"/>
      <x:c r="C15" s="5" t="s">
        <x:v>27</x:v>
      </x:c>
      <x:c r="D15" s="5" t="s">
        <x:v>11</x:v>
      </x:c>
      <x:c r="E15" s="51" t="s">
        <x:v>14</x:v>
      </x:c>
    </x:row>
    <x:row r="16">
      <x:c r="A16" s="56"/>
      <x:c r="B16" s="57"/>
      <x:c r="C16" s="5" t="s">
        <x:v>28</x:v>
      </x:c>
      <x:c r="D16" s="5" t="s">
        <x:v>16</x:v>
      </x:c>
      <x:c r="E16" s="51" t="s">
        <x:v>17</x:v>
      </x:c>
    </x:row>
    <x:row r="17">
      <x:c r="A17" s="58"/>
      <x:c r="B17" s="59"/>
      <x:c r="C17" s="5" t="s">
        <x:v>29</x:v>
      </x:c>
      <x:c r="D17" s="5" t="s">
        <x:v>16</x:v>
      </x:c>
      <x:c r="E17" s="51" t="s">
        <x:v>19</x:v>
      </x:c>
    </x:row>
    <x:row r="18">
      <x:c r="A18" s="5" t="s">
        <x:v>30</x:v>
      </x:c>
      <x:c r="B18" s="5" t="s">
        <x:v>31</x:v>
      </x:c>
      <x:c r="C18" s="5"/>
      <x:c r="D18" s="5"/>
      <x:c r="E18" s="7"/>
    </x:row>
    <x:row r="19">
      <x:c r="A19" s="54"/>
      <x:c r="B19" s="55"/>
      <x:c r="C19" s="5" t="s">
        <x:v>32</x:v>
      </x:c>
      <x:c r="D19" s="5" t="s">
        <x:v>8</x:v>
      </x:c>
      <x:c r="E19" s="7"/>
    </x:row>
    <x:row r="20">
      <x:c r="A20" s="56"/>
      <x:c r="B20" s="57"/>
      <x:c r="C20" s="5" t="s">
        <x:v>33</x:v>
      </x:c>
      <x:c r="D20" s="5" t="s">
        <x:v>8</x:v>
      </x:c>
      <x:c r="E20" s="7"/>
    </x:row>
    <x:row r="21">
      <x:c r="A21" s="56"/>
      <x:c r="B21" s="57"/>
      <x:c r="C21" s="5" t="s">
        <x:v>34</x:v>
      </x:c>
      <x:c r="D21" s="5" t="s">
        <x:v>11</x:v>
      </x:c>
      <x:c r="E21" s="51" t="s">
        <x:v>12</x:v>
      </x:c>
    </x:row>
    <x:row r="22">
      <x:c r="A22" s="56"/>
      <x:c r="B22" s="57"/>
      <x:c r="C22" s="5" t="s">
        <x:v>35</x:v>
      </x:c>
      <x:c r="D22" s="5" t="s">
        <x:v>11</x:v>
      </x:c>
      <x:c r="E22" s="51" t="s">
        <x:v>14</x:v>
      </x:c>
    </x:row>
    <x:row r="23">
      <x:c r="A23" s="56"/>
      <x:c r="B23" s="57"/>
      <x:c r="C23" s="5" t="s">
        <x:v>36</x:v>
      </x:c>
      <x:c r="D23" s="5" t="s">
        <x:v>16</x:v>
      </x:c>
      <x:c r="E23" s="51" t="s">
        <x:v>17</x:v>
      </x:c>
    </x:row>
    <x:row r="24">
      <x:c r="A24" s="58"/>
      <x:c r="B24" s="59"/>
      <x:c r="C24" s="5" t="s">
        <x:v>37</x:v>
      </x:c>
      <x:c r="D24" s="5" t="s">
        <x:v>16</x:v>
      </x:c>
      <x:c r="E24" s="51" t="s">
        <x:v>19</x:v>
      </x:c>
    </x:row>
    <x:row r="25">
      <x:c r="A25" s="5" t="s">
        <x:v>38</x:v>
      </x:c>
      <x:c r="B25" s="5" t="s">
        <x:v>39</x:v>
      </x:c>
      <x:c r="C25" s="5"/>
      <x:c r="D25" s="5"/>
      <x:c r="E25" s="7"/>
    </x:row>
    <x:row r="26">
      <x:c r="A26" s="54"/>
      <x:c r="B26" s="55"/>
      <x:c r="C26" s="5" t="s">
        <x:v>40</x:v>
      </x:c>
      <x:c r="D26" s="5" t="s">
        <x:v>8</x:v>
      </x:c>
      <x:c r="E26" s="7"/>
    </x:row>
    <x:row r="27">
      <x:c r="A27" s="56"/>
      <x:c r="B27" s="57"/>
      <x:c r="C27" s="5" t="s">
        <x:v>41</x:v>
      </x:c>
      <x:c r="D27" s="5" t="s">
        <x:v>8</x:v>
      </x:c>
      <x:c r="E27" s="7"/>
    </x:row>
    <x:row r="28">
      <x:c r="A28" s="56"/>
      <x:c r="B28" s="57"/>
      <x:c r="C28" s="5" t="s">
        <x:v>42</x:v>
      </x:c>
      <x:c r="D28" s="5" t="s">
        <x:v>11</x:v>
      </x:c>
      <x:c r="E28" s="51" t="s">
        <x:v>12</x:v>
      </x:c>
    </x:row>
    <x:row r="29">
      <x:c r="A29" s="56"/>
      <x:c r="B29" s="57"/>
      <x:c r="C29" s="5" t="s">
        <x:v>43</x:v>
      </x:c>
      <x:c r="D29" s="5" t="s">
        <x:v>11</x:v>
      </x:c>
      <x:c r="E29" s="51" t="s">
        <x:v>14</x:v>
      </x:c>
    </x:row>
    <x:row r="30">
      <x:c r="A30" s="56"/>
      <x:c r="B30" s="57"/>
      <x:c r="C30" s="5" t="s">
        <x:v>44</x:v>
      </x:c>
      <x:c r="D30" s="5" t="s">
        <x:v>16</x:v>
      </x:c>
      <x:c r="E30" s="51" t="s">
        <x:v>17</x:v>
      </x:c>
    </x:row>
    <x:row r="31">
      <x:c r="A31" s="58"/>
      <x:c r="B31" s="59"/>
      <x:c r="C31" s="5" t="s">
        <x:v>45</x:v>
      </x:c>
      <x:c r="D31" s="5" t="s">
        <x:v>16</x:v>
      </x:c>
      <x:c r="E31" s="51" t="s">
        <x:v>19</x:v>
      </x:c>
    </x:row>
    <x:row r="32">
      <x:c r="A32" s="5" t="s">
        <x:v>46</x:v>
      </x:c>
      <x:c r="B32" s="5" t="s">
        <x:v>47</x:v>
      </x:c>
      <x:c r="C32" s="5"/>
      <x:c r="D32" s="5"/>
      <x:c r="E32" s="7"/>
    </x:row>
    <x:row r="33">
      <x:c r="A33" s="54"/>
      <x:c r="B33" s="55"/>
      <x:c r="C33" s="5" t="s">
        <x:v>48</x:v>
      </x:c>
      <x:c r="D33" s="5" t="s">
        <x:v>8</x:v>
      </x:c>
      <x:c r="E33" s="7"/>
    </x:row>
    <x:row r="34">
      <x:c r="A34" s="56"/>
      <x:c r="B34" s="57"/>
      <x:c r="C34" s="5" t="s">
        <x:v>49</x:v>
      </x:c>
      <x:c r="D34" s="5" t="s">
        <x:v>8</x:v>
      </x:c>
      <x:c r="E34" s="7"/>
    </x:row>
    <x:row r="35">
      <x:c r="A35" s="56"/>
      <x:c r="B35" s="57"/>
      <x:c r="C35" s="5" t="s">
        <x:v>50</x:v>
      </x:c>
      <x:c r="D35" s="5" t="s">
        <x:v>11</x:v>
      </x:c>
      <x:c r="E35" s="51" t="s">
        <x:v>12</x:v>
      </x:c>
    </x:row>
    <x:row r="36">
      <x:c r="A36" s="56"/>
      <x:c r="B36" s="57"/>
      <x:c r="C36" s="5" t="s">
        <x:v>51</x:v>
      </x:c>
      <x:c r="D36" s="5" t="s">
        <x:v>11</x:v>
      </x:c>
      <x:c r="E36" s="51" t="s">
        <x:v>14</x:v>
      </x:c>
    </x:row>
    <x:row r="37">
      <x:c r="A37" s="56"/>
      <x:c r="B37" s="57"/>
      <x:c r="C37" s="5" t="s">
        <x:v>52</x:v>
      </x:c>
      <x:c r="D37" s="5" t="s">
        <x:v>16</x:v>
      </x:c>
      <x:c r="E37" s="51" t="s">
        <x:v>17</x:v>
      </x:c>
    </x:row>
    <x:row r="38">
      <x:c r="A38" s="58"/>
      <x:c r="B38" s="59"/>
      <x:c r="C38" s="5" t="s">
        <x:v>53</x:v>
      </x:c>
      <x:c r="D38" s="5" t="s">
        <x:v>16</x:v>
      </x:c>
      <x:c r="E38" s="51" t="s">
        <x:v>19</x:v>
      </x:c>
    </x:row>
    <x:row r="39">
      <x:c r="A39" s="5" t="s">
        <x:v>54</x:v>
      </x:c>
      <x:c r="B39" s="5" t="s">
        <x:v>55</x:v>
      </x:c>
      <x:c r="C39" s="5"/>
      <x:c r="D39" s="5"/>
      <x:c r="E39" s="7"/>
    </x:row>
    <x:row r="40">
      <x:c r="A40" s="54"/>
      <x:c r="B40" s="55"/>
      <x:c r="C40" s="5" t="s">
        <x:v>56</x:v>
      </x:c>
      <x:c r="D40" s="5" t="s">
        <x:v>8</x:v>
      </x:c>
      <x:c r="E40" s="7"/>
    </x:row>
    <x:row r="41">
      <x:c r="A41" s="56"/>
      <x:c r="B41" s="57"/>
      <x:c r="C41" s="5" t="s">
        <x:v>57</x:v>
      </x:c>
      <x:c r="D41" s="5" t="s">
        <x:v>8</x:v>
      </x:c>
      <x:c r="E41" s="7"/>
    </x:row>
    <x:row r="42">
      <x:c r="A42" s="56"/>
      <x:c r="B42" s="57"/>
      <x:c r="C42" s="5" t="s">
        <x:v>58</x:v>
      </x:c>
      <x:c r="D42" s="5" t="s">
        <x:v>11</x:v>
      </x:c>
      <x:c r="E42" s="51" t="s">
        <x:v>12</x:v>
      </x:c>
    </x:row>
    <x:row r="43">
      <x:c r="A43" s="56"/>
      <x:c r="B43" s="57"/>
      <x:c r="C43" s="5" t="s">
        <x:v>59</x:v>
      </x:c>
      <x:c r="D43" s="5" t="s">
        <x:v>11</x:v>
      </x:c>
      <x:c r="E43" s="51" t="s">
        <x:v>14</x:v>
      </x:c>
    </x:row>
    <x:row r="44">
      <x:c r="A44" s="56"/>
      <x:c r="B44" s="57"/>
      <x:c r="C44" s="5" t="s">
        <x:v>60</x:v>
      </x:c>
      <x:c r="D44" s="5" t="s">
        <x:v>11</x:v>
      </x:c>
      <x:c r="E44" s="51" t="s">
        <x:v>14</x:v>
      </x:c>
    </x:row>
    <x:row r="45">
      <x:c r="A45" s="56"/>
      <x:c r="B45" s="57"/>
      <x:c r="C45" s="5" t="s">
        <x:v>61</x:v>
      </x:c>
      <x:c r="D45" s="5" t="s">
        <x:v>16</x:v>
      </x:c>
      <x:c r="E45" s="51" t="s">
        <x:v>17</x:v>
      </x:c>
    </x:row>
    <x:row r="46">
      <x:c r="A46" s="58"/>
      <x:c r="B46" s="59"/>
      <x:c r="C46" s="5" t="s">
        <x:v>62</x:v>
      </x:c>
      <x:c r="D46" s="5" t="s">
        <x:v>16</x:v>
      </x:c>
      <x:c r="E46" s="51" t="s">
        <x:v>19</x:v>
      </x:c>
    </x:row>
    <x:row r="47">
      <x:c r="A47" s="5" t="s">
        <x:v>63</x:v>
      </x:c>
      <x:c r="B47" s="5" t="s">
        <x:v>63</x:v>
      </x:c>
      <x:c r="C47" s="5"/>
      <x:c r="D47" s="5"/>
      <x:c r="E47" s="7"/>
    </x:row>
    <x:row r="48">
      <x:c r="A48" s="54"/>
      <x:c r="B48" s="55"/>
      <x:c r="C48" s="5" t="s">
        <x:v>64</x:v>
      </x:c>
      <x:c r="D48" s="5" t="s">
        <x:v>8</x:v>
      </x:c>
      <x:c r="E48" s="7"/>
    </x:row>
    <x:row r="49">
      <x:c r="A49" s="56"/>
      <x:c r="B49" s="57"/>
      <x:c r="C49" s="5" t="s">
        <x:v>65</x:v>
      </x:c>
      <x:c r="D49" s="5" t="s">
        <x:v>8</x:v>
      </x:c>
      <x:c r="E49" s="7"/>
    </x:row>
    <x:row r="50">
      <x:c r="A50" s="56"/>
      <x:c r="B50" s="57"/>
      <x:c r="C50" s="5" t="s">
        <x:v>66</x:v>
      </x:c>
      <x:c r="D50" s="5" t="s">
        <x:v>11</x:v>
      </x:c>
      <x:c r="E50" s="51" t="s">
        <x:v>12</x:v>
      </x:c>
    </x:row>
    <x:row r="51">
      <x:c r="A51" s="56"/>
      <x:c r="B51" s="57"/>
      <x:c r="C51" s="5" t="s">
        <x:v>67</x:v>
      </x:c>
      <x:c r="D51" s="5" t="s">
        <x:v>11</x:v>
      </x:c>
      <x:c r="E51" s="51" t="s">
        <x:v>14</x:v>
      </x:c>
    </x:row>
    <x:row r="52">
      <x:c r="A52" s="56"/>
      <x:c r="B52" s="57"/>
      <x:c r="C52" s="5" t="s">
        <x:v>68</x:v>
      </x:c>
      <x:c r="D52" s="5" t="s">
        <x:v>16</x:v>
      </x:c>
      <x:c r="E52" s="51" t="s">
        <x:v>19</x:v>
      </x:c>
    </x:row>
    <x:row r="53">
      <x:c r="A53" s="56"/>
      <x:c r="B53" s="57"/>
      <x:c r="C53" s="5" t="s">
        <x:v>69</x:v>
      </x:c>
      <x:c r="D53" s="5" t="s">
        <x:v>16</x:v>
      </x:c>
      <x:c r="E53" s="51" t="s">
        <x:v>17</x:v>
      </x:c>
    </x:row>
    <x:row r="54">
      <x:c r="A54" s="58"/>
      <x:c r="B54" s="59"/>
      <x:c r="C54" s="5" t="s">
        <x:v>70</x:v>
      </x:c>
      <x:c r="D54" s="5" t="s">
        <x:v>16</x:v>
      </x:c>
      <x:c r="E54" s="51" t="s">
        <x:v>19</x:v>
      </x:c>
      <x:c r="F54" s="1"/>
      <x:c r="G54" s="1"/>
      <x:c r="H54" s="1"/>
      <x:c r="I54" s="1"/>
    </x:row>
    <x:row r="55">
      <x:c r="A55" s="5" t="s">
        <x:v>71</x:v>
      </x:c>
      <x:c r="B55" s="5" t="s">
        <x:v>72</x:v>
      </x:c>
      <x:c r="C55" s="5"/>
      <x:c r="D55" s="5"/>
      <x:c r="E55" s="7"/>
      <x:c r="F55" s="1"/>
      <x:c r="G55" s="1"/>
      <x:c r="H55" s="1"/>
      <x:c r="I55" s="1"/>
    </x:row>
    <x:row r="56">
      <x:c r="A56" s="54"/>
      <x:c r="B56" s="55"/>
      <x:c r="C56" s="5" t="s">
        <x:v>73</x:v>
      </x:c>
      <x:c r="D56" s="5" t="s">
        <x:v>8</x:v>
      </x:c>
      <x:c r="E56" s="7"/>
      <x:c r="F56" s="1"/>
      <x:c r="G56" s="1"/>
      <x:c r="H56" s="1"/>
      <x:c r="I56" s="1"/>
    </x:row>
    <x:row r="57">
      <x:c r="A57" s="56"/>
      <x:c r="B57" s="57"/>
      <x:c r="C57" s="5" t="s">
        <x:v>74</x:v>
      </x:c>
      <x:c r="D57" s="5" t="s">
        <x:v>8</x:v>
      </x:c>
      <x:c r="E57" s="7"/>
      <x:c r="F57" s="1"/>
      <x:c r="G57" s="1"/>
      <x:c r="H57" s="1"/>
      <x:c r="I57" s="1"/>
    </x:row>
    <x:row r="58">
      <x:c r="A58" s="56"/>
      <x:c r="B58" s="57"/>
      <x:c r="C58" s="5" t="s">
        <x:v>75</x:v>
      </x:c>
      <x:c r="D58" s="5" t="s">
        <x:v>11</x:v>
      </x:c>
      <x:c r="E58" s="51" t="s">
        <x:v>12</x:v>
      </x:c>
      <x:c r="F58" s="1"/>
      <x:c r="G58" s="1"/>
      <x:c r="H58" s="1"/>
      <x:c r="I58" s="1"/>
    </x:row>
    <x:row r="59">
      <x:c r="A59" s="56"/>
      <x:c r="B59" s="57"/>
      <x:c r="C59" s="5" t="s">
        <x:v>76</x:v>
      </x:c>
      <x:c r="D59" s="5" t="s">
        <x:v>11</x:v>
      </x:c>
      <x:c r="E59" s="51" t="s">
        <x:v>12</x:v>
      </x:c>
      <x:c r="F59" s="1"/>
      <x:c r="G59" s="1"/>
      <x:c r="H59" s="1"/>
      <x:c r="I59" s="1"/>
    </x:row>
    <x:row r="60">
      <x:c r="A60" s="56"/>
      <x:c r="B60" s="57"/>
      <x:c r="C60" s="5" t="s">
        <x:v>77</x:v>
      </x:c>
      <x:c r="D60" s="5" t="s">
        <x:v>11</x:v>
      </x:c>
      <x:c r="E60" s="51" t="s">
        <x:v>14</x:v>
      </x:c>
      <x:c r="F60" s="1"/>
      <x:c r="G60" s="1"/>
      <x:c r="H60" s="1"/>
      <x:c r="I60" s="1"/>
    </x:row>
    <x:row r="61">
      <x:c r="A61" s="56"/>
      <x:c r="B61" s="57"/>
      <x:c r="C61" s="5" t="s">
        <x:v>78</x:v>
      </x:c>
      <x:c r="D61" s="5" t="s">
        <x:v>16</x:v>
      </x:c>
      <x:c r="E61" s="51" t="s">
        <x:v>17</x:v>
      </x:c>
      <x:c r="F61" s="1"/>
      <x:c r="G61" s="1"/>
      <x:c r="H61" s="1"/>
      <x:c r="I61" s="1"/>
    </x:row>
    <x:row r="62">
      <x:c r="A62" s="58"/>
      <x:c r="B62" s="59"/>
      <x:c r="C62" s="5" t="s">
        <x:v>79</x:v>
      </x:c>
      <x:c r="D62" s="5" t="s">
        <x:v>16</x:v>
      </x:c>
      <x:c r="E62" s="51" t="s">
        <x:v>19</x:v>
      </x:c>
    </x:row>
    <x:row r="63">
      <x:c r="A63" s="7" t="s">
        <x:v>80</x:v>
      </x:c>
      <x:c r="B63" s="7" t="s">
        <x:v>81</x:v>
      </x:c>
      <x:c r="C63" s="7"/>
      <x:c r="D63" s="6"/>
      <x:c r="E63" s="7"/>
    </x:row>
    <x:row r="64">
      <x:c r="A64" s="60"/>
      <x:c r="B64" s="55"/>
      <x:c r="C64" s="5" t="s">
        <x:v>82</x:v>
      </x:c>
      <x:c r="D64" s="5" t="s">
        <x:v>8</x:v>
      </x:c>
      <x:c r="E64" s="7"/>
    </x:row>
    <x:row r="65">
      <x:c r="A65" s="56"/>
      <x:c r="B65" s="57"/>
      <x:c r="C65" s="5" t="s">
        <x:v>83</x:v>
      </x:c>
      <x:c r="D65" s="5" t="s">
        <x:v>8</x:v>
      </x:c>
      <x:c r="E65" s="7"/>
    </x:row>
    <x:row r="66">
      <x:c r="A66" s="56"/>
      <x:c r="B66" s="57"/>
      <x:c r="C66" s="5" t="s">
        <x:v>84</x:v>
      </x:c>
      <x:c r="D66" s="5" t="s">
        <x:v>11</x:v>
      </x:c>
      <x:c r="E66" s="51" t="s">
        <x:v>12</x:v>
      </x:c>
    </x:row>
    <x:row r="67">
      <x:c r="A67" s="56"/>
      <x:c r="B67" s="57"/>
      <x:c r="C67" s="5" t="s">
        <x:v>85</x:v>
      </x:c>
      <x:c r="D67" s="5" t="s">
        <x:v>11</x:v>
      </x:c>
      <x:c r="E67" s="51" t="s">
        <x:v>14</x:v>
      </x:c>
    </x:row>
    <x:row r="68">
      <x:c r="A68" s="56"/>
      <x:c r="B68" s="57"/>
      <x:c r="C68" s="5" t="s">
        <x:v>86</x:v>
      </x:c>
      <x:c r="D68" s="5" t="s">
        <x:v>16</x:v>
      </x:c>
      <x:c r="E68" s="51" t="s">
        <x:v>17</x:v>
      </x:c>
    </x:row>
    <x:row r="69">
      <x:c r="A69" s="56"/>
      <x:c r="B69" s="57"/>
      <x:c r="C69" s="5" t="s">
        <x:v>87</x:v>
      </x:c>
      <x:c r="D69" s="5" t="s">
        <x:v>16</x:v>
      </x:c>
      <x:c r="E69" s="51" t="s">
        <x:v>17</x:v>
      </x:c>
    </x:row>
    <x:row r="70">
      <x:c r="A70" s="58"/>
      <x:c r="B70" s="59"/>
      <x:c r="C70" s="5" t="s">
        <x:v>88</x:v>
      </x:c>
      <x:c r="D70" s="5" t="s">
        <x:v>16</x:v>
      </x:c>
      <x:c r="E70" s="51" t="s">
        <x:v>19</x:v>
      </x:c>
    </x:row>
  </x:sheetData>
  <x:mergeCells>
    <x:mergeCell ref="A64:B70"/>
    <x:mergeCell ref="A33:B38"/>
    <x:mergeCell ref="A40:B46"/>
    <x:mergeCell ref="A19:B24"/>
    <x:mergeCell ref="A11:B17"/>
    <x:mergeCell ref="A48:B54"/>
    <x:mergeCell ref="A56:B62"/>
    <x:mergeCell ref="A3:B9"/>
    <x:mergeCell ref="A26:B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8"/>
  <x:cols>
    <x:col min="4" max="4" width="11.140625" style="3" customWidth="1"/>
    <x:col min="7" max="7" width="15.42578125" style="3" customWidth="1"/>
    <x:col min="9" max="9" width="16.42578125" style="3" customWidth="1"/>
    <x:col min="10" max="10" width="10.7109375" style="3" customWidth="1"/>
    <x:col min="11" max="12" width="13.7109375" style="3" customWidth="1"/>
    <x:col min="13" max="13" width="14.5703125" style="3" customWidth="1"/>
    <x:col min="14" max="14" width="15.7109375" style="3" customWidth="1"/>
    <x:col min="15" max="15" width="17.42578125" style="3" customWidth="1"/>
    <x:col min="16" max="16" width="13" style="3" customWidth="1"/>
    <x:col min="17" max="17" width="13.28515625" style="3" customWidth="1"/>
  </x:cols>
  <x:sheetData>
    <x:row r="1">
      <x:c r="A1" s="7" t="s">
        <x:v>89</x:v>
      </x:c>
      <x:c r="B1" s="7" t="s">
        <x:v>90</x:v>
      </x:c>
      <x:c r="C1" s="7" t="s">
        <x:v>91</x:v>
      </x:c>
      <x:c r="D1" s="7" t="s">
        <x:v>92</x:v>
      </x:c>
      <x:c r="E1" s="7" t="s">
        <x:v>93</x:v>
      </x:c>
      <x:c r="F1" s="7" t="s">
        <x:v>94</x:v>
      </x:c>
      <x:c r="G1" s="7" t="s">
        <x:v>95</x:v>
      </x:c>
      <x:c r="H1" s="7" t="s">
        <x:v>96</x:v>
      </x:c>
      <x:c r="I1" s="7" t="s">
        <x:v>97</x:v>
      </x:c>
      <x:c r="J1" s="7" t="s">
        <x:v>98</x:v>
      </x:c>
      <x:c r="K1" s="7" t="s">
        <x:v>99</x:v>
      </x:c>
      <x:c r="L1" s="7" t="s">
        <x:v>100</x:v>
      </x:c>
      <x:c r="M1" s="7" t="s">
        <x:v>101</x:v>
      </x:c>
      <x:c r="N1" s="7" t="s">
        <x:v>102</x:v>
      </x:c>
      <x:c r="O1" s="7" t="s">
        <x:v>103</x:v>
      </x:c>
      <x:c r="P1" t="s">
        <x:v>104</x:v>
      </x:c>
      <x:c r="Q1" t="s">
        <x:v>105</x:v>
      </x:c>
    </x:row>
    <x:row r="2">
      <x:c r="A2" s="30">
        <x:v>1</x:v>
      </x:c>
      <x:c r="B2" s="30">
        <x:v>1</x:v>
      </x:c>
      <x:c r="C2" s="30">
        <x:v>1</x:v>
      </x:c>
      <x:c r="D2" s="30">
        <x:v>1</x:v>
      </x:c>
      <x:c r="E2" s="32">
        <x:v>46178</x:v>
      </x:c>
      <x:c r="F2" s="30" t="s">
        <x:v>106</x:v>
      </x:c>
      <x:c r="G2" s="30" t="s">
        <x:v>6</x:v>
      </x:c>
      <x:c r="H2" s="30" t="s">
        <x:v>22</x:v>
      </x:c>
      <x:c r="I2" s="30" t="s">
        <x:v>107</x:v>
      </x:c>
      <x:c r="J2" s="30" t="str">
        <x:f t="shared" ref="J2:J33" si="0">IF(OR(I2="Antarctic Peninsula", I2="Nepal", I2="Lijiang Tower", I2="Busan", I2="Samoa", I2="Oasis", I2="Ilios"), "Control", IF(OR(I2="Route 66", I2="Watchpoint: Gibraltar", I2="Dorado", I2="Rialto", I2="Shambali Monastery", I2="Circuit Royal", I2="Junkertown", I2="Havana"), "Escort", IF(OR(I2="Neon Junction", I2="Numbani", I2="Midtown", I2="Blizzard World", I2="Eichenwalde", I2="King's Row", I2="Paraiso", I2="Hollywood"), "Hybrid", IF(OR(I2="New Queen Street", I2="Esperanca", I2="Colosseo", I2="Runasapi"), "Push", IF(OR(I2="New Junk City", I2="Suravasa", I2="Aatlis"), "Flashpoint", "")))))</x:f>
        <x:v>Control</x:v>
      </x:c>
      <x:c r="K2" s="34">
        <x:v>6.7013888888888887E-3</x:v>
      </x:c>
      <x:c r="L2" s="30" t="s">
        <x:v>6</x:v>
      </x:c>
      <x:c r="M2" s="30" t="s">
        <x:v>108</x:v>
      </x:c>
      <x:c r="N2" s="30" t="s">
        <x:v>109</x:v>
      </x:c>
      <x:c r="O2" s="43" t="str">
        <x:f t="shared" ref="O2:O33" si="1">TEXT(E2, "yymmdd") &amp; "_" &amp; G2 &amp; "_" &amp; H2 &amp; "_S" &amp; D2</x:f>
        <x:v>260605_O2_ROZE_S1</x:v>
      </x:c>
      <x:c r="P2">
        <x:v>2</x:v>
      </x:c>
      <x:c r="Q2">
        <x:v>0</x:v>
      </x:c>
    </x:row>
    <x:row r="3">
      <x:c r="A3" s="30">
        <x:v>1</x:v>
      </x:c>
      <x:c r="B3" s="30">
        <x:v>1</x:v>
      </x:c>
      <x:c r="C3" s="30">
        <x:v>1</x:v>
      </x:c>
      <x:c r="D3" s="30">
        <x:v>2</x:v>
      </x:c>
      <x:c r="E3" s="32">
        <x:v>46178</x:v>
      </x:c>
      <x:c r="F3" s="30" t="s">
        <x:v>106</x:v>
      </x:c>
      <x:c r="G3" s="30" t="s">
        <x:v>6</x:v>
      </x:c>
      <x:c r="H3" s="30" t="s">
        <x:v>22</x:v>
      </x:c>
      <x:c r="I3" s="30" t="s">
        <x:v>110</x:v>
      </x:c>
      <x:c r="J3" s="30" t="str">
        <x:f t="shared" si="0"/>
        <x:v>Flashpoint</x:v>
      </x:c>
      <x:c r="K3" s="34">
        <x:v>1.041666666666667E-2</x:v>
      </x:c>
      <x:c r="L3" s="30" t="s">
        <x:v>6</x:v>
      </x:c>
      <x:c r="M3" s="30" t="s">
        <x:v>111</x:v>
      </x:c>
      <x:c r="N3" s="30" t="s">
        <x:v>112</x:v>
      </x:c>
      <x:c r="O3" s="43" t="str">
        <x:f t="shared" si="1"/>
        <x:v>260605_O2_ROZE_S2</x:v>
      </x:c>
      <x:c r="P3">
        <x:v>3</x:v>
      </x:c>
      <x:c r="Q3">
        <x:v>2</x:v>
      </x:c>
    </x:row>
    <x:row r="4">
      <x:c r="A4" s="30">
        <x:v>1</x:v>
      </x:c>
      <x:c r="B4" s="30">
        <x:v>1</x:v>
      </x:c>
      <x:c r="C4" s="30">
        <x:v>1</x:v>
      </x:c>
      <x:c r="D4" s="30">
        <x:v>3</x:v>
      </x:c>
      <x:c r="E4" s="32">
        <x:v>46178</x:v>
      </x:c>
      <x:c r="F4" s="30" t="s">
        <x:v>106</x:v>
      </x:c>
      <x:c r="G4" s="30" t="s">
        <x:v>6</x:v>
      </x:c>
      <x:c r="H4" s="30" t="s">
        <x:v>22</x:v>
      </x:c>
      <x:c r="I4" s="30" t="s">
        <x:v>113</x:v>
      </x:c>
      <x:c r="J4" s="30" t="str">
        <x:f t="shared" si="0"/>
        <x:v>Push</x:v>
      </x:c>
      <x:c r="K4" s="34">
        <x:v>7.4074074074074077E-3</x:v>
      </x:c>
      <x:c r="L4" s="30" t="s">
        <x:v>6</x:v>
      </x:c>
      <x:c r="M4" s="30" t="s">
        <x:v>114</x:v>
      </x:c>
      <x:c r="N4" s="30" t="s">
        <x:v>115</x:v>
      </x:c>
      <x:c r="O4" s="43" t="str">
        <x:f t="shared" si="1"/>
        <x:v>260605_O2_ROZE_S3</x:v>
      </x:c>
      <x:c r="P4">
        <x:v>125.66</x:v>
      </x:c>
      <x:c r="Q4">
        <x:v>72.02</x:v>
      </x:c>
    </x:row>
    <x:row r="5">
      <x:c r="A5" s="7">
        <x:v>1</x:v>
      </x:c>
      <x:c r="B5" s="7">
        <x:v>1</x:v>
      </x:c>
      <x:c r="C5" s="7">
        <x:v>2</x:v>
      </x:c>
      <x:c r="D5" s="7">
        <x:v>1</x:v>
      </x:c>
      <x:c r="E5" s="16">
        <x:v>46178</x:v>
      </x:c>
      <x:c r="F5" s="7" t="s">
        <x:v>106</x:v>
      </x:c>
      <x:c r="G5" s="7" t="s">
        <x:v>72</x:v>
      </x:c>
      <x:c r="H5" s="7" t="s">
        <x:v>55</x:v>
      </x:c>
      <x:c r="I5" s="7" t="s">
        <x:v>116</x:v>
      </x:c>
      <x:c r="J5" s="7" t="str">
        <x:f t="shared" si="0"/>
        <x:v>Control</x:v>
      </x:c>
      <x:c r="K5" s="17">
        <x:v>5.208333333333333E-3</x:v>
      </x:c>
      <x:c r="L5" s="7" t="s">
        <x:v>55</x:v>
      </x:c>
      <x:c r="M5" s="7" t="s">
        <x:v>117</x:v>
      </x:c>
      <x:c r="N5" s="7" t="s">
        <x:v>118</x:v>
      </x:c>
      <x:c r="O5" s="44" t="str">
        <x:f t="shared" si="1"/>
        <x:v>260605_FLC_CR_S1</x:v>
      </x:c>
      <x:c r="P5">
        <x:v>2</x:v>
      </x:c>
      <x:c r="Q5">
        <x:v>0</x:v>
      </x:c>
    </x:row>
    <x:row r="6">
      <x:c r="A6" s="7">
        <x:v>1</x:v>
      </x:c>
      <x:c r="B6" s="7">
        <x:v>1</x:v>
      </x:c>
      <x:c r="C6" s="7">
        <x:v>2</x:v>
      </x:c>
      <x:c r="D6" s="7">
        <x:v>2</x:v>
      </x:c>
      <x:c r="E6" s="16">
        <x:v>46178</x:v>
      </x:c>
      <x:c r="F6" s="7" t="s">
        <x:v>106</x:v>
      </x:c>
      <x:c r="G6" s="7" t="s">
        <x:v>72</x:v>
      </x:c>
      <x:c r="H6" s="7" t="s">
        <x:v>55</x:v>
      </x:c>
      <x:c r="I6" s="7" t="s">
        <x:v>119</x:v>
      </x:c>
      <x:c r="J6" s="7" t="str">
        <x:f t="shared" si="0"/>
        <x:v>Hybrid</x:v>
      </x:c>
      <x:c r="K6" s="17">
        <x:v>9.780092592592592E-3</x:v>
      </x:c>
      <x:c r="L6" s="7" t="s">
        <x:v>55</x:v>
      </x:c>
      <x:c r="M6" s="7" t="s">
        <x:v>115</x:v>
      </x:c>
      <x:c r="N6" s="7" t="s">
        <x:v>114</x:v>
      </x:c>
      <x:c r="O6" s="44" t="str">
        <x:f t="shared" si="1"/>
        <x:v>260605_FLC_CR_S2</x:v>
      </x:c>
      <x:c r="P6">
        <x:v>1</x:v>
      </x:c>
      <x:c r="Q6">
        <x:v>2</x:v>
      </x:c>
    </x:row>
    <x:row r="7">
      <x:c r="A7" s="7">
        <x:v>1</x:v>
      </x:c>
      <x:c r="B7" s="7">
        <x:v>1</x:v>
      </x:c>
      <x:c r="C7" s="7">
        <x:v>2</x:v>
      </x:c>
      <x:c r="D7" s="7">
        <x:v>3</x:v>
      </x:c>
      <x:c r="E7" s="16">
        <x:v>46178</x:v>
      </x:c>
      <x:c r="F7" s="7" t="s">
        <x:v>106</x:v>
      </x:c>
      <x:c r="G7" s="7" t="s">
        <x:v>72</x:v>
      </x:c>
      <x:c r="H7" s="7" t="s">
        <x:v>55</x:v>
      </x:c>
      <x:c r="I7" s="7" t="s">
        <x:v>120</x:v>
      </x:c>
      <x:c r="J7" s="7" t="str">
        <x:f t="shared" si="0"/>
        <x:v>Push</x:v>
      </x:c>
      <x:c r="K7" s="17">
        <x:v>7.1643518518518506E-3</x:v>
      </x:c>
      <x:c r="L7" s="7" t="s">
        <x:v>55</x:v>
      </x:c>
      <x:c r="M7" s="7" t="s">
        <x:v>121</x:v>
      </x:c>
      <x:c r="N7" s="7" t="s">
        <x:v>122</x:v>
      </x:c>
      <x:c r="O7" s="44" t="str">
        <x:f t="shared" si="1"/>
        <x:v>260605_FLC_CR_S3</x:v>
      </x:c>
      <x:c r="P7">
        <x:v>105.91</x:v>
      </x:c>
      <x:c r="Q7">
        <x:v>106.08</x:v>
      </x:c>
    </x:row>
    <x:row r="8">
      <x:c r="A8" s="30">
        <x:v>1</x:v>
      </x:c>
      <x:c r="B8" s="30">
        <x:v>1</x:v>
      </x:c>
      <x:c r="C8" s="30">
        <x:v>3</x:v>
      </x:c>
      <x:c r="D8" s="30">
        <x:v>1</x:v>
      </x:c>
      <x:c r="E8" s="32">
        <x:v>46178</x:v>
      </x:c>
      <x:c r="F8" s="30" t="s">
        <x:v>106</x:v>
      </x:c>
      <x:c r="G8" s="30" t="s">
        <x:v>63</x:v>
      </x:c>
      <x:c r="H8" s="30" t="s">
        <x:v>47</x:v>
      </x:c>
      <x:c r="I8" s="30" t="s">
        <x:v>116</x:v>
      </x:c>
      <x:c r="J8" s="30" t="str">
        <x:f t="shared" si="0"/>
        <x:v>Control</x:v>
      </x:c>
      <x:c r="K8" s="34">
        <x:v>5.8449074074074072E-3</x:v>
      </x:c>
      <x:c r="L8" s="30" t="s">
        <x:v>63</x:v>
      </x:c>
      <x:c r="M8" s="30" t="s">
        <x:v>109</x:v>
      </x:c>
      <x:c r="N8" s="30" t="s">
        <x:v>118</x:v>
      </x:c>
      <x:c r="O8" s="43" t="str">
        <x:f t="shared" si="1"/>
        <x:v>260605_T1_ZETA_S1</x:v>
      </x:c>
      <x:c r="P8">
        <x:v>0</x:v>
      </x:c>
      <x:c r="Q8">
        <x:v>2</x:v>
      </x:c>
    </x:row>
    <x:row r="9">
      <x:c r="A9" s="29">
        <x:v>1</x:v>
      </x:c>
      <x:c r="B9" s="29">
        <x:v>1</x:v>
      </x:c>
      <x:c r="C9" s="30">
        <x:v>3</x:v>
      </x:c>
      <x:c r="D9" s="30">
        <x:v>2</x:v>
      </x:c>
      <x:c r="E9" s="35">
        <x:v>46178</x:v>
      </x:c>
      <x:c r="F9" s="30" t="s">
        <x:v>106</x:v>
      </x:c>
      <x:c r="G9" s="30" t="s">
        <x:v>63</x:v>
      </x:c>
      <x:c r="H9" s="30" t="s">
        <x:v>47</x:v>
      </x:c>
      <x:c r="I9" s="30" t="s">
        <x:v>123</x:v>
      </x:c>
      <x:c r="J9" s="30" t="str">
        <x:f t="shared" si="0"/>
        <x:v>Escort</x:v>
      </x:c>
      <x:c r="K9" s="34">
        <x:v>1.06712962962963E-2</x:v>
      </x:c>
      <x:c r="L9" s="30" t="s">
        <x:v>47</x:v>
      </x:c>
      <x:c r="M9" s="30" t="s">
        <x:v>108</x:v>
      </x:c>
      <x:c r="N9" s="30" t="s">
        <x:v>114</x:v>
      </x:c>
      <x:c r="O9" s="43" t="str">
        <x:f t="shared" si="1"/>
        <x:v>260605_T1_ZETA_S2</x:v>
      </x:c>
      <x:c r="P9">
        <x:v>1</x:v>
      </x:c>
      <x:c r="Q9">
        <x:v>2</x:v>
      </x:c>
    </x:row>
    <x:row r="10">
      <x:c r="A10" s="29">
        <x:v>1</x:v>
      </x:c>
      <x:c r="B10" s="29">
        <x:v>1</x:v>
      </x:c>
      <x:c r="C10" s="30">
        <x:v>3</x:v>
      </x:c>
      <x:c r="D10" s="30">
        <x:v>3</x:v>
      </x:c>
      <x:c r="E10" s="35">
        <x:v>46178</x:v>
      </x:c>
      <x:c r="F10" s="30" t="s">
        <x:v>106</x:v>
      </x:c>
      <x:c r="G10" s="30" t="s">
        <x:v>63</x:v>
      </x:c>
      <x:c r="H10" s="30" t="s">
        <x:v>47</x:v>
      </x:c>
      <x:c r="I10" s="30" t="s">
        <x:v>124</x:v>
      </x:c>
      <x:c r="J10" s="30" t="str">
        <x:f t="shared" si="0"/>
        <x:v>Flashpoint</x:v>
      </x:c>
      <x:c r="K10" s="34">
        <x:v>5.3125000000000004E-3</x:v>
      </x:c>
      <x:c r="L10" s="30" t="s">
        <x:v>63</x:v>
      </x:c>
      <x:c r="M10" s="30" t="s">
        <x:v>125</x:v>
      </x:c>
      <x:c r="N10" s="30" t="s">
        <x:v>126</x:v>
      </x:c>
      <x:c r="O10" s="43" t="str">
        <x:f t="shared" si="1"/>
        <x:v>260605_T1_ZETA_S3</x:v>
      </x:c>
      <x:c r="P10">
        <x:v>3</x:v>
      </x:c>
      <x:c r="Q10">
        <x:v>2</x:v>
      </x:c>
    </x:row>
    <x:row r="11">
      <x:c r="A11" s="29">
        <x:v>1</x:v>
      </x:c>
      <x:c r="B11" s="29">
        <x:v>1</x:v>
      </x:c>
      <x:c r="C11" s="30">
        <x:v>3</x:v>
      </x:c>
      <x:c r="D11" s="30">
        <x:v>4</x:v>
      </x:c>
      <x:c r="E11" s="35">
        <x:v>46178</x:v>
      </x:c>
      <x:c r="F11" s="30" t="s">
        <x:v>106</x:v>
      </x:c>
      <x:c r="G11" s="30" t="s">
        <x:v>63</x:v>
      </x:c>
      <x:c r="H11" s="30" t="s">
        <x:v>47</x:v>
      </x:c>
      <x:c r="I11" s="30" t="s">
        <x:v>119</x:v>
      </x:c>
      <x:c r="J11" s="30" t="str">
        <x:f t="shared" si="0"/>
        <x:v>Hybrid</x:v>
      </x:c>
      <x:c r="K11" s="34">
        <x:v>1.134259259259259E-2</x:v>
      </x:c>
      <x:c r="L11" s="30" t="s">
        <x:v>47</x:v>
      </x:c>
      <x:c r="M11" s="30" t="s">
        <x:v>115</x:v>
      </x:c>
      <x:c r="N11" s="30" t="s">
        <x:v>127</x:v>
      </x:c>
      <x:c r="O11" s="43" t="str">
        <x:f t="shared" si="1"/>
        <x:v>260605_T1_ZETA_S4</x:v>
      </x:c>
      <x:c r="P11">
        <x:v>3</x:v>
      </x:c>
      <x:c r="Q11">
        <x:v>4</x:v>
      </x:c>
    </x:row>
    <x:row r="12">
      <x:c r="A12" s="29">
        <x:v>1</x:v>
      </x:c>
      <x:c r="B12" s="29">
        <x:v>1</x:v>
      </x:c>
      <x:c r="C12" s="30">
        <x:v>3</x:v>
      </x:c>
      <x:c r="D12" s="30">
        <x:v>5</x:v>
      </x:c>
      <x:c r="E12" s="35">
        <x:v>46178</x:v>
      </x:c>
      <x:c r="F12" s="30" t="s">
        <x:v>106</x:v>
      </x:c>
      <x:c r="G12" s="30" t="s">
        <x:v>63</x:v>
      </x:c>
      <x:c r="H12" s="30" t="s">
        <x:v>47</x:v>
      </x:c>
      <x:c r="I12" s="30" t="s">
        <x:v>113</x:v>
      </x:c>
      <x:c r="J12" s="30" t="str">
        <x:f t="shared" si="0"/>
        <x:v>Push</x:v>
      </x:c>
      <x:c r="K12" s="34">
        <x:v>7.3379629629629628E-3</x:v>
      </x:c>
      <x:c r="L12" s="30" t="s">
        <x:v>63</x:v>
      </x:c>
      <x:c r="M12" s="30" t="s">
        <x:v>122</x:v>
      </x:c>
      <x:c r="N12" s="30" t="s">
        <x:v>128</x:v>
      </x:c>
      <x:c r="O12" s="43" t="str">
        <x:f t="shared" si="1"/>
        <x:v>260605_T1_ZETA_S5</x:v>
      </x:c>
      <x:c r="P12">
        <x:v>73.599999999999994</x:v>
      </x:c>
      <x:c r="Q12">
        <x:v>57.99</x:v>
      </x:c>
    </x:row>
    <x:row r="13">
      <x:c r="A13" s="5">
        <x:v>1</x:v>
      </x:c>
      <x:c r="B13" s="5">
        <x:v>2</x:v>
      </x:c>
      <x:c r="C13" s="7">
        <x:v>1</x:v>
      </x:c>
      <x:c r="D13" s="7">
        <x:v>1</x:v>
      </x:c>
      <x:c r="E13" s="16">
        <x:v>46179</x:v>
      </x:c>
      <x:c r="F13" s="7" t="s">
        <x:v>106</x:v>
      </x:c>
      <x:c r="G13" s="7" t="s">
        <x:v>39</x:v>
      </x:c>
      <x:c r="H13" s="7" t="s">
        <x:v>31</x:v>
      </x:c>
      <x:c r="I13" s="7" t="s">
        <x:v>116</x:v>
      </x:c>
      <x:c r="J13" s="7" t="str">
        <x:f t="shared" si="0"/>
        <x:v>Control</x:v>
      </x:c>
      <x:c r="K13" s="7"/>
      <x:c r="L13" s="7" t="s">
        <x:v>31</x:v>
      </x:c>
      <x:c r="M13" s="7" t="s">
        <x:v>122</x:v>
      </x:c>
      <x:c r="N13" s="7" t="s">
        <x:v>129</x:v>
      </x:c>
      <x:c r="O13" s="44" t="str">
        <x:f t="shared" si="1"/>
        <x:v>260606_PF_CB_S1</x:v>
      </x:c>
      <x:c r="P13">
        <x:v>0</x:v>
      </x:c>
      <x:c r="Q13">
        <x:v>2</x:v>
      </x:c>
    </x:row>
    <x:row r="14">
      <x:c r="A14" s="5">
        <x:v>1</x:v>
      </x:c>
      <x:c r="B14" s="5">
        <x:v>2</x:v>
      </x:c>
      <x:c r="C14" s="7">
        <x:v>1</x:v>
      </x:c>
      <x:c r="D14" s="7">
        <x:v>2</x:v>
      </x:c>
      <x:c r="E14" s="16">
        <x:v>46179</x:v>
      </x:c>
      <x:c r="F14" s="7" t="s">
        <x:v>106</x:v>
      </x:c>
      <x:c r="G14" s="7" t="s">
        <x:v>39</x:v>
      </x:c>
      <x:c r="H14" s="7" t="s">
        <x:v>31</x:v>
      </x:c>
      <x:c r="I14" s="7" t="s">
        <x:v>110</x:v>
      </x:c>
      <x:c r="J14" s="7" t="str">
        <x:f t="shared" si="0"/>
        <x:v>Flashpoint</x:v>
      </x:c>
      <x:c r="K14" s="7"/>
      <x:c r="L14" s="7" t="s">
        <x:v>31</x:v>
      </x:c>
      <x:c r="M14" s="7" t="s">
        <x:v>109</x:v>
      </x:c>
      <x:c r="N14" s="7" t="s">
        <x:v>115</x:v>
      </x:c>
      <x:c r="O14" s="44" t="str">
        <x:f t="shared" si="1"/>
        <x:v>260606_PF_CB_S2</x:v>
      </x:c>
      <x:c r="P14">
        <x:v>2</x:v>
      </x:c>
      <x:c r="Q14">
        <x:v>3</x:v>
      </x:c>
    </x:row>
    <x:row r="15">
      <x:c r="A15" s="5">
        <x:v>1</x:v>
      </x:c>
      <x:c r="B15" s="5">
        <x:v>2</x:v>
      </x:c>
      <x:c r="C15" s="7">
        <x:v>1</x:v>
      </x:c>
      <x:c r="D15" s="7">
        <x:v>3</x:v>
      </x:c>
      <x:c r="E15" s="16">
        <x:v>46179</x:v>
      </x:c>
      <x:c r="F15" s="7" t="s">
        <x:v>106</x:v>
      </x:c>
      <x:c r="G15" s="7" t="s">
        <x:v>39</x:v>
      </x:c>
      <x:c r="H15" s="7" t="s">
        <x:v>31</x:v>
      </x:c>
      <x:c r="I15" s="7" t="s">
        <x:v>113</x:v>
      </x:c>
      <x:c r="J15" s="7" t="str">
        <x:f t="shared" si="0"/>
        <x:v>Push</x:v>
      </x:c>
      <x:c r="K15" s="7"/>
      <x:c r="L15" s="7" t="s">
        <x:v>31</x:v>
      </x:c>
      <x:c r="M15" s="7" t="s">
        <x:v>130</x:v>
      </x:c>
      <x:c r="N15" s="7" t="s">
        <x:v>125</x:v>
      </x:c>
      <x:c r="O15" s="44" t="str">
        <x:f t="shared" si="1"/>
        <x:v>260606_PF_CB_S3</x:v>
      </x:c>
      <x:c r="P15">
        <x:v>0</x:v>
      </x:c>
      <x:c r="Q15">
        <x:v>144.86000000000001</x:v>
      </x:c>
    </x:row>
    <x:row r="16">
      <x:c r="A16" s="29">
        <x:v>1</x:v>
      </x:c>
      <x:c r="B16" s="29">
        <x:v>2</x:v>
      </x:c>
      <x:c r="C16" s="30">
        <x:v>2</x:v>
      </x:c>
      <x:c r="D16" s="30">
        <x:v>1</x:v>
      </x:c>
      <x:c r="E16" s="32">
        <x:v>46179</x:v>
      </x:c>
      <x:c r="F16" s="30" t="s">
        <x:v>106</x:v>
      </x:c>
      <x:c r="G16" s="30" t="s">
        <x:v>63</x:v>
      </x:c>
      <x:c r="H16" s="30" t="s">
        <x:v>81</x:v>
      </x:c>
      <x:c r="I16" s="30" t="s">
        <x:v>131</x:v>
      </x:c>
      <x:c r="J16" s="30" t="str">
        <x:f t="shared" si="0"/>
        <x:v>Control</x:v>
      </x:c>
      <x:c r="K16" s="30"/>
      <x:c r="L16" s="30" t="s">
        <x:v>63</x:v>
      </x:c>
      <x:c r="M16" s="30" t="s">
        <x:v>132</x:v>
      </x:c>
      <x:c r="N16" s="30" t="s">
        <x:v>125</x:v>
      </x:c>
      <x:c r="O16" s="43" t="str">
        <x:f t="shared" si="1"/>
        <x:v>260606_T1_SB_S1</x:v>
      </x:c>
      <x:c r="P16">
        <x:v>2</x:v>
      </x:c>
      <x:c r="Q16">
        <x:v>0</x:v>
      </x:c>
    </x:row>
    <x:row r="17">
      <x:c r="A17" s="29">
        <x:v>1</x:v>
      </x:c>
      <x:c r="B17" s="29">
        <x:v>2</x:v>
      </x:c>
      <x:c r="C17" s="30">
        <x:v>2</x:v>
      </x:c>
      <x:c r="D17" s="30">
        <x:v>2</x:v>
      </x:c>
      <x:c r="E17" s="32">
        <x:v>46179</x:v>
      </x:c>
      <x:c r="F17" s="30" t="s">
        <x:v>106</x:v>
      </x:c>
      <x:c r="G17" s="30" t="s">
        <x:v>63</x:v>
      </x:c>
      <x:c r="H17" s="30" t="s">
        <x:v>81</x:v>
      </x:c>
      <x:c r="I17" s="30" t="s">
        <x:v>133</x:v>
      </x:c>
      <x:c r="J17" s="30" t="str">
        <x:f t="shared" si="0"/>
        <x:v>Hybrid</x:v>
      </x:c>
      <x:c r="K17" s="30"/>
      <x:c r="L17" s="30" t="s">
        <x:v>63</x:v>
      </x:c>
      <x:c r="M17" s="30" t="s">
        <x:v>134</x:v>
      </x:c>
      <x:c r="N17" s="30" t="s">
        <x:v>115</x:v>
      </x:c>
      <x:c r="O17" s="43" t="str">
        <x:f t="shared" si="1"/>
        <x:v>260606_T1_SB_S2</x:v>
      </x:c>
      <x:c r="P17">
        <x:v>3</x:v>
      </x:c>
      <x:c r="Q17">
        <x:v>1</x:v>
      </x:c>
    </x:row>
    <x:row r="18">
      <x:c r="A18" s="29">
        <x:v>1</x:v>
      </x:c>
      <x:c r="B18" s="29">
        <x:v>2</x:v>
      </x:c>
      <x:c r="C18" s="30">
        <x:v>2</x:v>
      </x:c>
      <x:c r="D18" s="30">
        <x:v>3</x:v>
      </x:c>
      <x:c r="E18" s="32">
        <x:v>46179</x:v>
      </x:c>
      <x:c r="F18" s="30" t="s">
        <x:v>106</x:v>
      </x:c>
      <x:c r="G18" s="30" t="s">
        <x:v>63</x:v>
      </x:c>
      <x:c r="H18" s="30" t="s">
        <x:v>81</x:v>
      </x:c>
      <x:c r="I18" s="30" t="s">
        <x:v>124</x:v>
      </x:c>
      <x:c r="J18" s="30" t="str">
        <x:f t="shared" si="0"/>
        <x:v>Flashpoint</x:v>
      </x:c>
      <x:c r="K18" s="30"/>
      <x:c r="L18" s="30" t="s">
        <x:v>63</x:v>
      </x:c>
      <x:c r="M18" s="30" t="s">
        <x:v>126</x:v>
      </x:c>
      <x:c r="N18" s="30" t="s">
        <x:v>135</x:v>
      </x:c>
      <x:c r="O18" s="43" t="str">
        <x:f t="shared" si="1"/>
        <x:v>260606_T1_SB_S3</x:v>
      </x:c>
      <x:c r="P18">
        <x:v>3</x:v>
      </x:c>
      <x:c r="Q18">
        <x:v>0</x:v>
      </x:c>
    </x:row>
    <x:row r="19">
      <x:c r="A19" s="5">
        <x:v>1</x:v>
      </x:c>
      <x:c r="B19" s="5">
        <x:v>2</x:v>
      </x:c>
      <x:c r="C19" s="7">
        <x:v>3</x:v>
      </x:c>
      <x:c r="D19" s="7">
        <x:v>1</x:v>
      </x:c>
      <x:c r="E19" s="16">
        <x:v>46179</x:v>
      </x:c>
      <x:c r="F19" s="7" t="s">
        <x:v>106</x:v>
      </x:c>
      <x:c r="G19" s="7" t="s">
        <x:v>22</x:v>
      </x:c>
      <x:c r="H19" s="7" t="s">
        <x:v>72</x:v>
      </x:c>
      <x:c r="I19" s="7" t="s">
        <x:v>131</x:v>
      </x:c>
      <x:c r="J19" s="7" t="str">
        <x:f t="shared" si="0"/>
        <x:v>Control</x:v>
      </x:c>
      <x:c r="K19" s="7"/>
      <x:c r="L19" s="7" t="s">
        <x:v>72</x:v>
      </x:c>
      <x:c r="M19" s="7" t="s">
        <x:v>115</x:v>
      </x:c>
      <x:c r="N19" s="7" t="s">
        <x:v>130</x:v>
      </x:c>
      <x:c r="O19" s="44" t="str">
        <x:f t="shared" si="1"/>
        <x:v>260606_ROZE_FLC_S1</x:v>
      </x:c>
      <x:c r="P19">
        <x:v>0</x:v>
      </x:c>
      <x:c r="Q19">
        <x:v>2</x:v>
      </x:c>
    </x:row>
    <x:row r="20">
      <x:c r="A20" s="5">
        <x:v>1</x:v>
      </x:c>
      <x:c r="B20" s="5">
        <x:v>2</x:v>
      </x:c>
      <x:c r="C20" s="7">
        <x:v>3</x:v>
      </x:c>
      <x:c r="D20" s="7">
        <x:v>2</x:v>
      </x:c>
      <x:c r="E20" s="16">
        <x:v>46179</x:v>
      </x:c>
      <x:c r="F20" s="7" t="s">
        <x:v>106</x:v>
      </x:c>
      <x:c r="G20" s="7" t="s">
        <x:v>22</x:v>
      </x:c>
      <x:c r="H20" s="7" t="s">
        <x:v>72</x:v>
      </x:c>
      <x:c r="I20" s="7" t="s">
        <x:v>110</x:v>
      </x:c>
      <x:c r="J20" s="7" t="str">
        <x:f t="shared" si="0"/>
        <x:v>Flashpoint</x:v>
      </x:c>
      <x:c r="K20" s="7"/>
      <x:c r="L20" s="7" t="s">
        <x:v>72</x:v>
      </x:c>
      <x:c r="M20" s="7" t="s">
        <x:v>122</x:v>
      </x:c>
      <x:c r="N20" s="7" t="s">
        <x:v>135</x:v>
      </x:c>
      <x:c r="O20" s="44" t="str">
        <x:f t="shared" si="1"/>
        <x:v>260606_ROZE_FLC_S2</x:v>
      </x:c>
      <x:c r="P20">
        <x:v>1</x:v>
      </x:c>
      <x:c r="Q20">
        <x:v>3</x:v>
      </x:c>
    </x:row>
    <x:row r="21">
      <x:c r="A21" s="5">
        <x:v>1</x:v>
      </x:c>
      <x:c r="B21" s="5">
        <x:v>2</x:v>
      </x:c>
      <x:c r="C21" s="7">
        <x:v>3</x:v>
      </x:c>
      <x:c r="D21" s="7">
        <x:v>3</x:v>
      </x:c>
      <x:c r="E21" s="16">
        <x:v>46179</x:v>
      </x:c>
      <x:c r="F21" s="7" t="s">
        <x:v>106</x:v>
      </x:c>
      <x:c r="G21" s="7" t="s">
        <x:v>22</x:v>
      </x:c>
      <x:c r="H21" s="7" t="s">
        <x:v>72</x:v>
      </x:c>
      <x:c r="I21" s="7" t="s">
        <x:v>113</x:v>
      </x:c>
      <x:c r="J21" s="7" t="str">
        <x:f t="shared" si="0"/>
        <x:v>Push</x:v>
      </x:c>
      <x:c r="K21" s="7"/>
      <x:c r="L21" s="7" t="s">
        <x:v>72</x:v>
      </x:c>
      <x:c r="M21" s="7" t="s">
        <x:v>109</x:v>
      </x:c>
      <x:c r="N21" s="7" t="s">
        <x:v>122</x:v>
      </x:c>
      <x:c r="O21" s="44" t="str">
        <x:f t="shared" si="1"/>
        <x:v>260606_ROZE_FLC_S3</x:v>
      </x:c>
      <x:c r="P21">
        <x:v>77.47</x:v>
      </x:c>
      <x:c r="Q21">
        <x:v>130.65</x:v>
      </x:c>
    </x:row>
    <x:row r="22">
      <x:c r="A22" s="29">
        <x:v>1</x:v>
      </x:c>
      <x:c r="B22" s="29">
        <x:v>3</x:v>
      </x:c>
      <x:c r="C22" s="30">
        <x:v>1</x:v>
      </x:c>
      <x:c r="D22" s="30">
        <x:v>1</x:v>
      </x:c>
      <x:c r="E22" s="32">
        <x:v>46180</x:v>
      </x:c>
      <x:c r="F22" s="30" t="s">
        <x:v>106</x:v>
      </x:c>
      <x:c r="G22" s="30" t="s">
        <x:v>81</x:v>
      </x:c>
      <x:c r="H22" s="30" t="s">
        <x:v>6</x:v>
      </x:c>
      <x:c r="I22" s="30" t="s">
        <x:v>131</x:v>
      </x:c>
      <x:c r="J22" s="30" t="str">
        <x:f t="shared" si="0"/>
        <x:v>Control</x:v>
      </x:c>
      <x:c r="K22" s="30"/>
      <x:c r="L22" s="30" t="s">
        <x:v>6</x:v>
      </x:c>
      <x:c r="M22" s="30" t="s">
        <x:v>136</x:v>
      </x:c>
      <x:c r="N22" s="30" t="s">
        <x:v>114</x:v>
      </x:c>
      <x:c r="O22" s="43" t="str">
        <x:f t="shared" si="1"/>
        <x:v>260607_SB_O2_S1</x:v>
      </x:c>
      <x:c r="P22">
        <x:v>1</x:v>
      </x:c>
      <x:c r="Q22">
        <x:v>2</x:v>
      </x:c>
    </x:row>
    <x:row r="23">
      <x:c r="A23" s="29">
        <x:v>1</x:v>
      </x:c>
      <x:c r="B23" s="29">
        <x:v>3</x:v>
      </x:c>
      <x:c r="C23" s="30">
        <x:v>1</x:v>
      </x:c>
      <x:c r="D23" s="30">
        <x:v>2</x:v>
      </x:c>
      <x:c r="E23" s="32">
        <x:v>46180</x:v>
      </x:c>
      <x:c r="F23" s="30" t="s">
        <x:v>106</x:v>
      </x:c>
      <x:c r="G23" s="30" t="s">
        <x:v>81</x:v>
      </x:c>
      <x:c r="H23" s="30" t="s">
        <x:v>6</x:v>
      </x:c>
      <x:c r="I23" s="30" t="s">
        <x:v>123</x:v>
      </x:c>
      <x:c r="J23" s="30" t="str">
        <x:f t="shared" si="0"/>
        <x:v>Escort</x:v>
      </x:c>
      <x:c r="K23" s="30"/>
      <x:c r="L23" s="30" t="s">
        <x:v>6</x:v>
      </x:c>
      <x:c r="M23" s="30" t="s">
        <x:v>137</x:v>
      </x:c>
      <x:c r="N23" s="30" t="s">
        <x:v>128</x:v>
      </x:c>
      <x:c r="O23" s="43" t="str">
        <x:f t="shared" si="1"/>
        <x:v>260607_SB_O2_S2</x:v>
      </x:c>
      <x:c r="P23">
        <x:v>0</x:v>
      </x:c>
      <x:c r="Q23">
        <x:v>2</x:v>
      </x:c>
    </x:row>
    <x:row r="24">
      <x:c r="A24" s="29">
        <x:v>1</x:v>
      </x:c>
      <x:c r="B24" s="29">
        <x:v>3</x:v>
      </x:c>
      <x:c r="C24" s="30">
        <x:v>1</x:v>
      </x:c>
      <x:c r="D24" s="30">
        <x:v>3</x:v>
      </x:c>
      <x:c r="E24" s="32">
        <x:v>46180</x:v>
      </x:c>
      <x:c r="F24" s="30" t="s">
        <x:v>106</x:v>
      </x:c>
      <x:c r="G24" s="30" t="s">
        <x:v>81</x:v>
      </x:c>
      <x:c r="H24" s="30" t="s">
        <x:v>6</x:v>
      </x:c>
      <x:c r="I24" s="30" t="s">
        <x:v>138</x:v>
      </x:c>
      <x:c r="J24" s="30" t="str">
        <x:f t="shared" si="0"/>
        <x:v>Hybrid</x:v>
      </x:c>
      <x:c r="K24" s="30"/>
      <x:c r="L24" s="30" t="s">
        <x:v>6</x:v>
      </x:c>
      <x:c r="M24" s="30" t="s">
        <x:v>139</x:v>
      </x:c>
      <x:c r="N24" s="30" t="s">
        <x:v>118</x:v>
      </x:c>
      <x:c r="O24" s="43" t="str">
        <x:f t="shared" si="1"/>
        <x:v>260607_SB_O2_S3</x:v>
      </x:c>
      <x:c r="P24">
        <x:v>1</x:v>
      </x:c>
      <x:c r="Q24">
        <x:v>2</x:v>
      </x:c>
    </x:row>
    <x:row r="25">
      <x:c r="A25" s="5">
        <x:v>1</x:v>
      </x:c>
      <x:c r="B25" s="5">
        <x:v>3</x:v>
      </x:c>
      <x:c r="C25" s="7">
        <x:v>2</x:v>
      </x:c>
      <x:c r="D25" s="7">
        <x:v>1</x:v>
      </x:c>
      <x:c r="E25" s="16">
        <x:v>46180</x:v>
      </x:c>
      <x:c r="F25" s="7" t="s">
        <x:v>106</x:v>
      </x:c>
      <x:c r="G25" s="7" t="s">
        <x:v>47</x:v>
      </x:c>
      <x:c r="H25" s="7" t="s">
        <x:v>31</x:v>
      </x:c>
      <x:c r="I25" s="7" t="s">
        <x:v>131</x:v>
      </x:c>
      <x:c r="J25" s="7" t="str">
        <x:f t="shared" si="0"/>
        <x:v>Control</x:v>
      </x:c>
      <x:c r="K25" s="7"/>
      <x:c r="L25" s="7" t="s">
        <x:v>47</x:v>
      </x:c>
      <x:c r="M25" s="7" t="s">
        <x:v>109</x:v>
      </x:c>
      <x:c r="N25" s="7" t="s">
        <x:v>139</x:v>
      </x:c>
      <x:c r="O25" s="44" t="str">
        <x:f t="shared" si="1"/>
        <x:v>260607_ZETA_CB_S1</x:v>
      </x:c>
      <x:c r="P25">
        <x:v>2</x:v>
      </x:c>
      <x:c r="Q25">
        <x:v>0</x:v>
      </x:c>
    </x:row>
    <x:row r="26">
      <x:c r="A26" s="5">
        <x:v>1</x:v>
      </x:c>
      <x:c r="B26" s="5">
        <x:v>3</x:v>
      </x:c>
      <x:c r="C26" s="7">
        <x:v>2</x:v>
      </x:c>
      <x:c r="D26" s="7">
        <x:v>2</x:v>
      </x:c>
      <x:c r="E26" s="16">
        <x:v>46180</x:v>
      </x:c>
      <x:c r="F26" s="7" t="s">
        <x:v>106</x:v>
      </x:c>
      <x:c r="G26" s="7" t="s">
        <x:v>47</x:v>
      </x:c>
      <x:c r="H26" s="7" t="s">
        <x:v>31</x:v>
      </x:c>
      <x:c r="I26" s="7" t="s">
        <x:v>113</x:v>
      </x:c>
      <x:c r="J26" s="7" t="str">
        <x:f t="shared" si="0"/>
        <x:v>Push</x:v>
      </x:c>
      <x:c r="K26" s="7"/>
      <x:c r="L26" s="7" t="s">
        <x:v>47</x:v>
      </x:c>
      <x:c r="M26" s="7" t="s">
        <x:v>135</x:v>
      </x:c>
      <x:c r="N26" s="7" t="s">
        <x:v>125</x:v>
      </x:c>
      <x:c r="O26" s="44" t="str">
        <x:f t="shared" si="1"/>
        <x:v>260607_ZETA_CB_S2</x:v>
      </x:c>
      <x:c r="P26">
        <x:v>144.86000000000001</x:v>
      </x:c>
      <x:c r="Q26">
        <x:v>46.1</x:v>
      </x:c>
    </x:row>
    <x:row r="27">
      <x:c r="A27" s="5">
        <x:v>1</x:v>
      </x:c>
      <x:c r="B27" s="5">
        <x:v>3</x:v>
      </x:c>
      <x:c r="C27" s="7">
        <x:v>2</x:v>
      </x:c>
      <x:c r="D27" s="7">
        <x:v>3</x:v>
      </x:c>
      <x:c r="E27" s="16">
        <x:v>46180</x:v>
      </x:c>
      <x:c r="F27" s="7" t="s">
        <x:v>106</x:v>
      </x:c>
      <x:c r="G27" s="7" t="s">
        <x:v>47</x:v>
      </x:c>
      <x:c r="H27" s="7" t="s">
        <x:v>31</x:v>
      </x:c>
      <x:c r="I27" s="7" t="s">
        <x:v>140</x:v>
      </x:c>
      <x:c r="J27" s="7" t="str">
        <x:f t="shared" si="0"/>
        <x:v>Escort</x:v>
      </x:c>
      <x:c r="K27" s="7"/>
      <x:c r="L27" s="7" t="s">
        <x:v>47</x:v>
      </x:c>
      <x:c r="M27" s="7" t="s">
        <x:v>127</x:v>
      </x:c>
      <x:c r="N27" s="7" t="s">
        <x:v>111</x:v>
      </x:c>
      <x:c r="O27" s="44" t="str">
        <x:f t="shared" si="1"/>
        <x:v>260607_ZETA_CB_S3</x:v>
      </x:c>
      <x:c r="P27">
        <x:v>2</x:v>
      </x:c>
      <x:c r="Q27">
        <x:v>1</x:v>
      </x:c>
    </x:row>
    <x:row r="28">
      <x:c r="A28" s="29">
        <x:v>1</x:v>
      </x:c>
      <x:c r="B28" s="29">
        <x:v>3</x:v>
      </x:c>
      <x:c r="C28" s="30">
        <x:v>3</x:v>
      </x:c>
      <x:c r="D28" s="30">
        <x:v>1</x:v>
      </x:c>
      <x:c r="E28" s="32">
        <x:v>46180</x:v>
      </x:c>
      <x:c r="F28" s="30" t="s">
        <x:v>106</x:v>
      </x:c>
      <x:c r="G28" s="30" t="s">
        <x:v>55</x:v>
      </x:c>
      <x:c r="H28" s="30" t="s">
        <x:v>39</x:v>
      </x:c>
      <x:c r="I28" s="30" t="s">
        <x:v>107</x:v>
      </x:c>
      <x:c r="J28" s="30" t="str">
        <x:f t="shared" si="0"/>
        <x:v>Control</x:v>
      </x:c>
      <x:c r="K28" s="30"/>
      <x:c r="L28" s="30" t="s">
        <x:v>55</x:v>
      </x:c>
      <x:c r="M28" s="30" t="s">
        <x:v>121</x:v>
      </x:c>
      <x:c r="N28" s="30" t="s">
        <x:v>135</x:v>
      </x:c>
      <x:c r="O28" s="43" t="str">
        <x:f t="shared" si="1"/>
        <x:v>260607_CR_PF_S1</x:v>
      </x:c>
      <x:c r="P28">
        <x:v>2</x:v>
      </x:c>
      <x:c r="Q28">
        <x:v>0</x:v>
      </x:c>
    </x:row>
    <x:row r="29">
      <x:c r="A29" s="29">
        <x:v>1</x:v>
      </x:c>
      <x:c r="B29" s="29">
        <x:v>3</x:v>
      </x:c>
      <x:c r="C29" s="30">
        <x:v>3</x:v>
      </x:c>
      <x:c r="D29" s="30">
        <x:v>2</x:v>
      </x:c>
      <x:c r="E29" s="32">
        <x:v>46180</x:v>
      </x:c>
      <x:c r="F29" s="30" t="s">
        <x:v>106</x:v>
      </x:c>
      <x:c r="G29" s="30" t="s">
        <x:v>55</x:v>
      </x:c>
      <x:c r="H29" s="30" t="s">
        <x:v>39</x:v>
      </x:c>
      <x:c r="I29" s="30" t="s">
        <x:v>110</x:v>
      </x:c>
      <x:c r="J29" s="30" t="str">
        <x:f t="shared" si="0"/>
        <x:v>Flashpoint</x:v>
      </x:c>
      <x:c r="K29" s="30"/>
      <x:c r="L29" s="30" t="s">
        <x:v>55</x:v>
      </x:c>
      <x:c r="M29" s="30" t="s">
        <x:v>118</x:v>
      </x:c>
      <x:c r="N29" s="30" t="s">
        <x:v>109</x:v>
      </x:c>
      <x:c r="O29" s="43" t="str">
        <x:f t="shared" si="1"/>
        <x:v>260607_CR_PF_S2</x:v>
      </x:c>
      <x:c r="P29">
        <x:v>3</x:v>
      </x:c>
      <x:c r="Q29">
        <x:v>1</x:v>
      </x:c>
    </x:row>
    <x:row r="30">
      <x:c r="A30" s="29">
        <x:v>1</x:v>
      </x:c>
      <x:c r="B30" s="29">
        <x:v>3</x:v>
      </x:c>
      <x:c r="C30" s="30">
        <x:v>3</x:v>
      </x:c>
      <x:c r="D30" s="30">
        <x:v>3</x:v>
      </x:c>
      <x:c r="E30" s="32">
        <x:v>46180</x:v>
      </x:c>
      <x:c r="F30" s="30" t="s">
        <x:v>106</x:v>
      </x:c>
      <x:c r="G30" s="30" t="s">
        <x:v>55</x:v>
      </x:c>
      <x:c r="H30" s="30" t="s">
        <x:v>39</x:v>
      </x:c>
      <x:c r="I30" s="30" t="s">
        <x:v>113</x:v>
      </x:c>
      <x:c r="J30" s="30" t="str">
        <x:f t="shared" si="0"/>
        <x:v>Push</x:v>
      </x:c>
      <x:c r="K30" s="30"/>
      <x:c r="L30" s="30" t="s">
        <x:v>55</x:v>
      </x:c>
      <x:c r="M30" s="30" t="s">
        <x:v>114</x:v>
      </x:c>
      <x:c r="N30" s="30" t="s">
        <x:v>122</x:v>
      </x:c>
      <x:c r="O30" s="43" t="str">
        <x:f t="shared" si="1"/>
        <x:v>260607_CR_PF_S3</x:v>
      </x:c>
      <x:c r="P30">
        <x:v>141.66</x:v>
      </x:c>
      <x:c r="Q30">
        <x:v>55.53</x:v>
      </x:c>
    </x:row>
    <x:row r="31">
      <x:c r="A31" s="5">
        <x:v>2</x:v>
      </x:c>
      <x:c r="B31" s="5">
        <x:v>1</x:v>
      </x:c>
      <x:c r="C31" s="7">
        <x:v>1</x:v>
      </x:c>
      <x:c r="D31" s="7">
        <x:v>1</x:v>
      </x:c>
      <x:c r="E31" s="16">
        <x:v>46185</x:v>
      </x:c>
      <x:c r="F31" s="7" t="s">
        <x:v>106</x:v>
      </x:c>
      <x:c r="G31" s="7" t="s">
        <x:v>31</x:v>
      </x:c>
      <x:c r="H31" s="7" t="s">
        <x:v>81</x:v>
      </x:c>
      <x:c r="I31" s="7" t="s">
        <x:v>107</x:v>
      </x:c>
      <x:c r="J31" s="7" t="str">
        <x:f t="shared" si="0"/>
        <x:v>Control</x:v>
      </x:c>
      <x:c r="K31" s="7"/>
      <x:c r="L31" s="7" t="s">
        <x:v>31</x:v>
      </x:c>
      <x:c r="M31" s="7" t="s">
        <x:v>114</x:v>
      </x:c>
      <x:c r="N31" s="7" t="s">
        <x:v>122</x:v>
      </x:c>
      <x:c r="O31" s="44" t="str">
        <x:f t="shared" si="1"/>
        <x:v>260612_CB_SB_S1</x:v>
      </x:c>
      <x:c r="P31">
        <x:v>2</x:v>
      </x:c>
      <x:c r="Q31">
        <x:v>0</x:v>
      </x:c>
    </x:row>
    <x:row r="32">
      <x:c r="A32" s="5">
        <x:v>2</x:v>
      </x:c>
      <x:c r="B32" s="5">
        <x:v>1</x:v>
      </x:c>
      <x:c r="C32" s="7">
        <x:v>1</x:v>
      </x:c>
      <x:c r="D32" s="7">
        <x:v>2</x:v>
      </x:c>
      <x:c r="E32" s="16">
        <x:v>46185</x:v>
      </x:c>
      <x:c r="F32" s="7" t="s">
        <x:v>106</x:v>
      </x:c>
      <x:c r="G32" s="7" t="s">
        <x:v>31</x:v>
      </x:c>
      <x:c r="H32" s="7" t="s">
        <x:v>81</x:v>
      </x:c>
      <x:c r="I32" s="7" t="s">
        <x:v>124</x:v>
      </x:c>
      <x:c r="J32" s="7" t="str">
        <x:f t="shared" si="0"/>
        <x:v>Flashpoint</x:v>
      </x:c>
      <x:c r="K32" s="7"/>
      <x:c r="L32" s="7" t="s">
        <x:v>31</x:v>
      </x:c>
      <x:c r="M32" s="7" t="s">
        <x:v>118</x:v>
      </x:c>
      <x:c r="N32" s="7" t="s">
        <x:v>141</x:v>
      </x:c>
      <x:c r="O32" s="44" t="str">
        <x:f t="shared" si="1"/>
        <x:v>260612_CB_SB_S2</x:v>
      </x:c>
      <x:c r="P32">
        <x:v>3</x:v>
      </x:c>
      <x:c r="Q32">
        <x:v>2</x:v>
      </x:c>
    </x:row>
    <x:row r="33">
      <x:c r="A33" s="5">
        <x:v>2</x:v>
      </x:c>
      <x:c r="B33" s="5">
        <x:v>1</x:v>
      </x:c>
      <x:c r="C33" s="7">
        <x:v>1</x:v>
      </x:c>
      <x:c r="D33" s="7">
        <x:v>3</x:v>
      </x:c>
      <x:c r="E33" s="16">
        <x:v>46185</x:v>
      </x:c>
      <x:c r="F33" s="7" t="s">
        <x:v>106</x:v>
      </x:c>
      <x:c r="G33" s="7" t="s">
        <x:v>31</x:v>
      </x:c>
      <x:c r="H33" s="7" t="s">
        <x:v>81</x:v>
      </x:c>
      <x:c r="I33" s="7" t="s">
        <x:v>119</x:v>
      </x:c>
      <x:c r="J33" s="7" t="str">
        <x:f t="shared" si="0"/>
        <x:v>Hybrid</x:v>
      </x:c>
      <x:c r="K33" s="7"/>
      <x:c r="L33" s="7" t="s">
        <x:v>31</x:v>
      </x:c>
      <x:c r="M33" s="7" t="s">
        <x:v>142</x:v>
      </x:c>
      <x:c r="N33" s="7" t="s">
        <x:v>115</x:v>
      </x:c>
      <x:c r="O33" s="44" t="str">
        <x:f t="shared" si="1"/>
        <x:v>260612_CB_SB_S3</x:v>
      </x:c>
      <x:c r="P33">
        <x:v>2</x:v>
      </x:c>
      <x:c r="Q33">
        <x:v>1</x:v>
      </x:c>
    </x:row>
    <x:row r="34">
      <x:c r="A34" s="29">
        <x:v>2</x:v>
      </x:c>
      <x:c r="B34" s="29">
        <x:v>1</x:v>
      </x:c>
      <x:c r="C34" s="30">
        <x:v>2</x:v>
      </x:c>
      <x:c r="D34" s="30">
        <x:v>1</x:v>
      </x:c>
      <x:c r="E34" s="32">
        <x:v>46185</x:v>
      </x:c>
      <x:c r="F34" s="30" t="s">
        <x:v>106</x:v>
      </x:c>
      <x:c r="G34" s="30" t="s">
        <x:v>6</x:v>
      </x:c>
      <x:c r="H34" s="30" t="s">
        <x:v>47</x:v>
      </x:c>
      <x:c r="I34" s="30" t="s">
        <x:v>131</x:v>
      </x:c>
      <x:c r="J34" s="30" t="str">
        <x:f t="shared" ref="J34:J65" si="2">IF(OR(I34="Antarctic Peninsula", I34="Nepal", I34="Lijiang Tower", I34="Busan", I34="Samoa", I34="Oasis", I34="Ilios"), "Control", IF(OR(I34="Route 66", I34="Watchpoint: Gibraltar", I34="Dorado", I34="Rialto", I34="Shambali Monastery", I34="Circuit Royal", I34="Junkertown", I34="Havana"), "Escort", IF(OR(I34="Neon Junction", I34="Numbani", I34="Midtown", I34="Blizzard World", I34="Eichenwalde", I34="King's Row", I34="Paraiso", I34="Hollywood"), "Hybrid", IF(OR(I34="New Queen Street", I34="Esperanca", I34="Colosseo", I34="Runasapi"), "Push", IF(OR(I34="New Junk City", I34="Suravasa", I34="Aatlis"), "Flashpoint", "")))))</x:f>
        <x:v>Control</x:v>
      </x:c>
      <x:c r="K34" s="30"/>
      <x:c r="L34" s="30" t="s">
        <x:v>47</x:v>
      </x:c>
      <x:c r="M34" s="30" t="s">
        <x:v>109</x:v>
      </x:c>
      <x:c r="N34" s="30" t="s">
        <x:v>143</x:v>
      </x:c>
      <x:c r="O34" s="43" t="str">
        <x:f t="shared" ref="O34:O65" si="3">TEXT(E34, "yymmdd") &amp; "_" &amp; G34 &amp; "_" &amp; H34 &amp; "_S" &amp; D34</x:f>
        <x:v>260612_O2_ZETA_S1</x:v>
      </x:c>
      <x:c r="P34">
        <x:v>0</x:v>
      </x:c>
      <x:c r="Q34">
        <x:v>2</x:v>
      </x:c>
    </x:row>
    <x:row r="35">
      <x:c r="A35" s="29">
        <x:v>2</x:v>
      </x:c>
      <x:c r="B35" s="29">
        <x:v>1</x:v>
      </x:c>
      <x:c r="C35" s="30">
        <x:v>2</x:v>
      </x:c>
      <x:c r="D35" s="30">
        <x:v>2</x:v>
      </x:c>
      <x:c r="E35" s="32">
        <x:v>46185</x:v>
      </x:c>
      <x:c r="F35" s="30" t="s">
        <x:v>106</x:v>
      </x:c>
      <x:c r="G35" s="30" t="s">
        <x:v>6</x:v>
      </x:c>
      <x:c r="H35" s="30" t="s">
        <x:v>47</x:v>
      </x:c>
      <x:c r="I35" s="30" t="s">
        <x:v>124</x:v>
      </x:c>
      <x:c r="J35" s="30" t="str">
        <x:f t="shared" si="2"/>
        <x:v>Flashpoint</x:v>
      </x:c>
      <x:c r="K35" s="30"/>
      <x:c r="L35" s="30" t="s">
        <x:v>47</x:v>
      </x:c>
      <x:c r="M35" s="30" t="s">
        <x:v>128</x:v>
      </x:c>
      <x:c r="N35" s="30" t="s">
        <x:v>139</x:v>
      </x:c>
      <x:c r="O35" s="43" t="str">
        <x:f t="shared" si="3"/>
        <x:v>260612_O2_ZETA_S2</x:v>
      </x:c>
      <x:c r="P35">
        <x:v>0</x:v>
      </x:c>
      <x:c r="Q35">
        <x:v>3</x:v>
      </x:c>
    </x:row>
    <x:row r="36">
      <x:c r="A36" s="29">
        <x:v>2</x:v>
      </x:c>
      <x:c r="B36" s="29">
        <x:v>1</x:v>
      </x:c>
      <x:c r="C36" s="30">
        <x:v>2</x:v>
      </x:c>
      <x:c r="D36" s="30">
        <x:v>3</x:v>
      </x:c>
      <x:c r="E36" s="32">
        <x:v>46185</x:v>
      </x:c>
      <x:c r="F36" s="30" t="s">
        <x:v>106</x:v>
      </x:c>
      <x:c r="G36" s="30" t="s">
        <x:v>6</x:v>
      </x:c>
      <x:c r="H36" s="30" t="s">
        <x:v>47</x:v>
      </x:c>
      <x:c r="I36" s="30" t="s">
        <x:v>113</x:v>
      </x:c>
      <x:c r="J36" s="30" t="str">
        <x:f t="shared" si="2"/>
        <x:v>Push</x:v>
      </x:c>
      <x:c r="K36" s="30"/>
      <x:c r="L36" s="30" t="s">
        <x:v>47</x:v>
      </x:c>
      <x:c r="M36" s="30" t="s">
        <x:v>108</x:v>
      </x:c>
      <x:c r="N36" s="30" t="s">
        <x:v>109</x:v>
      </x:c>
      <x:c r="O36" s="43" t="str">
        <x:f t="shared" si="3"/>
        <x:v>260612_O2_ZETA_S3</x:v>
      </x:c>
      <x:c r="P36">
        <x:v>0</x:v>
      </x:c>
      <x:c r="Q36">
        <x:v>144.86000000000001</x:v>
      </x:c>
    </x:row>
    <x:row r="37">
      <x:c r="A37" s="5">
        <x:v>2</x:v>
      </x:c>
      <x:c r="B37" s="5">
        <x:v>1</x:v>
      </x:c>
      <x:c r="C37" s="7">
        <x:v>3</x:v>
      </x:c>
      <x:c r="D37" s="7">
        <x:v>1</x:v>
      </x:c>
      <x:c r="E37" s="16">
        <x:v>46185</x:v>
      </x:c>
      <x:c r="F37" s="7" t="s">
        <x:v>106</x:v>
      </x:c>
      <x:c r="G37" s="7" t="s">
        <x:v>55</x:v>
      </x:c>
      <x:c r="H37" s="7" t="s">
        <x:v>22</x:v>
      </x:c>
      <x:c r="I37" s="7" t="s">
        <x:v>116</x:v>
      </x:c>
      <x:c r="J37" s="7" t="str">
        <x:f t="shared" si="2"/>
        <x:v>Control</x:v>
      </x:c>
      <x:c r="K37" s="7"/>
      <x:c r="L37" s="7" t="s">
        <x:v>55</x:v>
      </x:c>
      <x:c r="M37" s="7" t="s">
        <x:v>114</x:v>
      </x:c>
      <x:c r="N37" s="7" t="s">
        <x:v>130</x:v>
      </x:c>
      <x:c r="O37" s="44" t="str">
        <x:f t="shared" si="3"/>
        <x:v>260612_CR_ROZE_S1</x:v>
      </x:c>
      <x:c r="P37">
        <x:v>2</x:v>
      </x:c>
      <x:c r="Q37">
        <x:v>0</x:v>
      </x:c>
    </x:row>
    <x:row r="38">
      <x:c r="A38" s="5">
        <x:v>2</x:v>
      </x:c>
      <x:c r="B38" s="5">
        <x:v>1</x:v>
      </x:c>
      <x:c r="C38" s="7">
        <x:v>3</x:v>
      </x:c>
      <x:c r="D38" s="7">
        <x:v>2</x:v>
      </x:c>
      <x:c r="E38" s="16">
        <x:v>46185</x:v>
      </x:c>
      <x:c r="F38" s="7" t="s">
        <x:v>106</x:v>
      </x:c>
      <x:c r="G38" s="7" t="s">
        <x:v>55</x:v>
      </x:c>
      <x:c r="H38" s="7" t="s">
        <x:v>22</x:v>
      </x:c>
      <x:c r="I38" s="7" t="s">
        <x:v>138</x:v>
      </x:c>
      <x:c r="J38" s="7" t="str">
        <x:f t="shared" si="2"/>
        <x:v>Hybrid</x:v>
      </x:c>
      <x:c r="K38" s="7"/>
      <x:c r="L38" s="7" t="s">
        <x:v>55</x:v>
      </x:c>
      <x:c r="M38" s="7" t="s">
        <x:v>132</x:v>
      </x:c>
      <x:c r="N38" s="7" t="s">
        <x:v>136</x:v>
      </x:c>
      <x:c r="O38" s="44" t="str">
        <x:f t="shared" si="3"/>
        <x:v>260612_CR_ROZE_S2</x:v>
      </x:c>
      <x:c r="P38">
        <x:v>1</x:v>
      </x:c>
      <x:c r="Q38">
        <x:v>0</x:v>
      </x:c>
    </x:row>
    <x:row r="39">
      <x:c r="A39" s="5">
        <x:v>2</x:v>
      </x:c>
      <x:c r="B39" s="5">
        <x:v>1</x:v>
      </x:c>
      <x:c r="C39" s="7">
        <x:v>3</x:v>
      </x:c>
      <x:c r="D39" s="7">
        <x:v>3</x:v>
      </x:c>
      <x:c r="E39" s="16">
        <x:v>46185</x:v>
      </x:c>
      <x:c r="F39" s="7" t="s">
        <x:v>106</x:v>
      </x:c>
      <x:c r="G39" s="7" t="s">
        <x:v>55</x:v>
      </x:c>
      <x:c r="H39" s="7" t="s">
        <x:v>22</x:v>
      </x:c>
      <x:c r="I39" s="7" t="s">
        <x:v>113</x:v>
      </x:c>
      <x:c r="J39" s="7" t="str">
        <x:f t="shared" si="2"/>
        <x:v>Push</x:v>
      </x:c>
      <x:c r="K39" s="7"/>
      <x:c r="L39" s="7" t="s">
        <x:v>55</x:v>
      </x:c>
      <x:c r="M39" s="7" t="s">
        <x:v>126</x:v>
      </x:c>
      <x:c r="N39" s="7" t="s">
        <x:v>109</x:v>
      </x:c>
      <x:c r="O39" s="44" t="str">
        <x:f t="shared" si="3"/>
        <x:v>260612_CR_ROZE_S3</x:v>
      </x:c>
      <x:c r="P39">
        <x:v>144.86000000000001</x:v>
      </x:c>
      <x:c r="Q39">
        <x:v>46.27</x:v>
      </x:c>
    </x:row>
    <x:row r="40">
      <x:c r="A40" s="29">
        <x:v>2</x:v>
      </x:c>
      <x:c r="B40" s="29">
        <x:v>2</x:v>
      </x:c>
      <x:c r="C40" s="30">
        <x:v>1</x:v>
      </x:c>
      <x:c r="D40" s="30">
        <x:v>1</x:v>
      </x:c>
      <x:c r="E40" s="32">
        <x:v>46186</x:v>
      </x:c>
      <x:c r="F40" s="30" t="s">
        <x:v>106</x:v>
      </x:c>
      <x:c r="G40" s="30" t="s">
        <x:v>39</x:v>
      </x:c>
      <x:c r="H40" s="30" t="s">
        <x:v>72</x:v>
      </x:c>
      <x:c r="I40" s="30" t="s">
        <x:v>107</x:v>
      </x:c>
      <x:c r="J40" s="30" t="str">
        <x:f t="shared" si="2"/>
        <x:v>Control</x:v>
      </x:c>
      <x:c r="K40" s="30"/>
      <x:c r="L40" s="30" t="s">
        <x:v>72</x:v>
      </x:c>
      <x:c r="M40" s="30" t="s">
        <x:v>108</x:v>
      </x:c>
      <x:c r="N40" s="30" t="s">
        <x:v>137</x:v>
      </x:c>
      <x:c r="O40" s="43" t="str">
        <x:f t="shared" si="3"/>
        <x:v>260613_PF_FLC_S1</x:v>
      </x:c>
      <x:c r="P40">
        <x:v>0</x:v>
      </x:c>
      <x:c r="Q40">
        <x:v>2</x:v>
      </x:c>
    </x:row>
    <x:row r="41">
      <x:c r="A41" s="29">
        <x:v>2</x:v>
      </x:c>
      <x:c r="B41" s="29">
        <x:v>2</x:v>
      </x:c>
      <x:c r="C41" s="30">
        <x:v>1</x:v>
      </x:c>
      <x:c r="D41" s="30">
        <x:v>2</x:v>
      </x:c>
      <x:c r="E41" s="32">
        <x:v>46186</x:v>
      </x:c>
      <x:c r="F41" s="30" t="s">
        <x:v>106</x:v>
      </x:c>
      <x:c r="G41" s="30" t="s">
        <x:v>39</x:v>
      </x:c>
      <x:c r="H41" s="30" t="s">
        <x:v>72</x:v>
      </x:c>
      <x:c r="I41" s="30" t="s">
        <x:v>110</x:v>
      </x:c>
      <x:c r="J41" s="30" t="str">
        <x:f t="shared" si="2"/>
        <x:v>Flashpoint</x:v>
      </x:c>
      <x:c r="K41" s="30"/>
      <x:c r="L41" s="30" t="s">
        <x:v>72</x:v>
      </x:c>
      <x:c r="M41" s="30" t="s">
        <x:v>109</x:v>
      </x:c>
      <x:c r="N41" s="30" t="s">
        <x:v>121</x:v>
      </x:c>
      <x:c r="O41" s="43" t="str">
        <x:f t="shared" si="3"/>
        <x:v>260613_PF_FLC_S2</x:v>
      </x:c>
      <x:c r="P41">
        <x:v>0</x:v>
      </x:c>
      <x:c r="Q41">
        <x:v>3</x:v>
      </x:c>
    </x:row>
    <x:row r="42">
      <x:c r="A42" s="29">
        <x:v>2</x:v>
      </x:c>
      <x:c r="B42" s="29">
        <x:v>2</x:v>
      </x:c>
      <x:c r="C42" s="30">
        <x:v>1</x:v>
      </x:c>
      <x:c r="D42" s="30">
        <x:v>3</x:v>
      </x:c>
      <x:c r="E42" s="32">
        <x:v>46186</x:v>
      </x:c>
      <x:c r="F42" s="30" t="s">
        <x:v>106</x:v>
      </x:c>
      <x:c r="G42" s="30" t="s">
        <x:v>39</x:v>
      </x:c>
      <x:c r="H42" s="30" t="s">
        <x:v>72</x:v>
      </x:c>
      <x:c r="I42" s="30" t="s">
        <x:v>113</x:v>
      </x:c>
      <x:c r="J42" s="30" t="str">
        <x:f t="shared" si="2"/>
        <x:v>Push</x:v>
      </x:c>
      <x:c r="K42" s="30"/>
      <x:c r="L42" s="30" t="s">
        <x:v>72</x:v>
      </x:c>
      <x:c r="M42" s="30" t="s">
        <x:v>122</x:v>
      </x:c>
      <x:c r="N42" s="30" t="s">
        <x:v>127</x:v>
      </x:c>
      <x:c r="O42" s="43" t="str">
        <x:f t="shared" si="3"/>
        <x:v>260613_PF_FLC_S3</x:v>
      </x:c>
      <x:c r="P42">
        <x:v>24.28</x:v>
      </x:c>
      <x:c r="Q42">
        <x:v>144.86000000000001</x:v>
      </x:c>
    </x:row>
    <x:row r="43">
      <x:c r="A43" s="5">
        <x:v>2</x:v>
      </x:c>
      <x:c r="B43" s="5">
        <x:v>2</x:v>
      </x:c>
      <x:c r="C43" s="7">
        <x:v>2</x:v>
      </x:c>
      <x:c r="D43" s="7">
        <x:v>1</x:v>
      </x:c>
      <x:c r="E43" s="16">
        <x:v>46186</x:v>
      </x:c>
      <x:c r="F43" s="7" t="s">
        <x:v>106</x:v>
      </x:c>
      <x:c r="G43" s="7" t="s">
        <x:v>63</x:v>
      </x:c>
      <x:c r="H43" s="7" t="s">
        <x:v>6</x:v>
      </x:c>
      <x:c r="I43" s="7" t="s">
        <x:v>107</x:v>
      </x:c>
      <x:c r="J43" s="7" t="str">
        <x:f t="shared" si="2"/>
        <x:v>Control</x:v>
      </x:c>
      <x:c r="K43" s="7"/>
      <x:c r="L43" s="7" t="s">
        <x:v>63</x:v>
      </x:c>
      <x:c r="M43" s="7" t="s">
        <x:v>122</x:v>
      </x:c>
      <x:c r="N43" s="7" t="s">
        <x:v>144</x:v>
      </x:c>
      <x:c r="O43" s="44" t="str">
        <x:f t="shared" si="3"/>
        <x:v>260613_T1_O2_S1</x:v>
      </x:c>
      <x:c r="P43">
        <x:v>2</x:v>
      </x:c>
      <x:c r="Q43">
        <x:v>0</x:v>
      </x:c>
    </x:row>
    <x:row r="44">
      <x:c r="A44" s="5">
        <x:v>2</x:v>
      </x:c>
      <x:c r="B44" s="5">
        <x:v>2</x:v>
      </x:c>
      <x:c r="C44" s="7">
        <x:v>2</x:v>
      </x:c>
      <x:c r="D44" s="7">
        <x:v>2</x:v>
      </x:c>
      <x:c r="E44" s="16">
        <x:v>46186</x:v>
      </x:c>
      <x:c r="F44" s="7" t="s">
        <x:v>106</x:v>
      </x:c>
      <x:c r="G44" s="7" t="s">
        <x:v>63</x:v>
      </x:c>
      <x:c r="H44" s="7" t="s">
        <x:v>6</x:v>
      </x:c>
      <x:c r="I44" s="7" t="s">
        <x:v>145</x:v>
      </x:c>
      <x:c r="J44" s="7" t="str">
        <x:f t="shared" si="2"/>
        <x:v>Escort</x:v>
      </x:c>
      <x:c r="K44" s="7"/>
      <x:c r="L44" s="7" t="s">
        <x:v>63</x:v>
      </x:c>
      <x:c r="M44" s="7" t="s">
        <x:v>135</x:v>
      </x:c>
      <x:c r="N44" s="7" t="s">
        <x:v>142</x:v>
      </x:c>
      <x:c r="O44" s="44" t="str">
        <x:f t="shared" si="3"/>
        <x:v>260613_T1_O2_S2</x:v>
      </x:c>
      <x:c r="P44">
        <x:v>1</x:v>
      </x:c>
      <x:c r="Q44">
        <x:v>0</x:v>
      </x:c>
    </x:row>
    <x:row r="45">
      <x:c r="A45" s="5">
        <x:v>2</x:v>
      </x:c>
      <x:c r="B45" s="5">
        <x:v>2</x:v>
      </x:c>
      <x:c r="C45" s="7">
        <x:v>2</x:v>
      </x:c>
      <x:c r="D45" s="7">
        <x:v>3</x:v>
      </x:c>
      <x:c r="E45" s="16">
        <x:v>46186</x:v>
      </x:c>
      <x:c r="F45" s="7" t="s">
        <x:v>106</x:v>
      </x:c>
      <x:c r="G45" s="7" t="s">
        <x:v>63</x:v>
      </x:c>
      <x:c r="H45" s="7" t="s">
        <x:v>6</x:v>
      </x:c>
      <x:c r="I45" s="7" t="s">
        <x:v>119</x:v>
      </x:c>
      <x:c r="J45" s="7" t="str">
        <x:f t="shared" si="2"/>
        <x:v>Hybrid</x:v>
      </x:c>
      <x:c r="K45" s="7"/>
      <x:c r="L45" s="7" t="s">
        <x:v>63</x:v>
      </x:c>
      <x:c r="M45" s="7" t="s">
        <x:v>137</x:v>
      </x:c>
      <x:c r="N45" s="7" t="s">
        <x:v>128</x:v>
      </x:c>
      <x:c r="O45" s="44" t="str">
        <x:f t="shared" si="3"/>
        <x:v>260613_T1_O2_S3</x:v>
      </x:c>
      <x:c r="P45">
        <x:v>3</x:v>
      </x:c>
      <x:c r="Q45">
        <x:v>2</x:v>
      </x:c>
    </x:row>
    <x:row r="46">
      <x:c r="A46" s="29">
        <x:v>2</x:v>
      </x:c>
      <x:c r="B46" s="29">
        <x:v>2</x:v>
      </x:c>
      <x:c r="C46" s="30">
        <x:v>3</x:v>
      </x:c>
      <x:c r="D46" s="30">
        <x:v>1</x:v>
      </x:c>
      <x:c r="E46" s="32">
        <x:v>46186</x:v>
      </x:c>
      <x:c r="F46" s="30" t="s">
        <x:v>106</x:v>
      </x:c>
      <x:c r="G46" s="30" t="s">
        <x:v>81</x:v>
      </x:c>
      <x:c r="H46" s="30" t="s">
        <x:v>47</x:v>
      </x:c>
      <x:c r="I46" s="30" t="s">
        <x:v>116</x:v>
      </x:c>
      <x:c r="J46" s="30" t="str">
        <x:f t="shared" si="2"/>
        <x:v>Control</x:v>
      </x:c>
      <x:c r="K46" s="30"/>
      <x:c r="L46" s="30" t="s">
        <x:v>47</x:v>
      </x:c>
      <x:c r="M46" s="30" t="s">
        <x:v>137</x:v>
      </x:c>
      <x:c r="N46" s="30" t="s">
        <x:v>143</x:v>
      </x:c>
      <x:c r="O46" s="43" t="str">
        <x:f t="shared" si="3"/>
        <x:v>260613_SB_ZETA_S1</x:v>
      </x:c>
      <x:c r="P46">
        <x:v>0</x:v>
      </x:c>
      <x:c r="Q46">
        <x:v>2</x:v>
      </x:c>
    </x:row>
    <x:row r="47">
      <x:c r="A47" s="29">
        <x:v>2</x:v>
      </x:c>
      <x:c r="B47" s="29">
        <x:v>2</x:v>
      </x:c>
      <x:c r="C47" s="30">
        <x:v>3</x:v>
      </x:c>
      <x:c r="D47" s="30">
        <x:v>2</x:v>
      </x:c>
      <x:c r="E47" s="32">
        <x:v>46186</x:v>
      </x:c>
      <x:c r="F47" s="30" t="s">
        <x:v>106</x:v>
      </x:c>
      <x:c r="G47" s="30" t="s">
        <x:v>81</x:v>
      </x:c>
      <x:c r="H47" s="30" t="s">
        <x:v>47</x:v>
      </x:c>
      <x:c r="I47" s="30" t="s">
        <x:v>124</x:v>
      </x:c>
      <x:c r="J47" s="30" t="str">
        <x:f t="shared" si="2"/>
        <x:v>Flashpoint</x:v>
      </x:c>
      <x:c r="K47" s="30"/>
      <x:c r="L47" s="30" t="s">
        <x:v>47</x:v>
      </x:c>
      <x:c r="M47" s="30" t="s">
        <x:v>141</x:v>
      </x:c>
      <x:c r="N47" s="30" t="s">
        <x:v>130</x:v>
      </x:c>
      <x:c r="O47" s="43" t="str">
        <x:f t="shared" si="3"/>
        <x:v>260613_SB_ZETA_S2</x:v>
      </x:c>
      <x:c r="P47">
        <x:v>0</x:v>
      </x:c>
      <x:c r="Q47">
        <x:v>3</x:v>
      </x:c>
    </x:row>
    <x:row r="48">
      <x:c r="A48" s="29">
        <x:v>2</x:v>
      </x:c>
      <x:c r="B48" s="29">
        <x:v>2</x:v>
      </x:c>
      <x:c r="C48" s="30">
        <x:v>3</x:v>
      </x:c>
      <x:c r="D48" s="30">
        <x:v>3</x:v>
      </x:c>
      <x:c r="E48" s="32">
        <x:v>46186</x:v>
      </x:c>
      <x:c r="F48" s="30" t="s">
        <x:v>106</x:v>
      </x:c>
      <x:c r="G48" s="30" t="s">
        <x:v>81</x:v>
      </x:c>
      <x:c r="H48" s="30" t="s">
        <x:v>47</x:v>
      </x:c>
      <x:c r="I48" s="30" t="s">
        <x:v>119</x:v>
      </x:c>
      <x:c r="J48" s="30" t="str">
        <x:f t="shared" si="2"/>
        <x:v>Hybrid</x:v>
      </x:c>
      <x:c r="K48" s="30"/>
      <x:c r="L48" s="30" t="s">
        <x:v>47</x:v>
      </x:c>
      <x:c r="M48" s="30" t="s">
        <x:v>109</x:v>
      </x:c>
      <x:c r="N48" s="30" t="s">
        <x:v>111</x:v>
      </x:c>
      <x:c r="O48" s="43" t="str">
        <x:f t="shared" si="3"/>
        <x:v>260613_SB_ZETA_S3</x:v>
      </x:c>
      <x:c r="P48">
        <x:v>3</x:v>
      </x:c>
      <x:c r="Q48">
        <x:v>4</x:v>
      </x:c>
    </x:row>
    <x:row r="49">
      <x:c r="A49" s="5">
        <x:v>2</x:v>
      </x:c>
      <x:c r="B49" s="5">
        <x:v>3</x:v>
      </x:c>
      <x:c r="C49" s="7">
        <x:v>1</x:v>
      </x:c>
      <x:c r="D49" s="7">
        <x:v>1</x:v>
      </x:c>
      <x:c r="E49" s="16">
        <x:v>46187</x:v>
      </x:c>
      <x:c r="F49" s="7" t="s">
        <x:v>106</x:v>
      </x:c>
      <x:c r="G49" s="7" t="s">
        <x:v>22</x:v>
      </x:c>
      <x:c r="H49" s="7" t="s">
        <x:v>39</x:v>
      </x:c>
      <x:c r="I49" s="7" t="s">
        <x:v>131</x:v>
      </x:c>
      <x:c r="J49" s="7" t="str">
        <x:f t="shared" si="2"/>
        <x:v>Control</x:v>
      </x:c>
      <x:c r="K49" s="7"/>
      <x:c r="L49" s="7" t="s">
        <x:v>22</x:v>
      </x:c>
      <x:c r="M49" s="7" t="s">
        <x:v>146</x:v>
      </x:c>
      <x:c r="N49" s="7" t="s">
        <x:v>109</x:v>
      </x:c>
      <x:c r="O49" s="44" t="str">
        <x:f t="shared" si="3"/>
        <x:v>260614_ROZE_PF_S1</x:v>
      </x:c>
      <x:c r="P49">
        <x:v>2</x:v>
      </x:c>
      <x:c r="Q49">
        <x:v>0</x:v>
      </x:c>
    </x:row>
    <x:row r="50">
      <x:c r="A50" s="5">
        <x:v>2</x:v>
      </x:c>
      <x:c r="B50" s="5">
        <x:v>3</x:v>
      </x:c>
      <x:c r="C50" s="7">
        <x:v>1</x:v>
      </x:c>
      <x:c r="D50" s="7">
        <x:v>2</x:v>
      </x:c>
      <x:c r="E50" s="16">
        <x:v>46187</x:v>
      </x:c>
      <x:c r="F50" s="7" t="s">
        <x:v>106</x:v>
      </x:c>
      <x:c r="G50" s="7" t="s">
        <x:v>22</x:v>
      </x:c>
      <x:c r="H50" s="7" t="s">
        <x:v>39</x:v>
      </x:c>
      <x:c r="I50" s="7" t="s">
        <x:v>110</x:v>
      </x:c>
      <x:c r="J50" s="7" t="str">
        <x:f t="shared" si="2"/>
        <x:v>Flashpoint</x:v>
      </x:c>
      <x:c r="K50" s="7"/>
      <x:c r="L50" s="7" t="s">
        <x:v>22</x:v>
      </x:c>
      <x:c r="M50" s="7" t="s">
        <x:v>144</x:v>
      </x:c>
      <x:c r="N50" s="7" t="s">
        <x:v>122</x:v>
      </x:c>
      <x:c r="O50" s="44" t="str">
        <x:f t="shared" si="3"/>
        <x:v>260614_ROZE_PF_S2</x:v>
      </x:c>
      <x:c r="P50">
        <x:v>3</x:v>
      </x:c>
      <x:c r="Q50">
        <x:v>1</x:v>
      </x:c>
    </x:row>
    <x:row r="51">
      <x:c r="A51" s="5">
        <x:v>2</x:v>
      </x:c>
      <x:c r="B51" s="5">
        <x:v>3</x:v>
      </x:c>
      <x:c r="C51" s="7">
        <x:v>1</x:v>
      </x:c>
      <x:c r="D51" s="7">
        <x:v>3</x:v>
      </x:c>
      <x:c r="E51" s="16">
        <x:v>46187</x:v>
      </x:c>
      <x:c r="F51" s="7" t="s">
        <x:v>106</x:v>
      </x:c>
      <x:c r="G51" s="7" t="s">
        <x:v>22</x:v>
      </x:c>
      <x:c r="H51" s="7" t="s">
        <x:v>39</x:v>
      </x:c>
      <x:c r="I51" s="7" t="s">
        <x:v>113</x:v>
      </x:c>
      <x:c r="J51" s="7" t="str">
        <x:f t="shared" si="2"/>
        <x:v>Push</x:v>
      </x:c>
      <x:c r="K51" s="7"/>
      <x:c r="L51" s="7" t="s">
        <x:v>22</x:v>
      </x:c>
      <x:c r="M51" s="7" t="s">
        <x:v>114</x:v>
      </x:c>
      <x:c r="N51" s="7" t="s">
        <x:v>115</x:v>
      </x:c>
      <x:c r="O51" s="44" t="str">
        <x:f t="shared" si="3"/>
        <x:v>260614_ROZE_PF_S3</x:v>
      </x:c>
      <x:c r="P51">
        <x:v>144.86000000000001</x:v>
      </x:c>
      <x:c r="Q51">
        <x:v>0</x:v>
      </x:c>
    </x:row>
    <x:row r="52">
      <x:c r="A52" s="29">
        <x:v>2</x:v>
      </x:c>
      <x:c r="B52" s="29">
        <x:v>3</x:v>
      </x:c>
      <x:c r="C52" s="30">
        <x:v>2</x:v>
      </x:c>
      <x:c r="D52" s="30">
        <x:v>1</x:v>
      </x:c>
      <x:c r="E52" s="32">
        <x:v>46187</x:v>
      </x:c>
      <x:c r="F52" s="30" t="s">
        <x:v>106</x:v>
      </x:c>
      <x:c r="G52" s="30" t="s">
        <x:v>55</x:v>
      </x:c>
      <x:c r="H52" s="30" t="s">
        <x:v>31</x:v>
      </x:c>
      <x:c r="I52" s="30" t="s">
        <x:v>131</x:v>
      </x:c>
      <x:c r="J52" s="30" t="str">
        <x:f t="shared" si="2"/>
        <x:v>Control</x:v>
      </x:c>
      <x:c r="K52" s="30"/>
      <x:c r="L52" s="30" t="s">
        <x:v>55</x:v>
      </x:c>
      <x:c r="M52" s="30" t="s">
        <x:v>114</x:v>
      </x:c>
      <x:c r="N52" s="30" t="s">
        <x:v>115</x:v>
      </x:c>
      <x:c r="O52" s="43" t="str">
        <x:f t="shared" si="3"/>
        <x:v>260614_CR_CB_S1</x:v>
      </x:c>
      <x:c r="P52">
        <x:v>2</x:v>
      </x:c>
      <x:c r="Q52">
        <x:v>0</x:v>
      </x:c>
    </x:row>
    <x:row r="53">
      <x:c r="A53" s="29">
        <x:v>2</x:v>
      </x:c>
      <x:c r="B53" s="29">
        <x:v>3</x:v>
      </x:c>
      <x:c r="C53" s="30">
        <x:v>2</x:v>
      </x:c>
      <x:c r="D53" s="30">
        <x:v>2</x:v>
      </x:c>
      <x:c r="E53" s="32">
        <x:v>46187</x:v>
      </x:c>
      <x:c r="F53" s="30" t="s">
        <x:v>106</x:v>
      </x:c>
      <x:c r="G53" s="30" t="s">
        <x:v>55</x:v>
      </x:c>
      <x:c r="H53" s="30" t="s">
        <x:v>31</x:v>
      </x:c>
      <x:c r="I53" s="30" t="s">
        <x:v>113</x:v>
      </x:c>
      <x:c r="J53" s="30" t="str">
        <x:f t="shared" si="2"/>
        <x:v>Push</x:v>
      </x:c>
      <x:c r="K53" s="30"/>
      <x:c r="L53" s="30" t="s">
        <x:v>55</x:v>
      </x:c>
      <x:c r="M53" s="30" t="s">
        <x:v>147</x:v>
      </x:c>
      <x:c r="N53" s="30" t="s">
        <x:v>139</x:v>
      </x:c>
      <x:c r="O53" s="43" t="str">
        <x:f t="shared" si="3"/>
        <x:v>260614_CR_CB_S2</x:v>
      </x:c>
      <x:c r="P53">
        <x:v>144.86000000000001</x:v>
      </x:c>
      <x:c r="Q53">
        <x:v>40.74</x:v>
      </x:c>
    </x:row>
    <x:row r="54">
      <x:c r="A54" s="29">
        <x:v>2</x:v>
      </x:c>
      <x:c r="B54" s="29">
        <x:v>3</x:v>
      </x:c>
      <x:c r="C54" s="30">
        <x:v>2</x:v>
      </x:c>
      <x:c r="D54" s="30">
        <x:v>3</x:v>
      </x:c>
      <x:c r="E54" s="32">
        <x:v>46187</x:v>
      </x:c>
      <x:c r="F54" s="30" t="s">
        <x:v>106</x:v>
      </x:c>
      <x:c r="G54" s="30" t="s">
        <x:v>55</x:v>
      </x:c>
      <x:c r="H54" s="30" t="s">
        <x:v>31</x:v>
      </x:c>
      <x:c r="I54" s="30" t="s">
        <x:v>110</x:v>
      </x:c>
      <x:c r="J54" s="30" t="str">
        <x:f t="shared" si="2"/>
        <x:v>Flashpoint</x:v>
      </x:c>
      <x:c r="K54" s="30"/>
      <x:c r="L54" s="30" t="s">
        <x:v>55</x:v>
      </x:c>
      <x:c r="M54" s="30" t="s">
        <x:v>121</x:v>
      </x:c>
      <x:c r="N54" s="30" t="s">
        <x:v>125</x:v>
      </x:c>
      <x:c r="O54" s="43" t="str">
        <x:f t="shared" si="3"/>
        <x:v>260614_CR_CB_S3</x:v>
      </x:c>
      <x:c r="P54">
        <x:v>3</x:v>
      </x:c>
      <x:c r="Q54">
        <x:v>1</x:v>
      </x:c>
    </x:row>
    <x:row r="55">
      <x:c r="A55" s="5">
        <x:v>2</x:v>
      </x:c>
      <x:c r="B55" s="5">
        <x:v>3</x:v>
      </x:c>
      <x:c r="C55" s="7">
        <x:v>3</x:v>
      </x:c>
      <x:c r="D55" s="7">
        <x:v>1</x:v>
      </x:c>
      <x:c r="E55" s="16">
        <x:v>46187</x:v>
      </x:c>
      <x:c r="F55" s="7" t="s">
        <x:v>106</x:v>
      </x:c>
      <x:c r="G55" s="7" t="s">
        <x:v>72</x:v>
      </x:c>
      <x:c r="H55" s="7" t="s">
        <x:v>63</x:v>
      </x:c>
      <x:c r="I55" s="7" t="s">
        <x:v>116</x:v>
      </x:c>
      <x:c r="J55" s="7" t="str">
        <x:f t="shared" si="2"/>
        <x:v>Control</x:v>
      </x:c>
      <x:c r="K55" s="7"/>
      <x:c r="L55" s="7" t="s">
        <x:v>63</x:v>
      </x:c>
      <x:c r="M55" s="7" t="s">
        <x:v>109</x:v>
      </x:c>
      <x:c r="N55" s="7" t="s">
        <x:v>141</x:v>
      </x:c>
      <x:c r="O55" s="44" t="str">
        <x:f t="shared" si="3"/>
        <x:v>260614_FLC_T1_S1</x:v>
      </x:c>
      <x:c r="P55">
        <x:v>1</x:v>
      </x:c>
      <x:c r="Q55">
        <x:v>2</x:v>
      </x:c>
    </x:row>
    <x:row r="56">
      <x:c r="A56" s="5">
        <x:v>2</x:v>
      </x:c>
      <x:c r="B56" s="5">
        <x:v>3</x:v>
      </x:c>
      <x:c r="C56" s="7">
        <x:v>3</x:v>
      </x:c>
      <x:c r="D56" s="7">
        <x:v>2</x:v>
      </x:c>
      <x:c r="E56" s="16">
        <x:v>46187</x:v>
      </x:c>
      <x:c r="F56" s="7" t="s">
        <x:v>106</x:v>
      </x:c>
      <x:c r="G56" s="7" t="s">
        <x:v>72</x:v>
      </x:c>
      <x:c r="H56" s="7" t="s">
        <x:v>63</x:v>
      </x:c>
      <x:c r="I56" s="7" t="s">
        <x:v>138</x:v>
      </x:c>
      <x:c r="J56" s="7" t="str">
        <x:f t="shared" si="2"/>
        <x:v>Hybrid</x:v>
      </x:c>
      <x:c r="K56" s="7"/>
      <x:c r="L56" s="7" t="s">
        <x:v>72</x:v>
      </x:c>
      <x:c r="M56" s="7" t="s">
        <x:v>125</x:v>
      </x:c>
      <x:c r="N56" s="7" t="s">
        <x:v>126</x:v>
      </x:c>
      <x:c r="O56" s="44" t="str">
        <x:f t="shared" si="3"/>
        <x:v>260614_FLC_T1_S2</x:v>
      </x:c>
      <x:c r="P56">
        <x:v>2</x:v>
      </x:c>
      <x:c r="Q56">
        <x:v>1</x:v>
      </x:c>
    </x:row>
    <x:row r="57">
      <x:c r="A57" s="5">
        <x:v>2</x:v>
      </x:c>
      <x:c r="B57" s="5">
        <x:v>3</x:v>
      </x:c>
      <x:c r="C57" s="7">
        <x:v>3</x:v>
      </x:c>
      <x:c r="D57" s="7">
        <x:v>3</x:v>
      </x:c>
      <x:c r="E57" s="16">
        <x:v>46187</x:v>
      </x:c>
      <x:c r="F57" s="7" t="s">
        <x:v>106</x:v>
      </x:c>
      <x:c r="G57" s="7" t="s">
        <x:v>72</x:v>
      </x:c>
      <x:c r="H57" s="7" t="s">
        <x:v>63</x:v>
      </x:c>
      <x:c r="I57" s="7" t="s">
        <x:v>124</x:v>
      </x:c>
      <x:c r="J57" s="7" t="str">
        <x:f t="shared" si="2"/>
        <x:v>Flashpoint</x:v>
      </x:c>
      <x:c r="K57" s="7"/>
      <x:c r="L57" s="7" t="s">
        <x:v>63</x:v>
      </x:c>
      <x:c r="M57" s="7" t="s">
        <x:v>148</x:v>
      </x:c>
      <x:c r="N57" s="7" t="s">
        <x:v>149</x:v>
      </x:c>
      <x:c r="O57" s="44" t="str">
        <x:f t="shared" si="3"/>
        <x:v>260614_FLC_T1_S3</x:v>
      </x:c>
      <x:c r="P57">
        <x:v>0</x:v>
      </x:c>
      <x:c r="Q57">
        <x:v>3</x:v>
      </x:c>
    </x:row>
    <x:row r="58">
      <x:c r="A58" s="5">
        <x:v>2</x:v>
      </x:c>
      <x:c r="B58" s="5">
        <x:v>3</x:v>
      </x:c>
      <x:c r="C58" s="7">
        <x:v>3</x:v>
      </x:c>
      <x:c r="D58" s="7">
        <x:v>4</x:v>
      </x:c>
      <x:c r="E58" s="16">
        <x:v>46187</x:v>
      </x:c>
      <x:c r="F58" s="7" t="s">
        <x:v>106</x:v>
      </x:c>
      <x:c r="G58" s="7" t="s">
        <x:v>72</x:v>
      </x:c>
      <x:c r="H58" s="7" t="s">
        <x:v>63</x:v>
      </x:c>
      <x:c r="I58" s="7" t="s">
        <x:v>123</x:v>
      </x:c>
      <x:c r="J58" s="7" t="str">
        <x:f t="shared" si="2"/>
        <x:v>Escort</x:v>
      </x:c>
      <x:c r="K58" s="7"/>
      <x:c r="L58" s="7" t="s">
        <x:v>72</x:v>
      </x:c>
      <x:c r="M58" s="7" t="s">
        <x:v>108</x:v>
      </x:c>
      <x:c r="N58" s="7" t="s">
        <x:v>150</x:v>
      </x:c>
      <x:c r="O58" s="44" t="str">
        <x:f t="shared" si="3"/>
        <x:v>260614_FLC_T1_S4</x:v>
      </x:c>
      <x:c r="P58">
        <x:v>1</x:v>
      </x:c>
      <x:c r="Q58">
        <x:v>0</x:v>
      </x:c>
    </x:row>
    <x:row r="59">
      <x:c r="A59" s="5">
        <x:v>2</x:v>
      </x:c>
      <x:c r="B59" s="5">
        <x:v>3</x:v>
      </x:c>
      <x:c r="C59" s="7">
        <x:v>3</x:v>
      </x:c>
      <x:c r="D59" s="7">
        <x:v>5</x:v>
      </x:c>
      <x:c r="E59" s="16">
        <x:v>46187</x:v>
      </x:c>
      <x:c r="F59" s="7" t="s">
        <x:v>106</x:v>
      </x:c>
      <x:c r="G59" s="7" t="s">
        <x:v>72</x:v>
      </x:c>
      <x:c r="H59" s="7" t="s">
        <x:v>63</x:v>
      </x:c>
      <x:c r="I59" s="7" t="s">
        <x:v>113</x:v>
      </x:c>
      <x:c r="J59" s="7" t="str">
        <x:f t="shared" si="2"/>
        <x:v>Push</x:v>
      </x:c>
      <x:c r="K59" s="7"/>
      <x:c r="L59" s="7" t="s">
        <x:v>72</x:v>
      </x:c>
      <x:c r="M59" s="7" t="s">
        <x:v>122</x:v>
      </x:c>
      <x:c r="N59" s="7" t="s">
        <x:v>114</x:v>
      </x:c>
      <x:c r="O59" s="44" t="str">
        <x:f t="shared" si="3"/>
        <x:v>260614_FLC_T1_S5</x:v>
      </x:c>
      <x:c r="P59">
        <x:v>131.18</x:v>
      </x:c>
      <x:c r="Q59">
        <x:v>63.72</x:v>
      </x:c>
    </x:row>
    <x:row r="60">
      <x:c r="A60" s="29">
        <x:v>3</x:v>
      </x:c>
      <x:c r="B60" s="30">
        <x:v>1</x:v>
      </x:c>
      <x:c r="C60" s="30">
        <x:v>1</x:v>
      </x:c>
      <x:c r="D60" s="30">
        <x:v>1</x:v>
      </x:c>
      <x:c r="E60" s="32">
        <x:v>46192</x:v>
      </x:c>
      <x:c r="F60" s="30" t="s">
        <x:v>106</x:v>
      </x:c>
      <x:c r="G60" s="30" t="s">
        <x:v>22</x:v>
      </x:c>
      <x:c r="H60" s="30" t="s">
        <x:v>31</x:v>
      </x:c>
      <x:c r="I60" s="30" t="s">
        <x:v>107</x:v>
      </x:c>
      <x:c r="J60" s="30" t="str">
        <x:f t="shared" si="2"/>
        <x:v>Control</x:v>
      </x:c>
      <x:c r="K60" s="30"/>
      <x:c r="L60" s="30" t="s">
        <x:v>22</x:v>
      </x:c>
      <x:c r="M60" s="30" t="s">
        <x:v>126</x:v>
      </x:c>
      <x:c r="N60" s="30" t="s">
        <x:v>114</x:v>
      </x:c>
      <x:c r="O60" s="43" t="str">
        <x:f t="shared" si="3"/>
        <x:v>260619_ROZE_CB_S1</x:v>
      </x:c>
      <x:c r="P60">
        <x:v>2</x:v>
      </x:c>
      <x:c r="Q60">
        <x:v>1</x:v>
      </x:c>
    </x:row>
    <x:row r="61">
      <x:c r="A61" s="29">
        <x:v>3</x:v>
      </x:c>
      <x:c r="B61" s="30">
        <x:v>1</x:v>
      </x:c>
      <x:c r="C61" s="30">
        <x:v>1</x:v>
      </x:c>
      <x:c r="D61" s="30">
        <x:v>2</x:v>
      </x:c>
      <x:c r="E61" s="32">
        <x:v>46192</x:v>
      </x:c>
      <x:c r="F61" s="30" t="s">
        <x:v>106</x:v>
      </x:c>
      <x:c r="G61" s="30" t="s">
        <x:v>22</x:v>
      </x:c>
      <x:c r="H61" s="30" t="s">
        <x:v>31</x:v>
      </x:c>
      <x:c r="I61" s="30" t="s">
        <x:v>145</x:v>
      </x:c>
      <x:c r="J61" s="30" t="str">
        <x:f t="shared" si="2"/>
        <x:v>Escort</x:v>
      </x:c>
      <x:c r="K61" s="30"/>
      <x:c r="L61" s="30" t="s">
        <x:v>31</x:v>
      </x:c>
      <x:c r="M61" s="30" t="s">
        <x:v>111</x:v>
      </x:c>
      <x:c r="N61" s="30" t="s">
        <x:v>129</x:v>
      </x:c>
      <x:c r="O61" s="43" t="str">
        <x:f t="shared" si="3"/>
        <x:v>260619_ROZE_CB_S2</x:v>
      </x:c>
      <x:c r="P61">
        <x:v>3</x:v>
      </x:c>
      <x:c r="Q61">
        <x:v>4</x:v>
      </x:c>
    </x:row>
    <x:row r="62">
      <x:c r="A62" s="29">
        <x:v>3</x:v>
      </x:c>
      <x:c r="B62" s="30">
        <x:v>1</x:v>
      </x:c>
      <x:c r="C62" s="30">
        <x:v>1</x:v>
      </x:c>
      <x:c r="D62" s="30">
        <x:v>3</x:v>
      </x:c>
      <x:c r="E62" s="32">
        <x:v>46192</x:v>
      </x:c>
      <x:c r="F62" s="30" t="s">
        <x:v>106</x:v>
      </x:c>
      <x:c r="G62" s="30" t="s">
        <x:v>22</x:v>
      </x:c>
      <x:c r="H62" s="30" t="s">
        <x:v>31</x:v>
      </x:c>
      <x:c r="I62" s="30" t="s">
        <x:v>113</x:v>
      </x:c>
      <x:c r="J62" s="30" t="str">
        <x:f t="shared" si="2"/>
        <x:v>Push</x:v>
      </x:c>
      <x:c r="K62" s="30"/>
      <x:c r="L62" s="30" t="s">
        <x:v>22</x:v>
      </x:c>
      <x:c r="M62" s="30" t="s">
        <x:v>144</x:v>
      </x:c>
      <x:c r="N62" s="30" t="s">
        <x:v>115</x:v>
      </x:c>
      <x:c r="O62" s="43" t="str">
        <x:f t="shared" si="3"/>
        <x:v>260619_ROZE_CB_S3</x:v>
      </x:c>
      <x:c r="P62">
        <x:v>144.86000000000001</x:v>
      </x:c>
      <x:c r="Q62">
        <x:v>1.48</x:v>
      </x:c>
    </x:row>
    <x:row r="63">
      <x:c r="A63" s="29">
        <x:v>3</x:v>
      </x:c>
      <x:c r="B63" s="30">
        <x:v>1</x:v>
      </x:c>
      <x:c r="C63" s="30">
        <x:v>1</x:v>
      </x:c>
      <x:c r="D63" s="30">
        <x:v>4</x:v>
      </x:c>
      <x:c r="E63" s="32">
        <x:v>46192</x:v>
      </x:c>
      <x:c r="F63" s="30" t="s">
        <x:v>106</x:v>
      </x:c>
      <x:c r="G63" s="30" t="s">
        <x:v>22</x:v>
      </x:c>
      <x:c r="H63" s="30" t="s">
        <x:v>31</x:v>
      </x:c>
      <x:c r="I63" s="30" t="s">
        <x:v>138</x:v>
      </x:c>
      <x:c r="J63" s="30" t="str">
        <x:f t="shared" si="2"/>
        <x:v>Hybrid</x:v>
      </x:c>
      <x:c r="K63" s="30"/>
      <x:c r="L63" s="30" t="s">
        <x:v>22</x:v>
      </x:c>
      <x:c r="M63" s="30" t="s">
        <x:v>151</x:v>
      </x:c>
      <x:c r="N63" s="30" t="s">
        <x:v>126</x:v>
      </x:c>
      <x:c r="O63" s="43" t="str">
        <x:f t="shared" si="3"/>
        <x:v>260619_ROZE_CB_S4</x:v>
      </x:c>
      <x:c r="P63">
        <x:v>3</x:v>
      </x:c>
      <x:c r="Q63">
        <x:v>2</x:v>
      </x:c>
    </x:row>
    <x:row r="64">
      <x:c r="A64" s="5">
        <x:v>3</x:v>
      </x:c>
      <x:c r="B64" s="7">
        <x:v>1</x:v>
      </x:c>
      <x:c r="C64" s="7">
        <x:v>2</x:v>
      </x:c>
      <x:c r="D64" s="7">
        <x:v>1</x:v>
      </x:c>
      <x:c r="E64" s="16">
        <x:v>46192</x:v>
      </x:c>
      <x:c r="F64" s="7" t="s">
        <x:v>106</x:v>
      </x:c>
      <x:c r="G64" s="7" t="s">
        <x:v>72</x:v>
      </x:c>
      <x:c r="H64" s="7" t="s">
        <x:v>6</x:v>
      </x:c>
      <x:c r="I64" s="7" t="s">
        <x:v>107</x:v>
      </x:c>
      <x:c r="J64" s="7" t="str">
        <x:f t="shared" si="2"/>
        <x:v>Control</x:v>
      </x:c>
      <x:c r="K64" s="7"/>
      <x:c r="L64" s="6" t="s">
        <x:v>72</x:v>
      </x:c>
      <x:c r="M64" s="7" t="s">
        <x:v>109</x:v>
      </x:c>
      <x:c r="N64" s="7" t="s">
        <x:v>126</x:v>
      </x:c>
      <x:c r="O64" s="44" t="str">
        <x:f t="shared" si="3"/>
        <x:v>260619_FLC_O2_S1</x:v>
      </x:c>
      <x:c r="P64">
        <x:v>2</x:v>
      </x:c>
      <x:c r="Q64">
        <x:v>0</x:v>
      </x:c>
    </x:row>
    <x:row r="65">
      <x:c r="A65" s="5">
        <x:v>3</x:v>
      </x:c>
      <x:c r="B65" s="7">
        <x:v>1</x:v>
      </x:c>
      <x:c r="C65" s="7">
        <x:v>2</x:v>
      </x:c>
      <x:c r="D65" s="7">
        <x:v>2</x:v>
      </x:c>
      <x:c r="E65" s="16">
        <x:v>46192</x:v>
      </x:c>
      <x:c r="F65" s="7" t="s">
        <x:v>106</x:v>
      </x:c>
      <x:c r="G65" s="7" t="s">
        <x:v>72</x:v>
      </x:c>
      <x:c r="H65" s="7" t="s">
        <x:v>6</x:v>
      </x:c>
      <x:c r="I65" s="7" t="s">
        <x:v>133</x:v>
      </x:c>
      <x:c r="J65" s="7" t="str">
        <x:f t="shared" si="2"/>
        <x:v>Hybrid</x:v>
      </x:c>
      <x:c r="K65" s="7"/>
      <x:c r="L65" s="6" t="s">
        <x:v>72</x:v>
      </x:c>
      <x:c r="M65" s="7" t="s">
        <x:v>130</x:v>
      </x:c>
      <x:c r="N65" s="7" t="s">
        <x:v>125</x:v>
      </x:c>
      <x:c r="O65" s="44" t="str">
        <x:f t="shared" si="3"/>
        <x:v>260619_FLC_O2_S2</x:v>
      </x:c>
      <x:c r="P65">
        <x:v>3</x:v>
      </x:c>
      <x:c r="Q65">
        <x:v>1</x:v>
      </x:c>
    </x:row>
    <x:row r="66">
      <x:c r="A66" s="5">
        <x:v>3</x:v>
      </x:c>
      <x:c r="B66" s="7">
        <x:v>1</x:v>
      </x:c>
      <x:c r="C66" s="7">
        <x:v>2</x:v>
      </x:c>
      <x:c r="D66" s="7">
        <x:v>3</x:v>
      </x:c>
      <x:c r="E66" s="16">
        <x:v>46192</x:v>
      </x:c>
      <x:c r="F66" s="7" t="s">
        <x:v>106</x:v>
      </x:c>
      <x:c r="G66" s="7" t="s">
        <x:v>72</x:v>
      </x:c>
      <x:c r="H66" s="7" t="s">
        <x:v>6</x:v>
      </x:c>
      <x:c r="I66" s="7" t="s">
        <x:v>145</x:v>
      </x:c>
      <x:c r="J66" s="7" t="str">
        <x:f t="shared" ref="J66:J97" si="4">IF(OR(I66="Antarctic Peninsula", I66="Nepal", I66="Lijiang Tower", I66="Busan", I66="Samoa", I66="Oasis", I66="Ilios"), "Control", IF(OR(I66="Route 66", I66="Watchpoint: Gibraltar", I66="Dorado", I66="Rialto", I66="Shambali Monastery", I66="Circuit Royal", I66="Junkertown", I66="Havana"), "Escort", IF(OR(I66="Neon Junction", I66="Numbani", I66="Midtown", I66="Blizzard World", I66="Eichenwalde", I66="King's Row", I66="Paraiso", I66="Hollywood"), "Hybrid", IF(OR(I66="New Queen Street", I66="Esperanca", I66="Colosseo", I66="Runasapi"), "Push", IF(OR(I66="New Junk City", I66="Suravasa", I66="Aatlis"), "Flashpoint", "")))))</x:f>
        <x:v>Escort</x:v>
      </x:c>
      <x:c r="K66" s="7"/>
      <x:c r="L66" s="6" t="s">
        <x:v>72</x:v>
      </x:c>
      <x:c r="M66" s="7" t="s">
        <x:v>142</x:v>
      </x:c>
      <x:c r="N66" s="7" t="s">
        <x:v>122</x:v>
      </x:c>
      <x:c r="O66" s="44" t="str">
        <x:f t="shared" ref="O66:O97" si="5">TEXT(E66, "yymmdd") &amp; "_" &amp; G66 &amp; "_" &amp; H66 &amp; "_S" &amp; D66</x:f>
        <x:v>260619_FLC_O2_S3</x:v>
      </x:c>
      <x:c r="P66">
        <x:v>3</x:v>
      </x:c>
      <x:c r="Q66">
        <x:v>0</x:v>
      </x:c>
    </x:row>
    <x:row r="67">
      <x:c r="A67" s="29">
        <x:v>3</x:v>
      </x:c>
      <x:c r="B67" s="30">
        <x:v>1</x:v>
      </x:c>
      <x:c r="C67" s="30">
        <x:v>3</x:v>
      </x:c>
      <x:c r="D67" s="30">
        <x:v>1</x:v>
      </x:c>
      <x:c r="E67" s="32">
        <x:v>46192</x:v>
      </x:c>
      <x:c r="F67" s="30" t="s">
        <x:v>106</x:v>
      </x:c>
      <x:c r="G67" s="30" t="s">
        <x:v>63</x:v>
      </x:c>
      <x:c r="H67" s="30" t="s">
        <x:v>55</x:v>
      </x:c>
      <x:c r="I67" s="30" t="s">
        <x:v>107</x:v>
      </x:c>
      <x:c r="J67" s="30" t="str">
        <x:f t="shared" si="4"/>
        <x:v>Control</x:v>
      </x:c>
      <x:c r="K67" s="30"/>
      <x:c r="L67" s="36" t="s">
        <x:v>55</x:v>
      </x:c>
      <x:c r="M67" s="30" t="s">
        <x:v>121</x:v>
      </x:c>
      <x:c r="N67" s="30" t="s">
        <x:v>147</x:v>
      </x:c>
      <x:c r="O67" s="43" t="str">
        <x:f t="shared" si="5"/>
        <x:v>260619_T1_CR_S1</x:v>
      </x:c>
      <x:c r="P67">
        <x:v>0</x:v>
      </x:c>
      <x:c r="Q67">
        <x:v>2</x:v>
      </x:c>
    </x:row>
    <x:row r="68">
      <x:c r="A68" s="29">
        <x:v>3</x:v>
      </x:c>
      <x:c r="B68" s="30">
        <x:v>1</x:v>
      </x:c>
      <x:c r="C68" s="30">
        <x:v>3</x:v>
      </x:c>
      <x:c r="D68" s="30">
        <x:v>2</x:v>
      </x:c>
      <x:c r="E68" s="32">
        <x:v>46192</x:v>
      </x:c>
      <x:c r="F68" s="30" t="s">
        <x:v>106</x:v>
      </x:c>
      <x:c r="G68" s="30" t="s">
        <x:v>63</x:v>
      </x:c>
      <x:c r="H68" s="30" t="s">
        <x:v>55</x:v>
      </x:c>
      <x:c r="I68" s="30" t="s">
        <x:v>119</x:v>
      </x:c>
      <x:c r="J68" s="30" t="str">
        <x:f t="shared" si="4"/>
        <x:v>Hybrid</x:v>
      </x:c>
      <x:c r="K68" s="30"/>
      <x:c r="L68" s="36" t="s">
        <x:v>55</x:v>
      </x:c>
      <x:c r="M68" s="30" t="s">
        <x:v>115</x:v>
      </x:c>
      <x:c r="N68" s="30" t="s">
        <x:v>121</x:v>
      </x:c>
      <x:c r="O68" s="43" t="str">
        <x:f t="shared" si="5"/>
        <x:v>260619_T1_CR_S2</x:v>
      </x:c>
      <x:c r="P68">
        <x:v>1</x:v>
      </x:c>
      <x:c r="Q68">
        <x:v>2</x:v>
      </x:c>
    </x:row>
    <x:row r="69">
      <x:c r="A69" s="29">
        <x:v>3</x:v>
      </x:c>
      <x:c r="B69" s="30">
        <x:v>1</x:v>
      </x:c>
      <x:c r="C69" s="30">
        <x:v>3</x:v>
      </x:c>
      <x:c r="D69" s="30">
        <x:v>3</x:v>
      </x:c>
      <x:c r="E69" s="32">
        <x:v>46192</x:v>
      </x:c>
      <x:c r="F69" s="30" t="s">
        <x:v>106</x:v>
      </x:c>
      <x:c r="G69" s="30" t="s">
        <x:v>63</x:v>
      </x:c>
      <x:c r="H69" s="30" t="s">
        <x:v>55</x:v>
      </x:c>
      <x:c r="I69" s="30" t="s">
        <x:v>124</x:v>
      </x:c>
      <x:c r="J69" s="30" t="str">
        <x:f t="shared" si="4"/>
        <x:v>Flashpoint</x:v>
      </x:c>
      <x:c r="K69" s="30"/>
      <x:c r="L69" s="36" t="s">
        <x:v>63</x:v>
      </x:c>
      <x:c r="M69" s="30" t="s">
        <x:v>135</x:v>
      </x:c>
      <x:c r="N69" s="30" t="s">
        <x:v>144</x:v>
      </x:c>
      <x:c r="O69" s="43" t="str">
        <x:f t="shared" si="5"/>
        <x:v>260619_T1_CR_S3</x:v>
      </x:c>
      <x:c r="P69">
        <x:v>2</x:v>
      </x:c>
      <x:c r="Q69">
        <x:v>3</x:v>
      </x:c>
    </x:row>
    <x:row r="70">
      <x:c r="A70" s="29">
        <x:v>3</x:v>
      </x:c>
      <x:c r="B70" s="30">
        <x:v>1</x:v>
      </x:c>
      <x:c r="C70" s="30">
        <x:v>3</x:v>
      </x:c>
      <x:c r="D70" s="30">
        <x:v>4</x:v>
      </x:c>
      <x:c r="E70" s="32">
        <x:v>46192</x:v>
      </x:c>
      <x:c r="F70" s="30" t="s">
        <x:v>106</x:v>
      </x:c>
      <x:c r="G70" s="30" t="s">
        <x:v>63</x:v>
      </x:c>
      <x:c r="H70" s="30" t="s">
        <x:v>55</x:v>
      </x:c>
      <x:c r="I70" s="30" t="s">
        <x:v>145</x:v>
      </x:c>
      <x:c r="J70" s="30" t="str">
        <x:f t="shared" si="4"/>
        <x:v>Escort</x:v>
      </x:c>
      <x:c r="K70" s="30"/>
      <x:c r="L70" s="36" t="s">
        <x:v>55</x:v>
      </x:c>
      <x:c r="M70" s="30" t="s">
        <x:v>134</x:v>
      </x:c>
      <x:c r="N70" s="30" t="s">
        <x:v>141</x:v>
      </x:c>
      <x:c r="O70" s="43" t="str">
        <x:f t="shared" si="5"/>
        <x:v>260619_T1_CR_S4</x:v>
      </x:c>
      <x:c r="P70">
        <x:v>2</x:v>
      </x:c>
      <x:c r="Q70">
        <x:v>3</x:v>
      </x:c>
    </x:row>
    <x:row r="71">
      <x:c r="A71" s="5">
        <x:v>3</x:v>
      </x:c>
      <x:c r="B71" s="7">
        <x:v>2</x:v>
      </x:c>
      <x:c r="C71" s="7">
        <x:v>1</x:v>
      </x:c>
      <x:c r="D71" s="7">
        <x:v>1</x:v>
      </x:c>
      <x:c r="E71" s="45">
        <x:v>46193</x:v>
      </x:c>
      <x:c r="F71" s="7" t="s">
        <x:v>106</x:v>
      </x:c>
      <x:c r="G71" s="7" t="s">
        <x:v>39</x:v>
      </x:c>
      <x:c r="H71" s="7" t="s">
        <x:v>81</x:v>
      </x:c>
      <x:c r="I71" s="7" t="s">
        <x:v>116</x:v>
      </x:c>
      <x:c r="J71" s="7" t="str">
        <x:f t="shared" si="4"/>
        <x:v>Control</x:v>
      </x:c>
      <x:c r="K71" s="6"/>
      <x:c r="L71" s="6" t="s">
        <x:v>81</x:v>
      </x:c>
      <x:c r="M71" s="7" t="s">
        <x:v>109</x:v>
      </x:c>
      <x:c r="N71" s="7" t="s">
        <x:v>142</x:v>
      </x:c>
      <x:c r="O71" s="44" t="str">
        <x:f t="shared" si="5"/>
        <x:v>260620_PF_SB_S1</x:v>
      </x:c>
      <x:c r="P71">
        <x:v>1</x:v>
      </x:c>
      <x:c r="Q71">
        <x:v>2</x:v>
      </x:c>
    </x:row>
    <x:row r="72">
      <x:c r="A72" s="5">
        <x:v>3</x:v>
      </x:c>
      <x:c r="B72" s="7">
        <x:v>2</x:v>
      </x:c>
      <x:c r="C72" s="7">
        <x:v>1</x:v>
      </x:c>
      <x:c r="D72" s="7">
        <x:v>2</x:v>
      </x:c>
      <x:c r="E72" s="45">
        <x:v>46193</x:v>
      </x:c>
      <x:c r="F72" s="7" t="s">
        <x:v>106</x:v>
      </x:c>
      <x:c r="G72" s="7" t="s">
        <x:v>39</x:v>
      </x:c>
      <x:c r="H72" s="7" t="s">
        <x:v>81</x:v>
      </x:c>
      <x:c r="I72" s="7" t="s">
        <x:v>124</x:v>
      </x:c>
      <x:c r="J72" s="7" t="str">
        <x:f t="shared" si="4"/>
        <x:v>Flashpoint</x:v>
      </x:c>
      <x:c r="K72" s="6"/>
      <x:c r="L72" s="6" t="s">
        <x:v>39</x:v>
      </x:c>
      <x:c r="M72" s="7" t="s">
        <x:v>117</x:v>
      </x:c>
      <x:c r="N72" s="7" t="s">
        <x:v>114</x:v>
      </x:c>
      <x:c r="O72" s="44" t="str">
        <x:f t="shared" si="5"/>
        <x:v>260620_PF_SB_S2</x:v>
      </x:c>
      <x:c r="P72">
        <x:v>3</x:v>
      </x:c>
      <x:c r="Q72">
        <x:v>1</x:v>
      </x:c>
    </x:row>
    <x:row r="73">
      <x:c r="A73" s="5">
        <x:v>3</x:v>
      </x:c>
      <x:c r="B73" s="7">
        <x:v>2</x:v>
      </x:c>
      <x:c r="C73" s="7">
        <x:v>1</x:v>
      </x:c>
      <x:c r="D73" s="7">
        <x:v>3</x:v>
      </x:c>
      <x:c r="E73" s="45">
        <x:v>46193</x:v>
      </x:c>
      <x:c r="F73" s="7" t="s">
        <x:v>106</x:v>
      </x:c>
      <x:c r="G73" s="7" t="s">
        <x:v>39</x:v>
      </x:c>
      <x:c r="H73" s="7" t="s">
        <x:v>81</x:v>
      </x:c>
      <x:c r="I73" s="7" t="s">
        <x:v>138</x:v>
      </x:c>
      <x:c r="J73" s="7" t="str">
        <x:f t="shared" si="4"/>
        <x:v>Hybrid</x:v>
      </x:c>
      <x:c r="K73" s="6"/>
      <x:c r="L73" s="6" t="s">
        <x:v>81</x:v>
      </x:c>
      <x:c r="M73" s="7" t="s">
        <x:v>130</x:v>
      </x:c>
      <x:c r="N73" s="7" t="s">
        <x:v>136</x:v>
      </x:c>
      <x:c r="O73" s="44" t="str">
        <x:f t="shared" si="5"/>
        <x:v>260620_PF_SB_S3</x:v>
      </x:c>
      <x:c r="P73">
        <x:v>0</x:v>
      </x:c>
      <x:c r="Q73">
        <x:v>1</x:v>
      </x:c>
    </x:row>
    <x:row r="74">
      <x:c r="A74" s="5">
        <x:v>3</x:v>
      </x:c>
      <x:c r="B74" s="7">
        <x:v>2</x:v>
      </x:c>
      <x:c r="C74" s="7">
        <x:v>1</x:v>
      </x:c>
      <x:c r="D74" s="7">
        <x:v>4</x:v>
      </x:c>
      <x:c r="E74" s="45">
        <x:v>46193</x:v>
      </x:c>
      <x:c r="F74" s="7" t="s">
        <x:v>106</x:v>
      </x:c>
      <x:c r="G74" s="7" t="s">
        <x:v>39</x:v>
      </x:c>
      <x:c r="H74" s="7" t="s">
        <x:v>81</x:v>
      </x:c>
      <x:c r="I74" s="7" t="s">
        <x:v>113</x:v>
      </x:c>
      <x:c r="J74" s="7" t="str">
        <x:f t="shared" si="4"/>
        <x:v>Push</x:v>
      </x:c>
      <x:c r="K74" s="6"/>
      <x:c r="L74" s="6" t="s">
        <x:v>39</x:v>
      </x:c>
      <x:c r="M74" s="7" t="s">
        <x:v>122</x:v>
      </x:c>
      <x:c r="N74" s="7" t="s">
        <x:v>126</x:v>
      </x:c>
      <x:c r="O74" s="44" t="str">
        <x:f t="shared" si="5"/>
        <x:v>260620_PF_SB_S4</x:v>
      </x:c>
      <x:c r="P74">
        <x:v>118.97</x:v>
      </x:c>
      <x:c r="Q74">
        <x:v>116.88</x:v>
      </x:c>
    </x:row>
    <x:row r="75">
      <x:c r="A75" s="5">
        <x:v>3</x:v>
      </x:c>
      <x:c r="B75" s="7">
        <x:v>2</x:v>
      </x:c>
      <x:c r="C75" s="7">
        <x:v>1</x:v>
      </x:c>
      <x:c r="D75" s="7">
        <x:v>5</x:v>
      </x:c>
      <x:c r="E75" s="45">
        <x:v>46193</x:v>
      </x:c>
      <x:c r="F75" s="7" t="s">
        <x:v>106</x:v>
      </x:c>
      <x:c r="G75" s="7" t="s">
        <x:v>39</x:v>
      </x:c>
      <x:c r="H75" s="7" t="s">
        <x:v>81</x:v>
      </x:c>
      <x:c r="I75" s="7" t="s">
        <x:v>145</x:v>
      </x:c>
      <x:c r="J75" s="7" t="str">
        <x:f t="shared" si="4"/>
        <x:v>Escort</x:v>
      </x:c>
      <x:c r="K75" s="6"/>
      <x:c r="L75" s="6" t="s">
        <x:v>81</x:v>
      </x:c>
      <x:c r="M75" s="7" t="s">
        <x:v>115</x:v>
      </x:c>
      <x:c r="N75" s="7" t="s">
        <x:v>129</x:v>
      </x:c>
      <x:c r="O75" s="44" t="str">
        <x:f t="shared" si="5"/>
        <x:v>260620_PF_SB_S5</x:v>
      </x:c>
      <x:c r="P75">
        <x:v>0</x:v>
      </x:c>
      <x:c r="Q75">
        <x:v>1</x:v>
      </x:c>
    </x:row>
    <x:row r="76">
      <x:c r="A76" s="29">
        <x:v>3</x:v>
      </x:c>
      <x:c r="B76" s="30">
        <x:v>2</x:v>
      </x:c>
      <x:c r="C76" s="30">
        <x:v>2</x:v>
      </x:c>
      <x:c r="D76" s="30">
        <x:v>1</x:v>
      </x:c>
      <x:c r="E76" s="46">
        <x:v>46193</x:v>
      </x:c>
      <x:c r="F76" s="30" t="s">
        <x:v>106</x:v>
      </x:c>
      <x:c r="G76" s="30" t="s">
        <x:v>47</x:v>
      </x:c>
      <x:c r="H76" s="30" t="s">
        <x:v>22</x:v>
      </x:c>
      <x:c r="I76" s="30" t="s">
        <x:v>107</x:v>
      </x:c>
      <x:c r="J76" s="30" t="str">
        <x:f t="shared" si="4"/>
        <x:v>Control</x:v>
      </x:c>
      <x:c r="K76" s="36"/>
      <x:c r="L76" s="36" t="s">
        <x:v>22</x:v>
      </x:c>
      <x:c r="M76" s="30" t="s">
        <x:v>125</x:v>
      </x:c>
      <x:c r="N76" s="30" t="s">
        <x:v>109</x:v>
      </x:c>
      <x:c r="O76" s="43" t="str">
        <x:f t="shared" si="5"/>
        <x:v>260620_ZETA_ROZE_S1</x:v>
      </x:c>
      <x:c r="P76">
        <x:v>1</x:v>
      </x:c>
      <x:c r="Q76">
        <x:v>2</x:v>
      </x:c>
    </x:row>
    <x:row r="77">
      <x:c r="A77" s="29">
        <x:v>3</x:v>
      </x:c>
      <x:c r="B77" s="30">
        <x:v>2</x:v>
      </x:c>
      <x:c r="C77" s="30">
        <x:v>2</x:v>
      </x:c>
      <x:c r="D77" s="30">
        <x:v>2</x:v>
      </x:c>
      <x:c r="E77" s="46">
        <x:v>46193</x:v>
      </x:c>
      <x:c r="F77" s="30" t="s">
        <x:v>106</x:v>
      </x:c>
      <x:c r="G77" s="30" t="s">
        <x:v>47</x:v>
      </x:c>
      <x:c r="H77" s="30" t="s">
        <x:v>22</x:v>
      </x:c>
      <x:c r="I77" s="30" t="s">
        <x:v>124</x:v>
      </x:c>
      <x:c r="J77" s="30" t="str">
        <x:f t="shared" si="4"/>
        <x:v>Flashpoint</x:v>
      </x:c>
      <x:c r="K77" s="36"/>
      <x:c r="L77" s="36" t="s">
        <x:v>47</x:v>
      </x:c>
      <x:c r="M77" s="30" t="s">
        <x:v>142</x:v>
      </x:c>
      <x:c r="N77" s="30" t="s">
        <x:v>141</x:v>
      </x:c>
      <x:c r="O77" s="43" t="str">
        <x:f t="shared" si="5"/>
        <x:v>260620_ZETA_ROZE_S2</x:v>
      </x:c>
      <x:c r="P77">
        <x:v>3</x:v>
      </x:c>
      <x:c r="Q77">
        <x:v>1</x:v>
      </x:c>
    </x:row>
    <x:row r="78">
      <x:c r="A78" s="29">
        <x:v>3</x:v>
      </x:c>
      <x:c r="B78" s="30">
        <x:v>2</x:v>
      </x:c>
      <x:c r="C78" s="30">
        <x:v>2</x:v>
      </x:c>
      <x:c r="D78" s="30">
        <x:v>3</x:v>
      </x:c>
      <x:c r="E78" s="46">
        <x:v>46193</x:v>
      </x:c>
      <x:c r="F78" s="30" t="s">
        <x:v>106</x:v>
      </x:c>
      <x:c r="G78" s="30" t="s">
        <x:v>47</x:v>
      </x:c>
      <x:c r="H78" s="30" t="s">
        <x:v>22</x:v>
      </x:c>
      <x:c r="I78" s="30" t="s">
        <x:v>113</x:v>
      </x:c>
      <x:c r="J78" s="30" t="str">
        <x:f t="shared" si="4"/>
        <x:v>Push</x:v>
      </x:c>
      <x:c r="K78" s="36"/>
      <x:c r="L78" s="36" t="s">
        <x:v>22</x:v>
      </x:c>
      <x:c r="M78" s="30" t="s">
        <x:v>129</x:v>
      </x:c>
      <x:c r="N78" s="30" t="s">
        <x:v>122</x:v>
      </x:c>
      <x:c r="O78" s="43" t="str">
        <x:f t="shared" si="5"/>
        <x:v>260620_ZETA_ROZE_S3</x:v>
      </x:c>
      <x:c r="P78">
        <x:v>45.8</x:v>
      </x:c>
      <x:c r="Q78">
        <x:v>144.86000000000001</x:v>
      </x:c>
    </x:row>
    <x:row r="79">
      <x:c r="A79" s="29">
        <x:v>3</x:v>
      </x:c>
      <x:c r="B79" s="30">
        <x:v>2</x:v>
      </x:c>
      <x:c r="C79" s="30">
        <x:v>2</x:v>
      </x:c>
      <x:c r="D79" s="30">
        <x:v>4</x:v>
      </x:c>
      <x:c r="E79" s="46">
        <x:v>46193</x:v>
      </x:c>
      <x:c r="F79" s="30" t="s">
        <x:v>106</x:v>
      </x:c>
      <x:c r="G79" s="30" t="s">
        <x:v>47</x:v>
      </x:c>
      <x:c r="H79" s="30" t="s">
        <x:v>22</x:v>
      </x:c>
      <x:c r="I79" s="30" t="s">
        <x:v>140</x:v>
      </x:c>
      <x:c r="J79" s="30" t="str">
        <x:f t="shared" si="4"/>
        <x:v>Escort</x:v>
      </x:c>
      <x:c r="K79" s="36"/>
      <x:c r="L79" s="36" t="s">
        <x:v>47</x:v>
      </x:c>
      <x:c r="M79" s="30" t="s">
        <x:v>127</x:v>
      </x:c>
      <x:c r="N79" s="30" t="s">
        <x:v>152</x:v>
      </x:c>
      <x:c r="O79" s="43" t="str">
        <x:f t="shared" si="5"/>
        <x:v>260620_ZETA_ROZE_S4</x:v>
      </x:c>
      <x:c r="P79">
        <x:v>3</x:v>
      </x:c>
      <x:c r="Q79">
        <x:v>1</x:v>
      </x:c>
    </x:row>
    <x:row r="80">
      <x:c r="A80" s="29">
        <x:v>3</x:v>
      </x:c>
      <x:c r="B80" s="30">
        <x:v>2</x:v>
      </x:c>
      <x:c r="C80" s="30">
        <x:v>2</x:v>
      </x:c>
      <x:c r="D80" s="30">
        <x:v>5</x:v>
      </x:c>
      <x:c r="E80" s="46">
        <x:v>46193</x:v>
      </x:c>
      <x:c r="F80" s="30" t="s">
        <x:v>106</x:v>
      </x:c>
      <x:c r="G80" s="30" t="s">
        <x:v>47</x:v>
      </x:c>
      <x:c r="H80" s="30" t="s">
        <x:v>22</x:v>
      </x:c>
      <x:c r="I80" s="30" t="s">
        <x:v>119</x:v>
      </x:c>
      <x:c r="J80" s="30" t="str">
        <x:f t="shared" si="4"/>
        <x:v>Hybrid</x:v>
      </x:c>
      <x:c r="K80" s="36"/>
      <x:c r="L80" s="36" t="s">
        <x:v>47</x:v>
      </x:c>
      <x:c r="M80" s="30" t="s">
        <x:v>126</x:v>
      </x:c>
      <x:c r="N80" s="30" t="s">
        <x:v>137</x:v>
      </x:c>
      <x:c r="O80" s="43" t="str">
        <x:f t="shared" si="5"/>
        <x:v>260620_ZETA_ROZE_S5</x:v>
      </x:c>
      <x:c r="P80">
        <x:v>5</x:v>
      </x:c>
      <x:c r="Q80">
        <x:v>4</x:v>
      </x:c>
    </x:row>
    <x:row r="81">
      <x:c r="A81" s="13">
        <x:v>3</x:v>
      </x:c>
      <x:c r="B81" s="15">
        <x:v>2</x:v>
      </x:c>
      <x:c r="C81">
        <x:v>3</x:v>
      </x:c>
      <x:c r="D81" s="15">
        <x:v>1</x:v>
      </x:c>
      <x:c r="E81" s="18">
        <x:v>46193</x:v>
      </x:c>
      <x:c r="F81" s="42" t="s">
        <x:v>106</x:v>
      </x:c>
      <x:c r="G81" s="15" t="s">
        <x:v>31</x:v>
      </x:c>
      <x:c r="H81" s="15" t="s">
        <x:v>63</x:v>
      </x:c>
      <x:c r="I81" s="15" t="s">
        <x:v>131</x:v>
      </x:c>
      <x:c r="J81" s="15" t="str">
        <x:f t="shared" si="4"/>
        <x:v>Control</x:v>
      </x:c>
      <x:c r="L81" s="19" t="s">
        <x:v>63</x:v>
      </x:c>
      <x:c r="M81" s="15" t="s">
        <x:v>115</x:v>
      </x:c>
      <x:c r="N81" s="15" t="s">
        <x:v>126</x:v>
      </x:c>
      <x:c r="O81" s="2" t="str">
        <x:f t="shared" si="5"/>
        <x:v>260620_CB_T1_S1</x:v>
      </x:c>
      <x:c r="P81">
        <x:v>1</x:v>
      </x:c>
      <x:c r="Q81">
        <x:v>2</x:v>
      </x:c>
    </x:row>
    <x:row r="82">
      <x:c r="A82" s="13">
        <x:v>3</x:v>
      </x:c>
      <x:c r="B82" s="15">
        <x:v>2</x:v>
      </x:c>
      <x:c r="C82">
        <x:v>3</x:v>
      </x:c>
      <x:c r="D82" s="15">
        <x:v>2</x:v>
      </x:c>
      <x:c r="E82" s="18">
        <x:v>46193</x:v>
      </x:c>
      <x:c r="F82" s="7" t="s">
        <x:v>106</x:v>
      </x:c>
      <x:c r="G82" s="15" t="s">
        <x:v>31</x:v>
      </x:c>
      <x:c r="H82" s="15" t="s">
        <x:v>63</x:v>
      </x:c>
      <x:c r="I82" s="15" t="s">
        <x:v>123</x:v>
      </x:c>
      <x:c r="J82" s="15" t="str">
        <x:f t="shared" si="4"/>
        <x:v>Escort</x:v>
      </x:c>
      <x:c r="L82" s="19" t="s">
        <x:v>63</x:v>
      </x:c>
      <x:c r="M82" s="15" t="s">
        <x:v>111</x:v>
      </x:c>
      <x:c r="N82" s="15" t="s">
        <x:v>109</x:v>
      </x:c>
      <x:c r="O82" s="2" t="str">
        <x:f t="shared" si="5"/>
        <x:v>260620_CB_T1_S2</x:v>
      </x:c>
      <x:c r="P82">
        <x:v>0</x:v>
      </x:c>
      <x:c r="Q82">
        <x:v>1</x:v>
      </x:c>
    </x:row>
    <x:row r="83">
      <x:c r="A83" s="13">
        <x:v>3</x:v>
      </x:c>
      <x:c r="B83" s="15">
        <x:v>2</x:v>
      </x:c>
      <x:c r="C83">
        <x:v>3</x:v>
      </x:c>
      <x:c r="D83" s="15">
        <x:v>3</x:v>
      </x:c>
      <x:c r="E83" s="18">
        <x:v>46193</x:v>
      </x:c>
      <x:c r="F83" s="7" t="s">
        <x:v>106</x:v>
      </x:c>
      <x:c r="G83" s="15" t="s">
        <x:v>31</x:v>
      </x:c>
      <x:c r="H83" s="15" t="s">
        <x:v>63</x:v>
      </x:c>
      <x:c r="I83" s="15" t="s">
        <x:v>110</x:v>
      </x:c>
      <x:c r="J83" s="15" t="str">
        <x:f t="shared" si="4"/>
        <x:v>Flashpoint</x:v>
      </x:c>
      <x:c r="L83" s="19" t="s">
        <x:v>63</x:v>
      </x:c>
      <x:c r="M83" s="15" t="s">
        <x:v>125</x:v>
      </x:c>
      <x:c r="N83" s="15" t="s">
        <x:v>127</x:v>
      </x:c>
      <x:c r="O83" s="2" t="str">
        <x:f t="shared" si="5"/>
        <x:v>260620_CB_T1_S3</x:v>
      </x:c>
      <x:c r="P83">
        <x:v>0</x:v>
      </x:c>
      <x:c r="Q83">
        <x:v>3</x:v>
      </x:c>
    </x:row>
    <x:row r="84">
      <x:c r="A84" s="37">
        <x:v>3</x:v>
      </x:c>
      <x:c r="B84" s="31">
        <x:v>3</x:v>
      </x:c>
      <x:c r="C84" s="38">
        <x:v>1</x:v>
      </x:c>
      <x:c r="D84" s="40">
        <x:v>1</x:v>
      </x:c>
      <x:c r="E84" s="39">
        <x:v>46194</x:v>
      </x:c>
      <x:c r="F84" s="31" t="s">
        <x:v>106</x:v>
      </x:c>
      <x:c r="G84" s="31" t="s">
        <x:v>72</x:v>
      </x:c>
      <x:c r="H84" s="31" t="s">
        <x:v>81</x:v>
      </x:c>
      <x:c r="I84" s="31" t="s">
        <x:v>131</x:v>
      </x:c>
      <x:c r="J84" s="31" t="str">
        <x:f t="shared" si="4"/>
        <x:v>Control</x:v>
      </x:c>
      <x:c r="K84" s="40"/>
      <x:c r="L84" s="41" t="s">
        <x:v>72</x:v>
      </x:c>
      <x:c r="M84" s="31" t="s">
        <x:v>121</x:v>
      </x:c>
      <x:c r="N84" s="31" t="s">
        <x:v>151</x:v>
      </x:c>
      <x:c r="O84" s="33" t="str">
        <x:f t="shared" si="5"/>
        <x:v>260621_FLC_SB_S1</x:v>
      </x:c>
      <x:c r="P84">
        <x:v>2</x:v>
      </x:c>
      <x:c r="Q84">
        <x:v>0</x:v>
      </x:c>
    </x:row>
    <x:row r="85">
      <x:c r="A85" s="37">
        <x:v>3</x:v>
      </x:c>
      <x:c r="B85" s="31">
        <x:v>3</x:v>
      </x:c>
      <x:c r="C85" s="38">
        <x:v>1</x:v>
      </x:c>
      <x:c r="D85" s="38">
        <x:v>2</x:v>
      </x:c>
      <x:c r="E85" s="39">
        <x:v>46194</x:v>
      </x:c>
      <x:c r="F85" s="31" t="s">
        <x:v>106</x:v>
      </x:c>
      <x:c r="G85" s="31" t="s">
        <x:v>72</x:v>
      </x:c>
      <x:c r="H85" s="31" t="s">
        <x:v>81</x:v>
      </x:c>
      <x:c r="I85" s="31" t="s">
        <x:v>124</x:v>
      </x:c>
      <x:c r="J85" s="31" t="str">
        <x:f t="shared" si="4"/>
        <x:v>Flashpoint</x:v>
      </x:c>
      <x:c r="K85" s="40"/>
      <x:c r="L85" s="41" t="s">
        <x:v>72</x:v>
      </x:c>
      <x:c r="M85" s="31" t="s">
        <x:v>142</x:v>
      </x:c>
      <x:c r="N85" s="31" t="s">
        <x:v>111</x:v>
      </x:c>
      <x:c r="O85" s="33" t="str">
        <x:f t="shared" si="5"/>
        <x:v>260621_FLC_SB_S2</x:v>
      </x:c>
      <x:c r="P85">
        <x:v>3</x:v>
      </x:c>
      <x:c r="Q85">
        <x:v>0</x:v>
      </x:c>
    </x:row>
    <x:row r="86">
      <x:c r="A86" s="37">
        <x:v>3</x:v>
      </x:c>
      <x:c r="B86" s="31">
        <x:v>3</x:v>
      </x:c>
      <x:c r="C86" s="38">
        <x:v>1</x:v>
      </x:c>
      <x:c r="D86" s="38">
        <x:v>3</x:v>
      </x:c>
      <x:c r="E86" s="39">
        <x:v>46194</x:v>
      </x:c>
      <x:c r="F86" s="31" t="s">
        <x:v>106</x:v>
      </x:c>
      <x:c r="G86" s="31" t="s">
        <x:v>72</x:v>
      </x:c>
      <x:c r="H86" s="31" t="s">
        <x:v>81</x:v>
      </x:c>
      <x:c r="I86" s="31" t="s">
        <x:v>138</x:v>
      </x:c>
      <x:c r="J86" s="31" t="str">
        <x:f t="shared" si="4"/>
        <x:v>Hybrid</x:v>
      </x:c>
      <x:c r="K86" s="40"/>
      <x:c r="L86" s="41" t="s">
        <x:v>72</x:v>
      </x:c>
      <x:c r="M86" s="31" t="s">
        <x:v>135</x:v>
      </x:c>
      <x:c r="N86" s="31" t="s">
        <x:v>122</x:v>
      </x:c>
      <x:c r="O86" s="33" t="str">
        <x:f t="shared" si="5"/>
        <x:v>260621_FLC_SB_S3</x:v>
      </x:c>
      <x:c r="P86">
        <x:v>3</x:v>
      </x:c>
      <x:c r="Q86">
        <x:v>0</x:v>
      </x:c>
    </x:row>
    <x:row r="87">
      <x:c r="A87" s="13">
        <x:v>3</x:v>
      </x:c>
      <x:c r="B87" s="15">
        <x:v>3</x:v>
      </x:c>
      <x:c r="C87">
        <x:v>2</x:v>
      </x:c>
      <x:c r="D87">
        <x:v>1</x:v>
      </x:c>
      <x:c r="E87" s="18">
        <x:v>46194</x:v>
      </x:c>
      <x:c r="F87" s="15" t="s">
        <x:v>106</x:v>
      </x:c>
      <x:c r="G87" s="15" t="s">
        <x:v>6</x:v>
      </x:c>
      <x:c r="H87" s="15" t="s">
        <x:v>55</x:v>
      </x:c>
      <x:c r="I87" s="15" t="s">
        <x:v>131</x:v>
      </x:c>
      <x:c r="J87" s="15" t="str">
        <x:f t="shared" si="4"/>
        <x:v>Control</x:v>
      </x:c>
      <x:c r="L87" s="19" t="s">
        <x:v>6</x:v>
      </x:c>
      <x:c r="M87" s="15" t="s">
        <x:v>109</x:v>
      </x:c>
      <x:c r="N87" s="15" t="s">
        <x:v>141</x:v>
      </x:c>
      <x:c r="O87" s="2" t="str">
        <x:f t="shared" si="5"/>
        <x:v>260621_O2_CR_S1</x:v>
      </x:c>
      <x:c r="P87">
        <x:v>2</x:v>
      </x:c>
      <x:c r="Q87">
        <x:v>0</x:v>
      </x:c>
    </x:row>
    <x:row r="88">
      <x:c r="A88" s="13">
        <x:v>3</x:v>
      </x:c>
      <x:c r="B88" s="15">
        <x:v>3</x:v>
      </x:c>
      <x:c r="C88">
        <x:v>2</x:v>
      </x:c>
      <x:c r="D88">
        <x:v>2</x:v>
      </x:c>
      <x:c r="E88" s="18">
        <x:v>46194</x:v>
      </x:c>
      <x:c r="F88" s="15" t="s">
        <x:v>106</x:v>
      </x:c>
      <x:c r="G88" s="15" t="s">
        <x:v>6</x:v>
      </x:c>
      <x:c r="H88" s="15" t="s">
        <x:v>55</x:v>
      </x:c>
      <x:c r="I88" s="15" t="s">
        <x:v>145</x:v>
      </x:c>
      <x:c r="J88" s="15" t="str">
        <x:f t="shared" si="4"/>
        <x:v>Escort</x:v>
      </x:c>
      <x:c r="L88" s="19" t="s">
        <x:v>55</x:v>
      </x:c>
      <x:c r="M88" s="15" t="s">
        <x:v>135</x:v>
      </x:c>
      <x:c r="N88" s="15" t="s">
        <x:v>132</x:v>
      </x:c>
      <x:c r="O88" s="2" t="str">
        <x:f t="shared" si="5"/>
        <x:v>260621_O2_CR_S2</x:v>
      </x:c>
      <x:c r="P88">
        <x:v>0</x:v>
      </x:c>
      <x:c r="Q88">
        <x:v>3</x:v>
      </x:c>
    </x:row>
    <x:row r="89">
      <x:c r="A89" s="13">
        <x:v>3</x:v>
      </x:c>
      <x:c r="B89" s="15">
        <x:v>3</x:v>
      </x:c>
      <x:c r="C89">
        <x:v>2</x:v>
      </x:c>
      <x:c r="D89">
        <x:v>3</x:v>
      </x:c>
      <x:c r="E89" s="18">
        <x:v>46194</x:v>
      </x:c>
      <x:c r="F89" s="15" t="s">
        <x:v>106</x:v>
      </x:c>
      <x:c r="G89" s="15" t="s">
        <x:v>6</x:v>
      </x:c>
      <x:c r="H89" s="15" t="s">
        <x:v>55</x:v>
      </x:c>
      <x:c r="I89" s="15" t="s">
        <x:v>124</x:v>
      </x:c>
      <x:c r="J89" s="15" t="str">
        <x:f t="shared" si="4"/>
        <x:v>Flashpoint</x:v>
      </x:c>
      <x:c r="L89" s="19" t="s">
        <x:v>55</x:v>
      </x:c>
      <x:c r="M89" s="15" t="s">
        <x:v>108</x:v>
      </x:c>
      <x:c r="N89" s="15" t="s">
        <x:v>153</x:v>
      </x:c>
      <x:c r="O89" s="2" t="str">
        <x:f t="shared" si="5"/>
        <x:v>260621_O2_CR_S3</x:v>
      </x:c>
      <x:c r="P89">
        <x:v>0</x:v>
      </x:c>
      <x:c r="Q89">
        <x:v>3</x:v>
      </x:c>
    </x:row>
    <x:row r="90">
      <x:c r="A90" s="13">
        <x:v>3</x:v>
      </x:c>
      <x:c r="B90" s="15">
        <x:v>3</x:v>
      </x:c>
      <x:c r="C90">
        <x:v>2</x:v>
      </x:c>
      <x:c r="D90">
        <x:v>4</x:v>
      </x:c>
      <x:c r="E90" s="18">
        <x:v>46194</x:v>
      </x:c>
      <x:c r="F90" s="15" t="s">
        <x:v>106</x:v>
      </x:c>
      <x:c r="G90" s="15" t="s">
        <x:v>6</x:v>
      </x:c>
      <x:c r="H90" s="15" t="s">
        <x:v>55</x:v>
      </x:c>
      <x:c r="I90" s="15" t="s">
        <x:v>120</x:v>
      </x:c>
      <x:c r="J90" s="15" t="str">
        <x:f t="shared" si="4"/>
        <x:v>Push</x:v>
      </x:c>
      <x:c r="L90" s="19" t="s">
        <x:v>55</x:v>
      </x:c>
      <x:c r="M90" s="15" t="s">
        <x:v>114</x:v>
      </x:c>
      <x:c r="N90" s="15" t="s">
        <x:v>121</x:v>
      </x:c>
      <x:c r="O90" s="2" t="str">
        <x:f t="shared" si="5"/>
        <x:v>260621_O2_CR_S4</x:v>
      </x:c>
      <x:c r="P90">
        <x:v>128.11000000000001</x:v>
      </x:c>
      <x:c r="Q90">
        <x:v>56.35</x:v>
      </x:c>
    </x:row>
    <x:row r="91">
      <x:c r="A91" s="37">
        <x:v>3</x:v>
      </x:c>
      <x:c r="B91" s="31">
        <x:v>3</x:v>
      </x:c>
      <x:c r="C91" s="38">
        <x:v>3</x:v>
      </x:c>
      <x:c r="D91" s="38">
        <x:v>1</x:v>
      </x:c>
      <x:c r="E91" s="39">
        <x:v>46194</x:v>
      </x:c>
      <x:c r="F91" s="31" t="s">
        <x:v>106</x:v>
      </x:c>
      <x:c r="G91" s="31" t="s">
        <x:v>47</x:v>
      </x:c>
      <x:c r="H91" s="31" t="s">
        <x:v>39</x:v>
      </x:c>
      <x:c r="I91" s="31" t="s">
        <x:v>107</x:v>
      </x:c>
      <x:c r="J91" s="31" t="str">
        <x:f t="shared" si="4"/>
        <x:v>Control</x:v>
      </x:c>
      <x:c r="K91" s="40"/>
      <x:c r="L91" s="41" t="s">
        <x:v>47</x:v>
      </x:c>
      <x:c r="M91" s="31" t="s">
        <x:v>154</x:v>
      </x:c>
      <x:c r="N91" s="31" t="s">
        <x:v>122</x:v>
      </x:c>
      <x:c r="O91" s="33" t="str">
        <x:f t="shared" si="5"/>
        <x:v>260621_ZETA_PF_S1</x:v>
      </x:c>
      <x:c r="P91">
        <x:v>2</x:v>
      </x:c>
      <x:c r="Q91">
        <x:v>0</x:v>
      </x:c>
    </x:row>
    <x:row r="92">
      <x:c r="A92" s="37">
        <x:v>3</x:v>
      </x:c>
      <x:c r="B92" s="31">
        <x:v>3</x:v>
      </x:c>
      <x:c r="C92" s="38">
        <x:v>3</x:v>
      </x:c>
      <x:c r="D92" s="38">
        <x:v>2</x:v>
      </x:c>
      <x:c r="E92" s="39">
        <x:v>46194</x:v>
      </x:c>
      <x:c r="F92" s="31" t="s">
        <x:v>106</x:v>
      </x:c>
      <x:c r="G92" s="31" t="s">
        <x:v>47</x:v>
      </x:c>
      <x:c r="H92" s="31" t="s">
        <x:v>39</x:v>
      </x:c>
      <x:c r="I92" s="31" t="s">
        <x:v>124</x:v>
      </x:c>
      <x:c r="J92" s="31" t="str">
        <x:f t="shared" si="4"/>
        <x:v>Flashpoint</x:v>
      </x:c>
      <x:c r="K92" s="40"/>
      <x:c r="L92" s="41" t="s">
        <x:v>47</x:v>
      </x:c>
      <x:c r="M92" s="31" t="s">
        <x:v>155</x:v>
      </x:c>
      <x:c r="N92" s="31" t="s">
        <x:v>130</x:v>
      </x:c>
      <x:c r="O92" s="33" t="str">
        <x:f t="shared" si="5"/>
        <x:v>260621_ZETA_PF_S2</x:v>
      </x:c>
      <x:c r="P92">
        <x:v>3</x:v>
      </x:c>
      <x:c r="Q92">
        <x:v>0</x:v>
      </x:c>
    </x:row>
    <x:row r="93">
      <x:c r="A93" s="37">
        <x:v>3</x:v>
      </x:c>
      <x:c r="B93" s="31">
        <x:v>3</x:v>
      </x:c>
      <x:c r="C93" s="38">
        <x:v>3</x:v>
      </x:c>
      <x:c r="D93" s="38">
        <x:v>3</x:v>
      </x:c>
      <x:c r="E93" s="39">
        <x:v>46194</x:v>
      </x:c>
      <x:c r="F93" s="31" t="s">
        <x:v>106</x:v>
      </x:c>
      <x:c r="G93" s="31" t="s">
        <x:v>47</x:v>
      </x:c>
      <x:c r="H93" s="31" t="s">
        <x:v>39</x:v>
      </x:c>
      <x:c r="I93" s="31" t="s">
        <x:v>113</x:v>
      </x:c>
      <x:c r="J93" s="31" t="str">
        <x:f t="shared" si="4"/>
        <x:v>Push</x:v>
      </x:c>
      <x:c r="K93" s="40"/>
      <x:c r="L93" s="41" t="s">
        <x:v>47</x:v>
      </x:c>
      <x:c r="M93" s="31" t="s">
        <x:v>156</x:v>
      </x:c>
      <x:c r="N93" s="31" t="s">
        <x:v>109</x:v>
      </x:c>
      <x:c r="O93" s="33" t="str">
        <x:f t="shared" si="5"/>
        <x:v>260621_ZETA_PF_S3</x:v>
      </x:c>
      <x:c r="P93">
        <x:v>144.86000000000001</x:v>
      </x:c>
      <x:c r="Q93">
        <x:v>52.73</x:v>
      </x:c>
    </x:row>
    <x:row r="94">
      <x:c r="A94" s="13">
        <x:v>4</x:v>
      </x:c>
      <x:c r="B94" s="15">
        <x:v>1</x:v>
      </x:c>
      <x:c r="C94">
        <x:v>1</x:v>
      </x:c>
      <x:c r="D94">
        <x:v>1</x:v>
      </x:c>
      <x:c r="E94" s="18">
        <x:v>46199</x:v>
      </x:c>
      <x:c r="F94" s="15" t="s">
        <x:v>106</x:v>
      </x:c>
      <x:c r="G94" s="15" t="s">
        <x:v>31</x:v>
      </x:c>
      <x:c r="H94" s="15" t="s">
        <x:v>6</x:v>
      </x:c>
      <x:c r="I94" s="15" t="s">
        <x:v>116</x:v>
      </x:c>
      <x:c r="J94" s="15" t="str">
        <x:f t="shared" si="4"/>
        <x:v>Control</x:v>
      </x:c>
      <x:c r="L94" s="19" t="s">
        <x:v>6</x:v>
      </x:c>
      <x:c r="M94" s="15" t="s">
        <x:v>136</x:v>
      </x:c>
      <x:c r="N94" s="15" t="s">
        <x:v>157</x:v>
      </x:c>
      <x:c r="O94" s="2" t="str">
        <x:f t="shared" si="5"/>
        <x:v>260626_CB_O2_S1</x:v>
      </x:c>
      <x:c r="P94">
        <x:v>1</x:v>
      </x:c>
      <x:c r="Q94">
        <x:v>2</x:v>
      </x:c>
    </x:row>
    <x:row r="95">
      <x:c r="A95" s="13">
        <x:v>4</x:v>
      </x:c>
      <x:c r="B95" s="15">
        <x:v>1</x:v>
      </x:c>
      <x:c r="C95">
        <x:v>1</x:v>
      </x:c>
      <x:c r="D95">
        <x:v>2</x:v>
      </x:c>
      <x:c r="E95" s="18">
        <x:v>46199</x:v>
      </x:c>
      <x:c r="F95" s="15" t="s">
        <x:v>106</x:v>
      </x:c>
      <x:c r="G95" s="15" t="s">
        <x:v>31</x:v>
      </x:c>
      <x:c r="H95" s="15" t="s">
        <x:v>6</x:v>
      </x:c>
      <x:c r="I95" s="15" t="s">
        <x:v>119</x:v>
      </x:c>
      <x:c r="J95" s="15" t="str">
        <x:f t="shared" si="4"/>
        <x:v>Hybrid</x:v>
      </x:c>
      <x:c r="L95" s="19" t="s">
        <x:v>6</x:v>
      </x:c>
      <x:c r="M95" s="15" t="s">
        <x:v>114</x:v>
      </x:c>
      <x:c r="N95" s="15" t="s">
        <x:v>108</x:v>
      </x:c>
      <x:c r="O95" s="2" t="str">
        <x:f t="shared" si="5"/>
        <x:v>260626_CB_O2_S2</x:v>
      </x:c>
      <x:c r="P95">
        <x:v>3</x:v>
      </x:c>
      <x:c r="Q95">
        <x:v>4</x:v>
      </x:c>
    </x:row>
    <x:row r="96">
      <x:c r="A96" s="13">
        <x:v>4</x:v>
      </x:c>
      <x:c r="B96" s="15">
        <x:v>1</x:v>
      </x:c>
      <x:c r="C96">
        <x:v>1</x:v>
      </x:c>
      <x:c r="D96">
        <x:v>3</x:v>
      </x:c>
      <x:c r="E96" s="18">
        <x:v>46199</x:v>
      </x:c>
      <x:c r="F96" s="15" t="s">
        <x:v>106</x:v>
      </x:c>
      <x:c r="G96" s="15" t="s">
        <x:v>31</x:v>
      </x:c>
      <x:c r="H96" s="15" t="s">
        <x:v>6</x:v>
      </x:c>
      <x:c r="I96" s="15" t="s">
        <x:v>113</x:v>
      </x:c>
      <x:c r="J96" s="15" t="str">
        <x:f t="shared" si="4"/>
        <x:v>Push</x:v>
      </x:c>
      <x:c r="L96" s="19" t="s">
        <x:v>31</x:v>
      </x:c>
      <x:c r="M96" s="15" t="s">
        <x:v>115</x:v>
      </x:c>
      <x:c r="N96" s="15" t="s">
        <x:v>109</x:v>
      </x:c>
      <x:c r="O96" s="2" t="str">
        <x:f t="shared" si="5"/>
        <x:v>260626_CB_O2_S3</x:v>
      </x:c>
      <x:c r="P96">
        <x:v>144.86000000000001</x:v>
      </x:c>
      <x:c r="Q96">
        <x:v>63.9</x:v>
      </x:c>
    </x:row>
    <x:row r="97">
      <x:c r="A97" s="13">
        <x:v>4</x:v>
      </x:c>
      <x:c r="B97" s="15">
        <x:v>1</x:v>
      </x:c>
      <x:c r="C97">
        <x:v>1</x:v>
      </x:c>
      <x:c r="D97">
        <x:v>4</x:v>
      </x:c>
      <x:c r="E97" s="18">
        <x:v>46199</x:v>
      </x:c>
      <x:c r="F97" s="15" t="s">
        <x:v>106</x:v>
      </x:c>
      <x:c r="G97" s="15" t="s">
        <x:v>31</x:v>
      </x:c>
      <x:c r="H97" s="15" t="s">
        <x:v>6</x:v>
      </x:c>
      <x:c r="I97" s="15" t="s">
        <x:v>124</x:v>
      </x:c>
      <x:c r="J97" s="15" t="str">
        <x:f t="shared" si="4"/>
        <x:v>Flashpoint</x:v>
      </x:c>
      <x:c r="L97" s="19" t="s">
        <x:v>6</x:v>
      </x:c>
      <x:c r="M97" s="15" t="s">
        <x:v>141</x:v>
      </x:c>
      <x:c r="N97" s="15" t="s">
        <x:v>130</x:v>
      </x:c>
      <x:c r="O97" s="2" t="str">
        <x:f t="shared" si="5"/>
        <x:v>260626_CB_O2_S4</x:v>
      </x:c>
      <x:c r="P97">
        <x:v>0</x:v>
      </x:c>
      <x:c r="Q97">
        <x:v>3</x:v>
      </x:c>
    </x:row>
    <x:row r="98">
      <x:c r="A98" s="37">
        <x:v>4</x:v>
      </x:c>
      <x:c r="B98" s="31">
        <x:v>1</x:v>
      </x:c>
      <x:c r="C98" s="38">
        <x:v>2</x:v>
      </x:c>
      <x:c r="D98" s="38">
        <x:v>1</x:v>
      </x:c>
      <x:c r="E98" s="39">
        <x:v>46199</x:v>
      </x:c>
      <x:c r="F98" s="31" t="s">
        <x:v>106</x:v>
      </x:c>
      <x:c r="G98" s="31" t="s">
        <x:v>47</x:v>
      </x:c>
      <x:c r="H98" s="31" t="s">
        <x:v>72</x:v>
      </x:c>
      <x:c r="I98" s="31" t="s">
        <x:v>131</x:v>
      </x:c>
      <x:c r="J98" s="31" t="str">
        <x:f t="shared" ref="J98:J129" si="6">IF(OR(I98="Antarctic Peninsula", I98="Nepal", I98="Lijiang Tower", I98="Busan", I98="Samoa", I98="Oasis", I98="Ilios"), "Control", IF(OR(I98="Route 66", I98="Watchpoint: Gibraltar", I98="Dorado", I98="Rialto", I98="Shambali Monastery", I98="Circuit Royal", I98="Junkertown", I98="Havana"), "Escort", IF(OR(I98="Neon Junction", I98="Numbani", I98="Midtown", I98="Blizzard World", I98="Eichenwalde", I98="King's Row", I98="Paraiso", I98="Hollywood"), "Hybrid", IF(OR(I98="New Queen Street", I98="Esperanca", I98="Colosseo", I98="Runasapi"), "Push", IF(OR(I98="New Junk City", I98="Suravasa", I98="Aatlis"), "Flashpoint", "")))))</x:f>
        <x:v>Control</x:v>
      </x:c>
      <x:c r="K98" s="40"/>
      <x:c r="L98" s="41" t="s">
        <x:v>47</x:v>
      </x:c>
      <x:c r="M98" s="31" t="s">
        <x:v>114</x:v>
      </x:c>
      <x:c r="N98" s="31" t="s">
        <x:v>130</x:v>
      </x:c>
      <x:c r="O98" s="33" t="str">
        <x:f t="shared" ref="O98:O129" si="7">TEXT(E98, "yymmdd") &amp; "_" &amp; G98 &amp; "_" &amp; H98 &amp; "_S" &amp; D98</x:f>
        <x:v>260626_ZETA_FLC_S1</x:v>
      </x:c>
      <x:c r="P98">
        <x:v>2</x:v>
      </x:c>
      <x:c r="Q98">
        <x:v>0</x:v>
      </x:c>
    </x:row>
    <x:row r="99">
      <x:c r="A99" s="37">
        <x:v>4</x:v>
      </x:c>
      <x:c r="B99" s="31">
        <x:v>1</x:v>
      </x:c>
      <x:c r="C99" s="38">
        <x:v>2</x:v>
      </x:c>
      <x:c r="D99" s="38">
        <x:v>2</x:v>
      </x:c>
      <x:c r="E99" s="39">
        <x:v>46199</x:v>
      </x:c>
      <x:c r="F99" s="31" t="s">
        <x:v>106</x:v>
      </x:c>
      <x:c r="G99" s="31" t="s">
        <x:v>47</x:v>
      </x:c>
      <x:c r="H99" s="31" t="s">
        <x:v>72</x:v>
      </x:c>
      <x:c r="I99" s="31" t="s">
        <x:v>124</x:v>
      </x:c>
      <x:c r="J99" s="31" t="str">
        <x:f t="shared" si="6"/>
        <x:v>Flashpoint</x:v>
      </x:c>
      <x:c r="K99" s="40"/>
      <x:c r="L99" s="41" t="s">
        <x:v>47</x:v>
      </x:c>
      <x:c r="M99" s="31" t="s">
        <x:v>125</x:v>
      </x:c>
      <x:c r="N99" s="31" t="s">
        <x:v>128</x:v>
      </x:c>
      <x:c r="O99" s="33" t="str">
        <x:f t="shared" si="7"/>
        <x:v>260626_ZETA_FLC_S2</x:v>
      </x:c>
      <x:c r="P99">
        <x:v>3</x:v>
      </x:c>
      <x:c r="Q99">
        <x:v>0</x:v>
      </x:c>
    </x:row>
    <x:row r="100">
      <x:c r="A100" s="37">
        <x:v>4</x:v>
      </x:c>
      <x:c r="B100" s="31">
        <x:v>1</x:v>
      </x:c>
      <x:c r="C100" s="38">
        <x:v>2</x:v>
      </x:c>
      <x:c r="D100" s="38">
        <x:v>3</x:v>
      </x:c>
      <x:c r="E100" s="39">
        <x:v>46199</x:v>
      </x:c>
      <x:c r="F100" s="31" t="s">
        <x:v>106</x:v>
      </x:c>
      <x:c r="G100" s="31" t="s">
        <x:v>47</x:v>
      </x:c>
      <x:c r="H100" s="31" t="s">
        <x:v>72</x:v>
      </x:c>
      <x:c r="I100" s="31" t="s">
        <x:v>145</x:v>
      </x:c>
      <x:c r="J100" s="31" t="str">
        <x:f t="shared" si="6"/>
        <x:v>Escort</x:v>
      </x:c>
      <x:c r="K100" s="40"/>
      <x:c r="L100" s="41" t="s">
        <x:v>47</x:v>
      </x:c>
      <x:c r="M100" s="31" t="s">
        <x:v>118</x:v>
      </x:c>
      <x:c r="N100" s="31" t="s">
        <x:v>115</x:v>
      </x:c>
      <x:c r="O100" s="33" t="str">
        <x:f t="shared" si="7"/>
        <x:v>260626_ZETA_FLC_S3</x:v>
      </x:c>
      <x:c r="P100">
        <x:v>2</x:v>
      </x:c>
      <x:c r="Q100">
        <x:v>3</x:v>
      </x:c>
    </x:row>
    <x:row r="101">
      <x:c r="A101" s="13">
        <x:v>4</x:v>
      </x:c>
      <x:c r="B101" s="15">
        <x:v>1</x:v>
      </x:c>
      <x:c r="C101">
        <x:v>3</x:v>
      </x:c>
      <x:c r="D101">
        <x:v>1</x:v>
      </x:c>
      <x:c r="E101" s="18">
        <x:v>46199</x:v>
      </x:c>
      <x:c r="F101" s="15" t="s">
        <x:v>106</x:v>
      </x:c>
      <x:c r="G101" s="15" t="s">
        <x:v>81</x:v>
      </x:c>
      <x:c r="H101" s="15" t="s">
        <x:v>22</x:v>
      </x:c>
      <x:c r="I101" s="15" t="s">
        <x:v>116</x:v>
      </x:c>
      <x:c r="J101" s="15" t="str">
        <x:f t="shared" si="6"/>
        <x:v>Control</x:v>
      </x:c>
      <x:c r="L101" s="19" t="s">
        <x:v>22</x:v>
      </x:c>
      <x:c r="M101" s="15" t="s">
        <x:v>118</x:v>
      </x:c>
      <x:c r="N101" s="15" t="s">
        <x:v>115</x:v>
      </x:c>
      <x:c r="O101" s="2" t="str">
        <x:f t="shared" si="7"/>
        <x:v>260626_SB_ROZE_S1</x:v>
      </x:c>
      <x:c r="P101">
        <x:v>1</x:v>
      </x:c>
      <x:c r="Q101">
        <x:v>2</x:v>
      </x:c>
    </x:row>
    <x:row r="102">
      <x:c r="A102" s="13">
        <x:v>4</x:v>
      </x:c>
      <x:c r="B102" s="15">
        <x:v>1</x:v>
      </x:c>
      <x:c r="C102">
        <x:v>3</x:v>
      </x:c>
      <x:c r="D102">
        <x:v>2</x:v>
      </x:c>
      <x:c r="E102" s="18">
        <x:v>46199</x:v>
      </x:c>
      <x:c r="F102" s="15" t="s">
        <x:v>106</x:v>
      </x:c>
      <x:c r="G102" s="15" t="s">
        <x:v>81</x:v>
      </x:c>
      <x:c r="H102" s="15" t="s">
        <x:v>22</x:v>
      </x:c>
      <x:c r="I102" s="15" t="s">
        <x:v>138</x:v>
      </x:c>
      <x:c r="J102" s="15" t="str">
        <x:f t="shared" si="6"/>
        <x:v>Hybrid</x:v>
      </x:c>
      <x:c r="L102" s="19" t="s">
        <x:v>22</x:v>
      </x:c>
      <x:c r="M102" s="15" t="s">
        <x:v>136</x:v>
      </x:c>
      <x:c r="N102" s="15" t="s">
        <x:v>142</x:v>
      </x:c>
      <x:c r="O102" s="2" t="str">
        <x:f t="shared" si="7"/>
        <x:v>260626_SB_ROZE_S2</x:v>
      </x:c>
      <x:c r="P102">
        <x:v>1</x:v>
      </x:c>
      <x:c r="Q102">
        <x:v>3</x:v>
      </x:c>
    </x:row>
    <x:row r="103">
      <x:c r="A103" s="13">
        <x:v>4</x:v>
      </x:c>
      <x:c r="B103" s="15">
        <x:v>1</x:v>
      </x:c>
      <x:c r="C103">
        <x:v>3</x:v>
      </x:c>
      <x:c r="D103">
        <x:v>3</x:v>
      </x:c>
      <x:c r="E103" s="18">
        <x:v>46199</x:v>
      </x:c>
      <x:c r="F103" s="15" t="s">
        <x:v>106</x:v>
      </x:c>
      <x:c r="G103" s="15" t="s">
        <x:v>81</x:v>
      </x:c>
      <x:c r="H103" s="15" t="s">
        <x:v>22</x:v>
      </x:c>
      <x:c r="I103" s="15" t="s">
        <x:v>145</x:v>
      </x:c>
      <x:c r="J103" s="15" t="str">
        <x:f t="shared" si="6"/>
        <x:v>Escort</x:v>
      </x:c>
      <x:c r="L103" s="19" t="s">
        <x:v>81</x:v>
      </x:c>
      <x:c r="M103" s="15" t="s">
        <x:v>129</x:v>
      </x:c>
      <x:c r="N103" s="15" t="s">
        <x:v>122</x:v>
      </x:c>
      <x:c r="O103" s="2" t="str">
        <x:f t="shared" si="7"/>
        <x:v>260626_SB_ROZE_S3</x:v>
      </x:c>
      <x:c r="P103">
        <x:v>2</x:v>
      </x:c>
      <x:c r="Q103">
        <x:v>1</x:v>
      </x:c>
    </x:row>
    <x:row r="104">
      <x:c r="A104" s="13">
        <x:v>4</x:v>
      </x:c>
      <x:c r="B104" s="15">
        <x:v>1</x:v>
      </x:c>
      <x:c r="C104">
        <x:v>3</x:v>
      </x:c>
      <x:c r="D104">
        <x:v>4</x:v>
      </x:c>
      <x:c r="E104" s="18">
        <x:v>46199</x:v>
      </x:c>
      <x:c r="F104" s="15" t="s">
        <x:v>106</x:v>
      </x:c>
      <x:c r="G104" s="15" t="s">
        <x:v>81</x:v>
      </x:c>
      <x:c r="H104" s="15" t="s">
        <x:v>22</x:v>
      </x:c>
      <x:c r="I104" s="15" t="s">
        <x:v>113</x:v>
      </x:c>
      <x:c r="J104" s="15" t="str">
        <x:f t="shared" si="6"/>
        <x:v>Push</x:v>
      </x:c>
      <x:c r="L104" s="19" t="s">
        <x:v>22</x:v>
      </x:c>
      <x:c r="M104" s="15" t="s">
        <x:v>151</x:v>
      </x:c>
      <x:c r="N104" s="15" t="s">
        <x:v>109</x:v>
      </x:c>
      <x:c r="O104" s="2" t="str">
        <x:f t="shared" si="7"/>
        <x:v>260626_SB_ROZE_S4</x:v>
      </x:c>
      <x:c r="P104">
        <x:v>97.31</x:v>
      </x:c>
      <x:c r="Q104">
        <x:v>97.3</x:v>
      </x:c>
    </x:row>
    <x:row r="105">
      <x:c r="A105" s="37">
        <x:v>4</x:v>
      </x:c>
      <x:c r="B105" s="31">
        <x:v>2</x:v>
      </x:c>
      <x:c r="C105" s="38">
        <x:v>1</x:v>
      </x:c>
      <x:c r="D105" s="38">
        <x:v>1</x:v>
      </x:c>
      <x:c r="E105" s="39">
        <x:v>46200</x:v>
      </x:c>
      <x:c r="F105" s="31" t="s">
        <x:v>106</x:v>
      </x:c>
      <x:c r="G105" s="31" t="s">
        <x:v>39</x:v>
      </x:c>
      <x:c r="H105" s="31" t="s">
        <x:v>63</x:v>
      </x:c>
      <x:c r="I105" s="31" t="s">
        <x:v>131</x:v>
      </x:c>
      <x:c r="J105" s="31" t="str">
        <x:f t="shared" si="6"/>
        <x:v>Control</x:v>
      </x:c>
      <x:c r="K105" s="40"/>
      <x:c r="L105" s="41" t="s">
        <x:v>63</x:v>
      </x:c>
      <x:c r="M105" s="31" t="s">
        <x:v>109</x:v>
      </x:c>
      <x:c r="N105" s="31" t="s">
        <x:v>142</x:v>
      </x:c>
      <x:c r="O105" s="33" t="str">
        <x:f t="shared" si="7"/>
        <x:v>260627_PF_T1_S1</x:v>
      </x:c>
      <x:c r="P105">
        <x:v>0</x:v>
      </x:c>
      <x:c r="Q105">
        <x:v>2</x:v>
      </x:c>
    </x:row>
    <x:row r="106">
      <x:c r="A106" s="37">
        <x:v>4</x:v>
      </x:c>
      <x:c r="B106" s="31">
        <x:v>2</x:v>
      </x:c>
      <x:c r="C106" s="38">
        <x:v>1</x:v>
      </x:c>
      <x:c r="D106" s="38">
        <x:v>2</x:v>
      </x:c>
      <x:c r="E106" s="39">
        <x:v>46200</x:v>
      </x:c>
      <x:c r="F106" s="31" t="s">
        <x:v>106</x:v>
      </x:c>
      <x:c r="G106" s="31" t="s">
        <x:v>39</x:v>
      </x:c>
      <x:c r="H106" s="31" t="s">
        <x:v>63</x:v>
      </x:c>
      <x:c r="I106" s="31" t="s">
        <x:v>124</x:v>
      </x:c>
      <x:c r="J106" s="31" t="str">
        <x:f t="shared" si="6"/>
        <x:v>Flashpoint</x:v>
      </x:c>
      <x:c r="K106" s="40"/>
      <x:c r="L106" s="41" t="s">
        <x:v>63</x:v>
      </x:c>
      <x:c r="M106" s="31" t="s">
        <x:v>158</x:v>
      </x:c>
      <x:c r="N106" s="31" t="s">
        <x:v>129</x:v>
      </x:c>
      <x:c r="O106" s="33" t="str">
        <x:f t="shared" si="7"/>
        <x:v>260627_PF_T1_S2</x:v>
      </x:c>
      <x:c r="P106">
        <x:v>1</x:v>
      </x:c>
      <x:c r="Q106">
        <x:v>3</x:v>
      </x:c>
    </x:row>
    <x:row r="107">
      <x:c r="A107" s="37">
        <x:v>4</x:v>
      </x:c>
      <x:c r="B107" s="31">
        <x:v>2</x:v>
      </x:c>
      <x:c r="C107" s="38">
        <x:v>1</x:v>
      </x:c>
      <x:c r="D107" s="38">
        <x:v>3</x:v>
      </x:c>
      <x:c r="E107" s="39">
        <x:v>46200</x:v>
      </x:c>
      <x:c r="F107" s="31" t="s">
        <x:v>106</x:v>
      </x:c>
      <x:c r="G107" s="31" t="s">
        <x:v>39</x:v>
      </x:c>
      <x:c r="H107" s="31" t="s">
        <x:v>63</x:v>
      </x:c>
      <x:c r="I107" s="31" t="s">
        <x:v>113</x:v>
      </x:c>
      <x:c r="J107" s="31" t="str">
        <x:f t="shared" si="6"/>
        <x:v>Push</x:v>
      </x:c>
      <x:c r="K107" s="40"/>
      <x:c r="L107" s="41" t="s">
        <x:v>63</x:v>
      </x:c>
      <x:c r="M107" s="31" t="s">
        <x:v>122</x:v>
      </x:c>
      <x:c r="N107" s="31" t="s">
        <x:v>159</x:v>
      </x:c>
      <x:c r="O107" s="33" t="str">
        <x:f t="shared" si="7"/>
        <x:v>260627_PF_T1_S3</x:v>
      </x:c>
      <x:c r="P107">
        <x:v>10.48</x:v>
      </x:c>
      <x:c r="Q107">
        <x:v>144.86000000000001</x:v>
      </x:c>
    </x:row>
    <x:row r="108">
      <x:c r="A108" s="13">
        <x:v>4</x:v>
      </x:c>
      <x:c r="B108" s="15">
        <x:v>2</x:v>
      </x:c>
      <x:c r="C108">
        <x:v>2</x:v>
      </x:c>
      <x:c r="D108">
        <x:v>1</x:v>
      </x:c>
      <x:c r="E108" s="18">
        <x:v>46200</x:v>
      </x:c>
      <x:c r="F108" s="15" t="s">
        <x:v>106</x:v>
      </x:c>
      <x:c r="G108" s="15" t="s">
        <x:v>31</x:v>
      </x:c>
      <x:c r="H108" s="15" t="s">
        <x:v>72</x:v>
      </x:c>
      <x:c r="I108" s="15" t="s">
        <x:v>107</x:v>
      </x:c>
      <x:c r="J108" s="15" t="str">
        <x:f t="shared" si="6"/>
        <x:v>Control</x:v>
      </x:c>
      <x:c r="L108" s="19" t="s">
        <x:v>72</x:v>
      </x:c>
      <x:c r="M108" s="15" t="s">
        <x:v>114</x:v>
      </x:c>
      <x:c r="N108" s="15" t="s">
        <x:v>121</x:v>
      </x:c>
      <x:c r="O108" s="2" t="str">
        <x:f t="shared" si="7"/>
        <x:v>260627_CB_FLC_S1</x:v>
      </x:c>
      <x:c r="P108">
        <x:v>0</x:v>
      </x:c>
      <x:c r="Q108">
        <x:v>2</x:v>
      </x:c>
    </x:row>
    <x:row r="109">
      <x:c r="A109" s="13">
        <x:v>4</x:v>
      </x:c>
      <x:c r="B109" s="15">
        <x:v>2</x:v>
      </x:c>
      <x:c r="C109">
        <x:v>2</x:v>
      </x:c>
      <x:c r="D109">
        <x:v>2</x:v>
      </x:c>
      <x:c r="E109" s="18">
        <x:v>46200</x:v>
      </x:c>
      <x:c r="F109" s="15" t="s">
        <x:v>106</x:v>
      </x:c>
      <x:c r="G109" s="15" t="s">
        <x:v>31</x:v>
      </x:c>
      <x:c r="H109" s="15" t="s">
        <x:v>72</x:v>
      </x:c>
      <x:c r="I109" s="15" t="s">
        <x:v>124</x:v>
      </x:c>
      <x:c r="J109" s="15" t="str">
        <x:f t="shared" si="6"/>
        <x:v>Flashpoint</x:v>
      </x:c>
      <x:c r="L109" s="19" t="s">
        <x:v>72</x:v>
      </x:c>
      <x:c r="M109" s="15" t="s">
        <x:v>141</x:v>
      </x:c>
      <x:c r="N109" s="15" t="s">
        <x:v>134</x:v>
      </x:c>
      <x:c r="O109" s="2" t="str">
        <x:f t="shared" si="7"/>
        <x:v>260627_CB_FLC_S2</x:v>
      </x:c>
      <x:c r="P109">
        <x:v>0</x:v>
      </x:c>
      <x:c r="Q109">
        <x:v>3</x:v>
      </x:c>
    </x:row>
    <x:row r="110">
      <x:c r="A110" s="13">
        <x:v>4</x:v>
      </x:c>
      <x:c r="B110" s="15">
        <x:v>2</x:v>
      </x:c>
      <x:c r="C110">
        <x:v>2</x:v>
      </x:c>
      <x:c r="D110">
        <x:v>3</x:v>
      </x:c>
      <x:c r="E110" s="18">
        <x:v>46200</x:v>
      </x:c>
      <x:c r="F110" s="15" t="s">
        <x:v>106</x:v>
      </x:c>
      <x:c r="G110" s="15" t="s">
        <x:v>31</x:v>
      </x:c>
      <x:c r="H110" s="15" t="s">
        <x:v>72</x:v>
      </x:c>
      <x:c r="I110" s="15" t="s">
        <x:v>113</x:v>
      </x:c>
      <x:c r="J110" s="15" t="str">
        <x:f t="shared" si="6"/>
        <x:v>Push</x:v>
      </x:c>
      <x:c r="L110" s="19" t="s">
        <x:v>72</x:v>
      </x:c>
      <x:c r="M110" s="15" t="s">
        <x:v>135</x:v>
      </x:c>
      <x:c r="N110" s="15" t="s">
        <x:v>118</x:v>
      </x:c>
      <x:c r="O110" s="2" t="str">
        <x:f t="shared" si="7"/>
        <x:v>260627_CB_FLC_S3</x:v>
      </x:c>
      <x:c r="P110">
        <x:v>0</x:v>
      </x:c>
      <x:c r="Q110">
        <x:v>144.86000000000001</x:v>
      </x:c>
    </x:row>
    <x:row r="111">
      <x:c r="A111" s="37">
        <x:v>4</x:v>
      </x:c>
      <x:c r="B111" s="31">
        <x:v>2</x:v>
      </x:c>
      <x:c r="C111" s="38">
        <x:v>3</x:v>
      </x:c>
      <x:c r="D111" s="38">
        <x:v>1</x:v>
      </x:c>
      <x:c r="E111" s="39">
        <x:v>46200</x:v>
      </x:c>
      <x:c r="F111" s="31" t="s">
        <x:v>106</x:v>
      </x:c>
      <x:c r="G111" s="31" t="s">
        <x:v>81</x:v>
      </x:c>
      <x:c r="H111" s="31" t="s">
        <x:v>55</x:v>
      </x:c>
      <x:c r="I111" s="31" t="s">
        <x:v>131</x:v>
      </x:c>
      <x:c r="J111" s="31" t="str">
        <x:f t="shared" si="6"/>
        <x:v>Control</x:v>
      </x:c>
      <x:c r="K111" s="40"/>
      <x:c r="L111" s="41" t="s">
        <x:v>55</x:v>
      </x:c>
      <x:c r="M111" s="31" t="s">
        <x:v>126</x:v>
      </x:c>
      <x:c r="N111" s="31" t="s">
        <x:v>155</x:v>
      </x:c>
      <x:c r="O111" s="33" t="str">
        <x:f t="shared" si="7"/>
        <x:v>260627_SB_CR_S1</x:v>
      </x:c>
      <x:c r="P111">
        <x:v>0</x:v>
      </x:c>
      <x:c r="Q111">
        <x:v>2</x:v>
      </x:c>
    </x:row>
    <x:row r="112">
      <x:c r="A112" s="37">
        <x:v>4</x:v>
      </x:c>
      <x:c r="B112" s="31">
        <x:v>2</x:v>
      </x:c>
      <x:c r="C112" s="38">
        <x:v>3</x:v>
      </x:c>
      <x:c r="D112" s="38">
        <x:v>2</x:v>
      </x:c>
      <x:c r="E112" s="39">
        <x:v>46200</x:v>
      </x:c>
      <x:c r="F112" s="31" t="s">
        <x:v>106</x:v>
      </x:c>
      <x:c r="G112" s="31" t="s">
        <x:v>81</x:v>
      </x:c>
      <x:c r="H112" s="31" t="s">
        <x:v>55</x:v>
      </x:c>
      <x:c r="I112" s="31" t="s">
        <x:v>124</x:v>
      </x:c>
      <x:c r="J112" s="31" t="str">
        <x:f t="shared" si="6"/>
        <x:v>Flashpoint</x:v>
      </x:c>
      <x:c r="K112" s="40"/>
      <x:c r="L112" s="41" t="s">
        <x:v>55</x:v>
      </x:c>
      <x:c r="M112" s="31" t="s">
        <x:v>151</x:v>
      </x:c>
      <x:c r="N112" s="31" t="s">
        <x:v>160</x:v>
      </x:c>
      <x:c r="O112" s="33" t="str">
        <x:f t="shared" si="7"/>
        <x:v>260627_SB_CR_S2</x:v>
      </x:c>
      <x:c r="P112">
        <x:v>1</x:v>
      </x:c>
      <x:c r="Q112">
        <x:v>3</x:v>
      </x:c>
    </x:row>
    <x:row r="113">
      <x:c r="A113" s="37">
        <x:v>4</x:v>
      </x:c>
      <x:c r="B113" s="31">
        <x:v>2</x:v>
      </x:c>
      <x:c r="C113" s="38">
        <x:v>3</x:v>
      </x:c>
      <x:c r="D113" s="38">
        <x:v>3</x:v>
      </x:c>
      <x:c r="E113" s="39">
        <x:v>46200</x:v>
      </x:c>
      <x:c r="F113" s="31" t="s">
        <x:v>106</x:v>
      </x:c>
      <x:c r="G113" s="31" t="s">
        <x:v>81</x:v>
      </x:c>
      <x:c r="H113" s="31" t="s">
        <x:v>55</x:v>
      </x:c>
      <x:c r="I113" s="31" t="s">
        <x:v>145</x:v>
      </x:c>
      <x:c r="J113" s="31" t="str">
        <x:f t="shared" si="6"/>
        <x:v>Escort</x:v>
      </x:c>
      <x:c r="K113" s="40"/>
      <x:c r="L113" s="41" t="s">
        <x:v>55</x:v>
      </x:c>
      <x:c r="M113" s="31" t="s">
        <x:v>129</x:v>
      </x:c>
      <x:c r="N113" s="31" t="s">
        <x:v>121</x:v>
      </x:c>
      <x:c r="O113" s="33" t="str">
        <x:f t="shared" si="7"/>
        <x:v>260627_SB_CR_S3</x:v>
      </x:c>
      <x:c r="P113">
        <x:v>1</x:v>
      </x:c>
      <x:c r="Q113">
        <x:v>2</x:v>
      </x:c>
    </x:row>
    <x:row r="114">
      <x:c r="A114" s="13">
        <x:v>4</x:v>
      </x:c>
      <x:c r="B114" s="15">
        <x:v>3</x:v>
      </x:c>
      <x:c r="C114">
        <x:v>1</x:v>
      </x:c>
      <x:c r="D114">
        <x:v>1</x:v>
      </x:c>
      <x:c r="E114" s="18">
        <x:v>46201</x:v>
      </x:c>
      <x:c r="F114" s="15" t="s">
        <x:v>106</x:v>
      </x:c>
      <x:c r="G114" s="15" t="s">
        <x:v>6</x:v>
      </x:c>
      <x:c r="H114" s="15" t="s">
        <x:v>39</x:v>
      </x:c>
      <x:c r="I114" s="15" t="s">
        <x:v>116</x:v>
      </x:c>
      <x:c r="J114" s="15" t="str">
        <x:f t="shared" si="6"/>
        <x:v>Control</x:v>
      </x:c>
      <x:c r="L114" s="19" t="s">
        <x:v>6</x:v>
      </x:c>
      <x:c r="M114" s="15" t="s">
        <x:v>144</x:v>
      </x:c>
      <x:c r="N114" s="15" t="s">
        <x:v>158</x:v>
      </x:c>
      <x:c r="O114" s="2" t="str">
        <x:f t="shared" si="7"/>
        <x:v>260628_O2_PF_S1</x:v>
      </x:c>
      <x:c r="P114">
        <x:v>2</x:v>
      </x:c>
      <x:c r="Q114">
        <x:v>0</x:v>
      </x:c>
    </x:row>
    <x:row r="115">
      <x:c r="A115" s="13">
        <x:v>4</x:v>
      </x:c>
      <x:c r="B115" s="15">
        <x:v>3</x:v>
      </x:c>
      <x:c r="C115">
        <x:v>1</x:v>
      </x:c>
      <x:c r="D115">
        <x:v>2</x:v>
      </x:c>
      <x:c r="E115" s="18">
        <x:v>46201</x:v>
      </x:c>
      <x:c r="F115" s="15" t="s">
        <x:v>106</x:v>
      </x:c>
      <x:c r="G115" s="15" t="s">
        <x:v>6</x:v>
      </x:c>
      <x:c r="H115" s="15" t="s">
        <x:v>39</x:v>
      </x:c>
      <x:c r="I115" s="15" t="s">
        <x:v>124</x:v>
      </x:c>
      <x:c r="J115" s="15" t="str">
        <x:f t="shared" si="6"/>
        <x:v>Flashpoint</x:v>
      </x:c>
      <x:c r="L115" s="19" t="s">
        <x:v>6</x:v>
      </x:c>
      <x:c r="M115" s="15" t="s">
        <x:v>129</x:v>
      </x:c>
      <x:c r="N115" s="15" t="s">
        <x:v>151</x:v>
      </x:c>
      <x:c r="O115" s="2" t="str">
        <x:f t="shared" si="7"/>
        <x:v>260628_O2_PF_S2</x:v>
      </x:c>
      <x:c r="P115">
        <x:v>3</x:v>
      </x:c>
      <x:c r="Q115">
        <x:v>2</x:v>
      </x:c>
    </x:row>
    <x:row r="116">
      <x:c r="A116" s="13">
        <x:v>4</x:v>
      </x:c>
      <x:c r="B116" s="15">
        <x:v>3</x:v>
      </x:c>
      <x:c r="C116">
        <x:v>1</x:v>
      </x:c>
      <x:c r="D116">
        <x:v>3</x:v>
      </x:c>
      <x:c r="E116" s="18">
        <x:v>46201</x:v>
      </x:c>
      <x:c r="F116" s="15" t="s">
        <x:v>106</x:v>
      </x:c>
      <x:c r="G116" s="15" t="s">
        <x:v>6</x:v>
      </x:c>
      <x:c r="H116" s="15" t="s">
        <x:v>39</x:v>
      </x:c>
      <x:c r="I116" s="15" t="s">
        <x:v>113</x:v>
      </x:c>
      <x:c r="J116" s="15" t="str">
        <x:f t="shared" si="6"/>
        <x:v>Push</x:v>
      </x:c>
      <x:c r="L116" s="19" t="s">
        <x:v>39</x:v>
      </x:c>
      <x:c r="M116" s="15" t="s">
        <x:v>148</x:v>
      </x:c>
      <x:c r="N116" s="15" t="s">
        <x:v>122</x:v>
      </x:c>
      <x:c r="O116" s="2" t="str">
        <x:f t="shared" si="7"/>
        <x:v>260628_O2_PF_S3</x:v>
      </x:c>
      <x:c r="P116">
        <x:v>35.1</x:v>
      </x:c>
      <x:c r="Q116">
        <x:v>141.91999999999999</x:v>
      </x:c>
    </x:row>
    <x:row r="117">
      <x:c r="A117" s="13">
        <x:v>4</x:v>
      </x:c>
      <x:c r="B117" s="15">
        <x:v>3</x:v>
      </x:c>
      <x:c r="C117">
        <x:v>1</x:v>
      </x:c>
      <x:c r="D117">
        <x:v>4</x:v>
      </x:c>
      <x:c r="E117" s="18">
        <x:v>46201</x:v>
      </x:c>
      <x:c r="F117" s="15" t="s">
        <x:v>106</x:v>
      </x:c>
      <x:c r="G117" s="15" t="s">
        <x:v>6</x:v>
      </x:c>
      <x:c r="H117" s="15" t="s">
        <x:v>39</x:v>
      </x:c>
      <x:c r="I117" s="15" t="s">
        <x:v>119</x:v>
      </x:c>
      <x:c r="J117" s="15" t="str">
        <x:f t="shared" si="6"/>
        <x:v>Hybrid</x:v>
      </x:c>
      <x:c r="L117" s="19" t="s">
        <x:v>6</x:v>
      </x:c>
      <x:c r="M117" s="15" t="s">
        <x:v>118</x:v>
      </x:c>
      <x:c r="N117" s="15" t="s">
        <x:v>115</x:v>
      </x:c>
      <x:c r="O117" s="2" t="str">
        <x:f t="shared" si="7"/>
        <x:v>260628_O2_PF_S4</x:v>
      </x:c>
      <x:c r="P117">
        <x:v>5</x:v>
      </x:c>
      <x:c r="Q117">
        <x:v>4</x:v>
      </x:c>
    </x:row>
    <x:row r="118">
      <x:c r="A118" s="37">
        <x:v>4</x:v>
      </x:c>
      <x:c r="B118" s="31">
        <x:v>3</x:v>
      </x:c>
      <x:c r="C118" s="38">
        <x:v>2</x:v>
      </x:c>
      <x:c r="D118" s="38">
        <x:v>1</x:v>
      </x:c>
      <x:c r="E118" s="39">
        <x:v>46201</x:v>
      </x:c>
      <x:c r="F118" s="31" t="s">
        <x:v>106</x:v>
      </x:c>
      <x:c r="G118" s="31" t="s">
        <x:v>22</x:v>
      </x:c>
      <x:c r="H118" s="31" t="s">
        <x:v>63</x:v>
      </x:c>
      <x:c r="I118" s="31" t="s">
        <x:v>116</x:v>
      </x:c>
      <x:c r="J118" s="31" t="str">
        <x:f t="shared" si="6"/>
        <x:v>Control</x:v>
      </x:c>
      <x:c r="K118" s="40"/>
      <x:c r="L118" s="41" t="s">
        <x:v>63</x:v>
      </x:c>
      <x:c r="M118" s="31" t="s">
        <x:v>160</x:v>
      </x:c>
      <x:c r="N118" s="31" t="s">
        <x:v>154</x:v>
      </x:c>
      <x:c r="O118" s="33" t="str">
        <x:f t="shared" si="7"/>
        <x:v>260628_ROZE_T1_S1</x:v>
      </x:c>
      <x:c r="P118">
        <x:v>1</x:v>
      </x:c>
      <x:c r="Q118">
        <x:v>2</x:v>
      </x:c>
    </x:row>
    <x:row r="119">
      <x:c r="A119" s="37">
        <x:v>4</x:v>
      </x:c>
      <x:c r="B119" s="31">
        <x:v>3</x:v>
      </x:c>
      <x:c r="C119" s="38">
        <x:v>2</x:v>
      </x:c>
      <x:c r="D119" s="38">
        <x:v>2</x:v>
      </x:c>
      <x:c r="E119" s="39">
        <x:v>46201</x:v>
      </x:c>
      <x:c r="F119" s="31" t="s">
        <x:v>106</x:v>
      </x:c>
      <x:c r="G119" s="31" t="s">
        <x:v>22</x:v>
      </x:c>
      <x:c r="H119" s="31" t="s">
        <x:v>63</x:v>
      </x:c>
      <x:c r="I119" s="31" t="s">
        <x:v>113</x:v>
      </x:c>
      <x:c r="J119" s="31" t="str">
        <x:f t="shared" si="6"/>
        <x:v>Push</x:v>
      </x:c>
      <x:c r="K119" s="40"/>
      <x:c r="L119" s="41" t="s">
        <x:v>63</x:v>
      </x:c>
      <x:c r="M119" s="31" t="s">
        <x:v>136</x:v>
      </x:c>
      <x:c r="N119" s="31" t="s">
        <x:v>161</x:v>
      </x:c>
      <x:c r="O119" s="33" t="str">
        <x:f t="shared" si="7"/>
        <x:v>260628_ROZE_T1_S2</x:v>
      </x:c>
      <x:c r="P119">
        <x:v>103.99</x:v>
      </x:c>
      <x:c r="Q119">
        <x:v>141.55000000000001</x:v>
      </x:c>
    </x:row>
    <x:row r="120">
      <x:c r="A120" s="37">
        <x:v>4</x:v>
      </x:c>
      <x:c r="B120" s="31">
        <x:v>3</x:v>
      </x:c>
      <x:c r="C120" s="38">
        <x:v>2</x:v>
      </x:c>
      <x:c r="D120" s="38">
        <x:v>3</x:v>
      </x:c>
      <x:c r="E120" s="39">
        <x:v>46201</x:v>
      </x:c>
      <x:c r="F120" s="31" t="s">
        <x:v>106</x:v>
      </x:c>
      <x:c r="G120" s="31" t="s">
        <x:v>22</x:v>
      </x:c>
      <x:c r="H120" s="31" t="s">
        <x:v>63</x:v>
      </x:c>
      <x:c r="I120" s="31" t="s">
        <x:v>124</x:v>
      </x:c>
      <x:c r="J120" s="31" t="str">
        <x:f t="shared" si="6"/>
        <x:v>Flashpoint</x:v>
      </x:c>
      <x:c r="K120" s="40"/>
      <x:c r="L120" s="41" t="s">
        <x:v>63</x:v>
      </x:c>
      <x:c r="M120" s="31" t="s">
        <x:v>127</x:v>
      </x:c>
      <x:c r="N120" s="31" t="s">
        <x:v>151</x:v>
      </x:c>
      <x:c r="O120" s="33" t="str">
        <x:f t="shared" si="7"/>
        <x:v>260628_ROZE_T1_S3</x:v>
      </x:c>
      <x:c r="P120">
        <x:v>0</x:v>
      </x:c>
      <x:c r="Q120">
        <x:v>3</x:v>
      </x:c>
    </x:row>
    <x:row r="121">
      <x:c r="A121" s="13">
        <x:v>4</x:v>
      </x:c>
      <x:c r="B121" s="15">
        <x:v>3</x:v>
      </x:c>
      <x:c r="C121">
        <x:v>3</x:v>
      </x:c>
      <x:c r="D121">
        <x:v>1</x:v>
      </x:c>
      <x:c r="E121" s="18">
        <x:v>46201</x:v>
      </x:c>
      <x:c r="F121" s="15" t="s">
        <x:v>106</x:v>
      </x:c>
      <x:c r="G121" s="15" t="s">
        <x:v>55</x:v>
      </x:c>
      <x:c r="H121" s="15" t="s">
        <x:v>47</x:v>
      </x:c>
      <x:c r="I121" s="15" t="s">
        <x:v>116</x:v>
      </x:c>
      <x:c r="J121" s="15" t="str">
        <x:f t="shared" si="6"/>
        <x:v>Control</x:v>
      </x:c>
      <x:c r="L121" s="19" t="s">
        <x:v>55</x:v>
      </x:c>
      <x:c r="M121" s="15" t="s">
        <x:v>109</x:v>
      </x:c>
      <x:c r="N121" s="15" t="s">
        <x:v>130</x:v>
      </x:c>
      <x:c r="O121" s="2" t="str">
        <x:f t="shared" si="7"/>
        <x:v>260628_CR_ZETA_S1</x:v>
      </x:c>
      <x:c r="P121">
        <x:v>2</x:v>
      </x:c>
      <x:c r="Q121">
        <x:v>1</x:v>
      </x:c>
    </x:row>
    <x:row r="122">
      <x:c r="A122" s="13">
        <x:v>4</x:v>
      </x:c>
      <x:c r="B122" s="15">
        <x:v>3</x:v>
      </x:c>
      <x:c r="C122">
        <x:v>3</x:v>
      </x:c>
      <x:c r="D122">
        <x:v>2</x:v>
      </x:c>
      <x:c r="E122" s="18">
        <x:v>46201</x:v>
      </x:c>
      <x:c r="F122" s="15" t="s">
        <x:v>106</x:v>
      </x:c>
      <x:c r="G122" s="15" t="s">
        <x:v>55</x:v>
      </x:c>
      <x:c r="H122" s="15" t="s">
        <x:v>47</x:v>
      </x:c>
      <x:c r="I122" s="15" t="s">
        <x:v>123</x:v>
      </x:c>
      <x:c r="J122" s="15" t="str">
        <x:f t="shared" si="6"/>
        <x:v>Escort</x:v>
      </x:c>
      <x:c r="L122" s="19" t="s">
        <x:v>47</x:v>
      </x:c>
      <x:c r="M122" s="15" t="s">
        <x:v>122</x:v>
      </x:c>
      <x:c r="N122" s="15" t="s">
        <x:v>135</x:v>
      </x:c>
      <x:c r="O122" s="2" t="str">
        <x:f t="shared" si="7"/>
        <x:v>260628_CR_ZETA_S2</x:v>
      </x:c>
      <x:c r="P122">
        <x:v>2</x:v>
      </x:c>
      <x:c r="Q122">
        <x:v>3</x:v>
      </x:c>
    </x:row>
    <x:row r="123">
      <x:c r="A123" s="13">
        <x:v>4</x:v>
      </x:c>
      <x:c r="B123" s="15">
        <x:v>3</x:v>
      </x:c>
      <x:c r="C123">
        <x:v>3</x:v>
      </x:c>
      <x:c r="D123">
        <x:v>3</x:v>
      </x:c>
      <x:c r="E123" s="18">
        <x:v>46201</x:v>
      </x:c>
      <x:c r="F123" s="15" t="s">
        <x:v>106</x:v>
      </x:c>
      <x:c r="G123" s="15" t="s">
        <x:v>55</x:v>
      </x:c>
      <x:c r="H123" s="15" t="s">
        <x:v>47</x:v>
      </x:c>
      <x:c r="I123" s="15" t="s">
        <x:v>119</x:v>
      </x:c>
      <x:c r="J123" s="15" t="str">
        <x:f t="shared" si="6"/>
        <x:v>Hybrid</x:v>
      </x:c>
      <x:c r="L123" s="19" t="s">
        <x:v>55</x:v>
      </x:c>
      <x:c r="M123" s="15" t="s">
        <x:v>141</x:v>
      </x:c>
      <x:c r="N123" s="15" t="s">
        <x:v>118</x:v>
      </x:c>
      <x:c r="O123" s="2" t="str">
        <x:f t="shared" si="7"/>
        <x:v>260628_CR_ZETA_S3</x:v>
      </x:c>
      <x:c r="P123">
        <x:v>1</x:v>
      </x:c>
      <x:c r="Q123">
        <x:v>2</x:v>
      </x:c>
    </x:row>
    <x:row r="124">
      <x:c r="A124" s="13">
        <x:v>4</x:v>
      </x:c>
      <x:c r="B124" s="15">
        <x:v>3</x:v>
      </x:c>
      <x:c r="C124">
        <x:v>3</x:v>
      </x:c>
      <x:c r="D124">
        <x:v>4</x:v>
      </x:c>
      <x:c r="E124" s="18">
        <x:v>46201</x:v>
      </x:c>
      <x:c r="F124" s="15" t="s">
        <x:v>106</x:v>
      </x:c>
      <x:c r="G124" s="15" t="s">
        <x:v>55</x:v>
      </x:c>
      <x:c r="H124" s="15" t="s">
        <x:v>47</x:v>
      </x:c>
      <x:c r="I124" s="15" t="s">
        <x:v>110</x:v>
      </x:c>
      <x:c r="J124" s="15" t="str">
        <x:f t="shared" si="6"/>
        <x:v>Flashpoint</x:v>
      </x:c>
      <x:c r="L124" s="19" t="s">
        <x:v>47</x:v>
      </x:c>
      <x:c r="M124" s="15" t="s">
        <x:v>126</x:v>
      </x:c>
      <x:c r="N124" s="15" t="s">
        <x:v>127</x:v>
      </x:c>
      <x:c r="O124" s="2" t="str">
        <x:f t="shared" si="7"/>
        <x:v>260628_CR_ZETA_S4</x:v>
      </x:c>
      <x:c r="P124">
        <x:v>0</x:v>
      </x:c>
      <x:c r="Q124">
        <x:v>3</x:v>
      </x:c>
    </x:row>
    <x:row r="125">
      <x:c r="A125" s="13">
        <x:v>4</x:v>
      </x:c>
      <x:c r="B125" s="15">
        <x:v>3</x:v>
      </x:c>
      <x:c r="C125">
        <x:v>3</x:v>
      </x:c>
      <x:c r="D125">
        <x:v>5</x:v>
      </x:c>
      <x:c r="E125" s="18">
        <x:v>46201</x:v>
      </x:c>
      <x:c r="F125" s="15" t="s">
        <x:v>106</x:v>
      </x:c>
      <x:c r="G125" s="15" t="s">
        <x:v>55</x:v>
      </x:c>
      <x:c r="H125" s="15" t="s">
        <x:v>47</x:v>
      </x:c>
      <x:c r="I125" s="15" t="s">
        <x:v>113</x:v>
      </x:c>
      <x:c r="J125" s="15" t="str">
        <x:f t="shared" si="6"/>
        <x:v>Push</x:v>
      </x:c>
      <x:c r="L125" s="19" t="s">
        <x:v>47</x:v>
      </x:c>
      <x:c r="M125" s="15" t="s">
        <x:v>151</x:v>
      </x:c>
      <x:c r="N125" s="15" t="s">
        <x:v>114</x:v>
      </x:c>
      <x:c r="O125" s="2" t="str">
        <x:f t="shared" si="7"/>
        <x:v>260628_CR_ZETA_S5</x:v>
      </x:c>
      <x:c r="P125">
        <x:v>51.52</x:v>
      </x:c>
      <x:c r="Q125">
        <x:v>135.44</x:v>
      </x:c>
    </x:row>
    <x:row r="126">
      <x:c r="A126" s="37">
        <x:v>5</x:v>
      </x:c>
      <x:c r="B126" s="31">
        <x:v>1</x:v>
      </x:c>
      <x:c r="C126" s="38">
        <x:v>1</x:v>
      </x:c>
      <x:c r="D126" s="38">
        <x:v>1</x:v>
      </x:c>
      <x:c r="E126" s="39">
        <x:v>46206</x:v>
      </x:c>
      <x:c r="F126" s="31" t="s">
        <x:v>162</x:v>
      </x:c>
      <x:c r="G126" s="31" t="s">
        <x:v>6</x:v>
      </x:c>
      <x:c r="H126" s="31" t="s">
        <x:v>22</x:v>
      </x:c>
      <x:c r="I126" s="31" t="s">
        <x:v>116</x:v>
      </x:c>
      <x:c r="J126" s="31" t="str">
        <x:f t="shared" si="6"/>
        <x:v>Control</x:v>
      </x:c>
      <x:c r="K126" s="40"/>
      <x:c r="L126" s="41" t="s">
        <x:v>22</x:v>
      </x:c>
      <x:c r="M126" s="31" t="s">
        <x:v>141</x:v>
      </x:c>
      <x:c r="N126" s="31" t="s">
        <x:v>160</x:v>
      </x:c>
      <x:c r="O126" s="33" t="str">
        <x:f t="shared" si="7"/>
        <x:v>260703_O2_ROZE_S1</x:v>
      </x:c>
      <x:c r="P126">
        <x:v>0</x:v>
      </x:c>
      <x:c r="Q126">
        <x:v>2</x:v>
      </x:c>
    </x:row>
    <x:row r="127">
      <x:c r="A127" s="37">
        <x:v>5</x:v>
      </x:c>
      <x:c r="B127" s="31">
        <x:v>1</x:v>
      </x:c>
      <x:c r="C127" s="38">
        <x:v>1</x:v>
      </x:c>
      <x:c r="D127" s="38">
        <x:v>2</x:v>
      </x:c>
      <x:c r="E127" s="39">
        <x:v>46206</x:v>
      </x:c>
      <x:c r="F127" s="31" t="s">
        <x:v>162</x:v>
      </x:c>
      <x:c r="G127" s="31" t="s">
        <x:v>6</x:v>
      </x:c>
      <x:c r="H127" s="31" t="s">
        <x:v>22</x:v>
      </x:c>
      <x:c r="I127" s="31" t="s">
        <x:v>119</x:v>
      </x:c>
      <x:c r="J127" s="31" t="str">
        <x:f t="shared" si="6"/>
        <x:v>Hybrid</x:v>
      </x:c>
      <x:c r="K127" s="40"/>
      <x:c r="L127" s="41" t="s">
        <x:v>22</x:v>
      </x:c>
      <x:c r="M127" s="31" t="s">
        <x:v>126</x:v>
      </x:c>
      <x:c r="N127" s="31" t="s">
        <x:v>115</x:v>
      </x:c>
      <x:c r="O127" s="33" t="str">
        <x:f t="shared" si="7"/>
        <x:v>260703_O2_ROZE_S2</x:v>
      </x:c>
      <x:c r="P127">
        <x:v>3</x:v>
      </x:c>
      <x:c r="Q127">
        <x:v>4</x:v>
      </x:c>
    </x:row>
    <x:row r="128">
      <x:c r="A128" s="37">
        <x:v>5</x:v>
      </x:c>
      <x:c r="B128" s="31">
        <x:v>1</x:v>
      </x:c>
      <x:c r="C128" s="38">
        <x:v>1</x:v>
      </x:c>
      <x:c r="D128" s="38">
        <x:v>3</x:v>
      </x:c>
      <x:c r="E128" s="39">
        <x:v>46206</x:v>
      </x:c>
      <x:c r="F128" s="31" t="s">
        <x:v>162</x:v>
      </x:c>
      <x:c r="G128" s="31" t="s">
        <x:v>6</x:v>
      </x:c>
      <x:c r="H128" s="31" t="s">
        <x:v>22</x:v>
      </x:c>
      <x:c r="I128" s="31" t="s">
        <x:v>145</x:v>
      </x:c>
      <x:c r="J128" s="31" t="str">
        <x:f t="shared" si="6"/>
        <x:v>Escort</x:v>
      </x:c>
      <x:c r="K128" s="40"/>
      <x:c r="L128" s="41" t="s">
        <x:v>22</x:v>
      </x:c>
      <x:c r="M128" s="31" t="s">
        <x:v>142</x:v>
      </x:c>
      <x:c r="N128" s="31" t="s">
        <x:v>136</x:v>
      </x:c>
      <x:c r="O128" s="33" t="str">
        <x:f t="shared" si="7"/>
        <x:v>260703_O2_ROZE_S3</x:v>
      </x:c>
      <x:c r="P128">
        <x:v>2</x:v>
      </x:c>
      <x:c r="Q128">
        <x:v>3</x:v>
      </x:c>
    </x:row>
    <x:row r="129">
      <x:c r="A129" s="13">
        <x:v>5</x:v>
      </x:c>
      <x:c r="B129" s="15">
        <x:v>1</x:v>
      </x:c>
      <x:c r="C129">
        <x:v>2</x:v>
      </x:c>
      <x:c r="D129">
        <x:v>1</x:v>
      </x:c>
      <x:c r="E129" s="18">
        <x:v>46206</x:v>
      </x:c>
      <x:c r="F129" s="15" t="s">
        <x:v>163</x:v>
      </x:c>
      <x:c r="G129" s="15" t="s">
        <x:v>55</x:v>
      </x:c>
      <x:c r="H129" s="15" t="s">
        <x:v>72</x:v>
      </x:c>
      <x:c r="I129" s="15" t="s">
        <x:v>116</x:v>
      </x:c>
      <x:c r="J129" s="15" t="str">
        <x:f t="shared" si="6"/>
        <x:v>Control</x:v>
      </x:c>
      <x:c r="L129" s="19" t="s">
        <x:v>72</x:v>
      </x:c>
      <x:c r="M129" s="15" t="s">
        <x:v>146</x:v>
      </x:c>
      <x:c r="N129" s="15" t="s">
        <x:v>130</x:v>
      </x:c>
      <x:c r="O129" s="2" t="str">
        <x:f t="shared" si="7"/>
        <x:v>260703_CR_FLC_S1</x:v>
      </x:c>
      <x:c r="P129">
        <x:v>0</x:v>
      </x:c>
      <x:c r="Q129">
        <x:v>2</x:v>
      </x:c>
    </x:row>
    <x:row r="130">
      <x:c r="A130" s="13">
        <x:v>5</x:v>
      </x:c>
      <x:c r="B130" s="15">
        <x:v>1</x:v>
      </x:c>
      <x:c r="C130">
        <x:v>2</x:v>
      </x:c>
      <x:c r="D130">
        <x:v>2</x:v>
      </x:c>
      <x:c r="E130" s="18">
        <x:v>46206</x:v>
      </x:c>
      <x:c r="F130" s="15" t="s">
        <x:v>163</x:v>
      </x:c>
      <x:c r="G130" s="15" t="s">
        <x:v>55</x:v>
      </x:c>
      <x:c r="H130" s="15" t="s">
        <x:v>72</x:v>
      </x:c>
      <x:c r="I130" s="15" t="s">
        <x:v>145</x:v>
      </x:c>
      <x:c r="J130" s="15" t="str">
        <x:f t="shared" ref="J130:J161" si="8">IF(OR(I130="Antarctic Peninsula", I130="Nepal", I130="Lijiang Tower", I130="Busan", I130="Samoa", I130="Oasis", I130="Ilios"), "Control", IF(OR(I130="Route 66", I130="Watchpoint: Gibraltar", I130="Dorado", I130="Rialto", I130="Shambali Monastery", I130="Circuit Royal", I130="Junkertown", I130="Havana"), "Escort", IF(OR(I130="Neon Junction", I130="Numbani", I130="Midtown", I130="Blizzard World", I130="Eichenwalde", I130="King's Row", I130="Paraiso", I130="Hollywood"), "Hybrid", IF(OR(I130="New Queen Street", I130="Esperanca", I130="Colosseo", I130="Runasapi"), "Push", IF(OR(I130="New Junk City", I130="Suravasa", I130="Aatlis"), "Flashpoint", "")))))</x:f>
        <x:v>Escort</x:v>
      </x:c>
      <x:c r="L130" s="19" t="s">
        <x:v>55</x:v>
      </x:c>
      <x:c r="M130" s="15" t="s">
        <x:v>118</x:v>
      </x:c>
      <x:c r="N130" s="15" t="s">
        <x:v>115</x:v>
      </x:c>
      <x:c r="O130" s="2" t="str">
        <x:f t="shared" ref="O130:O161" si="9">TEXT(E130, "yymmdd") &amp; "_" &amp; G130 &amp; "_" &amp; H130 &amp; "_S" &amp; D130</x:f>
        <x:v>260703_CR_FLC_S2</x:v>
      </x:c>
      <x:c r="P130">
        <x:v>3</x:v>
      </x:c>
      <x:c r="Q130">
        <x:v>1</x:v>
      </x:c>
    </x:row>
    <x:row r="131">
      <x:c r="A131" s="13">
        <x:v>5</x:v>
      </x:c>
      <x:c r="B131" s="15">
        <x:v>1</x:v>
      </x:c>
      <x:c r="C131">
        <x:v>2</x:v>
      </x:c>
      <x:c r="D131">
        <x:v>3</x:v>
      </x:c>
      <x:c r="E131" s="18">
        <x:v>46206</x:v>
      </x:c>
      <x:c r="F131" s="15" t="s">
        <x:v>163</x:v>
      </x:c>
      <x:c r="G131" s="15" t="s">
        <x:v>55</x:v>
      </x:c>
      <x:c r="H131" s="15" t="s">
        <x:v>72</x:v>
      </x:c>
      <x:c r="I131" s="15" t="s">
        <x:v>124</x:v>
      </x:c>
      <x:c r="J131" s="15" t="str">
        <x:f t="shared" si="8"/>
        <x:v>Flashpoint</x:v>
      </x:c>
      <x:c r="L131" s="14" t="s">
        <x:v>55</x:v>
      </x:c>
      <x:c r="M131" s="15" t="s">
        <x:v>111</x:v>
      </x:c>
      <x:c r="N131" s="15" t="s">
        <x:v>112</x:v>
      </x:c>
      <x:c r="O131" s="2" t="str">
        <x:f t="shared" si="9"/>
        <x:v>260703_CR_FLC_S3</x:v>
      </x:c>
      <x:c r="P131">
        <x:v>3</x:v>
      </x:c>
      <x:c r="Q131">
        <x:v>1</x:v>
      </x:c>
    </x:row>
    <x:row r="132">
      <x:c r="A132" s="13">
        <x:v>5</x:v>
      </x:c>
      <x:c r="B132" s="15">
        <x:v>1</x:v>
      </x:c>
      <x:c r="C132">
        <x:v>2</x:v>
      </x:c>
      <x:c r="D132">
        <x:v>4</x:v>
      </x:c>
      <x:c r="E132" s="18">
        <x:v>46206</x:v>
      </x:c>
      <x:c r="F132" s="15" t="s">
        <x:v>163</x:v>
      </x:c>
      <x:c r="G132" s="15" t="s">
        <x:v>55</x:v>
      </x:c>
      <x:c r="H132" s="15" t="s">
        <x:v>72</x:v>
      </x:c>
      <x:c r="I132" s="15" t="s">
        <x:v>119</x:v>
      </x:c>
      <x:c r="J132" s="15" t="str">
        <x:f t="shared" si="8"/>
        <x:v>Hybrid</x:v>
      </x:c>
      <x:c r="L132" s="14" t="s">
        <x:v>55</x:v>
      </x:c>
      <x:c r="M132" s="15" t="s">
        <x:v>109</x:v>
      </x:c>
      <x:c r="N132" s="15" t="s">
        <x:v>122</x:v>
      </x:c>
      <x:c r="O132" s="2" t="str">
        <x:f t="shared" si="9"/>
        <x:v>260703_CR_FLC_S4</x:v>
      </x:c>
      <x:c r="P132">
        <x:v>2</x:v>
      </x:c>
      <x:c r="Q132">
        <x:v>1</x:v>
      </x:c>
    </x:row>
    <x:row r="133">
      <x:c r="A133" s="37">
        <x:v>5</x:v>
      </x:c>
      <x:c r="B133" s="31">
        <x:v>1</x:v>
      </x:c>
      <x:c r="C133" s="38">
        <x:v>3</x:v>
      </x:c>
      <x:c r="D133" s="38">
        <x:v>1</x:v>
      </x:c>
      <x:c r="E133" s="39">
        <x:v>46206</x:v>
      </x:c>
      <x:c r="F133" s="31" t="s">
        <x:v>163</x:v>
      </x:c>
      <x:c r="G133" s="31" t="s">
        <x:v>47</x:v>
      </x:c>
      <x:c r="H133" s="31" t="s">
        <x:v>63</x:v>
      </x:c>
      <x:c r="I133" s="31" t="s">
        <x:v>164</x:v>
      </x:c>
      <x:c r="J133" s="31" t="str">
        <x:f t="shared" si="8"/>
        <x:v>Control</x:v>
      </x:c>
      <x:c r="K133" s="40"/>
      <x:c r="L133" s="47" t="s">
        <x:v>63</x:v>
      </x:c>
      <x:c r="M133" s="31" t="s">
        <x:v>114</x:v>
      </x:c>
      <x:c r="N133" s="31" t="s">
        <x:v>122</x:v>
      </x:c>
      <x:c r="O133" s="33" t="str">
        <x:f t="shared" si="9"/>
        <x:v>260703_ZETA_T1_S1</x:v>
      </x:c>
      <x:c r="P133">
        <x:v>1</x:v>
      </x:c>
      <x:c r="Q133">
        <x:v>2</x:v>
      </x:c>
    </x:row>
    <x:row r="134">
      <x:c r="A134" s="37">
        <x:v>5</x:v>
      </x:c>
      <x:c r="B134" s="31">
        <x:v>1</x:v>
      </x:c>
      <x:c r="C134" s="38">
        <x:v>3</x:v>
      </x:c>
      <x:c r="D134" s="38">
        <x:v>2</x:v>
      </x:c>
      <x:c r="E134" s="39">
        <x:v>46206</x:v>
      </x:c>
      <x:c r="F134" s="31" t="s">
        <x:v>163</x:v>
      </x:c>
      <x:c r="G134" s="31" t="s">
        <x:v>47</x:v>
      </x:c>
      <x:c r="H134" s="31" t="s">
        <x:v>63</x:v>
      </x:c>
      <x:c r="I134" s="31" t="s">
        <x:v>124</x:v>
      </x:c>
      <x:c r="J134" s="31" t="str">
        <x:f t="shared" si="8"/>
        <x:v>Flashpoint</x:v>
      </x:c>
      <x:c r="K134" s="40"/>
      <x:c r="L134" s="47" t="s">
        <x:v>63</x:v>
      </x:c>
      <x:c r="M134" s="31" t="s">
        <x:v>141</x:v>
      </x:c>
      <x:c r="N134" s="31" t="s">
        <x:v>109</x:v>
      </x:c>
      <x:c r="O134" s="33" t="str">
        <x:f t="shared" si="9"/>
        <x:v>260703_ZETA_T1_S2</x:v>
      </x:c>
      <x:c r="P134">
        <x:v>2</x:v>
      </x:c>
      <x:c r="Q134">
        <x:v>3</x:v>
      </x:c>
    </x:row>
    <x:row r="135">
      <x:c r="A135" s="37">
        <x:v>5</x:v>
      </x:c>
      <x:c r="B135" s="31">
        <x:v>1</x:v>
      </x:c>
      <x:c r="C135" s="38">
        <x:v>3</x:v>
      </x:c>
      <x:c r="D135" s="38">
        <x:v>3</x:v>
      </x:c>
      <x:c r="E135" s="39">
        <x:v>46206</x:v>
      </x:c>
      <x:c r="F135" s="31" t="s">
        <x:v>163</x:v>
      </x:c>
      <x:c r="G135" s="31" t="s">
        <x:v>47</x:v>
      </x:c>
      <x:c r="H135" s="48" t="s">
        <x:v>63</x:v>
      </x:c>
      <x:c r="I135" s="31" t="s">
        <x:v>145</x:v>
      </x:c>
      <x:c r="J135" s="31" t="str">
        <x:f t="shared" si="8"/>
        <x:v>Escort</x:v>
      </x:c>
      <x:c r="K135" s="40"/>
      <x:c r="L135" s="47" t="s">
        <x:v>63</x:v>
      </x:c>
      <x:c r="M135" s="31" t="s">
        <x:v>136</x:v>
      </x:c>
      <x:c r="N135" s="31" t="s">
        <x:v>137</x:v>
      </x:c>
      <x:c r="O135" s="33" t="str">
        <x:f t="shared" si="9"/>
        <x:v>260703_ZETA_T1_S3</x:v>
      </x:c>
      <x:c r="P135">
        <x:v>2</x:v>
      </x:c>
      <x:c r="Q135">
        <x:v>1</x:v>
      </x:c>
    </x:row>
    <x:row r="136">
      <x:c r="A136" s="13">
        <x:v>5</x:v>
      </x:c>
      <x:c r="B136" s="15">
        <x:v>2</x:v>
      </x:c>
      <x:c r="C136">
        <x:v>1</x:v>
      </x:c>
      <x:c r="D136">
        <x:v>1</x:v>
      </x:c>
      <x:c r="E136" s="18">
        <x:v>46207</x:v>
      </x:c>
      <x:c r="F136" s="15" t="s">
        <x:v>162</x:v>
      </x:c>
      <x:c r="G136" s="15" t="s">
        <x:v>31</x:v>
      </x:c>
      <x:c r="H136" s="20" t="s">
        <x:v>81</x:v>
      </x:c>
      <x:c r="I136" s="15" t="s">
        <x:v>164</x:v>
      </x:c>
      <x:c r="J136" s="15" t="str">
        <x:f t="shared" si="8"/>
        <x:v>Control</x:v>
      </x:c>
      <x:c r="L136" s="14" t="s">
        <x:v>31</x:v>
      </x:c>
      <x:c r="M136" s="15" t="s">
        <x:v>130</x:v>
      </x:c>
      <x:c r="N136" s="15" t="s">
        <x:v>122</x:v>
      </x:c>
      <x:c r="O136" s="2" t="str">
        <x:f t="shared" si="9"/>
        <x:v>260704_CB_SB_S1</x:v>
      </x:c>
      <x:c r="P136">
        <x:v>2</x:v>
      </x:c>
      <x:c r="Q136">
        <x:v>0</x:v>
      </x:c>
    </x:row>
    <x:row r="137">
      <x:c r="A137" s="13">
        <x:v>5</x:v>
      </x:c>
      <x:c r="B137" s="15">
        <x:v>2</x:v>
      </x:c>
      <x:c r="C137">
        <x:v>1</x:v>
      </x:c>
      <x:c r="D137">
        <x:v>2</x:v>
      </x:c>
      <x:c r="E137" s="18">
        <x:v>46207</x:v>
      </x:c>
      <x:c r="F137" s="15" t="s">
        <x:v>162</x:v>
      </x:c>
      <x:c r="G137" s="15" t="s">
        <x:v>31</x:v>
      </x:c>
      <x:c r="H137" s="20" t="s">
        <x:v>81</x:v>
      </x:c>
      <x:c r="I137" s="15" t="s">
        <x:v>165</x:v>
      </x:c>
      <x:c r="J137" s="15" t="str">
        <x:f t="shared" si="8"/>
        <x:v>Flashpoint</x:v>
      </x:c>
      <x:c r="L137" s="14" t="s">
        <x:v>31</x:v>
      </x:c>
      <x:c r="M137" s="15" t="s">
        <x:v>135</x:v>
      </x:c>
      <x:c r="N137" t="s">
        <x:v>151</x:v>
      </x:c>
      <x:c r="O137" s="2" t="str">
        <x:f t="shared" si="9"/>
        <x:v>260704_CB_SB_S2</x:v>
      </x:c>
    </x:row>
    <x:row r="138">
      <x:c r="A138" s="13">
        <x:v>5</x:v>
      </x:c>
      <x:c r="B138" s="15">
        <x:v>2</x:v>
      </x:c>
      <x:c r="C138">
        <x:v>1</x:v>
      </x:c>
      <x:c r="D138">
        <x:v>3</x:v>
      </x:c>
      <x:c r="E138" s="18">
        <x:v>46207</x:v>
      </x:c>
      <x:c r="F138" s="15" t="s">
        <x:v>162</x:v>
      </x:c>
      <x:c r="G138" s="15" t="s">
        <x:v>31</x:v>
      </x:c>
      <x:c r="H138" s="20" t="s">
        <x:v>81</x:v>
      </x:c>
      <x:c r="I138" s="15" t="s">
        <x:v>166</x:v>
      </x:c>
      <x:c r="J138" s="15" t="str">
        <x:f t="shared" si="8"/>
        <x:v>Hybrid</x:v>
      </x:c>
      <x:c r="L138" s="14" t="s">
        <x:v>31</x:v>
      </x:c>
      <x:c r="M138" s="15" t="s">
        <x:v>125</x:v>
      </x:c>
      <x:c r="N138" t="s">
        <x:v>128</x:v>
      </x:c>
      <x:c r="O138" s="2" t="str">
        <x:f t="shared" si="9"/>
        <x:v>260704_CB_SB_S3</x:v>
      </x:c>
      <x:c r="P138">
        <x:v>3</x:v>
      </x:c>
      <x:c r="Q138">
        <x:v>1</x:v>
      </x:c>
      <x:c r="R138" t="s">
        <x:v>96</x:v>
      </x:c>
      <x:c r="S138" t="s">
        <x:v>128</x:v>
      </x:c>
    </x:row>
    <x:row r="139">
      <x:c r="A139" s="37">
        <x:v>5</x:v>
      </x:c>
      <x:c r="B139" s="31">
        <x:v>2</x:v>
      </x:c>
      <x:c r="C139" s="38">
        <x:v>2</x:v>
      </x:c>
      <x:c r="D139" s="38">
        <x:v>1</x:v>
      </x:c>
      <x:c r="E139" s="39">
        <x:v>46207</x:v>
      </x:c>
      <x:c r="F139" s="31" t="s">
        <x:v>163</x:v>
      </x:c>
      <x:c r="G139" s="31" t="s">
        <x:v>55</x:v>
      </x:c>
      <x:c r="H139" s="48" t="s">
        <x:v>63</x:v>
      </x:c>
      <x:c r="I139" s="31" t="s">
        <x:v>116</x:v>
      </x:c>
      <x:c r="J139" s="31" t="str">
        <x:f t="shared" si="8"/>
        <x:v>Control</x:v>
      </x:c>
      <x:c r="K139" s="40"/>
      <x:c r="L139" s="47" t="s">
        <x:v>63</x:v>
      </x:c>
      <x:c r="M139" s="31" t="s">
        <x:v>132</x:v>
      </x:c>
      <x:c r="N139" s="38" t="s">
        <x:v>109</x:v>
      </x:c>
      <x:c r="O139" s="33" t="str">
        <x:f t="shared" si="9"/>
        <x:v>260704_CR_T1_S1</x:v>
      </x:c>
      <x:c r="P139">
        <x:v>0</x:v>
      </x:c>
      <x:c r="Q139">
        <x:v>2</x:v>
      </x:c>
      <x:c r="R139" t="s">
        <x:v>96</x:v>
      </x:c>
      <x:c r="S139" t="s">
        <x:v>109</x:v>
      </x:c>
    </x:row>
    <x:row r="140">
      <x:c r="A140" s="37">
        <x:v>5</x:v>
      </x:c>
      <x:c r="B140" s="31">
        <x:v>2</x:v>
      </x:c>
      <x:c r="C140" s="38">
        <x:v>2</x:v>
      </x:c>
      <x:c r="D140" s="38">
        <x:v>2</x:v>
      </x:c>
      <x:c r="E140" s="39">
        <x:v>46207</x:v>
      </x:c>
      <x:c r="F140" s="31" t="s">
        <x:v>163</x:v>
      </x:c>
      <x:c r="G140" s="31" t="s">
        <x:v>55</x:v>
      </x:c>
      <x:c r="H140" s="48" t="s">
        <x:v>63</x:v>
      </x:c>
      <x:c r="I140" s="31" t="s">
        <x:v>145</x:v>
      </x:c>
      <x:c r="J140" s="31" t="str">
        <x:f t="shared" si="8"/>
        <x:v>Escort</x:v>
      </x:c>
      <x:c r="K140" s="40"/>
      <x:c r="L140" s="47" t="s">
        <x:v>55</x:v>
      </x:c>
      <x:c r="M140" s="31" t="s">
        <x:v>134</x:v>
      </x:c>
      <x:c r="N140" s="38" t="s">
        <x:v>167</x:v>
      </x:c>
      <x:c r="O140" s="33" t="str">
        <x:f t="shared" si="9"/>
        <x:v>260704_CR_T1_S2</x:v>
      </x:c>
      <x:c r="P140">
        <x:v>3</x:v>
      </x:c>
      <x:c r="Q140">
        <x:v>2</x:v>
      </x:c>
      <x:c r="R140" t="s">
        <x:v>96</x:v>
      </x:c>
      <x:c r="S140" t="s">
        <x:v>167</x:v>
      </x:c>
    </x:row>
    <x:row r="141">
      <x:c r="A141" s="37">
        <x:v>5</x:v>
      </x:c>
      <x:c r="B141" s="31">
        <x:v>2</x:v>
      </x:c>
      <x:c r="C141" s="38">
        <x:v>2</x:v>
      </x:c>
      <x:c r="D141" s="38">
        <x:v>3</x:v>
      </x:c>
      <x:c r="E141" s="39">
        <x:v>46207</x:v>
      </x:c>
      <x:c r="F141" s="31" t="s">
        <x:v>163</x:v>
      </x:c>
      <x:c r="G141" s="31" t="s">
        <x:v>55</x:v>
      </x:c>
      <x:c r="H141" s="48" t="s">
        <x:v>63</x:v>
      </x:c>
      <x:c r="I141" s="31" t="s">
        <x:v>124</x:v>
      </x:c>
      <x:c r="J141" s="31" t="str">
        <x:f t="shared" si="8"/>
        <x:v>Flashpoint</x:v>
      </x:c>
      <x:c r="K141" s="40"/>
      <x:c r="L141" s="47" t="s">
        <x:v>55</x:v>
      </x:c>
      <x:c r="M141" s="31" t="s">
        <x:v>141</x:v>
      </x:c>
      <x:c r="N141" s="38" t="s">
        <x:v>108</x:v>
      </x:c>
      <x:c r="O141" s="33" t="str">
        <x:f t="shared" si="9"/>
        <x:v>260704_CR_T1_S3</x:v>
      </x:c>
      <x:c r="P141">
        <x:v>3</x:v>
      </x:c>
      <x:c r="Q141">
        <x:v>2</x:v>
      </x:c>
      <x:c r="R141" t="s">
        <x:v>95</x:v>
      </x:c>
      <x:c r="S141" t="s">
        <x:v>141</x:v>
      </x:c>
    </x:row>
    <x:row r="142">
      <x:c r="A142" s="37">
        <x:v>5</x:v>
      </x:c>
      <x:c r="B142" s="31">
        <x:v>2</x:v>
      </x:c>
      <x:c r="C142" s="38">
        <x:v>2</x:v>
      </x:c>
      <x:c r="D142" s="38">
        <x:v>4</x:v>
      </x:c>
      <x:c r="E142" s="39">
        <x:v>46207</x:v>
      </x:c>
      <x:c r="F142" s="38" t="s">
        <x:v>163</x:v>
      </x:c>
      <x:c r="G142" s="31" t="s">
        <x:v>55</x:v>
      </x:c>
      <x:c r="H142" s="48" t="s">
        <x:v>63</x:v>
      </x:c>
      <x:c r="I142" s="31" t="s">
        <x:v>138</x:v>
      </x:c>
      <x:c r="J142" s="31" t="str">
        <x:f t="shared" si="8"/>
        <x:v>Hybrid</x:v>
      </x:c>
      <x:c r="K142" s="40"/>
      <x:c r="L142" s="47" t="s">
        <x:v>55</x:v>
      </x:c>
      <x:c r="M142" s="31" t="s">
        <x:v>122</x:v>
      </x:c>
      <x:c r="N142" s="38" t="s">
        <x:v>126</x:v>
      </x:c>
      <x:c r="O142" s="33" t="str">
        <x:f t="shared" si="9"/>
        <x:v>260704_CR_T1_S4</x:v>
      </x:c>
      <x:c r="P142">
        <x:v>4</x:v>
      </x:c>
      <x:c r="Q142">
        <x:v>3</x:v>
      </x:c>
      <x:c r="R142" t="s">
        <x:v>96</x:v>
      </x:c>
      <x:c r="S142" t="s">
        <x:v>122</x:v>
      </x:c>
    </x:row>
    <x:row r="143">
      <x:c r="A143" s="13">
        <x:v>5</x:v>
      </x:c>
      <x:c r="B143" s="15">
        <x:v>2</x:v>
      </x:c>
      <x:c r="C143">
        <x:v>3</x:v>
      </x:c>
      <x:c r="D143">
        <x:v>1</x:v>
      </x:c>
      <x:c r="E143" s="18">
        <x:v>46207</x:v>
      </x:c>
      <x:c r="F143" s="15" t="s">
        <x:v>163</x:v>
      </x:c>
      <x:c r="G143" s="15" t="s">
        <x:v>47</x:v>
      </x:c>
      <x:c r="H143" s="20" t="s">
        <x:v>72</x:v>
      </x:c>
      <x:c r="I143" s="15" t="s">
        <x:v>107</x:v>
      </x:c>
      <x:c r="J143" s="15" t="str">
        <x:f t="shared" si="8"/>
        <x:v>Control</x:v>
      </x:c>
      <x:c r="L143" s="14" t="s">
        <x:v>72</x:v>
      </x:c>
      <x:c r="M143" s="15" t="s">
        <x:v>108</x:v>
      </x:c>
      <x:c r="N143" t="s">
        <x:v>122</x:v>
      </x:c>
      <x:c r="O143" s="2" t="str">
        <x:f t="shared" si="9"/>
        <x:v>260704_ZETA_FLC_S1</x:v>
      </x:c>
      <x:c r="P143">
        <x:v>1</x:v>
      </x:c>
      <x:c r="Q143">
        <x:v>2</x:v>
      </x:c>
      <x:c r="R143" t="s">
        <x:v>95</x:v>
      </x:c>
      <x:c r="S143" t="s">
        <x:v>108</x:v>
      </x:c>
    </x:row>
    <x:row r="144">
      <x:c r="A144" s="13">
        <x:v>5</x:v>
      </x:c>
      <x:c r="B144" s="15">
        <x:v>2</x:v>
      </x:c>
      <x:c r="C144">
        <x:v>3</x:v>
      </x:c>
      <x:c r="D144">
        <x:v>2</x:v>
      </x:c>
      <x:c r="E144" s="18">
        <x:v>46207</x:v>
      </x:c>
      <x:c r="F144" s="15" t="s">
        <x:v>163</x:v>
      </x:c>
      <x:c r="G144" s="15" t="s">
        <x:v>47</x:v>
      </x:c>
      <x:c r="H144" s="20" t="s">
        <x:v>72</x:v>
      </x:c>
      <x:c r="I144" s="15" t="s">
        <x:v>119</x:v>
      </x:c>
      <x:c r="J144" s="15" t="str">
        <x:f t="shared" si="8"/>
        <x:v>Hybrid</x:v>
      </x:c>
      <x:c r="L144" s="14" t="s">
        <x:v>47</x:v>
      </x:c>
      <x:c r="M144" s="15" t="s">
        <x:v>118</x:v>
      </x:c>
      <x:c r="N144" t="s">
        <x:v>135</x:v>
      </x:c>
      <x:c r="O144" s="2" t="str">
        <x:f t="shared" si="9"/>
        <x:v>260704_ZETA_FLC_S2</x:v>
      </x:c>
      <x:c r="P144">
        <x:v>3</x:v>
      </x:c>
      <x:c r="Q144">
        <x:v>2</x:v>
      </x:c>
      <x:c r="R144" t="s">
        <x:v>95</x:v>
      </x:c>
      <x:c r="S144" t="s">
        <x:v>118</x:v>
      </x:c>
    </x:row>
    <x:row r="145">
      <x:c r="A145" s="13">
        <x:v>5</x:v>
      </x:c>
      <x:c r="B145" s="15">
        <x:v>2</x:v>
      </x:c>
      <x:c r="C145">
        <x:v>3</x:v>
      </x:c>
      <x:c r="D145">
        <x:v>3</x:v>
      </x:c>
      <x:c r="E145" s="18">
        <x:v>46207</x:v>
      </x:c>
      <x:c r="F145" s="15" t="s">
        <x:v>163</x:v>
      </x:c>
      <x:c r="G145" s="15" t="s">
        <x:v>47</x:v>
      </x:c>
      <x:c r="H145" s="20" t="s">
        <x:v>72</x:v>
      </x:c>
      <x:c r="I145" s="15" t="s">
        <x:v>168</x:v>
      </x:c>
      <x:c r="J145" s="15" t="str">
        <x:f t="shared" si="8"/>
        <x:v>Push</x:v>
      </x:c>
      <x:c r="L145" s="14" t="s">
        <x:v>47</x:v>
      </x:c>
      <x:c r="M145" s="15" t="s">
        <x:v>111</x:v>
      </x:c>
      <x:c r="N145" t="s">
        <x:v>128</x:v>
      </x:c>
      <x:c r="O145" s="2" t="str">
        <x:f t="shared" si="9"/>
        <x:v>260704_ZETA_FLC_S3</x:v>
      </x:c>
      <x:c r="P145">
        <x:v>108.72</x:v>
      </x:c>
      <x:c r="Q145">
        <x:v>108.71</x:v>
      </x:c>
      <x:c r="R145" t="s">
        <x:v>96</x:v>
      </x:c>
      <x:c r="S145" t="s">
        <x:v>128</x:v>
      </x:c>
    </x:row>
    <x:row r="146">
      <x:c r="A146" s="13">
        <x:v>5</x:v>
      </x:c>
      <x:c r="B146" s="15">
        <x:v>2</x:v>
      </x:c>
      <x:c r="C146">
        <x:v>3</x:v>
      </x:c>
      <x:c r="D146">
        <x:v>4</x:v>
      </x:c>
      <x:c r="E146" s="18">
        <x:v>46207</x:v>
      </x:c>
      <x:c r="F146" s="15" t="s">
        <x:v>163</x:v>
      </x:c>
      <x:c r="G146" s="15" t="s">
        <x:v>47</x:v>
      </x:c>
      <x:c r="H146" s="20" t="s">
        <x:v>72</x:v>
      </x:c>
      <x:c r="I146" s="15" t="s">
        <x:v>145</x:v>
      </x:c>
      <x:c r="J146" s="15" t="str">
        <x:f t="shared" si="8"/>
        <x:v>Escort</x:v>
      </x:c>
      <x:c r="L146" s="14" t="s">
        <x:v>72</x:v>
      </x:c>
      <x:c r="M146" s="15" t="s">
        <x:v>130</x:v>
      </x:c>
      <x:c r="N146" t="s">
        <x:v>109</x:v>
      </x:c>
      <x:c r="O146" s="2" t="str">
        <x:f t="shared" si="9"/>
        <x:v>260704_ZETA_FLC_S4</x:v>
      </x:c>
      <x:c r="P146">
        <x:v>2</x:v>
      </x:c>
      <x:c r="Q146">
        <x:v>3</x:v>
      </x:c>
      <x:c r="R146" t="s">
        <x:v>96</x:v>
      </x:c>
      <x:c r="S146" t="s">
        <x:v>109</x:v>
      </x:c>
    </x:row>
    <x:row r="147">
      <x:c r="A147" s="13">
        <x:v>5</x:v>
      </x:c>
      <x:c r="B147" s="15">
        <x:v>2</x:v>
      </x:c>
      <x:c r="C147">
        <x:v>3</x:v>
      </x:c>
      <x:c r="D147">
        <x:v>5</x:v>
      </x:c>
      <x:c r="E147" s="18">
        <x:v>46207</x:v>
      </x:c>
      <x:c r="F147" s="15" t="s">
        <x:v>163</x:v>
      </x:c>
      <x:c r="G147" s="15" t="s">
        <x:v>47</x:v>
      </x:c>
      <x:c r="H147" s="20" t="s">
        <x:v>72</x:v>
      </x:c>
      <x:c r="I147" s="15" t="s">
        <x:v>124</x:v>
      </x:c>
      <x:c r="J147" s="15" t="str">
        <x:f t="shared" si="8"/>
        <x:v>Flashpoint</x:v>
      </x:c>
      <x:c r="L147" s="14" t="s">
        <x:v>47</x:v>
      </x:c>
      <x:c r="M147" s="15" t="s">
        <x:v>114</x:v>
      </x:c>
      <x:c r="N147" t="s">
        <x:v>108</x:v>
      </x:c>
      <x:c r="O147" s="2" t="str">
        <x:f t="shared" si="9"/>
        <x:v>260704_ZETA_FLC_S5</x:v>
      </x:c>
      <x:c r="P147">
        <x:v>3</x:v>
      </x:c>
      <x:c r="Q147">
        <x:v>0</x:v>
      </x:c>
      <x:c r="R147" t="s">
        <x:v>95</x:v>
      </x:c>
      <x:c r="S147" t="s">
        <x:v>114</x:v>
      </x:c>
    </x:row>
    <x:row r="148">
      <x:c r="A148" s="37">
        <x:v>5</x:v>
      </x:c>
      <x:c r="B148" s="31">
        <x:v>3</x:v>
      </x:c>
      <x:c r="C148" s="38">
        <x:v>1</x:v>
      </x:c>
      <x:c r="D148" s="38">
        <x:v>1</x:v>
      </x:c>
      <x:c r="E148" s="39">
        <x:v>46208</x:v>
      </x:c>
      <x:c r="F148" s="31" t="s">
        <x:v>162</x:v>
      </x:c>
      <x:c r="G148" s="31" t="s">
        <x:v>6</x:v>
      </x:c>
      <x:c r="H148" s="48" t="s">
        <x:v>31</x:v>
      </x:c>
      <x:c r="I148" s="31" t="s">
        <x:v>116</x:v>
      </x:c>
      <x:c r="J148" s="31" t="str">
        <x:f t="shared" si="8"/>
        <x:v>Control</x:v>
      </x:c>
      <x:c r="K148" s="40"/>
      <x:c r="L148" s="47" t="s">
        <x:v>6</x:v>
      </x:c>
      <x:c r="M148" s="31" t="s">
        <x:v>108</x:v>
      </x:c>
      <x:c r="N148" s="38" t="s">
        <x:v>114</x:v>
      </x:c>
      <x:c r="O148" s="33" t="str">
        <x:f t="shared" si="9"/>
        <x:v>260705_O2_CB_S1</x:v>
      </x:c>
      <x:c r="P148">
        <x:v>2</x:v>
      </x:c>
      <x:c r="Q148">
        <x:v>1</x:v>
      </x:c>
      <x:c r="R148" t="s">
        <x:v>95</x:v>
      </x:c>
      <x:c r="S148" t="s">
        <x:v>108</x:v>
      </x:c>
    </x:row>
    <x:row r="149">
      <x:c r="A149" s="37">
        <x:v>5</x:v>
      </x:c>
      <x:c r="B149" s="31">
        <x:v>3</x:v>
      </x:c>
      <x:c r="C149" s="38">
        <x:v>1</x:v>
      </x:c>
      <x:c r="D149" s="38">
        <x:v>2</x:v>
      </x:c>
      <x:c r="E149" s="39">
        <x:v>46208</x:v>
      </x:c>
      <x:c r="F149" s="31" t="s">
        <x:v>162</x:v>
      </x:c>
      <x:c r="G149" s="31" t="s">
        <x:v>6</x:v>
      </x:c>
      <x:c r="H149" s="48" t="s">
        <x:v>31</x:v>
      </x:c>
      <x:c r="I149" s="31" t="s">
        <x:v>166</x:v>
      </x:c>
      <x:c r="J149" s="31" t="str">
        <x:f t="shared" si="8"/>
        <x:v>Hybrid</x:v>
      </x:c>
      <x:c r="K149" s="40"/>
      <x:c r="L149" s="47" t="s">
        <x:v>31</x:v>
      </x:c>
      <x:c r="M149" s="31" t="s">
        <x:v>126</x:v>
      </x:c>
      <x:c r="N149" s="38" t="s">
        <x:v>135</x:v>
      </x:c>
      <x:c r="O149" s="33" t="str">
        <x:f t="shared" si="9"/>
        <x:v>260705_O2_CB_S2</x:v>
      </x:c>
      <x:c r="P149">
        <x:v>1</x:v>
      </x:c>
      <x:c r="Q149">
        <x:v>2</x:v>
      </x:c>
      <x:c r="R149" t="s">
        <x:v>96</x:v>
      </x:c>
      <x:c r="S149" t="s">
        <x:v>135</x:v>
      </x:c>
    </x:row>
    <x:row r="150">
      <x:c r="A150" s="37">
        <x:v>5</x:v>
      </x:c>
      <x:c r="B150" s="31">
        <x:v>3</x:v>
      </x:c>
      <x:c r="C150" s="38">
        <x:v>1</x:v>
      </x:c>
      <x:c r="D150" s="38">
        <x:v>3</x:v>
      </x:c>
      <x:c r="E150" s="39">
        <x:v>46208</x:v>
      </x:c>
      <x:c r="F150" s="31" t="s">
        <x:v>162</x:v>
      </x:c>
      <x:c r="G150" s="31" t="s">
        <x:v>6</x:v>
      </x:c>
      <x:c r="H150" s="48" t="s">
        <x:v>31</x:v>
      </x:c>
      <x:c r="I150" s="31" t="s">
        <x:v>124</x:v>
      </x:c>
      <x:c r="J150" s="31" t="str">
        <x:f t="shared" si="8"/>
        <x:v>Flashpoint</x:v>
      </x:c>
      <x:c r="K150" s="40"/>
      <x:c r="L150" s="47" t="s">
        <x:v>6</x:v>
      </x:c>
      <x:c r="M150" s="31" t="s">
        <x:v>136</x:v>
      </x:c>
      <x:c r="N150" s="38" t="s">
        <x:v>126</x:v>
      </x:c>
      <x:c r="O150" s="33" t="str">
        <x:f t="shared" si="9"/>
        <x:v>260705_O2_CB_S3</x:v>
      </x:c>
      <x:c r="P150">
        <x:v>3</x:v>
      </x:c>
      <x:c r="Q150">
        <x:v>0</x:v>
      </x:c>
      <x:c r="R150" t="s">
        <x:v>95</x:v>
      </x:c>
      <x:c r="S150" t="s">
        <x:v>136</x:v>
      </x:c>
    </x:row>
    <x:row r="151">
      <x:c r="A151" s="37">
        <x:v>5</x:v>
      </x:c>
      <x:c r="B151" s="31">
        <x:v>3</x:v>
      </x:c>
      <x:c r="C151" s="38">
        <x:v>1</x:v>
      </x:c>
      <x:c r="D151" s="38">
        <x:v>4</x:v>
      </x:c>
      <x:c r="E151" s="39">
        <x:v>46208</x:v>
      </x:c>
      <x:c r="F151" s="31" t="s">
        <x:v>162</x:v>
      </x:c>
      <x:c r="G151" s="31" t="s">
        <x:v>6</x:v>
      </x:c>
      <x:c r="H151" s="48" t="s">
        <x:v>31</x:v>
      </x:c>
      <x:c r="I151" s="31" t="s">
        <x:v>168</x:v>
      </x:c>
      <x:c r="J151" s="31" t="str">
        <x:f t="shared" si="8"/>
        <x:v>Push</x:v>
      </x:c>
      <x:c r="K151" s="40"/>
      <x:c r="L151" s="47" t="s">
        <x:v>6</x:v>
      </x:c>
      <x:c r="M151" s="31" t="s">
        <x:v>122</x:v>
      </x:c>
      <x:c r="N151" s="38" t="s">
        <x:v>137</x:v>
      </x:c>
      <x:c r="O151" s="33" t="str">
        <x:f t="shared" si="9"/>
        <x:v>260705_O2_CB_S4</x:v>
      </x:c>
      <x:c r="P151">
        <x:v>54.38</x:v>
      </x:c>
      <x:c r="Q151">
        <x:v>54.37</x:v>
      </x:c>
      <x:c r="R151" t="s">
        <x:v>96</x:v>
      </x:c>
      <x:c r="S151" t="s">
        <x:v>137</x:v>
      </x:c>
    </x:row>
    <x:row r="152">
      <x:c r="A152" s="13">
        <x:v>5</x:v>
      </x:c>
      <x:c r="B152" s="15">
        <x:v>3</x:v>
      </x:c>
      <x:c r="C152">
        <x:v>2</x:v>
      </x:c>
      <x:c r="D152">
        <x:v>1</x:v>
      </x:c>
      <x:c r="E152" s="18">
        <x:v>46208</x:v>
      </x:c>
      <x:c r="F152" t="s">
        <x:v>163</x:v>
      </x:c>
      <x:c r="G152" s="15" t="s">
        <x:v>55</x:v>
      </x:c>
      <x:c r="H152" s="20" t="s">
        <x:v>47</x:v>
      </x:c>
      <x:c r="I152" s="15" t="s">
        <x:v>116</x:v>
      </x:c>
      <x:c r="J152" s="15" t="str">
        <x:f t="shared" si="8"/>
        <x:v>Control</x:v>
      </x:c>
      <x:c r="L152" s="14" t="s">
        <x:v>47</x:v>
      </x:c>
      <x:c r="M152" s="15" t="s">
        <x:v>132</x:v>
      </x:c>
      <x:c r="N152" t="s">
        <x:v>117</x:v>
      </x:c>
      <x:c r="O152" s="2" t="str">
        <x:f t="shared" si="9"/>
        <x:v>260705_CR_ZETA_S1</x:v>
      </x:c>
      <x:c r="P152">
        <x:v>2</x:v>
      </x:c>
      <x:c r="Q152">
        <x:v>1</x:v>
      </x:c>
      <x:c r="R152" t="s">
        <x:v>96</x:v>
      </x:c>
      <x:c r="S152" t="s">
        <x:v>136</x:v>
      </x:c>
    </x:row>
    <x:row r="153">
      <x:c r="A153" s="13">
        <x:v>5</x:v>
      </x:c>
      <x:c r="B153" s="15">
        <x:v>3</x:v>
      </x:c>
      <x:c r="C153">
        <x:v>2</x:v>
      </x:c>
      <x:c r="D153">
        <x:v>2</x:v>
      </x:c>
      <x:c r="E153" s="18">
        <x:v>46208</x:v>
      </x:c>
      <x:c r="F153" t="s">
        <x:v>163</x:v>
      </x:c>
      <x:c r="G153" s="15" t="s">
        <x:v>55</x:v>
      </x:c>
      <x:c r="H153" s="20" t="s">
        <x:v>47</x:v>
      </x:c>
      <x:c r="I153" s="15" t="s">
        <x:v>119</x:v>
      </x:c>
      <x:c r="J153" s="15" t="str">
        <x:f t="shared" si="8"/>
        <x:v>Hybrid</x:v>
      </x:c>
      <x:c r="L153" s="14" t="s">
        <x:v>55</x:v>
      </x:c>
      <x:c r="M153" s="15" t="s">
        <x:v>126</x:v>
      </x:c>
      <x:c r="N153" t="s">
        <x:v>111</x:v>
      </x:c>
      <x:c r="O153" s="2" t="str">
        <x:f t="shared" si="9"/>
        <x:v>260705_CR_ZETA_S2</x:v>
      </x:c>
      <x:c r="P153">
        <x:v>1</x:v>
      </x:c>
      <x:c r="Q153">
        <x:v>2</x:v>
      </x:c>
      <x:c r="R153" t="s">
        <x:v>96</x:v>
      </x:c>
      <x:c r="S153" t="s">
        <x:v>127</x:v>
      </x:c>
    </x:row>
    <x:row r="154">
      <x:c r="A154" s="13">
        <x:v>5</x:v>
      </x:c>
      <x:c r="B154" s="15">
        <x:v>3</x:v>
      </x:c>
      <x:c r="C154">
        <x:v>2</x:v>
      </x:c>
      <x:c r="D154">
        <x:v>3</x:v>
      </x:c>
      <x:c r="E154" s="18">
        <x:v>46208</x:v>
      </x:c>
      <x:c r="F154" t="s">
        <x:v>163</x:v>
      </x:c>
      <x:c r="G154" s="15" t="s">
        <x:v>55</x:v>
      </x:c>
      <x:c r="H154" s="20" t="s">
        <x:v>47</x:v>
      </x:c>
      <x:c r="I154" s="15" t="s">
        <x:v>168</x:v>
      </x:c>
      <x:c r="J154" s="15" t="str">
        <x:f t="shared" si="8"/>
        <x:v>Push</x:v>
      </x:c>
      <x:c r="L154" s="14" t="s">
        <x:v>55</x:v>
      </x:c>
      <x:c r="M154" s="15" t="s">
        <x:v>134</x:v>
      </x:c>
      <x:c r="N154" t="s">
        <x:v>130</x:v>
      </x:c>
      <x:c r="O154" s="2" t="str">
        <x:f t="shared" si="9"/>
        <x:v>260705_CR_ZETA_S3</x:v>
      </x:c>
      <x:c r="P154">
        <x:v>77.53</x:v>
      </x:c>
      <x:c r="Q154">
        <x:v>103.51</x:v>
      </x:c>
      <x:c r="R154" t="s">
        <x:v>96</x:v>
      </x:c>
      <x:c r="S154" t="s">
        <x:v>135</x:v>
      </x:c>
    </x:row>
    <x:row r="155">
      <x:c r="A155" s="13">
        <x:v>5</x:v>
      </x:c>
      <x:c r="B155" s="15">
        <x:v>3</x:v>
      </x:c>
      <x:c r="C155">
        <x:v>2</x:v>
      </x:c>
      <x:c r="D155">
        <x:v>4</x:v>
      </x:c>
      <x:c r="E155" s="18">
        <x:v>46208</x:v>
      </x:c>
      <x:c r="F155" s="1" t="s">
        <x:v>163</x:v>
      </x:c>
      <x:c r="G155" s="13" t="s">
        <x:v>55</x:v>
      </x:c>
      <x:c r="H155" s="1" t="s">
        <x:v>47</x:v>
      </x:c>
      <x:c r="I155" s="15" t="s">
        <x:v>124</x:v>
      </x:c>
      <x:c r="J155" s="15" t="str">
        <x:f t="shared" si="8"/>
        <x:v>Flashpoint</x:v>
      </x:c>
      <x:c r="L155" s="14" t="s">
        <x:v>55</x:v>
      </x:c>
      <x:c r="M155" s="15" t="s">
        <x:v>147</x:v>
      </x:c>
      <x:c r="N155" t="s">
        <x:v>132</x:v>
      </x:c>
      <x:c r="O155" s="2" t="str">
        <x:f t="shared" si="9"/>
        <x:v>260705_CR_ZETA_S4</x:v>
      </x:c>
      <x:c r="P155">
        <x:v>2</x:v>
      </x:c>
      <x:c r="Q155">
        <x:v>3</x:v>
      </x:c>
      <x:c r="R155" t="s">
        <x:v>95</x:v>
      </x:c>
      <x:c r="S155" t="s">
        <x:v>143</x:v>
      </x:c>
    </x:row>
    <x:row r="156">
      <x:c r="A156" s="37">
        <x:v>5</x:v>
      </x:c>
      <x:c r="B156" s="31">
        <x:v>3</x:v>
      </x:c>
      <x:c r="C156" s="38">
        <x:v>3</x:v>
      </x:c>
      <x:c r="D156" s="38">
        <x:v>1</x:v>
      </x:c>
      <x:c r="E156" s="39">
        <x:v>46208</x:v>
      </x:c>
      <x:c r="F156" s="38" t="s">
        <x:v>163</x:v>
      </x:c>
      <x:c r="G156" s="31" t="s">
        <x:v>63</x:v>
      </x:c>
      <x:c r="H156" s="48" t="s">
        <x:v>72</x:v>
      </x:c>
      <x:c r="I156" s="31" t="s">
        <x:v>107</x:v>
      </x:c>
      <x:c r="J156" s="31" t="str">
        <x:f t="shared" si="8"/>
        <x:v>Control</x:v>
      </x:c>
      <x:c r="K156" s="40"/>
      <x:c r="L156" s="48" t="s">
        <x:v>63</x:v>
      </x:c>
      <x:c r="M156" s="48" t="s">
        <x:v>108</x:v>
      </x:c>
      <x:c r="N156" s="48" t="s">
        <x:v>137</x:v>
      </x:c>
      <x:c r="O156" s="33" t="str">
        <x:f t="shared" si="9"/>
        <x:v>260705_T1_FLC_S1</x:v>
      </x:c>
      <x:c r="P156">
        <x:v>2</x:v>
      </x:c>
      <x:c r="Q156">
        <x:v>0</x:v>
      </x:c>
      <x:c r="R156" t="s">
        <x:v>95</x:v>
      </x:c>
      <x:c r="S156" t="s">
        <x:v>108</x:v>
      </x:c>
    </x:row>
    <x:row r="157">
      <x:c r="A157" s="37">
        <x:v>5</x:v>
      </x:c>
      <x:c r="B157" s="31">
        <x:v>3</x:v>
      </x:c>
      <x:c r="C157" s="38">
        <x:v>3</x:v>
      </x:c>
      <x:c r="D157" s="38">
        <x:v>2</x:v>
      </x:c>
      <x:c r="E157" s="39">
        <x:v>46208</x:v>
      </x:c>
      <x:c r="F157" s="38" t="s">
        <x:v>163</x:v>
      </x:c>
      <x:c r="G157" s="31" t="s">
        <x:v>63</x:v>
      </x:c>
      <x:c r="H157" s="48" t="s">
        <x:v>72</x:v>
      </x:c>
      <x:c r="I157" s="31" t="s">
        <x:v>119</x:v>
      </x:c>
      <x:c r="J157" s="31" t="str">
        <x:f t="shared" si="8"/>
        <x:v>Hybrid</x:v>
      </x:c>
      <x:c r="K157" s="40"/>
      <x:c r="L157" s="48" t="s">
        <x:v>63</x:v>
      </x:c>
      <x:c r="M157" s="48" t="s">
        <x:v>111</x:v>
      </x:c>
      <x:c r="N157" s="48" t="s">
        <x:v>128</x:v>
      </x:c>
      <x:c r="O157" s="33" t="str">
        <x:f t="shared" si="9"/>
        <x:v>260705_T1_FLC_S2</x:v>
      </x:c>
      <x:c r="P157">
        <x:v>3</x:v>
      </x:c>
      <x:c r="Q157">
        <x:v>2</x:v>
      </x:c>
      <x:c r="R157" t="s">
        <x:v>96</x:v>
      </x:c>
      <x:c r="S157" t="s">
        <x:v>128</x:v>
      </x:c>
    </x:row>
    <x:row r="158">
      <x:c r="A158" s="37">
        <x:v>5</x:v>
      </x:c>
      <x:c r="B158" s="31">
        <x:v>3</x:v>
      </x:c>
      <x:c r="C158" s="38">
        <x:v>3</x:v>
      </x:c>
      <x:c r="D158" s="38">
        <x:v>3</x:v>
      </x:c>
      <x:c r="E158" s="39">
        <x:v>46208</x:v>
      </x:c>
      <x:c r="F158" s="49" t="s">
        <x:v>163</x:v>
      </x:c>
      <x:c r="G158" s="31" t="s">
        <x:v>63</x:v>
      </x:c>
      <x:c r="H158" s="48" t="s">
        <x:v>72</x:v>
      </x:c>
      <x:c r="I158" s="31" t="s">
        <x:v>168</x:v>
      </x:c>
      <x:c r="J158" s="31" t="str">
        <x:f t="shared" si="8"/>
        <x:v>Push</x:v>
      </x:c>
      <x:c r="K158" s="40"/>
      <x:c r="L158" s="48" t="s">
        <x:v>63</x:v>
      </x:c>
      <x:c r="M158" s="48" t="s">
        <x:v>114</x:v>
      </x:c>
      <x:c r="N158" s="48" t="s">
        <x:v>141</x:v>
      </x:c>
      <x:c r="O158" s="33" t="str">
        <x:f t="shared" si="9"/>
        <x:v>260705_T1_FLC_S3</x:v>
      </x:c>
      <x:c r="P158">
        <x:v>139.62</x:v>
      </x:c>
      <x:c r="Q158">
        <x:v>28.22</x:v>
      </x:c>
      <x:c r="R158" t="s">
        <x:v>96</x:v>
      </x:c>
      <x:c r="S158" t="s">
        <x:v>141</x:v>
      </x:c>
    </x:row>
    <x:row r="159">
      <x:c r="A159" s="13">
        <x:v>6</x:v>
      </x:c>
      <x:c r="B159" s="15">
        <x:v>1</x:v>
      </x:c>
      <x:c r="C159">
        <x:v>1</x:v>
      </x:c>
      <x:c r="D159">
        <x:v>1</x:v>
      </x:c>
      <x:c r="E159" s="18">
        <x:v>46213</x:v>
      </x:c>
      <x:c r="F159" t="s">
        <x:v>169</x:v>
      </x:c>
      <x:c r="G159" s="15" t="s">
        <x:v>72</x:v>
      </x:c>
      <x:c r="H159" s="20" t="s">
        <x:v>22</x:v>
      </x:c>
      <x:c r="I159" s="15" t="s">
        <x:v>116</x:v>
      </x:c>
      <x:c r="J159" s="15" t="str">
        <x:f t="shared" si="8"/>
        <x:v>Control</x:v>
      </x:c>
      <x:c r="L159" s="20" t="s">
        <x:v>22</x:v>
      </x:c>
      <x:c r="M159" s="20" t="s">
        <x:v>144</x:v>
      </x:c>
      <x:c r="N159" s="20" t="s">
        <x:v>158</x:v>
      </x:c>
      <x:c r="O159" s="2" t="str">
        <x:f t="shared" si="9"/>
        <x:v>260710_FLC_ROZE_S1</x:v>
      </x:c>
      <x:c r="P159">
        <x:v>1</x:v>
      </x:c>
      <x:c r="Q159">
        <x:v>2</x:v>
      </x:c>
      <x:c r="R159" t="s">
        <x:v>96</x:v>
      </x:c>
      <x:c r="S159" t="s">
        <x:v>158</x:v>
      </x:c>
    </x:row>
    <x:row r="160">
      <x:c r="A160" s="13">
        <x:v>6</x:v>
      </x:c>
      <x:c r="B160" s="15">
        <x:v>1</x:v>
      </x:c>
      <x:c r="C160">
        <x:v>1</x:v>
      </x:c>
      <x:c r="D160">
        <x:v>2</x:v>
      </x:c>
      <x:c r="E160" s="18">
        <x:v>46213</x:v>
      </x:c>
      <x:c r="F160" t="s">
        <x:v>169</x:v>
      </x:c>
      <x:c r="G160" s="15" t="s">
        <x:v>72</x:v>
      </x:c>
      <x:c r="H160" s="20" t="s">
        <x:v>22</x:v>
      </x:c>
      <x:c r="I160" s="15" t="s">
        <x:v>124</x:v>
      </x:c>
      <x:c r="J160" s="15" t="str">
        <x:f t="shared" si="8"/>
        <x:v>Flashpoint</x:v>
      </x:c>
      <x:c r="L160" s="20" t="s">
        <x:v>22</x:v>
      </x:c>
      <x:c r="M160" s="20" t="s">
        <x:v>154</x:v>
      </x:c>
      <x:c r="N160" s="52" t="s">
        <x:v>139</x:v>
      </x:c>
      <x:c r="O160" s="2" t="str">
        <x:f t="shared" si="9"/>
        <x:v>260710_FLC_ROZE_S2</x:v>
      </x:c>
      <x:c r="P160">
        <x:v>0</x:v>
      </x:c>
      <x:c r="Q160">
        <x:v>3</x:v>
      </x:c>
      <x:c r="R160" t="s">
        <x:v>96</x:v>
      </x:c>
      <x:c r="S160" t="s">
        <x:v>139</x:v>
      </x:c>
    </x:row>
    <x:row r="161">
      <x:c r="A161" s="13">
        <x:v>6</x:v>
      </x:c>
      <x:c r="B161" s="15">
        <x:v>1</x:v>
      </x:c>
      <x:c r="C161">
        <x:v>1</x:v>
      </x:c>
      <x:c r="D161">
        <x:v>3</x:v>
      </x:c>
      <x:c r="E161" s="18">
        <x:v>46213</x:v>
      </x:c>
      <x:c r="F161" t="s">
        <x:v>169</x:v>
      </x:c>
      <x:c r="G161" s="15" t="s">
        <x:v>72</x:v>
      </x:c>
      <x:c r="H161" s="20" t="s">
        <x:v>22</x:v>
      </x:c>
      <x:c r="I161" s="15" t="s">
        <x:v>145</x:v>
      </x:c>
      <x:c r="J161" s="15" t="str">
        <x:f t="shared" si="8"/>
        <x:v>Escort</x:v>
      </x:c>
      <x:c r="L161" s="20" t="s">
        <x:v>72</x:v>
      </x:c>
      <x:c r="M161" s="20" t="s">
        <x:v>128</x:v>
      </x:c>
      <x:c r="N161" s="20" t="s">
        <x:v>129</x:v>
      </x:c>
      <x:c r="O161" s="2" t="str">
        <x:f t="shared" si="9"/>
        <x:v>260710_FLC_ROZE_S3</x:v>
      </x:c>
      <x:c r="P161">
        <x:v>3</x:v>
      </x:c>
      <x:c r="Q161">
        <x:v>2</x:v>
      </x:c>
      <x:c r="R161" t="s">
        <x:v>95</x:v>
      </x:c>
      <x:c r="S161" t="s">
        <x:v>128</x:v>
      </x:c>
    </x:row>
    <x:row r="162">
      <x:c r="A162" s="13">
        <x:v>6</x:v>
      </x:c>
      <x:c r="B162" s="15">
        <x:v>1</x:v>
      </x:c>
      <x:c r="C162">
        <x:v>1</x:v>
      </x:c>
      <x:c r="D162">
        <x:v>4</x:v>
      </x:c>
      <x:c r="E162" s="18">
        <x:v>46213</x:v>
      </x:c>
      <x:c r="F162" t="s">
        <x:v>169</x:v>
      </x:c>
      <x:c r="G162" s="15" t="s">
        <x:v>72</x:v>
      </x:c>
      <x:c r="H162" s="20" t="s">
        <x:v>22</x:v>
      </x:c>
      <x:c r="I162" s="15" t="s">
        <x:v>166</x:v>
      </x:c>
      <x:c r="J162" s="15" t="str">
        <x:f t="shared" ref="J162:J189" si="10">IF(OR(I162="Antarctic Peninsula", I162="Nepal", I162="Lijiang Tower", I162="Busan", I162="Samoa", I162="Oasis", I162="Ilios"), "Control", IF(OR(I162="Route 66", I162="Watchpoint: Gibraltar", I162="Dorado", I162="Rialto", I162="Shambali Monastery", I162="Circuit Royal", I162="Junkertown", I162="Havana"), "Escort", IF(OR(I162="Neon Junction", I162="Numbani", I162="Midtown", I162="Blizzard World", I162="Eichenwalde", I162="King's Row", I162="Paraiso", I162="Hollywood"), "Hybrid", IF(OR(I162="New Queen Street", I162="Esperanca", I162="Colosseo", I162="Runasapi"), "Push", IF(OR(I162="New Junk City", I162="Suravasa", I162="Aatlis"), "Flashpoint", "")))))</x:f>
        <x:v>Hybrid</x:v>
      </x:c>
      <x:c r="L162" s="20" t="s">
        <x:v>72</x:v>
      </x:c>
      <x:c r="M162" s="20" t="s">
        <x:v>126</x:v>
      </x:c>
      <x:c r="N162" s="20" t="s">
        <x:v>115</x:v>
      </x:c>
      <x:c r="O162" s="2" t="str">
        <x:f t="shared" ref="O162:O189" si="11">TEXT(E162, "yymmdd") &amp; "_" &amp; G162 &amp; "_" &amp; H162 &amp; "_S" &amp; D162</x:f>
        <x:v>260710_FLC_ROZE_S4</x:v>
      </x:c>
      <x:c r="P162">
        <x:v>2</x:v>
      </x:c>
      <x:c r="Q162">
        <x:v>0</x:v>
      </x:c>
      <x:c r="R162" t="s">
        <x:v>96</x:v>
      </x:c>
      <x:c r="S162" t="s">
        <x:v>115</x:v>
      </x:c>
    </x:row>
    <x:row r="163">
      <x:c r="A163" s="13">
        <x:v>6</x:v>
      </x:c>
      <x:c r="B163" s="15">
        <x:v>1</x:v>
      </x:c>
      <x:c r="C163">
        <x:v>1</x:v>
      </x:c>
      <x:c r="D163">
        <x:v>5</x:v>
      </x:c>
      <x:c r="E163" s="18">
        <x:v>46213</x:v>
      </x:c>
      <x:c r="F163" t="s">
        <x:v>169</x:v>
      </x:c>
      <x:c r="G163" s="15" t="s">
        <x:v>72</x:v>
      </x:c>
      <x:c r="H163" s="20" t="s">
        <x:v>22</x:v>
      </x:c>
      <x:c r="I163" s="15" t="s">
        <x:v>168</x:v>
      </x:c>
      <x:c r="J163" s="15" t="str">
        <x:f t="shared" si="10"/>
        <x:v>Push</x:v>
      </x:c>
      <x:c r="L163" s="20" t="s">
        <x:v>22</x:v>
      </x:c>
      <x:c r="M163" s="20" t="s">
        <x:v>155</x:v>
      </x:c>
      <x:c r="N163" s="20" t="s">
        <x:v>111</x:v>
      </x:c>
      <x:c r="O163" s="2" t="str">
        <x:f t="shared" si="11"/>
        <x:v>260710_FLC_ROZE_S5</x:v>
      </x:c>
      <x:c r="P163">
        <x:v>85.17</x:v>
      </x:c>
      <x:c r="Q163">
        <x:v>97.71</x:v>
      </x:c>
      <x:c r="R163" t="s">
        <x:v>96</x:v>
      </x:c>
      <x:c r="S163" t="s">
        <x:v>111</x:v>
      </x:c>
    </x:row>
    <x:row r="164">
      <x:c r="A164" s="13">
        <x:v>6</x:v>
      </x:c>
      <x:c r="B164" s="15">
        <x:v>1</x:v>
      </x:c>
      <x:c r="C164">
        <x:v>1</x:v>
      </x:c>
      <x:c r="D164">
        <x:v>6</x:v>
      </x:c>
      <x:c r="E164" s="18">
        <x:v>46213</x:v>
      </x:c>
      <x:c r="F164" t="s">
        <x:v>169</x:v>
      </x:c>
      <x:c r="G164" s="15" t="s">
        <x:v>72</x:v>
      </x:c>
      <x:c r="H164" s="20" t="s">
        <x:v>22</x:v>
      </x:c>
      <x:c r="I164" s="15" t="s">
        <x:v>164</x:v>
      </x:c>
      <x:c r="J164" s="15" t="str">
        <x:f t="shared" si="10"/>
        <x:v>Control</x:v>
      </x:c>
      <x:c r="L164" s="20" t="s">
        <x:v>22</x:v>
      </x:c>
      <x:c r="M164" s="20" t="s">
        <x:v>141</x:v>
      </x:c>
      <x:c r="N164" s="20" t="s">
        <x:v>130</x:v>
      </x:c>
      <x:c r="O164" s="2" t="str">
        <x:f t="shared" si="11"/>
        <x:v>260710_FLC_ROZE_S6</x:v>
      </x:c>
      <x:c r="P164">
        <x:v>0</x:v>
      </x:c>
      <x:c r="Q164">
        <x:v>2</x:v>
      </x:c>
      <x:c r="R164" t="s">
        <x:v>95</x:v>
      </x:c>
      <x:c r="S164" t="s">
        <x:v>141</x:v>
      </x:c>
    </x:row>
    <x:row r="165">
      <x:c r="A165" s="37">
        <x:v>6</x:v>
      </x:c>
      <x:c r="B165" s="31">
        <x:v>1</x:v>
      </x:c>
      <x:c r="C165" s="38">
        <x:v>2</x:v>
      </x:c>
      <x:c r="D165" s="38">
        <x:v>1</x:v>
      </x:c>
      <x:c r="E165" s="39">
        <x:v>46213</x:v>
      </x:c>
      <x:c r="F165" s="38" t="s">
        <x:v>169</x:v>
      </x:c>
      <x:c r="G165" s="31" t="s">
        <x:v>47</x:v>
      </x:c>
      <x:c r="H165" s="48" t="s">
        <x:v>6</x:v>
      </x:c>
      <x:c r="I165" s="31" t="s">
        <x:v>116</x:v>
      </x:c>
      <x:c r="J165" s="31" t="str">
        <x:f t="shared" si="10"/>
        <x:v>Control</x:v>
      </x:c>
      <x:c r="K165" s="40"/>
      <x:c r="L165" s="48" t="s">
        <x:v>47</x:v>
      </x:c>
      <x:c r="M165" s="48" t="s">
        <x:v>141</x:v>
      </x:c>
      <x:c r="N165" s="48" t="s">
        <x:v>109</x:v>
      </x:c>
      <x:c r="O165" s="33" t="str">
        <x:f t="shared" si="11"/>
        <x:v>260710_ZETA_O2_S1</x:v>
      </x:c>
      <x:c r="P165">
        <x:v>2</x:v>
      </x:c>
      <x:c r="Q165">
        <x:v>0</x:v>
      </x:c>
      <x:c r="R165" t="s">
        <x:v>96</x:v>
      </x:c>
      <x:c r="S165" t="s">
        <x:v>109</x:v>
      </x:c>
    </x:row>
    <x:row r="166">
      <x:c r="A166" s="37">
        <x:v>6</x:v>
      </x:c>
      <x:c r="B166" s="31">
        <x:v>1</x:v>
      </x:c>
      <x:c r="C166" s="38">
        <x:v>2</x:v>
      </x:c>
      <x:c r="D166" s="38">
        <x:v>2</x:v>
      </x:c>
      <x:c r="E166" s="39">
        <x:v>46213</x:v>
      </x:c>
      <x:c r="F166" s="38" t="s">
        <x:v>169</x:v>
      </x:c>
      <x:c r="G166" s="31" t="s">
        <x:v>47</x:v>
      </x:c>
      <x:c r="H166" s="48" t="s">
        <x:v>6</x:v>
      </x:c>
      <x:c r="I166" s="31" t="s">
        <x:v>165</x:v>
      </x:c>
      <x:c r="J166" s="31" t="str">
        <x:f t="shared" si="10"/>
        <x:v>Flashpoint</x:v>
      </x:c>
      <x:c r="K166" s="40"/>
      <x:c r="L166" s="48" t="s">
        <x:v>47</x:v>
      </x:c>
      <x:c r="M166" s="48" t="s">
        <x:v>114</x:v>
      </x:c>
      <x:c r="N166" s="48" t="s">
        <x:v>108</x:v>
      </x:c>
      <x:c r="O166" s="33" t="str">
        <x:f t="shared" si="11"/>
        <x:v>260710_ZETA_O2_S2</x:v>
      </x:c>
      <x:c r="P166">
        <x:v>3</x:v>
      </x:c>
      <x:c r="Q166">
        <x:v>2</x:v>
      </x:c>
      <x:c r="R166" t="s">
        <x:v>96</x:v>
      </x:c>
      <x:c r="S166" t="s">
        <x:v>108</x:v>
      </x:c>
    </x:row>
    <x:row r="167">
      <x:c r="A167" s="37">
        <x:v>6</x:v>
      </x:c>
      <x:c r="B167" s="31">
        <x:v>1</x:v>
      </x:c>
      <x:c r="C167" s="38">
        <x:v>2</x:v>
      </x:c>
      <x:c r="D167" s="38">
        <x:v>3</x:v>
      </x:c>
      <x:c r="E167" s="39">
        <x:v>46213</x:v>
      </x:c>
      <x:c r="F167" s="38" t="s">
        <x:v>169</x:v>
      </x:c>
      <x:c r="G167" s="31" t="s">
        <x:v>47</x:v>
      </x:c>
      <x:c r="H167" s="48" t="s">
        <x:v>6</x:v>
      </x:c>
      <x:c r="I167" s="31" t="s">
        <x:v>168</x:v>
      </x:c>
      <x:c r="J167" s="31" t="str">
        <x:f t="shared" si="10"/>
        <x:v>Push</x:v>
      </x:c>
      <x:c r="K167" s="40"/>
      <x:c r="L167" s="48" t="s">
        <x:v>47</x:v>
      </x:c>
      <x:c r="M167" s="48" t="s">
        <x:v>135</x:v>
      </x:c>
      <x:c r="N167" s="48" t="s">
        <x:v>130</x:v>
      </x:c>
      <x:c r="O167" s="33" t="str">
        <x:f t="shared" si="11"/>
        <x:v>260710_ZETA_O2_S3</x:v>
      </x:c>
      <x:c r="P167">
        <x:v>133.78</x:v>
      </x:c>
      <x:c r="Q167">
        <x:v>64.55</x:v>
      </x:c>
      <x:c r="R167" t="s">
        <x:v>96</x:v>
      </x:c>
      <x:c r="S167" t="s">
        <x:v>130</x:v>
      </x:c>
    </x:row>
    <x:row r="168">
      <x:c r="A168" s="37">
        <x:v>6</x:v>
      </x:c>
      <x:c r="B168" s="31">
        <x:v>1</x:v>
      </x:c>
      <x:c r="C168" s="38">
        <x:v>2</x:v>
      </x:c>
      <x:c r="D168" s="38">
        <x:v>4</x:v>
      </x:c>
      <x:c r="E168" s="39">
        <x:v>46213</x:v>
      </x:c>
      <x:c r="F168" s="38" t="s">
        <x:v>169</x:v>
      </x:c>
      <x:c r="G168" s="31" t="s">
        <x:v>47</x:v>
      </x:c>
      <x:c r="H168" s="48" t="s">
        <x:v>6</x:v>
      </x:c>
      <x:c r="I168" s="31" t="s">
        <x:v>138</x:v>
      </x:c>
      <x:c r="J168" s="31" t="str">
        <x:f t="shared" si="10"/>
        <x:v>Hybrid</x:v>
      </x:c>
      <x:c r="K168" s="40"/>
      <x:c r="L168" s="48" t="s">
        <x:v>47</x:v>
      </x:c>
      <x:c r="M168" s="48" t="s">
        <x:v>127</x:v>
      </x:c>
      <x:c r="N168" s="48" t="s">
        <x:v>118</x:v>
      </x:c>
      <x:c r="O168" s="33" t="str">
        <x:f t="shared" si="11"/>
        <x:v>260710_ZETA_O2_S4</x:v>
      </x:c>
      <x:c r="P168">
        <x:v>3</x:v>
      </x:c>
      <x:c r="Q168">
        <x:v>1</x:v>
      </x:c>
      <x:c r="R168" t="s">
        <x:v>96</x:v>
      </x:c>
      <x:c r="S168" t="s">
        <x:v>118</x:v>
      </x:c>
    </x:row>
    <x:row r="169">
      <x:c r="A169" s="13">
        <x:v>6</x:v>
      </x:c>
      <x:c r="B169" s="15">
        <x:v>2</x:v>
      </x:c>
      <x:c r="C169">
        <x:v>1</x:v>
      </x:c>
      <x:c r="D169">
        <x:v>1</x:v>
      </x:c>
      <x:c r="E169" s="18">
        <x:v>46214</x:v>
      </x:c>
      <x:c r="F169" t="s">
        <x:v>169</x:v>
      </x:c>
      <x:c r="G169" s="15" t="s">
        <x:v>55</x:v>
      </x:c>
      <x:c r="H169" s="20" t="s">
        <x:v>22</x:v>
      </x:c>
      <x:c r="I169" s="15" t="s">
        <x:v>116</x:v>
      </x:c>
      <x:c r="J169" s="15" t="str">
        <x:f t="shared" si="10"/>
        <x:v>Control</x:v>
      </x:c>
      <x:c r="L169" s="20" t="s">
        <x:v>55</x:v>
      </x:c>
      <x:c r="M169" s="20" t="s">
        <x:v>126</x:v>
      </x:c>
      <x:c r="N169" s="20" t="s">
        <x:v>158</x:v>
      </x:c>
      <x:c r="O169" s="2" t="str">
        <x:f t="shared" si="11"/>
        <x:v>260711_CR_ROZE_S1</x:v>
      </x:c>
      <x:c r="P169">
        <x:v>2</x:v>
      </x:c>
      <x:c r="Q169">
        <x:v>0</x:v>
      </x:c>
      <x:c r="R169" t="s">
        <x:v>96</x:v>
      </x:c>
      <x:c r="S169" t="s">
        <x:v>158</x:v>
      </x:c>
    </x:row>
    <x:row r="170">
      <x:c r="A170" s="13">
        <x:v>6</x:v>
      </x:c>
      <x:c r="B170" s="15">
        <x:v>2</x:v>
      </x:c>
      <x:c r="C170">
        <x:v>1</x:v>
      </x:c>
      <x:c r="D170">
        <x:v>2</x:v>
      </x:c>
      <x:c r="E170" s="18">
        <x:v>46214</x:v>
      </x:c>
      <x:c r="F170" t="s">
        <x:v>169</x:v>
      </x:c>
      <x:c r="G170" s="15" t="s">
        <x:v>55</x:v>
      </x:c>
      <x:c r="H170" s="20" t="s">
        <x:v>22</x:v>
      </x:c>
      <x:c r="I170" s="15" t="s">
        <x:v>124</x:v>
      </x:c>
      <x:c r="J170" s="15" t="str">
        <x:f t="shared" si="10"/>
        <x:v>Flashpoint</x:v>
      </x:c>
      <x:c r="L170" s="20" t="s">
        <x:v>55</x:v>
      </x:c>
      <x:c r="M170" s="20" t="s">
        <x:v>127</x:v>
      </x:c>
      <x:c r="N170" s="20" t="s">
        <x:v>125</x:v>
      </x:c>
      <x:c r="O170" s="2" t="str">
        <x:f t="shared" si="11"/>
        <x:v>260711_CR_ROZE_S2</x:v>
      </x:c>
      <x:c r="P170">
        <x:v>3</x:v>
      </x:c>
      <x:c r="Q170">
        <x:v>2</x:v>
      </x:c>
      <x:c r="R170" t="s">
        <x:v>96</x:v>
      </x:c>
      <x:c r="S170" t="s">
        <x:v>125</x:v>
      </x:c>
    </x:row>
    <x:row r="171">
      <x:c r="A171" s="13">
        <x:v>6</x:v>
      </x:c>
      <x:c r="B171" s="15">
        <x:v>2</x:v>
      </x:c>
      <x:c r="C171">
        <x:v>1</x:v>
      </x:c>
      <x:c r="D171">
        <x:v>3</x:v>
      </x:c>
      <x:c r="E171" s="18">
        <x:v>46214</x:v>
      </x:c>
      <x:c r="F171" t="s">
        <x:v>169</x:v>
      </x:c>
      <x:c r="G171" s="15" t="s">
        <x:v>55</x:v>
      </x:c>
      <x:c r="H171" s="20" t="s">
        <x:v>22</x:v>
      </x:c>
      <x:c r="I171" s="15" t="s">
        <x:v>168</x:v>
      </x:c>
      <x:c r="J171" s="15" t="str">
        <x:f t="shared" si="10"/>
        <x:v>Push</x:v>
      </x:c>
      <x:c r="L171" s="20" t="s">
        <x:v>22</x:v>
      </x:c>
      <x:c r="M171" s="20" t="s">
        <x:v>114</x:v>
      </x:c>
      <x:c r="N171" s="20" t="s">
        <x:v>111</x:v>
      </x:c>
      <x:c r="O171" s="2" t="str">
        <x:f t="shared" si="11"/>
        <x:v>260711_CR_ROZE_S3</x:v>
      </x:c>
      <x:c r="P171">
        <x:v>84.42</x:v>
      </x:c>
      <x:c r="Q171">
        <x:v>128.9</x:v>
      </x:c>
      <x:c r="R171" t="s">
        <x:v>96</x:v>
      </x:c>
      <x:c r="S171" t="s">
        <x:v>111</x:v>
      </x:c>
    </x:row>
    <x:row r="172">
      <x:c r="A172" s="13">
        <x:v>6</x:v>
      </x:c>
      <x:c r="B172" s="15">
        <x:v>2</x:v>
      </x:c>
      <x:c r="C172">
        <x:v>1</x:v>
      </x:c>
      <x:c r="D172">
        <x:v>4</x:v>
      </x:c>
      <x:c r="E172" s="18">
        <x:v>46214</x:v>
      </x:c>
      <x:c r="F172" t="s">
        <x:v>169</x:v>
      </x:c>
      <x:c r="G172" s="15" t="s">
        <x:v>55</x:v>
      </x:c>
      <x:c r="H172" s="20" t="s">
        <x:v>22</x:v>
      </x:c>
      <x:c r="I172" s="15" t="s">
        <x:v>145</x:v>
      </x:c>
      <x:c r="J172" s="15" t="str">
        <x:f t="shared" si="10"/>
        <x:v>Escort</x:v>
      </x:c>
      <x:c r="L172" s="20" t="s">
        <x:v>55</x:v>
      </x:c>
      <x:c r="M172" s="20" t="s">
        <x:v>118</x:v>
      </x:c>
      <x:c r="N172" s="20" t="s">
        <x:v>109</x:v>
      </x:c>
      <x:c r="O172" s="2" t="str">
        <x:f t="shared" si="11"/>
        <x:v>260711_CR_ROZE_S4</x:v>
      </x:c>
      <x:c r="P172">
        <x:v>3</x:v>
      </x:c>
      <x:c r="Q172">
        <x:v>2</x:v>
      </x:c>
      <x:c r="R172" t="s">
        <x:v>95</x:v>
      </x:c>
      <x:c r="S172" t="s">
        <x:v>118</x:v>
      </x:c>
    </x:row>
    <x:row r="173">
      <x:c r="A173" s="13">
        <x:v>6</x:v>
      </x:c>
      <x:c r="B173" s="15">
        <x:v>2</x:v>
      </x:c>
      <x:c r="C173">
        <x:v>1</x:v>
      </x:c>
      <x:c r="D173">
        <x:v>5</x:v>
      </x:c>
      <x:c r="E173" s="18">
        <x:v>46214</x:v>
      </x:c>
      <x:c r="F173" t="s">
        <x:v>169</x:v>
      </x:c>
      <x:c r="G173" s="15" t="s">
        <x:v>55</x:v>
      </x:c>
      <x:c r="H173" s="20" t="s">
        <x:v>22</x:v>
      </x:c>
      <x:c r="I173" s="15" t="s">
        <x:v>166</x:v>
      </x:c>
      <x:c r="J173" s="15" t="str">
        <x:f t="shared" si="10"/>
        <x:v>Hybrid</x:v>
      </x:c>
      <x:c r="L173" s="20" t="s">
        <x:v>55</x:v>
      </x:c>
      <x:c r="M173" s="20" t="s">
        <x:v>141</x:v>
      </x:c>
      <x:c r="N173" s="20" t="s">
        <x:v>130</x:v>
      </x:c>
      <x:c r="O173" s="2" t="str">
        <x:f t="shared" si="11"/>
        <x:v>260711_CR_ROZE_S5</x:v>
      </x:c>
      <x:c r="P173">
        <x:v>2</x:v>
      </x:c>
      <x:c r="Q173">
        <x:v>1</x:v>
      </x:c>
      <x:c r="R173" t="s">
        <x:v>96</x:v>
      </x:c>
      <x:c r="S173" t="s">
        <x:v>130</x:v>
      </x:c>
    </x:row>
    <x:row r="174">
      <x:c r="A174" s="37">
        <x:v>6</x:v>
      </x:c>
      <x:c r="B174" s="31">
        <x:v>2</x:v>
      </x:c>
      <x:c r="C174" s="38">
        <x:v>2</x:v>
      </x:c>
      <x:c r="D174" s="38">
        <x:v>1</x:v>
      </x:c>
      <x:c r="E174" s="39">
        <x:v>46214</x:v>
      </x:c>
      <x:c r="F174" s="38" t="s">
        <x:v>169</x:v>
      </x:c>
      <x:c r="G174" s="31" t="s">
        <x:v>63</x:v>
      </x:c>
      <x:c r="H174" s="48" t="s">
        <x:v>47</x:v>
      </x:c>
      <x:c r="I174" s="31" t="s">
        <x:v>116</x:v>
      </x:c>
      <x:c r="J174" s="31" t="str">
        <x:f t="shared" si="10"/>
        <x:v>Control</x:v>
      </x:c>
      <x:c r="K174" s="40"/>
      <x:c r="L174" s="48" t="s">
        <x:v>47</x:v>
      </x:c>
      <x:c r="M174" s="48" t="s">
        <x:v>109</x:v>
      </x:c>
      <x:c r="N174" s="48" t="s">
        <x:v>170</x:v>
      </x:c>
      <x:c r="O174" s="33" t="str">
        <x:f t="shared" si="11"/>
        <x:v>260711_T1_ZETA_S1</x:v>
      </x:c>
      <x:c r="P174">
        <x:v>0</x:v>
      </x:c>
      <x:c r="Q174">
        <x:v>2</x:v>
      </x:c>
      <x:c r="R174" t="s">
        <x:v>95</x:v>
      </x:c>
      <x:c r="S174" t="s">
        <x:v>109</x:v>
      </x:c>
    </x:row>
    <x:row r="175">
      <x:c r="A175" s="37">
        <x:v>6</x:v>
      </x:c>
      <x:c r="B175" s="31">
        <x:v>2</x:v>
      </x:c>
      <x:c r="C175" s="38">
        <x:v>2</x:v>
      </x:c>
      <x:c r="D175" s="38">
        <x:v>2</x:v>
      </x:c>
      <x:c r="E175" s="39">
        <x:v>46214</x:v>
      </x:c>
      <x:c r="F175" s="38" t="s">
        <x:v>169</x:v>
      </x:c>
      <x:c r="G175" s="31" t="s">
        <x:v>63</x:v>
      </x:c>
      <x:c r="H175" s="48" t="s">
        <x:v>47</x:v>
      </x:c>
      <x:c r="I175" s="31" t="s">
        <x:v>145</x:v>
      </x:c>
      <x:c r="J175" s="31" t="str">
        <x:f t="shared" si="10"/>
        <x:v>Escort</x:v>
      </x:c>
      <x:c r="K175" s="40"/>
      <x:c r="L175" s="48" t="s">
        <x:v>47</x:v>
      </x:c>
      <x:c r="M175" s="48" t="s">
        <x:v>134</x:v>
      </x:c>
      <x:c r="N175" s="48" t="s">
        <x:v>130</x:v>
      </x:c>
      <x:c r="O175" s="33" t="str">
        <x:f t="shared" si="11"/>
        <x:v>260711_T1_ZETA_S2</x:v>
      </x:c>
      <x:c r="P175">
        <x:v>1</x:v>
      </x:c>
      <x:c r="Q175">
        <x:v>2</x:v>
      </x:c>
      <x:c r="R175" t="s">
        <x:v>95</x:v>
      </x:c>
      <x:c r="S175" t="s">
        <x:v>134</x:v>
      </x:c>
    </x:row>
    <x:row r="176">
      <x:c r="A176" s="37">
        <x:v>6</x:v>
      </x:c>
      <x:c r="B176" s="31">
        <x:v>2</x:v>
      </x:c>
      <x:c r="C176" s="38">
        <x:v>2</x:v>
      </x:c>
      <x:c r="D176" s="38">
        <x:v>3</x:v>
      </x:c>
      <x:c r="E176" s="39">
        <x:v>46214</x:v>
      </x:c>
      <x:c r="F176" s="38" t="s">
        <x:v>169</x:v>
      </x:c>
      <x:c r="G176" s="31" t="s">
        <x:v>63</x:v>
      </x:c>
      <x:c r="H176" s="48" t="s">
        <x:v>47</x:v>
      </x:c>
      <x:c r="I176" s="31" t="s">
        <x:v>165</x:v>
      </x:c>
      <x:c r="J176" s="31" t="str">
        <x:f t="shared" si="10"/>
        <x:v>Flashpoint</x:v>
      </x:c>
      <x:c r="K176" s="40"/>
      <x:c r="L176" s="48" t="s">
        <x:v>63</x:v>
      </x:c>
      <x:c r="M176" s="48" t="s">
        <x:v>122</x:v>
      </x:c>
      <x:c r="N176" s="48" t="s">
        <x:v>121</x:v>
      </x:c>
      <x:c r="O176" s="33" t="str">
        <x:f t="shared" si="11"/>
        <x:v>260711_T1_ZETA_S3</x:v>
      </x:c>
      <x:c r="P176">
        <x:v>3</x:v>
      </x:c>
      <x:c r="Q176">
        <x:v>2</x:v>
      </x:c>
      <x:c r="R176" t="s">
        <x:v>96</x:v>
      </x:c>
      <x:c r="S176" t="s">
        <x:v>121</x:v>
      </x:c>
    </x:row>
    <x:row r="177">
      <x:c r="A177" s="37">
        <x:v>6</x:v>
      </x:c>
      <x:c r="B177" s="31">
        <x:v>2</x:v>
      </x:c>
      <x:c r="C177" s="38">
        <x:v>2</x:v>
      </x:c>
      <x:c r="D177" s="38">
        <x:v>4</x:v>
      </x:c>
      <x:c r="E177" s="39">
        <x:v>46214</x:v>
      </x:c>
      <x:c r="F177" s="38" t="s">
        <x:v>169</x:v>
      </x:c>
      <x:c r="G177" s="31" t="s">
        <x:v>63</x:v>
      </x:c>
      <x:c r="H177" s="48" t="s">
        <x:v>47</x:v>
      </x:c>
      <x:c r="I177" s="31" t="s">
        <x:v>168</x:v>
      </x:c>
      <x:c r="J177" s="31" t="str">
        <x:f t="shared" si="10"/>
        <x:v>Push</x:v>
      </x:c>
      <x:c r="K177" s="40"/>
      <x:c r="L177" s="48" t="s">
        <x:v>47</x:v>
      </x:c>
      <x:c r="M177" s="48" t="s">
        <x:v>108</x:v>
      </x:c>
      <x:c r="N177" s="48" t="s">
        <x:v>114</x:v>
      </x:c>
      <x:c r="O177" s="33" t="str">
        <x:f t="shared" si="11"/>
        <x:v>260711_T1_ZETA_S4</x:v>
      </x:c>
      <x:c r="P177">
        <x:v>93.92</x:v>
      </x:c>
      <x:c r="Q177">
        <x:v>93.93</x:v>
      </x:c>
      <x:c r="R177" t="s">
        <x:v>96</x:v>
      </x:c>
      <x:c r="S177" t="s">
        <x:v>114</x:v>
      </x:c>
    </x:row>
    <x:row r="178">
      <x:c r="A178" s="37">
        <x:v>6</x:v>
      </x:c>
      <x:c r="B178" s="31">
        <x:v>2</x:v>
      </x:c>
      <x:c r="C178" s="38">
        <x:v>2</x:v>
      </x:c>
      <x:c r="D178" s="38">
        <x:v>5</x:v>
      </x:c>
      <x:c r="E178" s="39">
        <x:v>46214</x:v>
      </x:c>
      <x:c r="F178" s="38" t="s">
        <x:v>169</x:v>
      </x:c>
      <x:c r="G178" s="31" t="s">
        <x:v>63</x:v>
      </x:c>
      <x:c r="H178" s="48" t="s">
        <x:v>47</x:v>
      </x:c>
      <x:c r="I178" s="31" t="s">
        <x:v>166</x:v>
      </x:c>
      <x:c r="J178" s="31" t="str">
        <x:f t="shared" si="10"/>
        <x:v>Hybrid</x:v>
      </x:c>
      <x:c r="K178" s="40"/>
      <x:c r="L178" s="48" t="s">
        <x:v>47</x:v>
      </x:c>
      <x:c r="M178" s="48" t="s">
        <x:v>130</x:v>
      </x:c>
      <x:c r="N178" s="48" t="s">
        <x:v>127</x:v>
      </x:c>
      <x:c r="O178" s="33" t="str">
        <x:f t="shared" si="11"/>
        <x:v>260711_T1_ZETA_S5</x:v>
      </x:c>
      <x:c r="P178">
        <x:v>1</x:v>
      </x:c>
      <x:c r="Q178">
        <x:v>2</x:v>
      </x:c>
      <x:c r="R178" t="s">
        <x:v>95</x:v>
      </x:c>
      <x:c r="S178" t="s">
        <x:v>130</x:v>
      </x:c>
    </x:row>
    <x:row r="179">
      <x:c r="A179" s="13">
        <x:v>6</x:v>
      </x:c>
      <x:c r="B179" s="15">
        <x:v>3</x:v>
      </x:c>
      <x:c r="C179">
        <x:v>1</x:v>
      </x:c>
      <x:c r="D179">
        <x:v>1</x:v>
      </x:c>
      <x:c r="E179" s="18">
        <x:v>46215</x:v>
      </x:c>
      <x:c r="F179" t="s">
        <x:v>169</x:v>
      </x:c>
      <x:c r="G179" s="15" t="s">
        <x:v>22</x:v>
      </x:c>
      <x:c r="H179" s="20" t="s">
        <x:v>63</x:v>
      </x:c>
      <x:c r="I179" s="15" t="s">
        <x:v>107</x:v>
      </x:c>
      <x:c r="J179" s="15" t="str">
        <x:f t="shared" si="10"/>
        <x:v>Control</x:v>
      </x:c>
      <x:c r="L179" s="20" t="s">
        <x:v>63</x:v>
      </x:c>
      <x:c r="M179" s="20" t="s">
        <x:v>126</x:v>
      </x:c>
      <x:c r="N179" s="20" t="s">
        <x:v>114</x:v>
      </x:c>
      <x:c r="O179" s="2" t="str">
        <x:f t="shared" si="11"/>
        <x:v>260712_ROZE_T1_S1</x:v>
      </x:c>
      <x:c r="P179">
        <x:v>0</x:v>
      </x:c>
      <x:c r="Q179">
        <x:v>2</x:v>
      </x:c>
      <x:c r="R179" t="s">
        <x:v>96</x:v>
      </x:c>
      <x:c r="S179" t="s">
        <x:v>114</x:v>
      </x:c>
    </x:row>
    <x:row r="180">
      <x:c r="A180" s="13">
        <x:v>6</x:v>
      </x:c>
      <x:c r="B180" s="15">
        <x:v>3</x:v>
      </x:c>
      <x:c r="C180">
        <x:v>1</x:v>
      </x:c>
      <x:c r="D180">
        <x:v>2</x:v>
      </x:c>
      <x:c r="E180" s="18">
        <x:v>46215</x:v>
      </x:c>
      <x:c r="F180" t="s">
        <x:v>169</x:v>
      </x:c>
      <x:c r="G180" s="15" t="s">
        <x:v>22</x:v>
      </x:c>
      <x:c r="H180" s="20" t="s">
        <x:v>63</x:v>
      </x:c>
      <x:c r="I180" s="15" t="s">
        <x:v>145</x:v>
      </x:c>
      <x:c r="J180" s="15" t="str">
        <x:f t="shared" si="10"/>
        <x:v>Escort</x:v>
      </x:c>
      <x:c r="L180" s="20" t="s">
        <x:v>63</x:v>
      </x:c>
      <x:c r="M180" s="20" t="s">
        <x:v>130</x:v>
      </x:c>
      <x:c r="N180" s="20" t="s">
        <x:v>127</x:v>
      </x:c>
      <x:c r="O180" s="2" t="str">
        <x:f t="shared" si="11"/>
        <x:v>260712_ROZE_T1_S2</x:v>
      </x:c>
      <x:c r="P180">
        <x:v>2</x:v>
      </x:c>
      <x:c r="Q180">
        <x:v>3</x:v>
      </x:c>
      <x:c r="R180" t="s">
        <x:v>95</x:v>
      </x:c>
      <x:c r="S180" t="s">
        <x:v>130</x:v>
      </x:c>
    </x:row>
    <x:row r="181">
      <x:c r="A181" s="13">
        <x:v>6</x:v>
      </x:c>
      <x:c r="B181" s="15">
        <x:v>3</x:v>
      </x:c>
      <x:c r="C181">
        <x:v>1</x:v>
      </x:c>
      <x:c r="D181">
        <x:v>3</x:v>
      </x:c>
      <x:c r="E181" s="18">
        <x:v>46215</x:v>
      </x:c>
      <x:c r="F181" t="s">
        <x:v>169</x:v>
      </x:c>
      <x:c r="G181" s="15" t="s">
        <x:v>22</x:v>
      </x:c>
      <x:c r="H181" s="20" t="s">
        <x:v>63</x:v>
      </x:c>
      <x:c r="I181" s="15" t="s">
        <x:v>124</x:v>
      </x:c>
      <x:c r="J181" s="15" t="str">
        <x:f t="shared" si="10"/>
        <x:v>Flashpoint</x:v>
      </x:c>
      <x:c r="L181" s="20" t="s">
        <x:v>63</x:v>
      </x:c>
      <x:c r="M181" s="20" t="s">
        <x:v>160</x:v>
      </x:c>
      <x:c r="N181" s="20" t="s">
        <x:v>151</x:v>
      </x:c>
      <x:c r="O181" s="2" t="str">
        <x:f t="shared" si="11"/>
        <x:v>260712_ROZE_T1_S3</x:v>
      </x:c>
      <x:c r="P181">
        <x:v>0</x:v>
      </x:c>
      <x:c r="Q181">
        <x:v>3</x:v>
      </x:c>
      <x:c r="R181" t="s">
        <x:v>95</x:v>
      </x:c>
      <x:c r="S181" t="s">
        <x:v>160</x:v>
      </x:c>
    </x:row>
    <x:row r="182">
      <x:c r="A182" s="13">
        <x:v>6</x:v>
      </x:c>
      <x:c r="B182" s="15">
        <x:v>3</x:v>
      </x:c>
      <x:c r="C182">
        <x:v>1</x:v>
      </x:c>
      <x:c r="D182">
        <x:v>4</x:v>
      </x:c>
      <x:c r="E182" s="18">
        <x:v>46215</x:v>
      </x:c>
      <x:c r="F182" t="s">
        <x:v>169</x:v>
      </x:c>
      <x:c r="G182" s="15" t="s">
        <x:v>22</x:v>
      </x:c>
      <x:c r="H182" s="20" t="s">
        <x:v>63</x:v>
      </x:c>
      <x:c r="I182" s="15" t="s">
        <x:v>168</x:v>
      </x:c>
      <x:c r="J182" s="15" t="str">
        <x:f t="shared" si="10"/>
        <x:v>Push</x:v>
      </x:c>
      <x:c r="L182" s="20" t="s">
        <x:v>22</x:v>
      </x:c>
      <x:c r="M182" s="20" t="s">
        <x:v>136</x:v>
      </x:c>
      <x:c r="N182" s="20" t="s">
        <x:v>109</x:v>
      </x:c>
      <x:c r="O182" s="2" t="str">
        <x:f t="shared" si="11"/>
        <x:v>260712_ROZE_T1_S4</x:v>
      </x:c>
      <x:c r="P182">
        <x:v>93.3</x:v>
      </x:c>
      <x:c r="Q182">
        <x:v>82.27</x:v>
      </x:c>
      <x:c r="R182" t="s">
        <x:v>95</x:v>
      </x:c>
      <x:c r="S182" t="s">
        <x:v>136</x:v>
      </x:c>
    </x:row>
    <x:row r="183">
      <x:c r="A183" s="13">
        <x:v>6</x:v>
      </x:c>
      <x:c r="B183" s="15">
        <x:v>3</x:v>
      </x:c>
      <x:c r="C183">
        <x:v>1</x:v>
      </x:c>
      <x:c r="D183">
        <x:v>5</x:v>
      </x:c>
      <x:c r="E183" s="18">
        <x:v>46215</x:v>
      </x:c>
      <x:c r="F183" t="s">
        <x:v>169</x:v>
      </x:c>
      <x:c r="G183" s="15" t="s">
        <x:v>22</x:v>
      </x:c>
      <x:c r="H183" s="20" t="s">
        <x:v>63</x:v>
      </x:c>
      <x:c r="I183" s="15" t="s">
        <x:v>166</x:v>
      </x:c>
      <x:c r="J183" s="15" t="str">
        <x:f t="shared" si="10"/>
        <x:v>Hybrid</x:v>
      </x:c>
      <x:c r="L183" s="20" t="s">
        <x:v>63</x:v>
      </x:c>
      <x:c r="M183" s="20" t="s">
        <x:v>111</x:v>
      </x:c>
      <x:c r="N183" s="20" t="s">
        <x:v>126</x:v>
      </x:c>
      <x:c r="O183" s="2" t="str">
        <x:f t="shared" si="11"/>
        <x:v>260712_ROZE_T1_S5</x:v>
      </x:c>
      <x:c r="P183">
        <x:v>0</x:v>
      </x:c>
      <x:c r="Q183">
        <x:v>3</x:v>
      </x:c>
      <x:c r="R183" t="s">
        <x:v>96</x:v>
      </x:c>
      <x:c r="S183" t="s">
        <x:v>126</x:v>
      </x:c>
    </x:row>
    <x:row r="184">
      <x:c r="A184" s="37">
        <x:v>6</x:v>
      </x:c>
      <x:c r="B184" s="31">
        <x:v>3</x:v>
      </x:c>
      <x:c r="C184" s="38">
        <x:v>2</x:v>
      </x:c>
      <x:c r="D184" s="38">
        <x:v>1</x:v>
      </x:c>
      <x:c r="E184" s="39">
        <x:v>46215</x:v>
      </x:c>
      <x:c r="F184" s="38" t="s">
        <x:v>169</x:v>
      </x:c>
      <x:c r="G184" s="31" t="s">
        <x:v>55</x:v>
      </x:c>
      <x:c r="H184" s="48" t="s">
        <x:v>47</x:v>
      </x:c>
      <x:c r="I184" s="31" t="s">
        <x:v>116</x:v>
      </x:c>
      <x:c r="J184" s="31" t="str">
        <x:f t="shared" si="10"/>
        <x:v>Control</x:v>
      </x:c>
      <x:c r="K184" s="40"/>
      <x:c r="L184" s="48" t="s">
        <x:v>55</x:v>
      </x:c>
      <x:c r="M184" s="48" t="s">
        <x:v>147</x:v>
      </x:c>
      <x:c r="N184" s="48" t="s">
        <x:v>136</x:v>
      </x:c>
      <x:c r="O184" s="33" t="str">
        <x:f t="shared" si="11"/>
        <x:v>260712_CR_ZETA_S1</x:v>
      </x:c>
      <x:c r="P184">
        <x:v>2</x:v>
      </x:c>
      <x:c r="Q184">
        <x:v>1</x:v>
      </x:c>
      <x:c r="R184" t="s">
        <x:v>96</x:v>
      </x:c>
      <x:c r="S184" t="s">
        <x:v>136</x:v>
      </x:c>
    </x:row>
    <x:row r="185">
      <x:c r="A185" s="37">
        <x:v>6</x:v>
      </x:c>
      <x:c r="B185" s="31">
        <x:v>3</x:v>
      </x:c>
      <x:c r="C185" s="38">
        <x:v>2</x:v>
      </x:c>
      <x:c r="D185" s="38">
        <x:v>2</x:v>
      </x:c>
      <x:c r="E185" s="39">
        <x:v>46215</x:v>
      </x:c>
      <x:c r="F185" s="38" t="s">
        <x:v>169</x:v>
      </x:c>
      <x:c r="G185" s="31" t="s">
        <x:v>55</x:v>
      </x:c>
      <x:c r="H185" s="48" t="s">
        <x:v>47</x:v>
      </x:c>
      <x:c r="I185" s="31" t="s">
        <x:v>124</x:v>
      </x:c>
      <x:c r="J185" s="31" t="str">
        <x:f t="shared" si="10"/>
        <x:v>Flashpoint</x:v>
      </x:c>
      <x:c r="K185" s="40"/>
      <x:c r="L185" s="48" t="s">
        <x:v>47</x:v>
      </x:c>
      <x:c r="M185" s="48" t="s">
        <x:v>143</x:v>
      </x:c>
      <x:c r="N185" s="48" t="s">
        <x:v>157</x:v>
      </x:c>
      <x:c r="O185" s="33" t="str">
        <x:f t="shared" si="11"/>
        <x:v>260712_CR_ZETA_S2</x:v>
      </x:c>
      <x:c r="P185">
        <x:v>2</x:v>
      </x:c>
      <x:c r="Q185">
        <x:v>3</x:v>
      </x:c>
      <x:c r="R185" t="s">
        <x:v>95</x:v>
      </x:c>
      <x:c r="S185" t="s">
        <x:v>143</x:v>
      </x:c>
    </x:row>
    <x:row r="186">
      <x:c r="A186" s="37">
        <x:v>6</x:v>
      </x:c>
      <x:c r="B186" s="31">
        <x:v>3</x:v>
      </x:c>
      <x:c r="C186" s="38">
        <x:v>2</x:v>
      </x:c>
      <x:c r="D186" s="38">
        <x:v>3</x:v>
      </x:c>
      <x:c r="E186" s="39">
        <x:v>46215</x:v>
      </x:c>
      <x:c r="F186" s="38" t="s">
        <x:v>169</x:v>
      </x:c>
      <x:c r="G186" s="31" t="s">
        <x:v>55</x:v>
      </x:c>
      <x:c r="H186" s="48" t="s">
        <x:v>47</x:v>
      </x:c>
      <x:c r="I186" s="31" t="s">
        <x:v>119</x:v>
      </x:c>
      <x:c r="J186" s="31" t="str">
        <x:f t="shared" si="10"/>
        <x:v>Hybrid</x:v>
      </x:c>
      <x:c r="K186" s="40"/>
      <x:c r="L186" s="48" t="s">
        <x:v>47</x:v>
      </x:c>
      <x:c r="M186" s="48" t="s">
        <x:v>126</x:v>
      </x:c>
      <x:c r="N186" s="48" t="s">
        <x:v>127</x:v>
      </x:c>
      <x:c r="O186" s="33" t="str">
        <x:f t="shared" si="11"/>
        <x:v>260712_CR_ZETA_S3</x:v>
      </x:c>
      <x:c r="P186">
        <x:v>1</x:v>
      </x:c>
      <x:c r="Q186">
        <x:v>2</x:v>
      </x:c>
      <x:c r="R186" t="s">
        <x:v>96</x:v>
      </x:c>
      <x:c r="S186" t="s">
        <x:v>127</x:v>
      </x:c>
    </x:row>
    <x:row r="187">
      <x:c r="A187" s="37">
        <x:v>6</x:v>
      </x:c>
      <x:c r="B187" s="31">
        <x:v>3</x:v>
      </x:c>
      <x:c r="C187" s="38">
        <x:v>2</x:v>
      </x:c>
      <x:c r="D187" s="38">
        <x:v>4</x:v>
      </x:c>
      <x:c r="E187" s="39">
        <x:v>46215</x:v>
      </x:c>
      <x:c r="F187" s="38" t="s">
        <x:v>169</x:v>
      </x:c>
      <x:c r="G187" s="31" t="s">
        <x:v>55</x:v>
      </x:c>
      <x:c r="H187" s="48" t="s">
        <x:v>47</x:v>
      </x:c>
      <x:c r="I187" s="31" t="s">
        <x:v>145</x:v>
      </x:c>
      <x:c r="J187" s="31" t="str">
        <x:f t="shared" si="10"/>
        <x:v>Escort</x:v>
      </x:c>
      <x:c r="K187" s="40"/>
      <x:c r="L187" s="48" t="s">
        <x:v>55</x:v>
      </x:c>
      <x:c r="M187" s="48" t="s">
        <x:v>132</x:v>
      </x:c>
      <x:c r="N187" s="48" t="s">
        <x:v>129</x:v>
      </x:c>
      <x:c r="O187" s="33" t="str">
        <x:f t="shared" si="11"/>
        <x:v>260712_CR_ZETA_S4</x:v>
      </x:c>
      <x:c r="P187">
        <x:v>3</x:v>
      </x:c>
      <x:c r="Q187">
        <x:v>2</x:v>
      </x:c>
      <x:c r="R187" t="s">
        <x:v>95</x:v>
      </x:c>
      <x:c r="S187" t="s">
        <x:v>132</x:v>
      </x:c>
    </x:row>
    <x:row r="188">
      <x:c r="A188" s="37">
        <x:v>6</x:v>
      </x:c>
      <x:c r="B188" s="31">
        <x:v>3</x:v>
      </x:c>
      <x:c r="C188" s="38">
        <x:v>2</x:v>
      </x:c>
      <x:c r="D188" s="38">
        <x:v>5</x:v>
      </x:c>
      <x:c r="E188" s="39">
        <x:v>46215</x:v>
      </x:c>
      <x:c r="F188" s="38" t="s">
        <x:v>169</x:v>
      </x:c>
      <x:c r="G188" s="31" t="s">
        <x:v>55</x:v>
      </x:c>
      <x:c r="H188" s="48" t="s">
        <x:v>47</x:v>
      </x:c>
      <x:c r="I188" s="31" t="s">
        <x:v>168</x:v>
      </x:c>
      <x:c r="J188" s="31" t="str">
        <x:f t="shared" si="10"/>
        <x:v>Push</x:v>
      </x:c>
      <x:c r="K188" s="40"/>
      <x:c r="L188" s="48" t="s">
        <x:v>47</x:v>
      </x:c>
      <x:c r="M188" s="48" t="s">
        <x:v>141</x:v>
      </x:c>
      <x:c r="N188" s="48" t="s">
        <x:v>135</x:v>
      </x:c>
      <x:c r="O188" s="33" t="str">
        <x:f t="shared" si="11"/>
        <x:v>260712_CR_ZETA_S5</x:v>
      </x:c>
      <x:c r="P188">
        <x:v>77.53</x:v>
      </x:c>
      <x:c r="Q188">
        <x:v>103.51</x:v>
      </x:c>
      <x:c r="R188" t="s">
        <x:v>96</x:v>
      </x:c>
      <x:c r="S188" t="s">
        <x:v>135</x:v>
      </x:c>
    </x:row>
    <x:row r="189">
      <x:c r="A189" s="37">
        <x:v>6</x:v>
      </x:c>
      <x:c r="B189" s="31">
        <x:v>3</x:v>
      </x:c>
      <x:c r="C189" s="38">
        <x:v>2</x:v>
      </x:c>
      <x:c r="D189" s="38">
        <x:v>6</x:v>
      </x:c>
      <x:c r="E189" s="39">
        <x:v>46215</x:v>
      </x:c>
      <x:c r="F189" s="38" t="s">
        <x:v>169</x:v>
      </x:c>
      <x:c r="G189" s="31" t="s">
        <x:v>55</x:v>
      </x:c>
      <x:c r="H189" s="48" t="s">
        <x:v>47</x:v>
      </x:c>
      <x:c r="I189" s="31" t="s">
        <x:v>166</x:v>
      </x:c>
      <x:c r="J189" s="31" t="str">
        <x:f t="shared" si="10"/>
        <x:v>Hybrid</x:v>
      </x:c>
      <x:c r="K189" s="40"/>
      <x:c r="L189" s="48" t="s">
        <x:v>47</x:v>
      </x:c>
      <x:c r="M189" s="48" t="s">
        <x:v>112</x:v>
      </x:c>
      <x:c r="N189" s="48" t="s">
        <x:v>117</x:v>
      </x:c>
      <x:c r="O189" s="33" t="str">
        <x:f t="shared" si="11"/>
        <x:v>260712_CR_ZETA_S6</x:v>
      </x:c>
      <x:c r="P189">
        <x:v>4</x:v>
      </x:c>
      <x:c r="Q189">
        <x:v>5</x:v>
      </x:c>
      <x:c r="R189" t="s">
        <x:v>95</x:v>
      </x:c>
      <x:c r="S189" t="s">
        <x:v>112</x:v>
      </x:c>
    </x:row>
    <x:row r="190">
      <x:c r="G190"/>
      <x:c r="J190"/>
    </x:row>
    <x:row r="191">
      <x:c r="G191"/>
      <x:c r="J191"/>
    </x:row>
    <x:row r="192">
      <x:c r="G192"/>
      <x:c r="J192"/>
    </x:row>
    <x:row r="193">
      <x:c r="G193"/>
      <x:c r="J193"/>
    </x:row>
    <x:row r="194">
      <x:c r="G194"/>
      <x:c r="J194"/>
    </x:row>
    <x:row r="195">
      <x:c r="G195"/>
      <x:c r="J195"/>
    </x:row>
    <x:row r="196">
      <x:c r="G196"/>
      <x:c r="J196"/>
    </x:row>
    <x:row r="197">
      <x:c r="G197"/>
      <x:c r="J197"/>
    </x:row>
    <x:row r="198">
      <x:c r="G198"/>
      <x:c r="J198"/>
    </x:row>
    <x:row r="199">
      <x:c r="G199"/>
      <x:c r="J199"/>
    </x:row>
    <x:row r="200">
      <x:c r="G200"/>
      <x:c r="J200"/>
    </x:row>
    <x:row r="201">
      <x:c r="G201"/>
      <x:c r="J2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7109375" defaultRowHeight="18"/>
  <x:cols>
    <x:col min="1" max="1" width="8.7109375" style="23" customWidth="1"/>
    <x:col min="2" max="2" width="10.85546875" style="25" customWidth="1"/>
    <x:col min="3" max="3" width="8.7109375" style="23" customWidth="1"/>
    <x:col min="4" max="4" width="15.28515625" style="23" customWidth="1"/>
    <x:col min="5" max="12" width="8.7109375" style="23" customWidth="1"/>
    <x:col min="13" max="13" width="16.7109375" style="23" customWidth="1"/>
    <x:col min="14" max="14" width="17.42578125" style="23" customWidth="1"/>
    <x:col min="15" max="15" width="8.7109375" style="23" customWidth="1"/>
    <x:col min="16" max="16384" width="8.7109375" style="23" customWidth="0"/>
  </x:cols>
  <x:sheetData>
    <x:row r="1">
      <x:c r="A1" s="4" t="s">
        <x:v>171</x:v>
      </x:c>
      <x:c r="B1" s="4" t="s">
        <x:v>172</x:v>
      </x:c>
      <x:c r="C1" s="4" t="s">
        <x:v>173</x:v>
      </x:c>
      <x:c r="D1" s="4" t="s">
        <x:v>174</x:v>
      </x:c>
      <x:c r="E1" s="4" t="s">
        <x:v>175</x:v>
      </x:c>
      <x:c r="F1" s="4" t="s">
        <x:v>176</x:v>
      </x:c>
      <x:c r="G1" s="4" t="s">
        <x:v>177</x:v>
      </x:c>
      <x:c r="H1" s="4" t="s">
        <x:v>178</x:v>
      </x:c>
      <x:c r="I1" s="4" t="s">
        <x:v>179</x:v>
      </x:c>
      <x:c r="J1" s="4" t="s">
        <x:v>180</x:v>
      </x:c>
      <x:c r="K1" s="4" t="s">
        <x:v>181</x:v>
      </x:c>
      <x:c r="L1" s="4" t="s">
        <x:v>182</x:v>
      </x:c>
      <x:c r="M1" s="4" t="s">
        <x:v>183</x:v>
      </x:c>
      <x:c r="N1" s="21" t="s">
        <x:v>103</x:v>
      </x:c>
    </x:row>
    <x:row r="2">
      <x:c r="A2" s="23" t="s">
        <x:v>6</x:v>
      </x:c>
      <x:c r="B2" s="23" t="s">
        <x:v>7</x:v>
      </x:c>
      <x:c r="C2" s="23" t="s">
        <x:v>8</x:v>
      </x:c>
      <x:c r="D2" s="23" t="s">
        <x:v>107</x:v>
      </x:c>
      <x:c r="E2" s="23" t="s">
        <x:v>184</x:v>
      </x:c>
      <x:c r="F2" s="23">
        <x:v>22</x:v>
      </x:c>
      <x:c r="G2" s="23">
        <x:v>2</x:v>
      </x:c>
      <x:c r="H2" s="23">
        <x:v>5</x:v>
      </x:c>
      <x:c r="I2" s="23">
        <x:v>6120</x:v>
      </x:c>
      <x:c r="J2" s="23">
        <x:v>1714</x:v>
      </x:c>
      <x:c r="K2" s="23">
        <x:v>4420</x:v>
      </x:c>
      <x:c r="L2" s="23" t="s">
        <x:v>185</x:v>
      </x:c>
      <x:c r="M2" s="23" t="e">
        <x:f t="shared" ref="M2:M65" si="0">L2*86400</x:f>
        <x:v>#VALUE!</x:v>
      </x:c>
      <x:c r="N2" s="24" t="str">
        <x:f t="array" ref="N2">INDEX('MATCH INFO'!O:O, INT((ROW()-2)/10)+2)</x:f>
        <x:v>260605_O2_ROZE_S1</x:v>
      </x:c>
    </x:row>
    <x:row r="3">
      <x:c r="A3" s="23" t="s">
        <x:v>6</x:v>
      </x:c>
      <x:c r="B3" s="23" t="s">
        <x:v>10</x:v>
      </x:c>
      <x:c r="C3" s="23" t="s">
        <x:v>11</x:v>
      </x:c>
      <x:c r="D3" s="23" t="s">
        <x:v>107</x:v>
      </x:c>
      <x:c r="E3" s="23" t="s">
        <x:v>184</x:v>
      </x:c>
      <x:c r="F3" s="23">
        <x:v>23</x:v>
      </x:c>
      <x:c r="G3" s="23">
        <x:v>3</x:v>
      </x:c>
      <x:c r="H3" s="23">
        <x:v>4</x:v>
      </x:c>
      <x:c r="I3" s="23">
        <x:v>10396</x:v>
      </x:c>
      <x:c r="J3" s="23">
        <x:v>60</x:v>
      </x:c>
      <x:c r="K3" s="23">
        <x:v>0</x:v>
      </x:c>
      <x:c r="L3" s="23" t="s">
        <x:v>185</x:v>
      </x:c>
      <x:c r="M3" s="23">
        <x:f t="shared" si="0"/>
        <x:v>579</x:v>
      </x:c>
      <x:c r="N3" s="24" t="str">
        <x:f t="array" ref="N3">INDEX('MATCH INFO'!O:O, INT((ROW()-2)/10)+2)</x:f>
        <x:v>260605_O2_ROZE_S1</x:v>
      </x:c>
    </x:row>
    <x:row r="4">
      <x:c r="A4" s="23" t="s">
        <x:v>6</x:v>
      </x:c>
      <x:c r="B4" s="23" t="s">
        <x:v>13</x:v>
      </x:c>
      <x:c r="C4" s="23" t="s">
        <x:v>11</x:v>
      </x:c>
      <x:c r="D4" s="23" t="s">
        <x:v>107</x:v>
      </x:c>
      <x:c r="E4" s="23" t="s">
        <x:v>184</x:v>
      </x:c>
      <x:c r="F4" s="23">
        <x:v>25</x:v>
      </x:c>
      <x:c r="G4" s="23">
        <x:v>2</x:v>
      </x:c>
      <x:c r="H4" s="23">
        <x:v>0</x:v>
      </x:c>
      <x:c r="I4" s="23">
        <x:v>10213</x:v>
      </x:c>
      <x:c r="J4" s="23">
        <x:v>0</x:v>
      </x:c>
      <x:c r="K4" s="23">
        <x:v>0</x:v>
      </x:c>
      <x:c r="L4" s="23" t="s">
        <x:v>185</x:v>
      </x:c>
      <x:c r="M4" s="23">
        <x:f t="shared" si="0"/>
        <x:v>579</x:v>
      </x:c>
      <x:c r="N4" s="24" t="str">
        <x:f t="array" ref="N4">INDEX('MATCH INFO'!O:O, INT((ROW()-2)/10)+2)</x:f>
        <x:v>260605_O2_ROZE_S1</x:v>
      </x:c>
    </x:row>
    <x:row r="5">
      <x:c r="A5" s="23" t="s">
        <x:v>6</x:v>
      </x:c>
      <x:c r="B5" s="23" t="s">
        <x:v>15</x:v>
      </x:c>
      <x:c r="C5" s="23" t="s">
        <x:v>16</x:v>
      </x:c>
      <x:c r="D5" s="23" t="s">
        <x:v>107</x:v>
      </x:c>
      <x:c r="E5" s="23" t="s">
        <x:v>184</x:v>
      </x:c>
      <x:c r="F5" s="23">
        <x:v>12</x:v>
      </x:c>
      <x:c r="G5" s="23">
        <x:v>4</x:v>
      </x:c>
      <x:c r="H5" s="23">
        <x:v>18</x:v>
      </x:c>
      <x:c r="I5" s="23">
        <x:v>3677</x:v>
      </x:c>
      <x:c r="J5" s="23">
        <x:v>6457</x:v>
      </x:c>
      <x:c r="K5" s="23">
        <x:v>3491</x:v>
      </x:c>
      <x:c r="L5" s="23" t="s">
        <x:v>185</x:v>
      </x:c>
      <x:c r="M5" s="23">
        <x:f t="shared" si="0"/>
        <x:v>579</x:v>
      </x:c>
      <x:c r="N5" s="24" t="str">
        <x:f t="array" ref="N5">INDEX('MATCH INFO'!O:O, INT((ROW()-2)/10)+2)</x:f>
        <x:v>260605_O2_ROZE_S1</x:v>
      </x:c>
    </x:row>
    <x:row r="6">
      <x:c r="A6" s="23" t="s">
        <x:v>6</x:v>
      </x:c>
      <x:c r="B6" s="23" t="s">
        <x:v>18</x:v>
      </x:c>
      <x:c r="C6" s="23" t="s">
        <x:v>16</x:v>
      </x:c>
      <x:c r="D6" s="23" t="s">
        <x:v>107</x:v>
      </x:c>
      <x:c r="E6" s="23" t="s">
        <x:v>184</x:v>
      </x:c>
      <x:c r="F6" s="23">
        <x:v>12</x:v>
      </x:c>
      <x:c r="G6" s="23">
        <x:v>17</x:v>
      </x:c>
      <x:c r="H6" s="23">
        <x:v>5</x:v>
      </x:c>
      <x:c r="I6" s="23">
        <x:v>3185</x:v>
      </x:c>
      <x:c r="J6" s="23">
        <x:v>6147</x:v>
      </x:c>
      <x:c r="K6" s="23">
        <x:v>469</x:v>
      </x:c>
      <x:c r="L6" s="23" t="s">
        <x:v>185</x:v>
      </x:c>
      <x:c r="M6" s="23">
        <x:f t="shared" si="0"/>
        <x:v>579</x:v>
      </x:c>
      <x:c r="N6" s="24" t="str">
        <x:f t="array" ref="N6">INDEX('MATCH INFO'!O:O, INT((ROW()-2)/10)+2)</x:f>
        <x:v>260605_O2_ROZE_S1</x:v>
      </x:c>
    </x:row>
    <x:row r="7">
      <x:c r="A7" s="23" t="s">
        <x:v>22</x:v>
      </x:c>
      <x:c r="B7" s="23" t="s">
        <x:v>23</x:v>
      </x:c>
      <x:c r="C7" s="23" t="s">
        <x:v>8</x:v>
      </x:c>
      <x:c r="D7" s="23" t="s">
        <x:v>107</x:v>
      </x:c>
      <x:c r="E7" s="23" t="s">
        <x:v>184</x:v>
      </x:c>
      <x:c r="F7" s="23">
        <x:v>8</x:v>
      </x:c>
      <x:c r="G7" s="23">
        <x:v>8</x:v>
      </x:c>
      <x:c r="H7" s="23">
        <x:v>5</x:v>
      </x:c>
      <x:c r="I7" s="23">
        <x:v>6686</x:v>
      </x:c>
      <x:c r="J7" s="23">
        <x:v>686</x:v>
      </x:c>
      <x:c r="K7" s="23">
        <x:v>3654</x:v>
      </x:c>
      <x:c r="L7" s="23" t="s">
        <x:v>185</x:v>
      </x:c>
      <x:c r="M7" s="23">
        <x:f t="shared" si="0"/>
        <x:v>579</x:v>
      </x:c>
      <x:c r="N7" s="24" t="str">
        <x:f t="array" ref="N7">INDEX('MATCH INFO'!O:O, INT((ROW()-2)/10)+2)</x:f>
        <x:v>260605_O2_ROZE_S1</x:v>
      </x:c>
    </x:row>
    <x:row r="8">
      <x:c r="A8" s="23" t="s">
        <x:v>22</x:v>
      </x:c>
      <x:c r="B8" s="23" t="s">
        <x:v>25</x:v>
      </x:c>
      <x:c r="C8" s="23" t="s">
        <x:v>11</x:v>
      </x:c>
      <x:c r="D8" s="23" t="s">
        <x:v>107</x:v>
      </x:c>
      <x:c r="E8" s="23" t="s">
        <x:v>184</x:v>
      </x:c>
      <x:c r="F8" s="23">
        <x:v>10</x:v>
      </x:c>
      <x:c r="G8" s="23">
        <x:v>6</x:v>
      </x:c>
      <x:c r="H8" s="23">
        <x:v>1</x:v>
      </x:c>
      <x:c r="I8" s="23">
        <x:v>6624</x:v>
      </x:c>
      <x:c r="J8" s="23">
        <x:v>220</x:v>
      </x:c>
      <x:c r="K8" s="23">
        <x:v>933</x:v>
      </x:c>
      <x:c r="L8" s="23" t="s">
        <x:v>185</x:v>
      </x:c>
      <x:c r="M8" s="23">
        <x:f t="shared" si="0"/>
        <x:v>579</x:v>
      </x:c>
      <x:c r="N8" s="24" t="str">
        <x:f t="array" ref="N8">INDEX('MATCH INFO'!O:O, INT((ROW()-2)/10)+2)</x:f>
        <x:v>260605_O2_ROZE_S1</x:v>
      </x:c>
    </x:row>
    <x:row r="9">
      <x:c r="A9" s="23" t="s">
        <x:v>22</x:v>
      </x:c>
      <x:c r="B9" s="23" t="s">
        <x:v>26</x:v>
      </x:c>
      <x:c r="C9" s="23" t="s">
        <x:v>11</x:v>
      </x:c>
      <x:c r="D9" s="23" t="s">
        <x:v>107</x:v>
      </x:c>
      <x:c r="E9" s="23" t="s">
        <x:v>184</x:v>
      </x:c>
      <x:c r="F9" s="23">
        <x:v>10</x:v>
      </x:c>
      <x:c r="G9" s="23">
        <x:v>9</x:v>
      </x:c>
      <x:c r="H9" s="23">
        <x:v>0</x:v>
      </x:c>
      <x:c r="I9" s="23">
        <x:v>9396</x:v>
      </x:c>
      <x:c r="J9" s="23">
        <x:v>244</x:v>
      </x:c>
      <x:c r="K9" s="23">
        <x:v>142</x:v>
      </x:c>
      <x:c r="L9" s="23" t="s">
        <x:v>185</x:v>
      </x:c>
      <x:c r="M9" s="23">
        <x:f t="shared" si="0"/>
        <x:v>579</x:v>
      </x:c>
      <x:c r="N9" s="24" t="str">
        <x:f t="array" ref="N9">INDEX('MATCH INFO'!O:O, INT((ROW()-2)/10)+2)</x:f>
        <x:v>260605_O2_ROZE_S1</x:v>
      </x:c>
    </x:row>
    <x:row r="10">
      <x:c r="A10" s="23" t="s">
        <x:v>22</x:v>
      </x:c>
      <x:c r="B10" s="23" t="s">
        <x:v>28</x:v>
      </x:c>
      <x:c r="C10" s="23" t="s">
        <x:v>16</x:v>
      </x:c>
      <x:c r="D10" s="23" t="s">
        <x:v>107</x:v>
      </x:c>
      <x:c r="E10" s="23" t="s">
        <x:v>184</x:v>
      </x:c>
      <x:c r="F10" s="23">
        <x:v>5</x:v>
      </x:c>
      <x:c r="G10" s="23">
        <x:v>6</x:v>
      </x:c>
      <x:c r="H10" s="23">
        <x:v>11</x:v>
      </x:c>
      <x:c r="I10" s="23">
        <x:v>2641</x:v>
      </x:c>
      <x:c r="J10" s="23">
        <x:v>6350</x:v>
      </x:c>
      <x:c r="K10" s="23">
        <x:v>600</x:v>
      </x:c>
      <x:c r="L10" s="23" t="s">
        <x:v>185</x:v>
      </x:c>
      <x:c r="M10" s="23">
        <x:f t="shared" si="0"/>
        <x:v>579</x:v>
      </x:c>
      <x:c r="N10" s="24" t="str">
        <x:f t="array" ref="N10">INDEX('MATCH INFO'!O:O, INT((ROW()-2)/10)+2)</x:f>
        <x:v>260605_O2_ROZE_S1</x:v>
      </x:c>
    </x:row>
    <x:row r="11">
      <x:c r="A11" s="23" t="s">
        <x:v>22</x:v>
      </x:c>
      <x:c r="B11" s="23" t="s">
        <x:v>29</x:v>
      </x:c>
      <x:c r="C11" s="23" t="s">
        <x:v>16</x:v>
      </x:c>
      <x:c r="D11" s="23" t="s">
        <x:v>107</x:v>
      </x:c>
      <x:c r="E11" s="23" t="s">
        <x:v>184</x:v>
      </x:c>
      <x:c r="F11" s="23">
        <x:v>4</x:v>
      </x:c>
      <x:c r="G11" s="23">
        <x:v>7</x:v>
      </x:c>
      <x:c r="H11" s="23">
        <x:v>13</x:v>
      </x:c>
      <x:c r="I11" s="23">
        <x:v>3521</x:v>
      </x:c>
      <x:c r="J11" s="23">
        <x:v>9034</x:v>
      </x:c>
      <x:c r="K11" s="23">
        <x:v>0</x:v>
      </x:c>
      <x:c r="L11" s="23" t="s">
        <x:v>185</x:v>
      </x:c>
      <x:c r="M11" s="23">
        <x:f t="shared" si="0"/>
        <x:v>579</x:v>
      </x:c>
      <x:c r="N11" s="24" t="str">
        <x:f t="array" ref="N11">INDEX('MATCH INFO'!O:O, INT((ROW()-2)/10)+2)</x:f>
        <x:v>260605_O2_ROZE_S1</x:v>
      </x:c>
    </x:row>
    <x:row r="12">
      <x:c r="A12" s="23" t="s">
        <x:v>6</x:v>
      </x:c>
      <x:c r="B12" s="23" t="s">
        <x:v>9</x:v>
      </x:c>
      <x:c r="C12" s="23" t="s">
        <x:v>8</x:v>
      </x:c>
      <x:c r="D12" s="23" t="s">
        <x:v>110</x:v>
      </x:c>
      <x:c r="E12" s="23" t="s">
        <x:v>186</x:v>
      </x:c>
      <x:c r="F12" s="23">
        <x:v>20</x:v>
      </x:c>
      <x:c r="G12" s="23">
        <x:v>5</x:v>
      </x:c>
      <x:c r="H12" s="23">
        <x:v>2</x:v>
      </x:c>
      <x:c r="I12" s="23">
        <x:v>15181</x:v>
      </x:c>
      <x:c r="J12" s="23">
        <x:v>0</x:v>
      </x:c>
      <x:c r="K12" s="23">
        <x:v>31167</x:v>
      </x:c>
      <x:c r="L12" s="23" t="s">
        <x:v>187</x:v>
      </x:c>
      <x:c r="M12" s="23">
        <x:f t="shared" si="0"/>
        <x:v>900</x:v>
      </x:c>
      <x:c r="N12" s="24" t="str">
        <x:f t="array" ref="N12">INDEX('MATCH INFO'!O:O, INT((ROW()-2)/10)+2)</x:f>
        <x:v>260605_O2_ROZE_S2</x:v>
      </x:c>
    </x:row>
    <x:row r="13">
      <x:c r="A13" s="23" t="s">
        <x:v>6</x:v>
      </x:c>
      <x:c r="B13" s="23" t="s">
        <x:v>10</x:v>
      </x:c>
      <x:c r="C13" s="23" t="s">
        <x:v>11</x:v>
      </x:c>
      <x:c r="D13" s="23" t="s">
        <x:v>110</x:v>
      </x:c>
      <x:c r="E13" s="23" t="s">
        <x:v>186</x:v>
      </x:c>
      <x:c r="F13" s="23">
        <x:v>17</x:v>
      </x:c>
      <x:c r="G13" s="23">
        <x:v>7</x:v>
      </x:c>
      <x:c r="H13" s="23">
        <x:v>0</x:v>
      </x:c>
      <x:c r="I13" s="23">
        <x:v>10272</x:v>
      </x:c>
      <x:c r="J13" s="23">
        <x:v>165</x:v>
      </x:c>
      <x:c r="K13" s="23">
        <x:v>0</x:v>
      </x:c>
      <x:c r="L13" s="23" t="s">
        <x:v>187</x:v>
      </x:c>
      <x:c r="M13" s="23">
        <x:f t="shared" si="0"/>
        <x:v>900</x:v>
      </x:c>
      <x:c r="N13" s="24" t="str">
        <x:f t="array" ref="N13">INDEX('MATCH INFO'!O:O, INT((ROW()-2)/10)+2)</x:f>
        <x:v>260605_O2_ROZE_S2</x:v>
      </x:c>
    </x:row>
    <x:row r="14">
      <x:c r="A14" s="23" t="s">
        <x:v>6</x:v>
      </x:c>
      <x:c r="B14" s="23" t="s">
        <x:v>13</x:v>
      </x:c>
      <x:c r="C14" s="23" t="s">
        <x:v>11</x:v>
      </x:c>
      <x:c r="D14" s="23" t="s">
        <x:v>110</x:v>
      </x:c>
      <x:c r="E14" s="23" t="s">
        <x:v>186</x:v>
      </x:c>
      <x:c r="F14" s="23">
        <x:v>23</x:v>
      </x:c>
      <x:c r="G14" s="23">
        <x:v>9</x:v>
      </x:c>
      <x:c r="H14" s="23">
        <x:v>0</x:v>
      </x:c>
      <x:c r="I14" s="23">
        <x:v>10353</x:v>
      </x:c>
      <x:c r="J14" s="23">
        <x:v>0</x:v>
      </x:c>
      <x:c r="K14" s="23">
        <x:v>0</x:v>
      </x:c>
      <x:c r="L14" s="23" t="s">
        <x:v>187</x:v>
      </x:c>
      <x:c r="M14" s="23">
        <x:f t="shared" si="0"/>
        <x:v>900</x:v>
      </x:c>
      <x:c r="N14" s="24" t="str">
        <x:f t="array" ref="N14">INDEX('MATCH INFO'!O:O, INT((ROW()-2)/10)+2)</x:f>
        <x:v>260605_O2_ROZE_S2</x:v>
      </x:c>
    </x:row>
    <x:row r="15">
      <x:c r="A15" s="23" t="s">
        <x:v>6</x:v>
      </x:c>
      <x:c r="B15" s="23" t="s">
        <x:v>15</x:v>
      </x:c>
      <x:c r="C15" s="23" t="s">
        <x:v>16</x:v>
      </x:c>
      <x:c r="D15" s="23" t="s">
        <x:v>110</x:v>
      </x:c>
      <x:c r="E15" s="23" t="s">
        <x:v>186</x:v>
      </x:c>
      <x:c r="F15" s="23">
        <x:v>17</x:v>
      </x:c>
      <x:c r="G15" s="23">
        <x:v>5</x:v>
      </x:c>
      <x:c r="H15" s="23">
        <x:v>18</x:v>
      </x:c>
      <x:c r="I15" s="23">
        <x:v>5340</x:v>
      </x:c>
      <x:c r="J15" s="23">
        <x:v>10974</x:v>
      </x:c>
      <x:c r="K15" s="23">
        <x:v>2289</x:v>
      </x:c>
      <x:c r="L15" s="23" t="s">
        <x:v>187</x:v>
      </x:c>
      <x:c r="M15" s="23">
        <x:f t="shared" si="0"/>
        <x:v>900</x:v>
      </x:c>
      <x:c r="N15" s="24" t="str">
        <x:f t="array" ref="N15">INDEX('MATCH INFO'!O:O, INT((ROW()-2)/10)+2)</x:f>
        <x:v>260605_O2_ROZE_S2</x:v>
      </x:c>
    </x:row>
    <x:row r="16">
      <x:c r="A16" s="23" t="s">
        <x:v>6</x:v>
      </x:c>
      <x:c r="B16" s="23" t="s">
        <x:v>18</x:v>
      </x:c>
      <x:c r="C16" s="23" t="s">
        <x:v>16</x:v>
      </x:c>
      <x:c r="D16" s="23" t="s">
        <x:v>110</x:v>
      </x:c>
      <x:c r="E16" s="23" t="s">
        <x:v>186</x:v>
      </x:c>
      <x:c r="F16" s="23">
        <x:v>13</x:v>
      </x:c>
      <x:c r="G16" s="23">
        <x:v>3</x:v>
      </x:c>
      <x:c r="H16" s="23">
        <x:v>23</x:v>
      </x:c>
      <x:c r="I16" s="23">
        <x:v>5135</x:v>
      </x:c>
      <x:c r="J16" s="23">
        <x:v>16124</x:v>
      </x:c>
      <x:c r="K16" s="23">
        <x:v>0</x:v>
      </x:c>
      <x:c r="L16" s="23" t="s">
        <x:v>187</x:v>
      </x:c>
      <x:c r="M16" s="23">
        <x:f t="shared" si="0"/>
        <x:v>900</x:v>
      </x:c>
      <x:c r="N16" s="24" t="str">
        <x:f t="array" ref="N16">INDEX('MATCH INFO'!O:O, INT((ROW()-2)/10)+2)</x:f>
        <x:v>260605_O2_ROZE_S2</x:v>
      </x:c>
    </x:row>
    <x:row r="17">
      <x:c r="A17" s="23" t="s">
        <x:v>22</x:v>
      </x:c>
      <x:c r="B17" s="23" t="s">
        <x:v>23</x:v>
      </x:c>
      <x:c r="C17" s="23" t="s">
        <x:v>8</x:v>
      </x:c>
      <x:c r="D17" s="23" t="s">
        <x:v>110</x:v>
      </x:c>
      <x:c r="E17" s="23" t="s">
        <x:v>186</x:v>
      </x:c>
      <x:c r="F17" s="23">
        <x:v>19</x:v>
      </x:c>
      <x:c r="G17" s="23">
        <x:v>7</x:v>
      </x:c>
      <x:c r="H17" s="23">
        <x:v>1</x:v>
      </x:c>
      <x:c r="I17" s="23">
        <x:v>11586</x:v>
      </x:c>
      <x:c r="J17" s="23">
        <x:v>69</x:v>
      </x:c>
      <x:c r="K17" s="23">
        <x:v>25042</x:v>
      </x:c>
      <x:c r="L17" s="23" t="s">
        <x:v>187</x:v>
      </x:c>
      <x:c r="M17" s="23">
        <x:f t="shared" si="0"/>
        <x:v>900</x:v>
      </x:c>
      <x:c r="N17" s="24" t="str">
        <x:f t="array" ref="N17">INDEX('MATCH INFO'!O:O, INT((ROW()-2)/10)+2)</x:f>
        <x:v>260605_O2_ROZE_S2</x:v>
      </x:c>
    </x:row>
    <x:row r="18">
      <x:c r="A18" s="23" t="s">
        <x:v>22</x:v>
      </x:c>
      <x:c r="B18" s="23" t="s">
        <x:v>25</x:v>
      </x:c>
      <x:c r="C18" s="23" t="s">
        <x:v>11</x:v>
      </x:c>
      <x:c r="D18" s="23" t="s">
        <x:v>110</x:v>
      </x:c>
      <x:c r="E18" s="23" t="s">
        <x:v>186</x:v>
      </x:c>
      <x:c r="F18" s="23">
        <x:v>11</x:v>
      </x:c>
      <x:c r="G18" s="23">
        <x:v>12</x:v>
      </x:c>
      <x:c r="H18" s="23">
        <x:v>2</x:v>
      </x:c>
      <x:c r="I18" s="23">
        <x:v>8055</x:v>
      </x:c>
      <x:c r="J18" s="23">
        <x:v>1040</x:v>
      </x:c>
      <x:c r="K18" s="23">
        <x:v>4453</x:v>
      </x:c>
      <x:c r="L18" s="23" t="s">
        <x:v>187</x:v>
      </x:c>
      <x:c r="M18" s="23">
        <x:f t="shared" si="0"/>
        <x:v>900</x:v>
      </x:c>
      <x:c r="N18" s="24" t="str">
        <x:f t="array" ref="N18">INDEX('MATCH INFO'!O:O, INT((ROW()-2)/10)+2)</x:f>
        <x:v>260605_O2_ROZE_S2</x:v>
      </x:c>
    </x:row>
    <x:row r="19">
      <x:c r="A19" s="23" t="s">
        <x:v>22</x:v>
      </x:c>
      <x:c r="B19" s="23" t="s">
        <x:v>26</x:v>
      </x:c>
      <x:c r="C19" s="23" t="s">
        <x:v>11</x:v>
      </x:c>
      <x:c r="D19" s="23" t="s">
        <x:v>110</x:v>
      </x:c>
      <x:c r="E19" s="23" t="s">
        <x:v>186</x:v>
      </x:c>
      <x:c r="F19" s="23">
        <x:v>20</x:v>
      </x:c>
      <x:c r="G19" s="23">
        <x:v>4</x:v>
      </x:c>
      <x:c r="H19" s="23">
        <x:v>0</x:v>
      </x:c>
      <x:c r="I19" s="23">
        <x:v>14107</x:v>
      </x:c>
      <x:c r="J19" s="23">
        <x:v>0</x:v>
      </x:c>
      <x:c r="K19" s="23">
        <x:v>0</x:v>
      </x:c>
      <x:c r="L19" s="23" t="s">
        <x:v>187</x:v>
      </x:c>
      <x:c r="M19" s="23">
        <x:f t="shared" si="0"/>
        <x:v>900</x:v>
      </x:c>
      <x:c r="N19" s="24" t="str">
        <x:f t="array" ref="N19">INDEX('MATCH INFO'!O:O, INT((ROW()-2)/10)+2)</x:f>
        <x:v>260605_O2_ROZE_S2</x:v>
      </x:c>
    </x:row>
    <x:row r="20">
      <x:c r="A20" s="23" t="s">
        <x:v>22</x:v>
      </x:c>
      <x:c r="B20" s="23" t="s">
        <x:v>28</x:v>
      </x:c>
      <x:c r="C20" s="23" t="s">
        <x:v>16</x:v>
      </x:c>
      <x:c r="D20" s="23" t="s">
        <x:v>110</x:v>
      </x:c>
      <x:c r="E20" s="23" t="s">
        <x:v>186</x:v>
      </x:c>
      <x:c r="F20" s="23">
        <x:v>9</x:v>
      </x:c>
      <x:c r="G20" s="23">
        <x:v>8</x:v>
      </x:c>
      <x:c r="H20" s="23">
        <x:v>16</x:v>
      </x:c>
      <x:c r="I20" s="23">
        <x:v>5763</x:v>
      </x:c>
      <x:c r="J20" s="23">
        <x:v>12323</x:v>
      </x:c>
      <x:c r="K20" s="23">
        <x:v>2339</x:v>
      </x:c>
      <x:c r="L20" s="23" t="s">
        <x:v>187</x:v>
      </x:c>
      <x:c r="M20" s="23">
        <x:f t="shared" si="0"/>
        <x:v>900</x:v>
      </x:c>
      <x:c r="N20" s="24" t="str">
        <x:f t="array" ref="N20">INDEX('MATCH INFO'!O:O, INT((ROW()-2)/10)+2)</x:f>
        <x:v>260605_O2_ROZE_S2</x:v>
      </x:c>
    </x:row>
    <x:row r="21">
      <x:c r="A21" s="23" t="s">
        <x:v>22</x:v>
      </x:c>
      <x:c r="B21" s="23" t="s">
        <x:v>29</x:v>
      </x:c>
      <x:c r="C21" s="23" t="s">
        <x:v>16</x:v>
      </x:c>
      <x:c r="D21" s="23" t="s">
        <x:v>110</x:v>
      </x:c>
      <x:c r="E21" s="23" t="s">
        <x:v>186</x:v>
      </x:c>
      <x:c r="F21" s="23">
        <x:v>14</x:v>
      </x:c>
      <x:c r="G21" s="23">
        <x:v>4</x:v>
      </x:c>
      <x:c r="H21" s="23">
        <x:v>18</x:v>
      </x:c>
      <x:c r="I21" s="23">
        <x:v>4507</x:v>
      </x:c>
      <x:c r="J21" s="23">
        <x:v>16727</x:v>
      </x:c>
      <x:c r="K21" s="23">
        <x:v>0</x:v>
      </x:c>
      <x:c r="L21" s="23" t="s">
        <x:v>187</x:v>
      </x:c>
      <x:c r="M21" s="23">
        <x:f t="shared" si="0"/>
        <x:v>900</x:v>
      </x:c>
      <x:c r="N21" s="24" t="str">
        <x:f t="array" ref="N21">INDEX('MATCH INFO'!O:O, INT((ROW()-2)/10)+2)</x:f>
        <x:v>260605_O2_ROZE_S2</x:v>
      </x:c>
    </x:row>
    <x:row r="22">
      <x:c r="A22" s="23" t="s">
        <x:v>6</x:v>
      </x:c>
      <x:c r="B22" s="23" t="s">
        <x:v>9</x:v>
      </x:c>
      <x:c r="C22" s="23" t="s">
        <x:v>8</x:v>
      </x:c>
      <x:c r="D22" s="23" t="s">
        <x:v>113</x:v>
      </x:c>
      <x:c r="E22" s="23" t="s">
        <x:v>188</x:v>
      </x:c>
      <x:c r="F22" s="23">
        <x:v>18</x:v>
      </x:c>
      <x:c r="G22" s="23">
        <x:v>4</x:v>
      </x:c>
      <x:c r="H22" s="23">
        <x:v>6</x:v>
      </x:c>
      <x:c r="I22" s="23">
        <x:v>11241</x:v>
      </x:c>
      <x:c r="J22" s="23">
        <x:v>485</x:v>
      </x:c>
      <x:c r="K22" s="23">
        <x:v>14366</x:v>
      </x:c>
      <x:c r="L22" s="23" t="s">
        <x:v>189</x:v>
      </x:c>
      <x:c r="M22" s="23">
        <x:f t="shared" si="0"/>
        <x:v>640</x:v>
      </x:c>
      <x:c r="N22" s="24" t="str">
        <x:f t="array" ref="N22">INDEX('MATCH INFO'!O:O, INT((ROW()-2)/10)+2)</x:f>
        <x:v>260605_O2_ROZE_S3</x:v>
      </x:c>
    </x:row>
    <x:row r="23">
      <x:c r="A23" s="23" t="s">
        <x:v>6</x:v>
      </x:c>
      <x:c r="B23" s="23" t="s">
        <x:v>10</x:v>
      </x:c>
      <x:c r="C23" s="23" t="s">
        <x:v>11</x:v>
      </x:c>
      <x:c r="D23" s="23" t="s">
        <x:v>113</x:v>
      </x:c>
      <x:c r="E23" s="23" t="s">
        <x:v>188</x:v>
      </x:c>
      <x:c r="F23" s="23">
        <x:v>20</x:v>
      </x:c>
      <x:c r="G23" s="23">
        <x:v>4</x:v>
      </x:c>
      <x:c r="H23" s="23">
        <x:v>0</x:v>
      </x:c>
      <x:c r="I23" s="23">
        <x:v>7299</x:v>
      </x:c>
      <x:c r="J23" s="23">
        <x:v>36</x:v>
      </x:c>
      <x:c r="K23" s="23">
        <x:v>141</x:v>
      </x:c>
      <x:c r="L23" s="23" t="s">
        <x:v>189</x:v>
      </x:c>
      <x:c r="M23" s="23">
        <x:f t="shared" si="0"/>
        <x:v>640</x:v>
      </x:c>
      <x:c r="N23" s="24" t="str">
        <x:f t="array" ref="N23">INDEX('MATCH INFO'!O:O, INT((ROW()-2)/10)+2)</x:f>
        <x:v>260605_O2_ROZE_S3</x:v>
      </x:c>
    </x:row>
    <x:row r="24">
      <x:c r="A24" s="23" t="s">
        <x:v>6</x:v>
      </x:c>
      <x:c r="B24" s="23" t="s">
        <x:v>13</x:v>
      </x:c>
      <x:c r="C24" s="23" t="s">
        <x:v>11</x:v>
      </x:c>
      <x:c r="D24" s="23" t="s">
        <x:v>113</x:v>
      </x:c>
      <x:c r="E24" s="23" t="s">
        <x:v>188</x:v>
      </x:c>
      <x:c r="F24" s="23">
        <x:v>21</x:v>
      </x:c>
      <x:c r="G24" s="23">
        <x:v>4</x:v>
      </x:c>
      <x:c r="H24" s="23">
        <x:v>3</x:v>
      </x:c>
      <x:c r="I24" s="23">
        <x:v>13703</x:v>
      </x:c>
      <x:c r="J24" s="23">
        <x:v>19</x:v>
      </x:c>
      <x:c r="K24" s="23">
        <x:v>749</x:v>
      </x:c>
      <x:c r="L24" s="23" t="s">
        <x:v>189</x:v>
      </x:c>
      <x:c r="M24" s="23">
        <x:f t="shared" si="0"/>
        <x:v>640</x:v>
      </x:c>
      <x:c r="N24" s="24" t="str">
        <x:f t="array" ref="N24">INDEX('MATCH INFO'!O:O, INT((ROW()-2)/10)+2)</x:f>
        <x:v>260605_O2_ROZE_S3</x:v>
      </x:c>
    </x:row>
    <x:row r="25">
      <x:c r="A25" s="23" t="s">
        <x:v>6</x:v>
      </x:c>
      <x:c r="B25" s="23" t="s">
        <x:v>15</x:v>
      </x:c>
      <x:c r="C25" s="23" t="s">
        <x:v>16</x:v>
      </x:c>
      <x:c r="D25" s="23" t="s">
        <x:v>113</x:v>
      </x:c>
      <x:c r="E25" s="23" t="s">
        <x:v>188</x:v>
      </x:c>
      <x:c r="F25" s="23">
        <x:v>9</x:v>
      </x:c>
      <x:c r="G25" s="23">
        <x:v>16</x:v>
      </x:c>
      <x:c r="H25" s="23">
        <x:v>3</x:v>
      </x:c>
      <x:c r="I25" s="23">
        <x:v>1606</x:v>
      </x:c>
      <x:c r="J25" s="23">
        <x:v>7562</x:v>
      </x:c>
      <x:c r="K25" s="23">
        <x:v>0</x:v>
      </x:c>
      <x:c r="L25" s="23" t="s">
        <x:v>189</x:v>
      </x:c>
      <x:c r="M25" s="23">
        <x:f t="shared" si="0"/>
        <x:v>640</x:v>
      </x:c>
      <x:c r="N25" s="24" t="str">
        <x:f t="array" ref="N25">INDEX('MATCH INFO'!O:O, INT((ROW()-2)/10)+2)</x:f>
        <x:v>260605_O2_ROZE_S3</x:v>
      </x:c>
    </x:row>
    <x:row r="26">
      <x:c r="A26" s="23" t="s">
        <x:v>6</x:v>
      </x:c>
      <x:c r="B26" s="23" t="s">
        <x:v>18</x:v>
      </x:c>
      <x:c r="C26" s="23" t="s">
        <x:v>16</x:v>
      </x:c>
      <x:c r="D26" s="23" t="s">
        <x:v>113</x:v>
      </x:c>
      <x:c r="E26" s="23" t="s">
        <x:v>188</x:v>
      </x:c>
      <x:c r="F26" s="23">
        <x:v>14</x:v>
      </x:c>
      <x:c r="G26" s="23">
        <x:v>13</x:v>
      </x:c>
      <x:c r="H26" s="23">
        <x:v>6</x:v>
      </x:c>
      <x:c r="I26" s="23">
        <x:v>4690</x:v>
      </x:c>
      <x:c r="J26" s="23">
        <x:v>8770</x:v>
      </x:c>
      <x:c r="K26" s="23">
        <x:v>0</x:v>
      </x:c>
      <x:c r="L26" s="23" t="s">
        <x:v>189</x:v>
      </x:c>
      <x:c r="M26" s="23">
        <x:f t="shared" si="0"/>
        <x:v>640</x:v>
      </x:c>
      <x:c r="N26" s="24" t="str">
        <x:f t="array" ref="N26">INDEX('MATCH INFO'!O:O, INT((ROW()-2)/10)+2)</x:f>
        <x:v>260605_O2_ROZE_S3</x:v>
      </x:c>
    </x:row>
    <x:row r="27">
      <x:c r="A27" s="23" t="s">
        <x:v>22</x:v>
      </x:c>
      <x:c r="B27" s="23" t="s">
        <x:v>23</x:v>
      </x:c>
      <x:c r="C27" s="23" t="s">
        <x:v>8</x:v>
      </x:c>
      <x:c r="D27" s="23" t="s">
        <x:v>113</x:v>
      </x:c>
      <x:c r="E27" s="23" t="s">
        <x:v>188</x:v>
      </x:c>
      <x:c r="F27" s="23">
        <x:v>13</x:v>
      </x:c>
      <x:c r="G27" s="23">
        <x:v>6</x:v>
      </x:c>
      <x:c r="H27" s="23">
        <x:v>4</x:v>
      </x:c>
      <x:c r="I27" s="23">
        <x:v>7427</x:v>
      </x:c>
      <x:c r="J27" s="23">
        <x:v>1151</x:v>
      </x:c>
      <x:c r="K27" s="23">
        <x:v>13703</x:v>
      </x:c>
      <x:c r="L27" s="23" t="s">
        <x:v>189</x:v>
      </x:c>
      <x:c r="M27" s="23">
        <x:f t="shared" si="0"/>
        <x:v>640</x:v>
      </x:c>
      <x:c r="N27" s="24" t="str">
        <x:f t="array" ref="N27">INDEX('MATCH INFO'!O:O, INT((ROW()-2)/10)+2)</x:f>
        <x:v>260605_O2_ROZE_S3</x:v>
      </x:c>
    </x:row>
    <x:row r="28">
      <x:c r="A28" s="23" t="s">
        <x:v>22</x:v>
      </x:c>
      <x:c r="B28" s="23" t="s">
        <x:v>25</x:v>
      </x:c>
      <x:c r="C28" s="23" t="s">
        <x:v>11</x:v>
      </x:c>
      <x:c r="D28" s="23" t="s">
        <x:v>113</x:v>
      </x:c>
      <x:c r="E28" s="23" t="s">
        <x:v>188</x:v>
      </x:c>
      <x:c r="F28" s="23">
        <x:v>12</x:v>
      </x:c>
      <x:c r="G28" s="23">
        <x:v>9</x:v>
      </x:c>
      <x:c r="H28" s="23">
        <x:v>1</x:v>
      </x:c>
      <x:c r="I28" s="23">
        <x:v>6634</x:v>
      </x:c>
      <x:c r="J28" s="23">
        <x:v>149</x:v>
      </x:c>
      <x:c r="K28" s="23">
        <x:v>3298</x:v>
      </x:c>
      <x:c r="L28" s="23" t="s">
        <x:v>189</x:v>
      </x:c>
      <x:c r="M28" s="23">
        <x:f t="shared" si="0"/>
        <x:v>640</x:v>
      </x:c>
      <x:c r="N28" s="24" t="str">
        <x:f t="array" ref="N28">INDEX('MATCH INFO'!O:O, INT((ROW()-2)/10)+2)</x:f>
        <x:v>260605_O2_ROZE_S3</x:v>
      </x:c>
    </x:row>
    <x:row r="29">
      <x:c r="A29" s="23" t="s">
        <x:v>22</x:v>
      </x:c>
      <x:c r="B29" s="23" t="s">
        <x:v>26</x:v>
      </x:c>
      <x:c r="C29" s="23" t="s">
        <x:v>11</x:v>
      </x:c>
      <x:c r="D29" s="23" t="s">
        <x:v>113</x:v>
      </x:c>
      <x:c r="E29" s="23" t="s">
        <x:v>188</x:v>
      </x:c>
      <x:c r="F29" s="23">
        <x:v>11</x:v>
      </x:c>
      <x:c r="G29" s="23">
        <x:v>7</x:v>
      </x:c>
      <x:c r="H29" s="23">
        <x:v>1</x:v>
      </x:c>
      <x:c r="I29" s="23">
        <x:v>10275</x:v>
      </x:c>
      <x:c r="J29" s="23">
        <x:v>0</x:v>
      </x:c>
      <x:c r="K29" s="23">
        <x:v>749</x:v>
      </x:c>
      <x:c r="L29" s="23" t="s">
        <x:v>189</x:v>
      </x:c>
      <x:c r="M29" s="23">
        <x:f t="shared" si="0"/>
        <x:v>640</x:v>
      </x:c>
      <x:c r="N29" s="24" t="str">
        <x:f t="array" ref="N29">INDEX('MATCH INFO'!O:O, INT((ROW()-2)/10)+2)</x:f>
        <x:v>260605_O2_ROZE_S3</x:v>
      </x:c>
    </x:row>
    <x:row r="30">
      <x:c r="A30" s="23" t="s">
        <x:v>22</x:v>
      </x:c>
      <x:c r="B30" s="23" t="s">
        <x:v>28</x:v>
      </x:c>
      <x:c r="C30" s="23" t="s">
        <x:v>16</x:v>
      </x:c>
      <x:c r="D30" s="23" t="s">
        <x:v>113</x:v>
      </x:c>
      <x:c r="E30" s="23" t="s">
        <x:v>188</x:v>
      </x:c>
      <x:c r="F30" s="23">
        <x:v>5</x:v>
      </x:c>
      <x:c r="G30" s="23">
        <x:v>5</x:v>
      </x:c>
      <x:c r="H30" s="23">
        <x:v>14</x:v>
      </x:c>
      <x:c r="I30" s="23">
        <x:v>2937</x:v>
      </x:c>
      <x:c r="J30" s="23">
        <x:v>9505</x:v>
      </x:c>
      <x:c r="K30" s="23">
        <x:v>865</x:v>
      </x:c>
      <x:c r="L30" s="23" t="s">
        <x:v>189</x:v>
      </x:c>
      <x:c r="M30" s="23">
        <x:f t="shared" si="0"/>
        <x:v>640</x:v>
      </x:c>
      <x:c r="N30" s="24" t="str">
        <x:f t="array" ref="N30">INDEX('MATCH INFO'!O:O, INT((ROW()-2)/10)+2)</x:f>
        <x:v>260605_O2_ROZE_S3</x:v>
      </x:c>
    </x:row>
    <x:row r="31">
      <x:c r="A31" s="23" t="s">
        <x:v>22</x:v>
      </x:c>
      <x:c r="B31" s="23" t="s">
        <x:v>29</x:v>
      </x:c>
      <x:c r="C31" s="23" t="s">
        <x:v>16</x:v>
      </x:c>
      <x:c r="D31" s="23" t="s">
        <x:v>113</x:v>
      </x:c>
      <x:c r="E31" s="23" t="s">
        <x:v>188</x:v>
      </x:c>
      <x:c r="F31" s="23">
        <x:v>8</x:v>
      </x:c>
      <x:c r="G31" s="23">
        <x:v>5</x:v>
      </x:c>
      <x:c r="H31" s="23">
        <x:v>14</x:v>
      </x:c>
      <x:c r="I31" s="23">
        <x:v>4617</x:v>
      </x:c>
      <x:c r="J31" s="23">
        <x:v>11864</x:v>
      </x:c>
      <x:c r="K31" s="23">
        <x:v>0</x:v>
      </x:c>
      <x:c r="L31" s="23" t="s">
        <x:v>189</x:v>
      </x:c>
      <x:c r="M31" s="23">
        <x:f t="shared" si="0"/>
        <x:v>640</x:v>
      </x:c>
      <x:c r="N31" s="24" t="str">
        <x:f t="array" ref="N31">INDEX('MATCH INFO'!O:O, INT((ROW()-2)/10)+2)</x:f>
        <x:v>260605_O2_ROZE_S3</x:v>
      </x:c>
    </x:row>
    <x:row r="32">
      <x:c r="A32" s="23" t="s">
        <x:v>72</x:v>
      </x:c>
      <x:c r="B32" s="23" t="s">
        <x:v>73</x:v>
      </x:c>
      <x:c r="C32" s="23" t="s">
        <x:v>8</x:v>
      </x:c>
      <x:c r="D32" s="23" t="s">
        <x:v>116</x:v>
      </x:c>
      <x:c r="E32" s="23" t="s">
        <x:v>184</x:v>
      </x:c>
      <x:c r="F32" s="23">
        <x:v>5</x:v>
      </x:c>
      <x:c r="G32" s="23">
        <x:v>6</x:v>
      </x:c>
      <x:c r="H32" s="23">
        <x:v>2</x:v>
      </x:c>
      <x:c r="I32" s="23">
        <x:v>8413</x:v>
      </x:c>
      <x:c r="J32" s="23">
        <x:v>275</x:v>
      </x:c>
      <x:c r="K32" s="23">
        <x:v>13583</x:v>
      </x:c>
      <x:c r="L32" s="23" t="s">
        <x:v>190</x:v>
      </x:c>
      <x:c r="M32" s="23">
        <x:f t="shared" si="0"/>
        <x:v>450</x:v>
      </x:c>
      <x:c r="N32" s="24" t="str">
        <x:f t="array" ref="N32">INDEX('MATCH INFO'!O:O, INT((ROW()-2)/10)+2)</x:f>
        <x:v>260605_FLC_CR_S1</x:v>
      </x:c>
    </x:row>
    <x:row r="33">
      <x:c r="A33" s="23" t="s">
        <x:v>72</x:v>
      </x:c>
      <x:c r="B33" s="23" t="s">
        <x:v>76</x:v>
      </x:c>
      <x:c r="C33" s="23" t="s">
        <x:v>11</x:v>
      </x:c>
      <x:c r="D33" s="23" t="s">
        <x:v>116</x:v>
      </x:c>
      <x:c r="E33" s="23" t="s">
        <x:v>184</x:v>
      </x:c>
      <x:c r="F33" s="23">
        <x:v>6</x:v>
      </x:c>
      <x:c r="G33" s="23">
        <x:v>8</x:v>
      </x:c>
      <x:c r="H33" s="23">
        <x:v>3</x:v>
      </x:c>
      <x:c r="I33" s="23">
        <x:v>5914</x:v>
      </x:c>
      <x:c r="J33" s="23">
        <x:v>477</x:v>
      </x:c>
      <x:c r="K33" s="23">
        <x:v>3542</x:v>
      </x:c>
      <x:c r="L33" s="23" t="s">
        <x:v>190</x:v>
      </x:c>
      <x:c r="M33" s="23">
        <x:f t="shared" si="0"/>
        <x:v>450</x:v>
      </x:c>
      <x:c r="N33" s="24" t="str">
        <x:f t="array" ref="N33">INDEX('MATCH INFO'!O:O, INT((ROW()-2)/10)+2)</x:f>
        <x:v>260605_FLC_CR_S1</x:v>
      </x:c>
    </x:row>
    <x:row r="34">
      <x:c r="A34" s="23" t="s">
        <x:v>72</x:v>
      </x:c>
      <x:c r="B34" s="23" t="s">
        <x:v>77</x:v>
      </x:c>
      <x:c r="C34" s="23" t="s">
        <x:v>11</x:v>
      </x:c>
      <x:c r="D34" s="23" t="s">
        <x:v>116</x:v>
      </x:c>
      <x:c r="E34" s="23" t="s">
        <x:v>184</x:v>
      </x:c>
      <x:c r="F34" s="23">
        <x:v>6</x:v>
      </x:c>
      <x:c r="G34" s="23">
        <x:v>8</x:v>
      </x:c>
      <x:c r="H34" s="23">
        <x:v>0</x:v>
      </x:c>
      <x:c r="I34" s="23">
        <x:v>8526</x:v>
      </x:c>
      <x:c r="J34" s="23">
        <x:v>0</x:v>
      </x:c>
      <x:c r="K34" s="23">
        <x:v>781</x:v>
      </x:c>
      <x:c r="L34" s="23" t="s">
        <x:v>190</x:v>
      </x:c>
      <x:c r="M34" s="23">
        <x:f t="shared" si="0"/>
        <x:v>450</x:v>
      </x:c>
      <x:c r="N34" s="24" t="str">
        <x:f t="array" ref="N34">INDEX('MATCH INFO'!O:O, INT((ROW()-2)/10)+2)</x:f>
        <x:v>260605_FLC_CR_S1</x:v>
      </x:c>
    </x:row>
    <x:row r="35">
      <x:c r="A35" s="23" t="s">
        <x:v>72</x:v>
      </x:c>
      <x:c r="B35" s="23" t="s">
        <x:v>78</x:v>
      </x:c>
      <x:c r="C35" s="23" t="s">
        <x:v>16</x:v>
      </x:c>
      <x:c r="D35" s="23" t="s">
        <x:v>116</x:v>
      </x:c>
      <x:c r="E35" s="23" t="s">
        <x:v>184</x:v>
      </x:c>
      <x:c r="F35" s="23">
        <x:v>5</x:v>
      </x:c>
      <x:c r="G35" s="23">
        <x:v>5</x:v>
      </x:c>
      <x:c r="H35" s="23">
        <x:v>6</x:v>
      </x:c>
      <x:c r="I35" s="23">
        <x:v>2194</x:v>
      </x:c>
      <x:c r="J35" s="23">
        <x:v>10954</x:v>
      </x:c>
      <x:c r="K35" s="23">
        <x:v>1094</x:v>
      </x:c>
      <x:c r="L35" s="23" t="s">
        <x:v>190</x:v>
      </x:c>
      <x:c r="M35" s="23">
        <x:f t="shared" si="0"/>
        <x:v>450</x:v>
      </x:c>
      <x:c r="N35" s="24" t="str">
        <x:f t="array" ref="N35">INDEX('MATCH INFO'!O:O, INT((ROW()-2)/10)+2)</x:f>
        <x:v>260605_FLC_CR_S1</x:v>
      </x:c>
    </x:row>
    <x:row r="36">
      <x:c r="A36" s="23" t="s">
        <x:v>72</x:v>
      </x:c>
      <x:c r="B36" s="23" t="s">
        <x:v>79</x:v>
      </x:c>
      <x:c r="C36" s="23" t="s">
        <x:v>16</x:v>
      </x:c>
      <x:c r="D36" s="23" t="s">
        <x:v>116</x:v>
      </x:c>
      <x:c r="E36" s="23" t="s">
        <x:v>184</x:v>
      </x:c>
      <x:c r="F36" s="23">
        <x:v>5</x:v>
      </x:c>
      <x:c r="G36" s="23">
        <x:v>6</x:v>
      </x:c>
      <x:c r="H36" s="23">
        <x:v>6</x:v>
      </x:c>
      <x:c r="I36" s="23">
        <x:v>3912</x:v>
      </x:c>
      <x:c r="J36" s="23">
        <x:v>10217</x:v>
      </x:c>
      <x:c r="K36" s="23">
        <x:v>1755</x:v>
      </x:c>
      <x:c r="L36" s="23" t="s">
        <x:v>190</x:v>
      </x:c>
      <x:c r="M36" s="23">
        <x:f t="shared" si="0"/>
        <x:v>450</x:v>
      </x:c>
      <x:c r="N36" s="24" t="str">
        <x:f t="array" ref="N36">INDEX('MATCH INFO'!O:O, INT((ROW()-2)/10)+2)</x:f>
        <x:v>260605_FLC_CR_S1</x:v>
      </x:c>
    </x:row>
    <x:row r="37">
      <x:c r="A37" s="23" t="s">
        <x:v>55</x:v>
      </x:c>
      <x:c r="B37" s="23" t="s">
        <x:v>57</x:v>
      </x:c>
      <x:c r="C37" s="23" t="s">
        <x:v>8</x:v>
      </x:c>
      <x:c r="D37" s="23" t="s">
        <x:v>116</x:v>
      </x:c>
      <x:c r="E37" s="23" t="s">
        <x:v>184</x:v>
      </x:c>
      <x:c r="F37" s="23">
        <x:v>21</x:v>
      </x:c>
      <x:c r="G37" s="23">
        <x:v>1</x:v>
      </x:c>
      <x:c r="H37" s="23">
        <x:v>7</x:v>
      </x:c>
      <x:c r="I37" s="23">
        <x:v>12538</x:v>
      </x:c>
      <x:c r="J37" s="23">
        <x:v>0</x:v>
      </x:c>
      <x:c r="K37" s="23">
        <x:v>14389</x:v>
      </x:c>
      <x:c r="L37" s="23" t="s">
        <x:v>190</x:v>
      </x:c>
      <x:c r="M37" s="23">
        <x:f t="shared" si="0"/>
        <x:v>450</x:v>
      </x:c>
      <x:c r="N37" s="24" t="str">
        <x:f t="array" ref="N37">INDEX('MATCH INFO'!O:O, INT((ROW()-2)/10)+2)</x:f>
        <x:v>260605_FLC_CR_S1</x:v>
      </x:c>
    </x:row>
    <x:row r="38">
      <x:c r="A38" s="23" t="s">
        <x:v>55</x:v>
      </x:c>
      <x:c r="B38" s="23" t="s">
        <x:v>58</x:v>
      </x:c>
      <x:c r="C38" s="23" t="s">
        <x:v>11</x:v>
      </x:c>
      <x:c r="D38" s="23" t="s">
        <x:v>116</x:v>
      </x:c>
      <x:c r="E38" s="23" t="s">
        <x:v>184</x:v>
      </x:c>
      <x:c r="F38" s="23">
        <x:v>21</x:v>
      </x:c>
      <x:c r="G38" s="23">
        <x:v>4</x:v>
      </x:c>
      <x:c r="H38" s="23">
        <x:v>7</x:v>
      </x:c>
      <x:c r="I38" s="23">
        <x:v>7494</x:v>
      </x:c>
      <x:c r="J38" s="23">
        <x:v>648</x:v>
      </x:c>
      <x:c r="K38" s="23">
        <x:v>3193</x:v>
      </x:c>
      <x:c r="L38" s="23" t="s">
        <x:v>190</x:v>
      </x:c>
      <x:c r="M38" s="23">
        <x:f t="shared" si="0"/>
        <x:v>450</x:v>
      </x:c>
      <x:c r="N38" s="24" t="str">
        <x:f t="array" ref="N38">INDEX('MATCH INFO'!O:O, INT((ROW()-2)/10)+2)</x:f>
        <x:v>260605_FLC_CR_S1</x:v>
      </x:c>
    </x:row>
    <x:row r="39">
      <x:c r="A39" s="23" t="s">
        <x:v>55</x:v>
      </x:c>
      <x:c r="B39" s="23" t="s">
        <x:v>60</x:v>
      </x:c>
      <x:c r="C39" s="23" t="s">
        <x:v>11</x:v>
      </x:c>
      <x:c r="D39" s="23" t="s">
        <x:v>116</x:v>
      </x:c>
      <x:c r="E39" s="23" t="s">
        <x:v>184</x:v>
      </x:c>
      <x:c r="F39" s="23">
        <x:v>22</x:v>
      </x:c>
      <x:c r="G39" s="23">
        <x:v>2</x:v>
      </x:c>
      <x:c r="H39" s="23">
        <x:v>5</x:v>
      </x:c>
      <x:c r="I39" s="23">
        <x:v>10387</x:v>
      </x:c>
      <x:c r="J39" s="23">
        <x:v>169</x:v>
      </x:c>
      <x:c r="K39" s="23">
        <x:v>633</x:v>
      </x:c>
      <x:c r="L39" s="23" t="s">
        <x:v>190</x:v>
      </x:c>
      <x:c r="M39" s="23">
        <x:f t="shared" si="0"/>
        <x:v>450</x:v>
      </x:c>
      <x:c r="N39" s="24" t="str">
        <x:f t="array" ref="N39">INDEX('MATCH INFO'!O:O, INT((ROW()-2)/10)+2)</x:f>
        <x:v>260605_FLC_CR_S1</x:v>
      </x:c>
    </x:row>
    <x:row r="40">
      <x:c r="A40" s="23" t="s">
        <x:v>55</x:v>
      </x:c>
      <x:c r="B40" s="23" t="s">
        <x:v>61</x:v>
      </x:c>
      <x:c r="C40" s="23" t="s">
        <x:v>16</x:v>
      </x:c>
      <x:c r="D40" s="23" t="s">
        <x:v>116</x:v>
      </x:c>
      <x:c r="E40" s="23" t="s">
        <x:v>184</x:v>
      </x:c>
      <x:c r="F40" s="23">
        <x:v>16</x:v>
      </x:c>
      <x:c r="G40" s="23">
        <x:v>3</x:v>
      </x:c>
      <x:c r="H40" s="23">
        <x:v>19</x:v>
      </x:c>
      <x:c r="I40" s="23">
        <x:v>4864</x:v>
      </x:c>
      <x:c r="J40" s="23">
        <x:v>9528</x:v>
      </x:c>
      <x:c r="K40" s="23">
        <x:v>1993</x:v>
      </x:c>
      <x:c r="L40" s="23" t="s">
        <x:v>190</x:v>
      </x:c>
      <x:c r="M40" s="23">
        <x:f t="shared" si="0"/>
        <x:v>450</x:v>
      </x:c>
      <x:c r="N40" s="24" t="str">
        <x:f t="array" ref="N40">INDEX('MATCH INFO'!O:O, INT((ROW()-2)/10)+2)</x:f>
        <x:v>260605_FLC_CR_S1</x:v>
      </x:c>
    </x:row>
    <x:row r="41">
      <x:c r="A41" s="23" t="s">
        <x:v>55</x:v>
      </x:c>
      <x:c r="B41" s="23" t="s">
        <x:v>62</x:v>
      </x:c>
      <x:c r="C41" s="23" t="s">
        <x:v>16</x:v>
      </x:c>
      <x:c r="D41" s="23" t="s">
        <x:v>116</x:v>
      </x:c>
      <x:c r="E41" s="23" t="s">
        <x:v>184</x:v>
      </x:c>
      <x:c r="F41" s="23">
        <x:v>11</x:v>
      </x:c>
      <x:c r="G41" s="23">
        <x:v>1</x:v>
      </x:c>
      <x:c r="H41" s="23">
        <x:v>21</x:v>
      </x:c>
      <x:c r="I41" s="23">
        <x:v>2405</x:v>
      </x:c>
      <x:c r="J41" s="23">
        <x:v>11566</x:v>
      </x:c>
      <x:c r="K41" s="23">
        <x:v>0</x:v>
      </x:c>
      <x:c r="L41" s="23" t="s">
        <x:v>190</x:v>
      </x:c>
      <x:c r="M41" s="23">
        <x:f t="shared" si="0"/>
        <x:v>450</x:v>
      </x:c>
      <x:c r="N41" s="24" t="str">
        <x:f t="array" ref="N41">INDEX('MATCH INFO'!O:O, INT((ROW()-2)/10)+2)</x:f>
        <x:v>260605_FLC_CR_S1</x:v>
      </x:c>
    </x:row>
    <x:row r="42">
      <x:c r="A42" s="23" t="s">
        <x:v>55</x:v>
      </x:c>
      <x:c r="B42" s="23" t="s">
        <x:v>61</x:v>
      </x:c>
      <x:c r="C42" s="23" t="s">
        <x:v>16</x:v>
      </x:c>
      <x:c r="D42" s="23" t="s">
        <x:v>119</x:v>
      </x:c>
      <x:c r="E42" s="23" t="s">
        <x:v>191</x:v>
      </x:c>
      <x:c r="F42" s="23">
        <x:v>18</x:v>
      </x:c>
      <x:c r="G42" s="23">
        <x:v>7</x:v>
      </x:c>
      <x:c r="H42" s="23">
        <x:v>23</x:v>
      </x:c>
      <x:c r="I42" s="23">
        <x:v>7320</x:v>
      </x:c>
      <x:c r="J42" s="23">
        <x:v>15474</x:v>
      </x:c>
      <x:c r="K42" s="23">
        <x:v>4794</x:v>
      </x:c>
      <x:c r="L42" s="23" t="s">
        <x:v>192</x:v>
      </x:c>
      <x:c r="M42" s="23">
        <x:f t="shared" si="0"/>
        <x:v>845</x:v>
      </x:c>
      <x:c r="N42" s="24" t="str">
        <x:f t="array" ref="N42">INDEX('MATCH INFO'!O:O, INT((ROW()-2)/10)+2)</x:f>
        <x:v>260605_FLC_CR_S2</x:v>
      </x:c>
    </x:row>
    <x:row r="43">
      <x:c r="A43" s="23" t="s">
        <x:v>55</x:v>
      </x:c>
      <x:c r="B43" s="23" t="s">
        <x:v>58</x:v>
      </x:c>
      <x:c r="C43" s="23" t="s">
        <x:v>11</x:v>
      </x:c>
      <x:c r="D43" s="23" t="s">
        <x:v>119</x:v>
      </x:c>
      <x:c r="E43" s="23" t="s">
        <x:v>191</x:v>
      </x:c>
      <x:c r="F43" s="23">
        <x:v>22</x:v>
      </x:c>
      <x:c r="G43" s="23">
        <x:v>6</x:v>
      </x:c>
      <x:c r="H43" s="23">
        <x:v>5</x:v>
      </x:c>
      <x:c r="I43" s="23">
        <x:v>13037</x:v>
      </x:c>
      <x:c r="J43" s="23">
        <x:v>1475</x:v>
      </x:c>
      <x:c r="K43" s="23">
        <x:v>9201</x:v>
      </x:c>
      <x:c r="L43" s="23" t="s">
        <x:v>192</x:v>
      </x:c>
      <x:c r="M43" s="23">
        <x:f t="shared" si="0"/>
        <x:v>845</x:v>
      </x:c>
      <x:c r="N43" s="24" t="str">
        <x:f t="array" ref="N43">INDEX('MATCH INFO'!O:O, INT((ROW()-2)/10)+2)</x:f>
        <x:v>260605_FLC_CR_S2</x:v>
      </x:c>
    </x:row>
    <x:row r="44">
      <x:c r="A44" s="23" t="s">
        <x:v>55</x:v>
      </x:c>
      <x:c r="B44" s="23" t="s">
        <x:v>57</x:v>
      </x:c>
      <x:c r="C44" s="23" t="s">
        <x:v>8</x:v>
      </x:c>
      <x:c r="D44" s="23" t="s">
        <x:v>119</x:v>
      </x:c>
      <x:c r="E44" s="23" t="s">
        <x:v>191</x:v>
      </x:c>
      <x:c r="F44" s="23">
        <x:v>25</x:v>
      </x:c>
      <x:c r="G44" s="23">
        <x:v>6</x:v>
      </x:c>
      <x:c r="H44" s="23">
        <x:v>3</x:v>
      </x:c>
      <x:c r="I44" s="23">
        <x:v>18391</x:v>
      </x:c>
      <x:c r="J44" s="23">
        <x:v>0</x:v>
      </x:c>
      <x:c r="K44" s="23">
        <x:v>29417</x:v>
      </x:c>
      <x:c r="L44" s="23" t="s">
        <x:v>192</x:v>
      </x:c>
      <x:c r="M44" s="23">
        <x:f t="shared" si="0"/>
        <x:v>845</x:v>
      </x:c>
      <x:c r="N44" s="24" t="str">
        <x:f t="array" ref="N44">INDEX('MATCH INFO'!O:O, INT((ROW()-2)/10)+2)</x:f>
        <x:v>260605_FLC_CR_S2</x:v>
      </x:c>
    </x:row>
    <x:row r="45">
      <x:c r="A45" s="23" t="s">
        <x:v>55</x:v>
      </x:c>
      <x:c r="B45" s="23" t="s">
        <x:v>60</x:v>
      </x:c>
      <x:c r="C45" s="23" t="s">
        <x:v>11</x:v>
      </x:c>
      <x:c r="D45" s="23" t="s">
        <x:v>119</x:v>
      </x:c>
      <x:c r="E45" s="23" t="s">
        <x:v>191</x:v>
      </x:c>
      <x:c r="F45" s="23">
        <x:v>29</x:v>
      </x:c>
      <x:c r="G45" s="23">
        <x:v>8</x:v>
      </x:c>
      <x:c r="H45" s="23">
        <x:v>3</x:v>
      </x:c>
      <x:c r="I45" s="23">
        <x:v>15071</x:v>
      </x:c>
      <x:c r="J45" s="23">
        <x:v>569</x:v>
      </x:c>
      <x:c r="K45" s="23">
        <x:v>4418</x:v>
      </x:c>
      <x:c r="L45" s="23" t="s">
        <x:v>192</x:v>
      </x:c>
      <x:c r="M45" s="23">
        <x:f t="shared" si="0"/>
        <x:v>845</x:v>
      </x:c>
      <x:c r="N45" s="24" t="str">
        <x:f t="array" ref="N45">INDEX('MATCH INFO'!O:O, INT((ROW()-2)/10)+2)</x:f>
        <x:v>260605_FLC_CR_S2</x:v>
      </x:c>
    </x:row>
    <x:row r="46">
      <x:c r="A46" s="23" t="s">
        <x:v>55</x:v>
      </x:c>
      <x:c r="B46" s="23" t="s">
        <x:v>62</x:v>
      </x:c>
      <x:c r="C46" s="23" t="s">
        <x:v>16</x:v>
      </x:c>
      <x:c r="D46" s="23" t="s">
        <x:v>119</x:v>
      </x:c>
      <x:c r="E46" s="23" t="s">
        <x:v>191</x:v>
      </x:c>
      <x:c r="F46" s="23">
        <x:v>15</x:v>
      </x:c>
      <x:c r="G46" s="23">
        <x:v>6</x:v>
      </x:c>
      <x:c r="H46" s="23">
        <x:v>30</x:v>
      </x:c>
      <x:c r="I46" s="23">
        <x:v>4431</x:v>
      </x:c>
      <x:c r="J46" s="23">
        <x:v>20436</x:v>
      </x:c>
      <x:c r="K46" s="23">
        <x:v>0</x:v>
      </x:c>
      <x:c r="L46" s="23" t="s">
        <x:v>192</x:v>
      </x:c>
      <x:c r="M46" s="23">
        <x:f t="shared" si="0"/>
        <x:v>845</x:v>
      </x:c>
      <x:c r="N46" s="24" t="str">
        <x:f t="array" ref="N46">INDEX('MATCH INFO'!O:O, INT((ROW()-2)/10)+2)</x:f>
        <x:v>260605_FLC_CR_S2</x:v>
      </x:c>
    </x:row>
    <x:row r="47">
      <x:c r="A47" s="23" t="s">
        <x:v>72</x:v>
      </x:c>
      <x:c r="B47" s="23" t="s">
        <x:v>76</x:v>
      </x:c>
      <x:c r="C47" s="23" t="s">
        <x:v>11</x:v>
      </x:c>
      <x:c r="D47" s="23" t="s">
        <x:v>119</x:v>
      </x:c>
      <x:c r="E47" s="23" t="s">
        <x:v>191</x:v>
      </x:c>
      <x:c r="F47" s="23">
        <x:v>24</x:v>
      </x:c>
      <x:c r="G47" s="23">
        <x:v>9</x:v>
      </x:c>
      <x:c r="H47" s="23">
        <x:v>8</x:v>
      </x:c>
      <x:c r="I47" s="23">
        <x:v>11579</x:v>
      </x:c>
      <x:c r="J47" s="23">
        <x:v>1791</x:v>
      </x:c>
      <x:c r="K47" s="23">
        <x:v>9785</x:v>
      </x:c>
      <x:c r="L47" s="23" t="s">
        <x:v>192</x:v>
      </x:c>
      <x:c r="M47" s="23">
        <x:f t="shared" si="0"/>
        <x:v>845</x:v>
      </x:c>
      <x:c r="N47" s="24" t="str">
        <x:f t="array" ref="N47">INDEX('MATCH INFO'!O:O, INT((ROW()-2)/10)+2)</x:f>
        <x:v>260605_FLC_CR_S2</x:v>
      </x:c>
    </x:row>
    <x:row r="48">
      <x:c r="A48" s="23" t="s">
        <x:v>72</x:v>
      </x:c>
      <x:c r="B48" s="23" t="s">
        <x:v>78</x:v>
      </x:c>
      <x:c r="C48" s="23" t="s">
        <x:v>16</x:v>
      </x:c>
      <x:c r="D48" s="23" t="s">
        <x:v>119</x:v>
      </x:c>
      <x:c r="E48" s="23" t="s">
        <x:v>191</x:v>
      </x:c>
      <x:c r="F48" s="23">
        <x:v>13</x:v>
      </x:c>
      <x:c r="G48" s="23">
        <x:v>7</x:v>
      </x:c>
      <x:c r="H48" s="23">
        <x:v>19</x:v>
      </x:c>
      <x:c r="I48" s="23">
        <x:v>6242</x:v>
      </x:c>
      <x:c r="J48" s="23">
        <x:v>17368</x:v>
      </x:c>
      <x:c r="K48" s="23">
        <x:v>788</x:v>
      </x:c>
      <x:c r="L48" s="23" t="s">
        <x:v>192</x:v>
      </x:c>
      <x:c r="M48" s="23">
        <x:f t="shared" si="0"/>
        <x:v>845</x:v>
      </x:c>
      <x:c r="N48" s="24" t="str">
        <x:f t="array" ref="N48">INDEX('MATCH INFO'!O:O, INT((ROW()-2)/10)+2)</x:f>
        <x:v>260605_FLC_CR_S2</x:v>
      </x:c>
    </x:row>
    <x:row r="49">
      <x:c r="A49" s="23" t="s">
        <x:v>72</x:v>
      </x:c>
      <x:c r="B49" s="23" t="s">
        <x:v>79</x:v>
      </x:c>
      <x:c r="C49" s="23" t="s">
        <x:v>16</x:v>
      </x:c>
      <x:c r="D49" s="23" t="s">
        <x:v>119</x:v>
      </x:c>
      <x:c r="E49" s="23" t="s">
        <x:v>191</x:v>
      </x:c>
      <x:c r="F49" s="23">
        <x:v>13</x:v>
      </x:c>
      <x:c r="G49" s="23">
        <x:v>8</x:v>
      </x:c>
      <x:c r="H49" s="23">
        <x:v>24</x:v>
      </x:c>
      <x:c r="I49" s="23">
        <x:v>6799</x:v>
      </x:c>
      <x:c r="J49" s="23">
        <x:v>18411</x:v>
      </x:c>
      <x:c r="K49" s="23">
        <x:v>0</x:v>
      </x:c>
      <x:c r="L49" s="23" t="s">
        <x:v>192</x:v>
      </x:c>
      <x:c r="M49" s="23">
        <x:f t="shared" si="0"/>
        <x:v>845</x:v>
      </x:c>
      <x:c r="N49" s="24" t="str">
        <x:f t="array" ref="N49">INDEX('MATCH INFO'!O:O, INT((ROW()-2)/10)+2)</x:f>
        <x:v>260605_FLC_CR_S2</x:v>
      </x:c>
    </x:row>
    <x:row r="50">
      <x:c r="A50" s="23" t="s">
        <x:v>72</x:v>
      </x:c>
      <x:c r="B50" s="23" t="s">
        <x:v>77</x:v>
      </x:c>
      <x:c r="C50" s="23" t="s">
        <x:v>11</x:v>
      </x:c>
      <x:c r="D50" s="23" t="s">
        <x:v>119</x:v>
      </x:c>
      <x:c r="E50" s="23" t="s">
        <x:v>191</x:v>
      </x:c>
      <x:c r="F50" s="23">
        <x:v>24</x:v>
      </x:c>
      <x:c r="G50" s="23">
        <x:v>9</x:v>
      </x:c>
      <x:c r="H50" s="23">
        <x:v>3</x:v>
      </x:c>
      <x:c r="I50" s="23">
        <x:v>16790</x:v>
      </x:c>
      <x:c r="J50" s="23">
        <x:v>541</x:v>
      </x:c>
      <x:c r="K50" s="23">
        <x:v>845</x:v>
      </x:c>
      <x:c r="L50" s="23" t="s">
        <x:v>192</x:v>
      </x:c>
      <x:c r="M50" s="23">
        <x:f t="shared" si="0"/>
        <x:v>845</x:v>
      </x:c>
      <x:c r="N50" s="24" t="str">
        <x:f t="array" ref="N50">INDEX('MATCH INFO'!O:O, INT((ROW()-2)/10)+2)</x:f>
        <x:v>260605_FLC_CR_S2</x:v>
      </x:c>
    </x:row>
    <x:row r="51">
      <x:c r="A51" s="23" t="s">
        <x:v>72</x:v>
      </x:c>
      <x:c r="B51" s="23" t="s">
        <x:v>73</x:v>
      </x:c>
      <x:c r="C51" s="23" t="s">
        <x:v>8</x:v>
      </x:c>
      <x:c r="D51" s="23" t="s">
        <x:v>119</x:v>
      </x:c>
      <x:c r="E51" s="23" t="s">
        <x:v>191</x:v>
      </x:c>
      <x:c r="F51" s="23">
        <x:v>25</x:v>
      </x:c>
      <x:c r="G51" s="23">
        <x:v>6</x:v>
      </x:c>
      <x:c r="H51" s="23">
        <x:v>2</x:v>
      </x:c>
      <x:c r="I51" s="23">
        <x:v>14465</x:v>
      </x:c>
      <x:c r="J51" s="23">
        <x:v>0</x:v>
      </x:c>
      <x:c r="K51" s="23">
        <x:v>25427</x:v>
      </x:c>
      <x:c r="L51" s="23" t="s">
        <x:v>192</x:v>
      </x:c>
      <x:c r="M51" s="23">
        <x:f t="shared" si="0"/>
        <x:v>845</x:v>
      </x:c>
      <x:c r="N51" s="24" t="str">
        <x:f t="array" ref="N51">INDEX('MATCH INFO'!O:O, INT((ROW()-2)/10)+2)</x:f>
        <x:v>260605_FLC_CR_S2</x:v>
      </x:c>
    </x:row>
    <x:row r="52">
      <x:c r="A52" s="23" t="s">
        <x:v>72</x:v>
      </x:c>
      <x:c r="B52" s="23" t="s">
        <x:v>78</x:v>
      </x:c>
      <x:c r="C52" s="23" t="s">
        <x:v>16</x:v>
      </x:c>
      <x:c r="D52" s="23" t="s">
        <x:v>120</x:v>
      </x:c>
      <x:c r="E52" s="23" t="s">
        <x:v>188</x:v>
      </x:c>
      <x:c r="F52" s="23">
        <x:v>14</x:v>
      </x:c>
      <x:c r="G52" s="23">
        <x:v>7</x:v>
      </x:c>
      <x:c r="H52" s="23">
        <x:v>16</x:v>
      </x:c>
      <x:c r="I52" s="23">
        <x:v>2839</x:v>
      </x:c>
      <x:c r="J52" s="23">
        <x:v>13187</x:v>
      </x:c>
      <x:c r="K52" s="23">
        <x:v>0</x:v>
      </x:c>
      <x:c r="L52" s="23" t="s">
        <x:v>193</x:v>
      </x:c>
      <x:c r="M52" s="23">
        <x:f t="shared" si="0"/>
        <x:v>619</x:v>
      </x:c>
      <x:c r="N52" s="24" t="str">
        <x:f t="array" ref="N52">INDEX('MATCH INFO'!O:O, INT((ROW()-2)/10)+2)</x:f>
        <x:v>260605_FLC_CR_S3</x:v>
      </x:c>
    </x:row>
    <x:row r="53">
      <x:c r="A53" s="23" t="s">
        <x:v>72</x:v>
      </x:c>
      <x:c r="B53" s="23" t="s">
        <x:v>79</x:v>
      </x:c>
      <x:c r="C53" s="23" t="s">
        <x:v>16</x:v>
      </x:c>
      <x:c r="D53" s="23" t="s">
        <x:v>120</x:v>
      </x:c>
      <x:c r="E53" s="23" t="s">
        <x:v>188</x:v>
      </x:c>
      <x:c r="F53" s="23">
        <x:v>16</x:v>
      </x:c>
      <x:c r="G53" s="23">
        <x:v>6</x:v>
      </x:c>
      <x:c r="H53" s="23">
        <x:v>24</x:v>
      </x:c>
      <x:c r="I53" s="23">
        <x:v>5459</x:v>
      </x:c>
      <x:c r="J53" s="23">
        <x:v>11660</x:v>
      </x:c>
      <x:c r="K53" s="23">
        <x:v>2865</x:v>
      </x:c>
      <x:c r="L53" s="23" t="s">
        <x:v>193</x:v>
      </x:c>
      <x:c r="M53" s="23">
        <x:f t="shared" si="0"/>
        <x:v>619</x:v>
      </x:c>
      <x:c r="N53" s="24" t="str">
        <x:f t="array" ref="N53">INDEX('MATCH INFO'!O:O, INT((ROW()-2)/10)+2)</x:f>
        <x:v>260605_FLC_CR_S3</x:v>
      </x:c>
    </x:row>
    <x:row r="54">
      <x:c r="A54" s="23" t="s">
        <x:v>72</x:v>
      </x:c>
      <x:c r="B54" s="23" t="s">
        <x:v>74</x:v>
      </x:c>
      <x:c r="C54" s="23" t="s">
        <x:v>8</x:v>
      </x:c>
      <x:c r="D54" s="23" t="s">
        <x:v>120</x:v>
      </x:c>
      <x:c r="E54" s="23" t="s">
        <x:v>188</x:v>
      </x:c>
      <x:c r="F54" s="23">
        <x:v>21</x:v>
      </x:c>
      <x:c r="G54" s="23">
        <x:v>8</x:v>
      </x:c>
      <x:c r="H54" s="23">
        <x:v>11</x:v>
      </x:c>
      <x:c r="I54" s="23">
        <x:v>12501</x:v>
      </x:c>
      <x:c r="J54" s="23">
        <x:v>2883</x:v>
      </x:c>
      <x:c r="K54" s="23">
        <x:v>8303</x:v>
      </x:c>
      <x:c r="L54" s="23" t="s">
        <x:v>193</x:v>
      </x:c>
      <x:c r="M54" s="23">
        <x:f t="shared" si="0"/>
        <x:v>619</x:v>
      </x:c>
      <x:c r="N54" s="24" t="str">
        <x:f t="array" ref="N54">INDEX('MATCH INFO'!O:O, INT((ROW()-2)/10)+2)</x:f>
        <x:v>260605_FLC_CR_S3</x:v>
      </x:c>
    </x:row>
    <x:row r="55">
      <x:c r="A55" s="23" t="s">
        <x:v>72</x:v>
      </x:c>
      <x:c r="B55" s="23" t="s">
        <x:v>77</x:v>
      </x:c>
      <x:c r="C55" s="23" t="s">
        <x:v>11</x:v>
      </x:c>
      <x:c r="D55" s="23" t="s">
        <x:v>120</x:v>
      </x:c>
      <x:c r="E55" s="23" t="s">
        <x:v>188</x:v>
      </x:c>
      <x:c r="F55" s="23">
        <x:v>21</x:v>
      </x:c>
      <x:c r="G55" s="23">
        <x:v>8</x:v>
      </x:c>
      <x:c r="H55" s="23">
        <x:v>0</x:v>
      </x:c>
      <x:c r="I55" s="23">
        <x:v>9888</x:v>
      </x:c>
      <x:c r="J55" s="23">
        <x:v>0</x:v>
      </x:c>
      <x:c r="K55" s="23">
        <x:v>0</x:v>
      </x:c>
      <x:c r="L55" s="23" t="s">
        <x:v>193</x:v>
      </x:c>
      <x:c r="M55" s="23">
        <x:f t="shared" si="0"/>
        <x:v>619</x:v>
      </x:c>
      <x:c r="N55" s="24" t="str">
        <x:f t="array" ref="N55">INDEX('MATCH INFO'!O:O, INT((ROW()-2)/10)+2)</x:f>
        <x:v>260605_FLC_CR_S3</x:v>
      </x:c>
    </x:row>
    <x:row r="56">
      <x:c r="A56" s="23" t="s">
        <x:v>72</x:v>
      </x:c>
      <x:c r="B56" s="23" t="s">
        <x:v>75</x:v>
      </x:c>
      <x:c r="C56" s="23" t="s">
        <x:v>11</x:v>
      </x:c>
      <x:c r="D56" s="23" t="s">
        <x:v>120</x:v>
      </x:c>
      <x:c r="E56" s="23" t="s">
        <x:v>188</x:v>
      </x:c>
      <x:c r="F56" s="23">
        <x:v>19</x:v>
      </x:c>
      <x:c r="G56" s="23">
        <x:v>8</x:v>
      </x:c>
      <x:c r="H56" s="23">
        <x:v>0</x:v>
      </x:c>
      <x:c r="I56" s="23">
        <x:v>10052</x:v>
      </x:c>
      <x:c r="J56" s="23">
        <x:v>804</x:v>
      </x:c>
      <x:c r="K56" s="23">
        <x:v>0</x:v>
      </x:c>
      <x:c r="L56" s="23" t="s">
        <x:v>193</x:v>
      </x:c>
      <x:c r="M56" s="23">
        <x:f t="shared" si="0"/>
        <x:v>619</x:v>
      </x:c>
      <x:c r="N56" s="24" t="str">
        <x:f t="array" ref="N56">INDEX('MATCH INFO'!O:O, INT((ROW()-2)/10)+2)</x:f>
        <x:v>260605_FLC_CR_S3</x:v>
      </x:c>
    </x:row>
    <x:row r="57">
      <x:c r="A57" s="23" t="s">
        <x:v>55</x:v>
      </x:c>
      <x:c r="B57" s="23" t="s">
        <x:v>61</x:v>
      </x:c>
      <x:c r="C57" s="23" t="s">
        <x:v>16</x:v>
      </x:c>
      <x:c r="D57" s="23" t="s">
        <x:v>120</x:v>
      </x:c>
      <x:c r="E57" s="23" t="s">
        <x:v>188</x:v>
      </x:c>
      <x:c r="F57" s="23">
        <x:v>21</x:v>
      </x:c>
      <x:c r="G57" s="23">
        <x:v>8</x:v>
      </x:c>
      <x:c r="H57" s="23">
        <x:v>25</x:v>
      </x:c>
      <x:c r="I57" s="23">
        <x:v>6207</x:v>
      </x:c>
      <x:c r="J57" s="23">
        <x:v>7490</x:v>
      </x:c>
      <x:c r="K57" s="23">
        <x:v>1950</x:v>
      </x:c>
      <x:c r="L57" s="23" t="s">
        <x:v>193</x:v>
      </x:c>
      <x:c r="M57" s="23">
        <x:f t="shared" si="0"/>
        <x:v>619</x:v>
      </x:c>
      <x:c r="N57" s="24" t="str">
        <x:f t="array" ref="N57">INDEX('MATCH INFO'!O:O, INT((ROW()-2)/10)+2)</x:f>
        <x:v>260605_FLC_CR_S3</x:v>
      </x:c>
    </x:row>
    <x:row r="58">
      <x:c r="A58" s="23" t="s">
        <x:v>55</x:v>
      </x:c>
      <x:c r="B58" s="23" t="s">
        <x:v>58</x:v>
      </x:c>
      <x:c r="C58" s="23" t="s">
        <x:v>11</x:v>
      </x:c>
      <x:c r="D58" s="23" t="s">
        <x:v>120</x:v>
      </x:c>
      <x:c r="E58" s="23" t="s">
        <x:v>188</x:v>
      </x:c>
      <x:c r="F58" s="23">
        <x:v>28</x:v>
      </x:c>
      <x:c r="G58" s="23">
        <x:v>4</x:v>
      </x:c>
      <x:c r="H58" s="23">
        <x:v>0</x:v>
      </x:c>
      <x:c r="I58" s="23">
        <x:v>12881</x:v>
      </x:c>
      <x:c r="J58" s="23">
        <x:v>65</x:v>
      </x:c>
      <x:c r="K58" s="23">
        <x:v>962</x:v>
      </x:c>
      <x:c r="L58" s="23" t="s">
        <x:v>193</x:v>
      </x:c>
      <x:c r="M58" s="23">
        <x:f t="shared" si="0"/>
        <x:v>619</x:v>
      </x:c>
      <x:c r="N58" s="24" t="str">
        <x:f t="array" ref="N58">INDEX('MATCH INFO'!O:O, INT((ROW()-2)/10)+2)</x:f>
        <x:v>260605_FLC_CR_S3</x:v>
      </x:c>
    </x:row>
    <x:row r="59">
      <x:c r="A59" s="23" t="s">
        <x:v>55</x:v>
      </x:c>
      <x:c r="B59" s="23" t="s">
        <x:v>56</x:v>
      </x:c>
      <x:c r="C59" s="23" t="s">
        <x:v>8</x:v>
      </x:c>
      <x:c r="D59" s="23" t="s">
        <x:v>120</x:v>
      </x:c>
      <x:c r="E59" s="23" t="s">
        <x:v>188</x:v>
      </x:c>
      <x:c r="F59" s="23">
        <x:v>33</x:v>
      </x:c>
      <x:c r="G59" s="23">
        <x:v>7</x:v>
      </x:c>
      <x:c r="H59" s="23">
        <x:v>14</x:v>
      </x:c>
      <x:c r="I59" s="23">
        <x:v>12247</x:v>
      </x:c>
      <x:c r="J59" s="23">
        <x:v>1966</x:v>
      </x:c>
      <x:c r="K59" s="23">
        <x:v>9480</x:v>
      </x:c>
      <x:c r="L59" s="23" t="s">
        <x:v>193</x:v>
      </x:c>
      <x:c r="M59" s="23">
        <x:f t="shared" si="0"/>
        <x:v>619</x:v>
      </x:c>
      <x:c r="N59" s="24" t="str">
        <x:f t="array" ref="N59">INDEX('MATCH INFO'!O:O, INT((ROW()-2)/10)+2)</x:f>
        <x:v>260605_FLC_CR_S3</x:v>
      </x:c>
    </x:row>
    <x:row r="60">
      <x:c r="A60" s="23" t="s">
        <x:v>55</x:v>
      </x:c>
      <x:c r="B60" s="23" t="s">
        <x:v>59</x:v>
      </x:c>
      <x:c r="C60" s="23" t="s">
        <x:v>11</x:v>
      </x:c>
      <x:c r="D60" s="23" t="s">
        <x:v>120</x:v>
      </x:c>
      <x:c r="E60" s="23" t="s">
        <x:v>188</x:v>
      </x:c>
      <x:c r="F60" s="23">
        <x:v>21</x:v>
      </x:c>
      <x:c r="G60" s="23">
        <x:v>8</x:v>
      </x:c>
      <x:c r="H60" s="23">
        <x:v>0</x:v>
      </x:c>
      <x:c r="I60" s="23">
        <x:v>12155</x:v>
      </x:c>
      <x:c r="J60" s="23">
        <x:v>0</x:v>
      </x:c>
      <x:c r="K60" s="23">
        <x:v>0</x:v>
      </x:c>
      <x:c r="L60" s="23" t="s">
        <x:v>193</x:v>
      </x:c>
      <x:c r="M60" s="23">
        <x:f t="shared" si="0"/>
        <x:v>619</x:v>
      </x:c>
      <x:c r="N60" s="24" t="str">
        <x:f t="array" ref="N60">INDEX('MATCH INFO'!O:O, INT((ROW()-2)/10)+2)</x:f>
        <x:v>260605_FLC_CR_S3</x:v>
      </x:c>
    </x:row>
    <x:row r="61">
      <x:c r="A61" s="23" t="s">
        <x:v>55</x:v>
      </x:c>
      <x:c r="B61" s="23" t="s">
        <x:v>62</x:v>
      </x:c>
      <x:c r="C61" s="23" t="s">
        <x:v>16</x:v>
      </x:c>
      <x:c r="D61" s="23" t="s">
        <x:v>120</x:v>
      </x:c>
      <x:c r="E61" s="23" t="s">
        <x:v>188</x:v>
      </x:c>
      <x:c r="F61" s="23">
        <x:v>14</x:v>
      </x:c>
      <x:c r="G61" s="23">
        <x:v>5</x:v>
      </x:c>
      <x:c r="H61" s="23">
        <x:v>24</x:v>
      </x:c>
      <x:c r="I61" s="23">
        <x:v>5185</x:v>
      </x:c>
      <x:c r="J61" s="23">
        <x:v>11225</x:v>
      </x:c>
      <x:c r="K61" s="23">
        <x:v>0</x:v>
      </x:c>
      <x:c r="L61" s="23" t="s">
        <x:v>193</x:v>
      </x:c>
      <x:c r="M61" s="23">
        <x:f t="shared" si="0"/>
        <x:v>619</x:v>
      </x:c>
      <x:c r="N61" s="24" t="str">
        <x:f t="array" ref="N61">INDEX('MATCH INFO'!O:O, INT((ROW()-2)/10)+2)</x:f>
        <x:v>260605_FLC_CR_S3</x:v>
      </x:c>
    </x:row>
    <x:row r="62">
      <x:c r="A62" s="23" t="s">
        <x:v>63</x:v>
      </x:c>
      <x:c r="B62" s="23" t="s">
        <x:v>69</x:v>
      </x:c>
      <x:c r="C62" s="23" t="s">
        <x:v>16</x:v>
      </x:c>
      <x:c r="D62" s="23" t="s">
        <x:v>116</x:v>
      </x:c>
      <x:c r="E62" s="23" t="s">
        <x:v>184</x:v>
      </x:c>
      <x:c r="F62" s="23">
        <x:v>12</x:v>
      </x:c>
      <x:c r="G62" s="23">
        <x:v>6</x:v>
      </x:c>
      <x:c r="H62" s="23">
        <x:v>22</x:v>
      </x:c>
      <x:c r="I62" s="23">
        <x:v>2516</x:v>
      </x:c>
      <x:c r="J62" s="23">
        <x:v>6153</x:v>
      </x:c>
      <x:c r="K62" s="23">
        <x:v>1301</x:v>
      </x:c>
      <x:c r="L62" s="23" t="s">
        <x:v>194</x:v>
      </x:c>
      <x:c r="M62" s="23">
        <x:f t="shared" si="0"/>
        <x:v>505</x:v>
      </x:c>
      <x:c r="N62" s="24" t="str">
        <x:f t="array" ref="N62">INDEX('MATCH INFO'!O:O, INT((ROW()-2)/10)+2)</x:f>
        <x:v>260605_T1_ZETA_S1</x:v>
      </x:c>
    </x:row>
    <x:row r="63">
      <x:c r="A63" s="23" t="s">
        <x:v>63</x:v>
      </x:c>
      <x:c r="B63" s="23" t="s">
        <x:v>64</x:v>
      </x:c>
      <x:c r="C63" s="23" t="s">
        <x:v>8</x:v>
      </x:c>
      <x:c r="D63" s="23" t="s">
        <x:v>116</x:v>
      </x:c>
      <x:c r="E63" s="23" t="s">
        <x:v>184</x:v>
      </x:c>
      <x:c r="F63" s="23">
        <x:v>35</x:v>
      </x:c>
      <x:c r="G63" s="23">
        <x:v>2</x:v>
      </x:c>
      <x:c r="H63" s="23">
        <x:v>19</x:v>
      </x:c>
      <x:c r="I63" s="23">
        <x:v>9347</x:v>
      </x:c>
      <x:c r="J63" s="23">
        <x:v>2022</x:v>
      </x:c>
      <x:c r="K63" s="23">
        <x:v>3845</x:v>
      </x:c>
      <x:c r="L63" s="23" t="s">
        <x:v>194</x:v>
      </x:c>
      <x:c r="M63" s="23">
        <x:f t="shared" si="0"/>
        <x:v>505</x:v>
      </x:c>
      <x:c r="N63" s="24" t="str">
        <x:f t="array" ref="N63">INDEX('MATCH INFO'!O:O, INT((ROW()-2)/10)+2)</x:f>
        <x:v>260605_T1_ZETA_S1</x:v>
      </x:c>
    </x:row>
    <x:row r="64">
      <x:c r="A64" s="23" t="s">
        <x:v>63</x:v>
      </x:c>
      <x:c r="B64" s="23" t="s">
        <x:v>67</x:v>
      </x:c>
      <x:c r="C64" s="23" t="s">
        <x:v>11</x:v>
      </x:c>
      <x:c r="D64" s="23" t="s">
        <x:v>116</x:v>
      </x:c>
      <x:c r="E64" s="23" t="s">
        <x:v>184</x:v>
      </x:c>
      <x:c r="F64" s="23">
        <x:v>29</x:v>
      </x:c>
      <x:c r="G64" s="23">
        <x:v>3</x:v>
      </x:c>
      <x:c r="H64" s="23">
        <x:v>0</x:v>
      </x:c>
      <x:c r="I64" s="23">
        <x:v>10756</x:v>
      </x:c>
      <x:c r="J64" s="23">
        <x:v>0</x:v>
      </x:c>
      <x:c r="K64" s="23">
        <x:v>0</x:v>
      </x:c>
      <x:c r="L64" s="23" t="s">
        <x:v>194</x:v>
      </x:c>
      <x:c r="M64" s="23">
        <x:f t="shared" si="0"/>
        <x:v>505</x:v>
      </x:c>
      <x:c r="N64" s="24" t="str">
        <x:f t="array" ref="N64">INDEX('MATCH INFO'!O:O, INT((ROW()-2)/10)+2)</x:f>
        <x:v>260605_T1_ZETA_S1</x:v>
      </x:c>
    </x:row>
    <x:row r="65">
      <x:c r="A65" s="23" t="s">
        <x:v>63</x:v>
      </x:c>
      <x:c r="B65" s="23" t="s">
        <x:v>70</x:v>
      </x:c>
      <x:c r="C65" s="23" t="s">
        <x:v>16</x:v>
      </x:c>
      <x:c r="D65" s="23" t="s">
        <x:v>116</x:v>
      </x:c>
      <x:c r="E65" s="23" t="s">
        <x:v>184</x:v>
      </x:c>
      <x:c r="F65" s="23">
        <x:v>16</x:v>
      </x:c>
      <x:c r="G65" s="23">
        <x:v>4</x:v>
      </x:c>
      <x:c r="H65" s="23">
        <x:v>29</x:v>
      </x:c>
      <x:c r="I65" s="23">
        <x:v>4050</x:v>
      </x:c>
      <x:c r="J65" s="23">
        <x:v>9014</x:v>
      </x:c>
      <x:c r="K65" s="23">
        <x:v>0</x:v>
      </x:c>
      <x:c r="L65" s="23" t="s">
        <x:v>194</x:v>
      </x:c>
      <x:c r="M65" s="23">
        <x:f t="shared" si="0"/>
        <x:v>505</x:v>
      </x:c>
      <x:c r="N65" s="24" t="str">
        <x:f t="array" ref="N65">INDEX('MATCH INFO'!O:O, INT((ROW()-2)/10)+2)</x:f>
        <x:v>260605_T1_ZETA_S1</x:v>
      </x:c>
    </x:row>
    <x:row r="66">
      <x:c r="A66" s="23" t="s">
        <x:v>63</x:v>
      </x:c>
      <x:c r="B66" s="23" t="s">
        <x:v>66</x:v>
      </x:c>
      <x:c r="C66" s="23" t="s">
        <x:v>11</x:v>
      </x:c>
      <x:c r="D66" s="23" t="s">
        <x:v>116</x:v>
      </x:c>
      <x:c r="E66" s="23" t="s">
        <x:v>184</x:v>
      </x:c>
      <x:c r="F66" s="23">
        <x:v>25</x:v>
      </x:c>
      <x:c r="G66" s="23">
        <x:v>5</x:v>
      </x:c>
      <x:c r="H66" s="23">
        <x:v>8</x:v>
      </x:c>
      <x:c r="I66" s="23">
        <x:v>8205</x:v>
      </x:c>
      <x:c r="J66" s="23">
        <x:v>221</x:v>
      </x:c>
      <x:c r="K66" s="23">
        <x:v>545</x:v>
      </x:c>
      <x:c r="L66" s="23" t="s">
        <x:v>194</x:v>
      </x:c>
      <x:c r="M66" s="23" t="e">
        <x:f t="shared" ref="M66:M129" si="1">L66*86400</x:f>
        <x:v>#VALUE!</x:v>
      </x:c>
      <x:c r="N66" s="24" t="str">
        <x:f t="array" ref="N66">INDEX('MATCH INFO'!O:O, INT((ROW()-2)/10)+2)</x:f>
        <x:v>260605_T1_ZETA_S1</x:v>
      </x:c>
    </x:row>
    <x:row r="67">
      <x:c r="A67" s="23" t="s">
        <x:v>47</x:v>
      </x:c>
      <x:c r="B67" s="23" t="s">
        <x:v>49</x:v>
      </x:c>
      <x:c r="C67" s="23" t="s">
        <x:v>8</x:v>
      </x:c>
      <x:c r="D67" s="23" t="s">
        <x:v>116</x:v>
      </x:c>
      <x:c r="E67" s="23" t="s">
        <x:v>184</x:v>
      </x:c>
      <x:c r="F67" s="23">
        <x:v>11</x:v>
      </x:c>
      <x:c r="G67" s="23">
        <x:v>8</x:v>
      </x:c>
      <x:c r="H67" s="23">
        <x:v>4</x:v>
      </x:c>
      <x:c r="I67" s="23">
        <x:v>7553</x:v>
      </x:c>
      <x:c r="J67" s="23">
        <x:v>1130</x:v>
      </x:c>
      <x:c r="K67" s="23">
        <x:v>8335</x:v>
      </x:c>
      <x:c r="L67" s="23" t="s">
        <x:v>194</x:v>
      </x:c>
      <x:c r="M67" s="23">
        <x:f t="shared" si="1"/>
        <x:v>505</x:v>
      </x:c>
      <x:c r="N67" s="24" t="str">
        <x:f t="array" ref="N67">INDEX('MATCH INFO'!O:O, INT((ROW()-2)/10)+2)</x:f>
        <x:v>260605_T1_ZETA_S1</x:v>
      </x:c>
    </x:row>
    <x:row r="68">
      <x:c r="A68" s="23" t="s">
        <x:v>47</x:v>
      </x:c>
      <x:c r="B68" s="23" t="s">
        <x:v>51</x:v>
      </x:c>
      <x:c r="C68" s="23" t="s">
        <x:v>11</x:v>
      </x:c>
      <x:c r="D68" s="23" t="s">
        <x:v>116</x:v>
      </x:c>
      <x:c r="E68" s="23" t="s">
        <x:v>184</x:v>
      </x:c>
      <x:c r="F68" s="23">
        <x:v>12</x:v>
      </x:c>
      <x:c r="G68" s="23">
        <x:v>10</x:v>
      </x:c>
      <x:c r="H68" s="23">
        <x:v>6</x:v>
      </x:c>
      <x:c r="I68" s="23">
        <x:v>6828</x:v>
      </x:c>
      <x:c r="J68" s="23">
        <x:v>347</x:v>
      </x:c>
      <x:c r="K68" s="23">
        <x:v>4652</x:v>
      </x:c>
      <x:c r="L68" s="23" t="s">
        <x:v>194</x:v>
      </x:c>
      <x:c r="M68" s="23">
        <x:f t="shared" si="1"/>
        <x:v>505</x:v>
      </x:c>
      <x:c r="N68" s="24" t="str">
        <x:f t="array" ref="N68">INDEX('MATCH INFO'!O:O, INT((ROW()-2)/10)+2)</x:f>
        <x:v>260605_T1_ZETA_S1</x:v>
      </x:c>
    </x:row>
    <x:row r="69">
      <x:c r="A69" s="23" t="s">
        <x:v>47</x:v>
      </x:c>
      <x:c r="B69" s="23" t="s">
        <x:v>50</x:v>
      </x:c>
      <x:c r="C69" s="23" t="s">
        <x:v>11</x:v>
      </x:c>
      <x:c r="D69" s="23" t="s">
        <x:v>116</x:v>
      </x:c>
      <x:c r="E69" s="23" t="s">
        <x:v>184</x:v>
      </x:c>
      <x:c r="F69" s="23">
        <x:v>8</x:v>
      </x:c>
      <x:c r="G69" s="23">
        <x:v>8</x:v>
      </x:c>
      <x:c r="H69" s="23">
        <x:v>1</x:v>
      </x:c>
      <x:c r="I69" s="23">
        <x:v>5807</x:v>
      </x:c>
      <x:c r="J69" s="23">
        <x:v>0</x:v>
      </x:c>
      <x:c r="K69" s="23">
        <x:v>229</x:v>
      </x:c>
      <x:c r="L69" s="23" t="s">
        <x:v>194</x:v>
      </x:c>
      <x:c r="M69" s="23">
        <x:f t="shared" si="1"/>
        <x:v>505</x:v>
      </x:c>
      <x:c r="N69" s="24" t="str">
        <x:f t="array" ref="N69">INDEX('MATCH INFO'!O:O, INT((ROW()-2)/10)+2)</x:f>
        <x:v>260605_T1_ZETA_S1</x:v>
      </x:c>
    </x:row>
    <x:row r="70">
      <x:c r="A70" s="23" t="s">
        <x:v>47</x:v>
      </x:c>
      <x:c r="B70" s="23" t="s">
        <x:v>53</x:v>
      </x:c>
      <x:c r="C70" s="23" t="s">
        <x:v>16</x:v>
      </x:c>
      <x:c r="D70" s="23" t="s">
        <x:v>116</x:v>
      </x:c>
      <x:c r="E70" s="23" t="s">
        <x:v>184</x:v>
      </x:c>
      <x:c r="F70" s="23">
        <x:v>9</x:v>
      </x:c>
      <x:c r="G70" s="23">
        <x:v>9</x:v>
      </x:c>
      <x:c r="H70" s="23">
        <x:v>9</x:v>
      </x:c>
      <x:c r="I70" s="23">
        <x:v>4281</x:v>
      </x:c>
      <x:c r="J70" s="23">
        <x:v>6485</x:v>
      </x:c>
      <x:c r="K70" s="23">
        <x:v>2599</x:v>
      </x:c>
      <x:c r="L70" s="23" t="s">
        <x:v>194</x:v>
      </x:c>
      <x:c r="M70" s="23">
        <x:f t="shared" si="1"/>
        <x:v>505</x:v>
      </x:c>
      <x:c r="N70" s="24" t="str">
        <x:f t="array" ref="N70">INDEX('MATCH INFO'!O:O, INT((ROW()-2)/10)+2)</x:f>
        <x:v>260605_T1_ZETA_S1</x:v>
      </x:c>
    </x:row>
    <x:row r="71">
      <x:c r="A71" s="23" t="s">
        <x:v>47</x:v>
      </x:c>
      <x:c r="B71" s="23" t="s">
        <x:v>52</x:v>
      </x:c>
      <x:c r="C71" s="23" t="s">
        <x:v>16</x:v>
      </x:c>
      <x:c r="D71" s="23" t="s">
        <x:v>116</x:v>
      </x:c>
      <x:c r="E71" s="23" t="s">
        <x:v>184</x:v>
      </x:c>
      <x:c r="F71" s="23">
        <x:v>8</x:v>
      </x:c>
      <x:c r="G71" s="23">
        <x:v>8</x:v>
      </x:c>
      <x:c r="H71" s="23">
        <x:v>12</x:v>
      </x:c>
      <x:c r="I71" s="23">
        <x:v>3049</x:v>
      </x:c>
      <x:c r="J71" s="23">
        <x:v>9079</x:v>
      </x:c>
      <x:c r="K71" s="23">
        <x:v>0</x:v>
      </x:c>
      <x:c r="L71" s="23" t="s">
        <x:v>194</x:v>
      </x:c>
      <x:c r="M71" s="23">
        <x:f t="shared" si="1"/>
        <x:v>505</x:v>
      </x:c>
      <x:c r="N71" s="24" t="str">
        <x:f t="array" ref="N71">INDEX('MATCH INFO'!O:O, INT((ROW()-2)/10)+2)</x:f>
        <x:v>260605_T1_ZETA_S1</x:v>
      </x:c>
    </x:row>
    <x:row r="72">
      <x:c r="A72" s="23" t="s">
        <x:v>63</x:v>
      </x:c>
      <x:c r="B72" s="23" t="s">
        <x:v>69</x:v>
      </x:c>
      <x:c r="C72" s="23" t="s">
        <x:v>16</x:v>
      </x:c>
      <x:c r="D72" s="23" t="s">
        <x:v>123</x:v>
      </x:c>
      <x:c r="E72" s="23" t="s">
        <x:v>195</x:v>
      </x:c>
      <x:c r="F72" s="23">
        <x:v>28</x:v>
      </x:c>
      <x:c r="G72" s="23">
        <x:v>8</x:v>
      </x:c>
      <x:c r="H72" s="23">
        <x:v>31</x:v>
      </x:c>
      <x:c r="I72" s="23">
        <x:v>4017</x:v>
      </x:c>
      <x:c r="J72" s="23">
        <x:v>12849</x:v>
      </x:c>
      <x:c r="K72" s="23">
        <x:v>0</x:v>
      </x:c>
      <x:c r="L72" s="23" t="s">
        <x:v>196</x:v>
      </x:c>
      <x:c r="M72" s="23">
        <x:f t="shared" si="1"/>
        <x:v>922</x:v>
      </x:c>
      <x:c r="N72" s="24" t="str">
        <x:f t="array" ref="N72">INDEX('MATCH INFO'!O:O, INT((ROW()-2)/10)+2)</x:f>
        <x:v>260605_T1_ZETA_S2</x:v>
      </x:c>
    </x:row>
    <x:row r="73">
      <x:c r="A73" s="23" t="s">
        <x:v>63</x:v>
      </x:c>
      <x:c r="B73" s="23" t="s">
        <x:v>64</x:v>
      </x:c>
      <x:c r="C73" s="23" t="s">
        <x:v>8</x:v>
      </x:c>
      <x:c r="D73" s="23" t="s">
        <x:v>123</x:v>
      </x:c>
      <x:c r="E73" s="23" t="s">
        <x:v>195</x:v>
      </x:c>
      <x:c r="F73" s="23">
        <x:v>35</x:v>
      </x:c>
      <x:c r="G73" s="23">
        <x:v>12</x:v>
      </x:c>
      <x:c r="H73" s="23">
        <x:v>31</x:v>
      </x:c>
      <x:c r="I73" s="23">
        <x:v>17150</x:v>
      </x:c>
      <x:c r="J73" s="23">
        <x:v>5356</x:v>
      </x:c>
      <x:c r="K73" s="23">
        <x:v>9187</x:v>
      </x:c>
      <x:c r="L73" s="23" t="s">
        <x:v>196</x:v>
      </x:c>
      <x:c r="M73" s="23">
        <x:f t="shared" si="1"/>
        <x:v>922</x:v>
      </x:c>
      <x:c r="N73" s="24" t="str">
        <x:f t="array" ref="N73">INDEX('MATCH INFO'!O:O, INT((ROW()-2)/10)+2)</x:f>
        <x:v>260605_T1_ZETA_S2</x:v>
      </x:c>
    </x:row>
    <x:row r="74">
      <x:c r="A74" s="23" t="s">
        <x:v>63</x:v>
      </x:c>
      <x:c r="B74" s="23" t="s">
        <x:v>67</x:v>
      </x:c>
      <x:c r="C74" s="23" t="s">
        <x:v>11</x:v>
      </x:c>
      <x:c r="D74" s="23" t="s">
        <x:v>123</x:v>
      </x:c>
      <x:c r="E74" s="23" t="s">
        <x:v>195</x:v>
      </x:c>
      <x:c r="F74" s="23">
        <x:v>30</x:v>
      </x:c>
      <x:c r="G74" s="23">
        <x:v>16</x:v>
      </x:c>
      <x:c r="H74" s="23">
        <x:v>3</x:v>
      </x:c>
      <x:c r="I74" s="23">
        <x:v>22492</x:v>
      </x:c>
      <x:c r="J74" s="23">
        <x:v>429</x:v>
      </x:c>
      <x:c r="K74" s="23">
        <x:v>2602</x:v>
      </x:c>
      <x:c r="L74" s="23" t="s">
        <x:v>196</x:v>
      </x:c>
      <x:c r="M74" s="23">
        <x:f t="shared" si="1"/>
        <x:v>922</x:v>
      </x:c>
      <x:c r="N74" s="24" t="str">
        <x:f t="array" ref="N74">INDEX('MATCH INFO'!O:O, INT((ROW()-2)/10)+2)</x:f>
        <x:v>260605_T1_ZETA_S2</x:v>
      </x:c>
    </x:row>
    <x:row r="75">
      <x:c r="A75" s="23" t="s">
        <x:v>63</x:v>
      </x:c>
      <x:c r="B75" s="23" t="s">
        <x:v>70</x:v>
      </x:c>
      <x:c r="C75" s="23" t="s">
        <x:v>16</x:v>
      </x:c>
      <x:c r="D75" s="23" t="s">
        <x:v>123</x:v>
      </x:c>
      <x:c r="E75" s="23" t="s">
        <x:v>195</x:v>
      </x:c>
      <x:c r="F75" s="23">
        <x:v>21</x:v>
      </x:c>
      <x:c r="G75" s="23">
        <x:v>12</x:v>
      </x:c>
      <x:c r="H75" s="23">
        <x:v>38</x:v>
      </x:c>
      <x:c r="I75" s="23">
        <x:v>8294</x:v>
      </x:c>
      <x:c r="J75" s="23">
        <x:v>14597</x:v>
      </x:c>
      <x:c r="K75" s="23">
        <x:v>762</x:v>
      </x:c>
      <x:c r="L75" s="23" t="s">
        <x:v>196</x:v>
      </x:c>
      <x:c r="M75" s="23">
        <x:f t="shared" si="1"/>
        <x:v>922</x:v>
      </x:c>
      <x:c r="N75" s="24" t="str">
        <x:f t="array" ref="N75">INDEX('MATCH INFO'!O:O, INT((ROW()-2)/10)+2)</x:f>
        <x:v>260605_T1_ZETA_S2</x:v>
      </x:c>
    </x:row>
    <x:row r="76">
      <x:c r="A76" s="23" t="s">
        <x:v>63</x:v>
      </x:c>
      <x:c r="B76" s="23" t="s">
        <x:v>66</x:v>
      </x:c>
      <x:c r="C76" s="23" t="s">
        <x:v>11</x:v>
      </x:c>
      <x:c r="D76" s="23" t="s">
        <x:v>123</x:v>
      </x:c>
      <x:c r="E76" s="23" t="s">
        <x:v>195</x:v>
      </x:c>
      <x:c r="F76" s="23">
        <x:v>36</x:v>
      </x:c>
      <x:c r="G76" s="23">
        <x:v>11</x:v>
      </x:c>
      <x:c r="H76" s="23">
        <x:v>1</x:v>
      </x:c>
      <x:c r="I76" s="23">
        <x:v>15534</x:v>
      </x:c>
      <x:c r="J76" s="23">
        <x:v>1891</x:v>
      </x:c>
      <x:c r="K76" s="23">
        <x:v>90</x:v>
      </x:c>
      <x:c r="L76" s="23" t="s">
        <x:v>196</x:v>
      </x:c>
      <x:c r="M76" s="23">
        <x:f t="shared" si="1"/>
        <x:v>922</x:v>
      </x:c>
      <x:c r="N76" s="24" t="str">
        <x:f t="array" ref="N76">INDEX('MATCH INFO'!O:O, INT((ROW()-2)/10)+2)</x:f>
        <x:v>260605_T1_ZETA_S2</x:v>
      </x:c>
    </x:row>
    <x:row r="77">
      <x:c r="A77" s="23" t="s">
        <x:v>47</x:v>
      </x:c>
      <x:c r="B77" s="23" t="s">
        <x:v>49</x:v>
      </x:c>
      <x:c r="C77" s="23" t="s">
        <x:v>8</x:v>
      </x:c>
      <x:c r="D77" s="23" t="s">
        <x:v>123</x:v>
      </x:c>
      <x:c r="E77" s="23" t="s">
        <x:v>195</x:v>
      </x:c>
      <x:c r="F77" s="23">
        <x:v>41</x:v>
      </x:c>
      <x:c r="G77" s="23">
        <x:v>13</x:v>
      </x:c>
      <x:c r="H77" s="23">
        <x:v>26</x:v>
      </x:c>
      <x:c r="I77" s="23">
        <x:v>18543</x:v>
      </x:c>
      <x:c r="J77" s="23">
        <x:v>3946</x:v>
      </x:c>
      <x:c r="K77" s="23">
        <x:v>14177</x:v>
      </x:c>
      <x:c r="L77" s="23" t="s">
        <x:v>196</x:v>
      </x:c>
      <x:c r="M77" s="23">
        <x:f t="shared" si="1"/>
        <x:v>922</x:v>
      </x:c>
      <x:c r="N77" s="24" t="str">
        <x:f t="array" ref="N77">INDEX('MATCH INFO'!O:O, INT((ROW()-2)/10)+2)</x:f>
        <x:v>260605_T1_ZETA_S2</x:v>
      </x:c>
    </x:row>
    <x:row r="78">
      <x:c r="A78" s="23" t="s">
        <x:v>47</x:v>
      </x:c>
      <x:c r="B78" s="23" t="s">
        <x:v>51</x:v>
      </x:c>
      <x:c r="C78" s="23" t="s">
        <x:v>11</x:v>
      </x:c>
      <x:c r="D78" s="23" t="s">
        <x:v>123</x:v>
      </x:c>
      <x:c r="E78" s="23" t="s">
        <x:v>195</x:v>
      </x:c>
      <x:c r="F78" s="23">
        <x:v>33</x:v>
      </x:c>
      <x:c r="G78" s="23">
        <x:v>12</x:v>
      </x:c>
      <x:c r="H78" s="23">
        <x:v>6</x:v>
      </x:c>
      <x:c r="I78" s="23">
        <x:v>21026</x:v>
      </x:c>
      <x:c r="J78" s="23">
        <x:v>612</x:v>
      </x:c>
      <x:c r="K78" s="23">
        <x:v>2040</x:v>
      </x:c>
      <x:c r="L78" s="23" t="s">
        <x:v>196</x:v>
      </x:c>
      <x:c r="M78" s="23">
        <x:f t="shared" si="1"/>
        <x:v>922</x:v>
      </x:c>
      <x:c r="N78" s="24" t="str">
        <x:f t="array" ref="N78">INDEX('MATCH INFO'!O:O, INT((ROW()-2)/10)+2)</x:f>
        <x:v>260605_T1_ZETA_S2</x:v>
      </x:c>
    </x:row>
    <x:row r="79">
      <x:c r="A79" s="23" t="s">
        <x:v>47</x:v>
      </x:c>
      <x:c r="B79" s="23" t="s">
        <x:v>50</x:v>
      </x:c>
      <x:c r="C79" s="23" t="s">
        <x:v>11</x:v>
      </x:c>
      <x:c r="D79" s="23" t="s">
        <x:v>123</x:v>
      </x:c>
      <x:c r="E79" s="23" t="s">
        <x:v>195</x:v>
      </x:c>
      <x:c r="F79" s="23">
        <x:v>39</x:v>
      </x:c>
      <x:c r="G79" s="23">
        <x:v>7</x:v>
      </x:c>
      <x:c r="H79" s="23">
        <x:v>3</x:v>
      </x:c>
      <x:c r="I79" s="23">
        <x:v>17513</x:v>
      </x:c>
      <x:c r="J79" s="23">
        <x:v>1072</x:v>
      </x:c>
      <x:c r="K79" s="23">
        <x:v>0</x:v>
      </x:c>
      <x:c r="L79" s="23" t="s">
        <x:v>196</x:v>
      </x:c>
      <x:c r="M79" s="23">
        <x:f t="shared" si="1"/>
        <x:v>922</x:v>
      </x:c>
      <x:c r="N79" s="24" t="str">
        <x:f t="array" ref="N79">INDEX('MATCH INFO'!O:O, INT((ROW()-2)/10)+2)</x:f>
        <x:v>260605_T1_ZETA_S2</x:v>
      </x:c>
    </x:row>
    <x:row r="80">
      <x:c r="A80" s="23" t="s">
        <x:v>47</x:v>
      </x:c>
      <x:c r="B80" s="23" t="s">
        <x:v>53</x:v>
      </x:c>
      <x:c r="C80" s="23" t="s">
        <x:v>16</x:v>
      </x:c>
      <x:c r="D80" s="23" t="s">
        <x:v>123</x:v>
      </x:c>
      <x:c r="E80" s="23" t="s">
        <x:v>195</x:v>
      </x:c>
      <x:c r="F80" s="23">
        <x:v>23</x:v>
      </x:c>
      <x:c r="G80" s="23">
        <x:v>10</x:v>
      </x:c>
      <x:c r="H80" s="23">
        <x:v>42</x:v>
      </x:c>
      <x:c r="I80" s="23">
        <x:v>6676</x:v>
      </x:c>
      <x:c r="J80" s="23">
        <x:v>15047</x:v>
      </x:c>
      <x:c r="K80" s="23">
        <x:v>3844</x:v>
      </x:c>
      <x:c r="L80" s="23" t="s">
        <x:v>196</x:v>
      </x:c>
      <x:c r="M80" s="23">
        <x:f t="shared" si="1"/>
        <x:v>922</x:v>
      </x:c>
      <x:c r="N80" s="24" t="str">
        <x:f t="array" ref="N80">INDEX('MATCH INFO'!O:O, INT((ROW()-2)/10)+2)</x:f>
        <x:v>260605_T1_ZETA_S2</x:v>
      </x:c>
    </x:row>
    <x:row r="81">
      <x:c r="A81" s="23" t="s">
        <x:v>47</x:v>
      </x:c>
      <x:c r="B81" s="23" t="s">
        <x:v>52</x:v>
      </x:c>
      <x:c r="C81" s="23" t="s">
        <x:v>16</x:v>
      </x:c>
      <x:c r="D81" s="23" t="s">
        <x:v>123</x:v>
      </x:c>
      <x:c r="E81" s="23" t="s">
        <x:v>195</x:v>
      </x:c>
      <x:c r="F81" s="23">
        <x:v>32</x:v>
      </x:c>
      <x:c r="G81" s="23">
        <x:v>11</x:v>
      </x:c>
      <x:c r="H81" s="23">
        <x:v>30</x:v>
      </x:c>
      <x:c r="I81" s="23">
        <x:v>5500</x:v>
      </x:c>
      <x:c r="J81" s="23">
        <x:v>14314</x:v>
      </x:c>
      <x:c r="K81" s="23">
        <x:v>0</x:v>
      </x:c>
      <x:c r="L81" s="23" t="s">
        <x:v>196</x:v>
      </x:c>
      <x:c r="M81" s="23">
        <x:f t="shared" si="1"/>
        <x:v>922</x:v>
      </x:c>
      <x:c r="N81" s="24" t="str">
        <x:f t="array" ref="N81">INDEX('MATCH INFO'!O:O, INT((ROW()-2)/10)+2)</x:f>
        <x:v>260605_T1_ZETA_S2</x:v>
      </x:c>
    </x:row>
    <x:row r="82">
      <x:c r="A82" s="23" t="s">
        <x:v>63</x:v>
      </x:c>
      <x:c r="B82" s="23" t="s">
        <x:v>69</x:v>
      </x:c>
      <x:c r="C82" s="23" t="s">
        <x:v>16</x:v>
      </x:c>
      <x:c r="D82" s="23" t="s">
        <x:v>124</x:v>
      </x:c>
      <x:c r="E82" s="23" t="s">
        <x:v>186</x:v>
      </x:c>
      <x:c r="F82" s="23">
        <x:v>14</x:v>
      </x:c>
      <x:c r="G82" s="23">
        <x:v>1</x:v>
      </x:c>
      <x:c r="H82" s="23">
        <x:v>24</x:v>
      </x:c>
      <x:c r="I82" s="23">
        <x:v>2636</x:v>
      </x:c>
      <x:c r="J82" s="23">
        <x:v>5478</x:v>
      </x:c>
      <x:c r="K82" s="23">
        <x:v>858</x:v>
      </x:c>
      <x:c r="L82" s="23" t="s">
        <x:v>197</x:v>
      </x:c>
      <x:c r="M82" s="23">
        <x:f t="shared" si="1"/>
        <x:v>459.00000000000006</x:v>
      </x:c>
      <x:c r="N82" s="24" t="str">
        <x:f t="array" ref="N82">INDEX('MATCH INFO'!O:O, INT((ROW()-2)/10)+2)</x:f>
        <x:v>260605_T1_ZETA_S3</x:v>
      </x:c>
    </x:row>
    <x:row r="83">
      <x:c r="A83" s="23" t="s">
        <x:v>63</x:v>
      </x:c>
      <x:c r="B83" s="23" t="s">
        <x:v>64</x:v>
      </x:c>
      <x:c r="C83" s="23" t="s">
        <x:v>8</x:v>
      </x:c>
      <x:c r="D83" s="23" t="s">
        <x:v>124</x:v>
      </x:c>
      <x:c r="E83" s="23" t="s">
        <x:v>186</x:v>
      </x:c>
      <x:c r="F83" s="23">
        <x:v>23</x:v>
      </x:c>
      <x:c r="G83" s="23">
        <x:v>2</x:v>
      </x:c>
      <x:c r="H83" s="23">
        <x:v>8</x:v>
      </x:c>
      <x:c r="I83" s="23">
        <x:v>6484</x:v>
      </x:c>
      <x:c r="J83" s="23">
        <x:v>1157</x:v>
      </x:c>
      <x:c r="K83" s="23">
        <x:v>3075</x:v>
      </x:c>
      <x:c r="L83" s="23" t="s">
        <x:v>197</x:v>
      </x:c>
      <x:c r="M83" s="23">
        <x:f t="shared" si="1"/>
        <x:v>459.00000000000006</x:v>
      </x:c>
      <x:c r="N83" s="24" t="str">
        <x:f t="array" ref="N83">INDEX('MATCH INFO'!O:O, INT((ROW()-2)/10)+2)</x:f>
        <x:v>260605_T1_ZETA_S3</x:v>
      </x:c>
    </x:row>
    <x:row r="84">
      <x:c r="A84" s="23" t="s">
        <x:v>63</x:v>
      </x:c>
      <x:c r="B84" s="23" t="s">
        <x:v>67</x:v>
      </x:c>
      <x:c r="C84" s="23" t="s">
        <x:v>11</x:v>
      </x:c>
      <x:c r="D84" s="23" t="s">
        <x:v>124</x:v>
      </x:c>
      <x:c r="E84" s="23" t="s">
        <x:v>186</x:v>
      </x:c>
      <x:c r="F84" s="23">
        <x:v>25</x:v>
      </x:c>
      <x:c r="G84" s="23">
        <x:v>2</x:v>
      </x:c>
      <x:c r="H84" s="23">
        <x:v>0</x:v>
      </x:c>
      <x:c r="I84" s="23">
        <x:v>8158</x:v>
      </x:c>
      <x:c r="J84" s="23">
        <x:v>0</x:v>
      </x:c>
      <x:c r="K84" s="23">
        <x:v>0</x:v>
      </x:c>
      <x:c r="L84" s="23" t="s">
        <x:v>197</x:v>
      </x:c>
      <x:c r="M84" s="23">
        <x:f t="shared" si="1"/>
        <x:v>459.00000000000006</x:v>
      </x:c>
      <x:c r="N84" s="24" t="str">
        <x:f t="array" ref="N84">INDEX('MATCH INFO'!O:O, INT((ROW()-2)/10)+2)</x:f>
        <x:v>260605_T1_ZETA_S3</x:v>
      </x:c>
    </x:row>
    <x:row r="85">
      <x:c r="A85" s="23" t="s">
        <x:v>63</x:v>
      </x:c>
      <x:c r="B85" s="23" t="s">
        <x:v>70</x:v>
      </x:c>
      <x:c r="C85" s="23" t="s">
        <x:v>16</x:v>
      </x:c>
      <x:c r="D85" s="23" t="s">
        <x:v>124</x:v>
      </x:c>
      <x:c r="E85" s="23" t="s">
        <x:v>186</x:v>
      </x:c>
      <x:c r="F85" s="23">
        <x:v>15</x:v>
      </x:c>
      <x:c r="G85" s="23">
        <x:v>3</x:v>
      </x:c>
      <x:c r="H85" s="23">
        <x:v>23</x:v>
      </x:c>
      <x:c r="I85" s="23">
        <x:v>4848</x:v>
      </x:c>
      <x:c r="J85" s="23">
        <x:v>6569</x:v>
      </x:c>
      <x:c r="K85" s="23">
        <x:v>0</x:v>
      </x:c>
      <x:c r="L85" s="23" t="s">
        <x:v>197</x:v>
      </x:c>
      <x:c r="M85" s="23">
        <x:f t="shared" si="1"/>
        <x:v>459.00000000000006</x:v>
      </x:c>
      <x:c r="N85" s="24" t="str">
        <x:f t="array" ref="N85">INDEX('MATCH INFO'!O:O, INT((ROW()-2)/10)+2)</x:f>
        <x:v>260605_T1_ZETA_S3</x:v>
      </x:c>
    </x:row>
    <x:row r="86">
      <x:c r="A86" s="23" t="s">
        <x:v>63</x:v>
      </x:c>
      <x:c r="B86" s="23" t="s">
        <x:v>66</x:v>
      </x:c>
      <x:c r="C86" s="23" t="s">
        <x:v>11</x:v>
      </x:c>
      <x:c r="D86" s="23" t="s">
        <x:v>124</x:v>
      </x:c>
      <x:c r="E86" s="23" t="s">
        <x:v>186</x:v>
      </x:c>
      <x:c r="F86" s="23">
        <x:v>21</x:v>
      </x:c>
      <x:c r="G86" s="23">
        <x:v>2</x:v>
      </x:c>
      <x:c r="H86" s="23">
        <x:v>4</x:v>
      </x:c>
      <x:c r="I86" s="23">
        <x:v>4557</x:v>
      </x:c>
      <x:c r="J86" s="23">
        <x:v>116</x:v>
      </x:c>
      <x:c r="K86" s="23">
        <x:v>210</x:v>
      </x:c>
      <x:c r="L86" s="23" t="s">
        <x:v>197</x:v>
      </x:c>
      <x:c r="M86" s="23">
        <x:f t="shared" si="1"/>
        <x:v>459.00000000000006</x:v>
      </x:c>
      <x:c r="N86" s="24" t="str">
        <x:f t="array" ref="N86">INDEX('MATCH INFO'!O:O, INT((ROW()-2)/10)+2)</x:f>
        <x:v>260605_T1_ZETA_S3</x:v>
      </x:c>
    </x:row>
    <x:row r="87">
      <x:c r="A87" s="23" t="s">
        <x:v>47</x:v>
      </x:c>
      <x:c r="B87" s="23" t="s">
        <x:v>51</x:v>
      </x:c>
      <x:c r="C87" s="23" t="s">
        <x:v>11</x:v>
      </x:c>
      <x:c r="D87" s="23" t="s">
        <x:v>124</x:v>
      </x:c>
      <x:c r="E87" s="23" t="s">
        <x:v>186</x:v>
      </x:c>
      <x:c r="F87" s="23">
        <x:v>8</x:v>
      </x:c>
      <x:c r="G87" s="23">
        <x:v>8</x:v>
      </x:c>
      <x:c r="H87" s="23">
        <x:v>0</x:v>
      </x:c>
      <x:c r="I87" s="23">
        <x:v>3813</x:v>
      </x:c>
      <x:c r="J87" s="23">
        <x:v>134</x:v>
      </x:c>
      <x:c r="K87" s="23">
        <x:v>21</x:v>
      </x:c>
      <x:c r="L87" s="23" t="s">
        <x:v>197</x:v>
      </x:c>
      <x:c r="M87" s="23">
        <x:f t="shared" si="1"/>
        <x:v>459.00000000000006</x:v>
      </x:c>
      <x:c r="N87" s="24" t="str">
        <x:f t="array" ref="N87">INDEX('MATCH INFO'!O:O, INT((ROW()-2)/10)+2)</x:f>
        <x:v>260605_T1_ZETA_S3</x:v>
      </x:c>
    </x:row>
    <x:row r="88">
      <x:c r="A88" s="23" t="s">
        <x:v>47</x:v>
      </x:c>
      <x:c r="B88" s="23" t="s">
        <x:v>48</x:v>
      </x:c>
      <x:c r="C88" s="23" t="s">
        <x:v>8</x:v>
      </x:c>
      <x:c r="D88" s="23" t="s">
        <x:v>124</x:v>
      </x:c>
      <x:c r="E88" s="23" t="s">
        <x:v>186</x:v>
      </x:c>
      <x:c r="F88" s="23">
        <x:v>7</x:v>
      </x:c>
      <x:c r="G88" s="23">
        <x:v>6</x:v>
      </x:c>
      <x:c r="H88" s="23">
        <x:v>2</x:v>
      </x:c>
      <x:c r="I88" s="23">
        <x:v>5571</x:v>
      </x:c>
      <x:c r="J88" s="23">
        <x:v>1550</x:v>
      </x:c>
      <x:c r="K88" s="23">
        <x:v>3123</x:v>
      </x:c>
      <x:c r="L88" s="23" t="s">
        <x:v>197</x:v>
      </x:c>
      <x:c r="M88" s="23">
        <x:f t="shared" si="1"/>
        <x:v>459.00000000000006</x:v>
      </x:c>
      <x:c r="N88" s="24" t="str">
        <x:f t="array" ref="N88">INDEX('MATCH INFO'!O:O, INT((ROW()-2)/10)+2)</x:f>
        <x:v>260605_T1_ZETA_S3</x:v>
      </x:c>
    </x:row>
    <x:row r="89">
      <x:c r="A89" s="23" t="s">
        <x:v>47</x:v>
      </x:c>
      <x:c r="B89" s="23" t="s">
        <x:v>50</x:v>
      </x:c>
      <x:c r="C89" s="23" t="s">
        <x:v>11</x:v>
      </x:c>
      <x:c r="D89" s="23" t="s">
        <x:v>124</x:v>
      </x:c>
      <x:c r="E89" s="23" t="s">
        <x:v>186</x:v>
      </x:c>
      <x:c r="F89" s="23">
        <x:v>6</x:v>
      </x:c>
      <x:c r="G89" s="23">
        <x:v>7</x:v>
      </x:c>
      <x:c r="H89" s="23">
        <x:v>0</x:v>
      </x:c>
      <x:c r="I89" s="23">
        <x:v>4666</x:v>
      </x:c>
      <x:c r="J89" s="23">
        <x:v>65</x:v>
      </x:c>
      <x:c r="K89" s="23">
        <x:v>212</x:v>
      </x:c>
      <x:c r="L89" s="23" t="s">
        <x:v>197</x:v>
      </x:c>
      <x:c r="M89" s="23">
        <x:f t="shared" si="1"/>
        <x:v>459.00000000000006</x:v>
      </x:c>
      <x:c r="N89" s="24" t="str">
        <x:f t="array" ref="N89">INDEX('MATCH INFO'!O:O, INT((ROW()-2)/10)+2)</x:f>
        <x:v>260605_T1_ZETA_S3</x:v>
      </x:c>
    </x:row>
    <x:row r="90">
      <x:c r="A90" s="23" t="s">
        <x:v>47</x:v>
      </x:c>
      <x:c r="B90" s="23" t="s">
        <x:v>53</x:v>
      </x:c>
      <x:c r="C90" s="23" t="s">
        <x:v>16</x:v>
      </x:c>
      <x:c r="D90" s="23" t="s">
        <x:v>124</x:v>
      </x:c>
      <x:c r="E90" s="23" t="s">
        <x:v>186</x:v>
      </x:c>
      <x:c r="F90" s="23">
        <x:v>2</x:v>
      </x:c>
      <x:c r="G90" s="23">
        <x:v>8</x:v>
      </x:c>
      <x:c r="H90" s="23">
        <x:v>2</x:v>
      </x:c>
      <x:c r="I90" s="23">
        <x:v>2340</x:v>
      </x:c>
      <x:c r="J90" s="23">
        <x:v>4158</x:v>
      </x:c>
      <x:c r="K90" s="23">
        <x:v>190</x:v>
      </x:c>
      <x:c r="L90" s="23" t="s">
        <x:v>197</x:v>
      </x:c>
      <x:c r="M90" s="23">
        <x:f t="shared" si="1"/>
        <x:v>459.00000000000006</x:v>
      </x:c>
      <x:c r="N90" s="24" t="str">
        <x:f t="array" ref="N90">INDEX('MATCH INFO'!O:O, INT((ROW()-2)/10)+2)</x:f>
        <x:v>260605_T1_ZETA_S3</x:v>
      </x:c>
    </x:row>
    <x:row r="91">
      <x:c r="A91" s="23" t="s">
        <x:v>47</x:v>
      </x:c>
      <x:c r="B91" s="23" t="s">
        <x:v>52</x:v>
      </x:c>
      <x:c r="C91" s="23" t="s">
        <x:v>16</x:v>
      </x:c>
      <x:c r="D91" s="23" t="s">
        <x:v>124</x:v>
      </x:c>
      <x:c r="E91" s="23" t="s">
        <x:v>186</x:v>
      </x:c>
      <x:c r="F91" s="23">
        <x:v>4</x:v>
      </x:c>
      <x:c r="G91" s="23">
        <x:v>8</x:v>
      </x:c>
      <x:c r="H91" s="23">
        <x:v>8</x:v>
      </x:c>
      <x:c r="I91" s="23">
        <x:v>3229</x:v>
      </x:c>
      <x:c r="J91" s="23">
        <x:v>5116</x:v>
      </x:c>
      <x:c r="K91" s="23">
        <x:v>0</x:v>
      </x:c>
      <x:c r="L91" s="23" t="s">
        <x:v>197</x:v>
      </x:c>
      <x:c r="M91" s="23">
        <x:f t="shared" si="1"/>
        <x:v>459.00000000000006</x:v>
      </x:c>
      <x:c r="N91" s="24" t="str">
        <x:f t="array" ref="N91">INDEX('MATCH INFO'!O:O, INT((ROW()-2)/10)+2)</x:f>
        <x:v>260605_T1_ZETA_S3</x:v>
      </x:c>
    </x:row>
    <x:row r="92">
      <x:c r="A92" s="23" t="s">
        <x:v>63</x:v>
      </x:c>
      <x:c r="B92" s="23" t="s">
        <x:v>69</x:v>
      </x:c>
      <x:c r="C92" s="23" t="s">
        <x:v>16</x:v>
      </x:c>
      <x:c r="D92" s="23" t="s">
        <x:v>119</x:v>
      </x:c>
      <x:c r="E92" s="23" t="s">
        <x:v>191</x:v>
      </x:c>
      <x:c r="F92" s="23">
        <x:v>21</x:v>
      </x:c>
      <x:c r="G92" s="23">
        <x:v>8</x:v>
      </x:c>
      <x:c r="H92" s="23">
        <x:v>25</x:v>
      </x:c>
      <x:c r="I92" s="23">
        <x:v>9104</x:v>
      </x:c>
      <x:c r="J92" s="23">
        <x:v>10893</x:v>
      </x:c>
      <x:c r="K92" s="23">
        <x:v>913</x:v>
      </x:c>
      <x:c r="L92" s="23" t="s">
        <x:v>198</x:v>
      </x:c>
      <x:c r="M92" s="23">
        <x:f t="shared" si="1"/>
        <x:v>980.00000000000011</x:v>
      </x:c>
      <x:c r="N92" s="24" t="str">
        <x:f t="array" ref="N92">INDEX('MATCH INFO'!O:O, INT((ROW()-2)/10)+2)</x:f>
        <x:v>260605_T1_ZETA_S4</x:v>
      </x:c>
    </x:row>
    <x:row r="93">
      <x:c r="A93" s="23" t="s">
        <x:v>63</x:v>
      </x:c>
      <x:c r="B93" s="23" t="s">
        <x:v>64</x:v>
      </x:c>
      <x:c r="C93" s="23" t="s">
        <x:v>8</x:v>
      </x:c>
      <x:c r="D93" s="23" t="s">
        <x:v>119</x:v>
      </x:c>
      <x:c r="E93" s="23" t="s">
        <x:v>191</x:v>
      </x:c>
      <x:c r="F93" s="23">
        <x:v>28</x:v>
      </x:c>
      <x:c r="G93" s="23">
        <x:v>11</x:v>
      </x:c>
      <x:c r="H93" s="23">
        <x:v>17</x:v>
      </x:c>
      <x:c r="I93" s="23">
        <x:v>12646</x:v>
      </x:c>
      <x:c r="J93" s="23">
        <x:v>1137</x:v>
      </x:c>
      <x:c r="K93" s="23">
        <x:v>14841</x:v>
      </x:c>
      <x:c r="L93" s="23" t="s">
        <x:v>198</x:v>
      </x:c>
      <x:c r="M93" s="23">
        <x:f t="shared" si="1"/>
        <x:v>980.00000000000011</x:v>
      </x:c>
      <x:c r="N93" s="24" t="str">
        <x:f t="array" ref="N93">INDEX('MATCH INFO'!O:O, INT((ROW()-2)/10)+2)</x:f>
        <x:v>260605_T1_ZETA_S4</x:v>
      </x:c>
    </x:row>
    <x:row r="94">
      <x:c r="A94" s="23" t="s">
        <x:v>63</x:v>
      </x:c>
      <x:c r="B94" s="23" t="s">
        <x:v>67</x:v>
      </x:c>
      <x:c r="C94" s="23" t="s">
        <x:v>11</x:v>
      </x:c>
      <x:c r="D94" s="23" t="s">
        <x:v>119</x:v>
      </x:c>
      <x:c r="E94" s="23" t="s">
        <x:v>191</x:v>
      </x:c>
      <x:c r="F94" s="23">
        <x:v>32</x:v>
      </x:c>
      <x:c r="G94" s="23">
        <x:v>11</x:v>
      </x:c>
      <x:c r="H94" s="23">
        <x:v>1</x:v>
      </x:c>
      <x:c r="I94" s="23">
        <x:v>17143</x:v>
      </x:c>
      <x:c r="J94" s="23">
        <x:v>0</x:v>
      </x:c>
      <x:c r="K94" s="23">
        <x:v>17</x:v>
      </x:c>
      <x:c r="L94" s="23" t="s">
        <x:v>198</x:v>
      </x:c>
      <x:c r="M94" s="23">
        <x:f t="shared" si="1"/>
        <x:v>980.00000000000011</x:v>
      </x:c>
      <x:c r="N94" s="24" t="str">
        <x:f t="array" ref="N94">INDEX('MATCH INFO'!O:O, INT((ROW()-2)/10)+2)</x:f>
        <x:v>260605_T1_ZETA_S4</x:v>
      </x:c>
    </x:row>
    <x:row r="95">
      <x:c r="A95" s="23" t="s">
        <x:v>63</x:v>
      </x:c>
      <x:c r="B95" s="23" t="s">
        <x:v>70</x:v>
      </x:c>
      <x:c r="C95" s="23" t="s">
        <x:v>16</x:v>
      </x:c>
      <x:c r="D95" s="23" t="s">
        <x:v>119</x:v>
      </x:c>
      <x:c r="E95" s="23" t="s">
        <x:v>191</x:v>
      </x:c>
      <x:c r="F95" s="23">
        <x:v>30</x:v>
      </x:c>
      <x:c r="G95" s="23">
        <x:v>11</x:v>
      </x:c>
      <x:c r="H95" s="23">
        <x:v>27</x:v>
      </x:c>
      <x:c r="I95" s="23">
        <x:v>6516</x:v>
      </x:c>
      <x:c r="J95" s="23">
        <x:v>13794</x:v>
      </x:c>
      <x:c r="K95" s="23">
        <x:v>911</x:v>
      </x:c>
      <x:c r="L95" s="23" t="s">
        <x:v>198</x:v>
      </x:c>
      <x:c r="M95" s="23">
        <x:f t="shared" si="1"/>
        <x:v>980.00000000000011</x:v>
      </x:c>
      <x:c r="N95" s="24" t="str">
        <x:f t="array" ref="N95">INDEX('MATCH INFO'!O:O, INT((ROW()-2)/10)+2)</x:f>
        <x:v>260605_T1_ZETA_S4</x:v>
      </x:c>
    </x:row>
    <x:row r="96">
      <x:c r="A96" s="23" t="s">
        <x:v>63</x:v>
      </x:c>
      <x:c r="B96" s="23" t="s">
        <x:v>66</x:v>
      </x:c>
      <x:c r="C96" s="23" t="s">
        <x:v>11</x:v>
      </x:c>
      <x:c r="D96" s="23" t="s">
        <x:v>119</x:v>
      </x:c>
      <x:c r="E96" s="23" t="s">
        <x:v>191</x:v>
      </x:c>
      <x:c r="F96" s="23">
        <x:v>31</x:v>
      </x:c>
      <x:c r="G96" s="23">
        <x:v>9</x:v>
      </x:c>
      <x:c r="H96" s="23">
        <x:v>10</x:v>
      </x:c>
      <x:c r="I96" s="23">
        <x:v>11204</x:v>
      </x:c>
      <x:c r="J96" s="23">
        <x:v>718</x:v>
      </x:c>
      <x:c r="K96" s="23">
        <x:v>2901</x:v>
      </x:c>
      <x:c r="L96" s="23" t="s">
        <x:v>198</x:v>
      </x:c>
      <x:c r="M96" s="23">
        <x:f t="shared" si="1"/>
        <x:v>980.00000000000011</x:v>
      </x:c>
      <x:c r="N96" s="24" t="str">
        <x:f t="array" ref="N96">INDEX('MATCH INFO'!O:O, INT((ROW()-2)/10)+2)</x:f>
        <x:v>260605_T1_ZETA_S4</x:v>
      </x:c>
    </x:row>
    <x:row r="97">
      <x:c r="A97" s="23" t="s">
        <x:v>47</x:v>
      </x:c>
      <x:c r="B97" s="23" t="s">
        <x:v>49</x:v>
      </x:c>
      <x:c r="C97" s="23" t="s">
        <x:v>8</x:v>
      </x:c>
      <x:c r="D97" s="23" t="s">
        <x:v>119</x:v>
      </x:c>
      <x:c r="E97" s="23" t="s">
        <x:v>191</x:v>
      </x:c>
      <x:c r="F97" s="23">
        <x:v>30</x:v>
      </x:c>
      <x:c r="G97" s="23">
        <x:v>10</x:v>
      </x:c>
      <x:c r="H97" s="23">
        <x:v>4</x:v>
      </x:c>
      <x:c r="I97" s="23">
        <x:v>13836</x:v>
      </x:c>
      <x:c r="J97" s="23">
        <x:v>846</x:v>
      </x:c>
      <x:c r="K97" s="23">
        <x:v>24047</x:v>
      </x:c>
      <x:c r="L97" s="23" t="s">
        <x:v>198</x:v>
      </x:c>
      <x:c r="M97" s="23">
        <x:f t="shared" si="1"/>
        <x:v>980.00000000000011</x:v>
      </x:c>
      <x:c r="N97" s="24" t="str">
        <x:f t="array" ref="N97">INDEX('MATCH INFO'!O:O, INT((ROW()-2)/10)+2)</x:f>
        <x:v>260605_T1_ZETA_S4</x:v>
      </x:c>
    </x:row>
    <x:row r="98">
      <x:c r="A98" s="23" t="s">
        <x:v>47</x:v>
      </x:c>
      <x:c r="B98" s="23" t="s">
        <x:v>51</x:v>
      </x:c>
      <x:c r="C98" s="23" t="s">
        <x:v>11</x:v>
      </x:c>
      <x:c r="D98" s="23" t="s">
        <x:v>119</x:v>
      </x:c>
      <x:c r="E98" s="23" t="s">
        <x:v>191</x:v>
      </x:c>
      <x:c r="F98" s="23">
        <x:v>22</x:v>
      </x:c>
      <x:c r="G98" s="23">
        <x:v>13</x:v>
      </x:c>
      <x:c r="H98" s="23">
        <x:v>4</x:v>
      </x:c>
      <x:c r="I98" s="23">
        <x:v>11970</x:v>
      </x:c>
      <x:c r="J98" s="23">
        <x:v>118</x:v>
      </x:c>
      <x:c r="K98" s="23">
        <x:v>2106</x:v>
      </x:c>
      <x:c r="L98" s="23" t="s">
        <x:v>198</x:v>
      </x:c>
      <x:c r="M98" s="23">
        <x:f t="shared" si="1"/>
        <x:v>980.00000000000011</x:v>
      </x:c>
      <x:c r="N98" s="24" t="str">
        <x:f t="array" ref="N98">INDEX('MATCH INFO'!O:O, INT((ROW()-2)/10)+2)</x:f>
        <x:v>260605_T1_ZETA_S4</x:v>
      </x:c>
    </x:row>
    <x:row r="99">
      <x:c r="A99" s="23" t="s">
        <x:v>47</x:v>
      </x:c>
      <x:c r="B99" s="23" t="s">
        <x:v>50</x:v>
      </x:c>
      <x:c r="C99" s="23" t="s">
        <x:v>11</x:v>
      </x:c>
      <x:c r="D99" s="23" t="s">
        <x:v>119</x:v>
      </x:c>
      <x:c r="E99" s="23" t="s">
        <x:v>191</x:v>
      </x:c>
      <x:c r="F99" s="23">
        <x:v>33</x:v>
      </x:c>
      <x:c r="G99" s="23">
        <x:v>8</x:v>
      </x:c>
      <x:c r="H99" s="23">
        <x:v>3</x:v>
      </x:c>
      <x:c r="I99" s="23">
        <x:v>13714</x:v>
      </x:c>
      <x:c r="J99" s="23">
        <x:v>1434</x:v>
      </x:c>
      <x:c r="K99" s="23">
        <x:v>3147</x:v>
      </x:c>
      <x:c r="L99" s="23" t="s">
        <x:v>198</x:v>
      </x:c>
      <x:c r="M99" s="23">
        <x:f t="shared" si="1"/>
        <x:v>980.00000000000011</x:v>
      </x:c>
      <x:c r="N99" s="24" t="str">
        <x:f t="array" ref="N99">INDEX('MATCH INFO'!O:O, INT((ROW()-2)/10)+2)</x:f>
        <x:v>260605_T1_ZETA_S4</x:v>
      </x:c>
    </x:row>
    <x:row r="100">
      <x:c r="A100" s="23" t="s">
        <x:v>47</x:v>
      </x:c>
      <x:c r="B100" s="23" t="s">
        <x:v>53</x:v>
      </x:c>
      <x:c r="C100" s="23" t="s">
        <x:v>16</x:v>
      </x:c>
      <x:c r="D100" s="23" t="s">
        <x:v>119</x:v>
      </x:c>
      <x:c r="E100" s="23" t="s">
        <x:v>191</x:v>
      </x:c>
      <x:c r="F100" s="23">
        <x:v>16</x:v>
      </x:c>
      <x:c r="G100" s="23">
        <x:v>10</x:v>
      </x:c>
      <x:c r="H100" s="23">
        <x:v>23</x:v>
      </x:c>
      <x:c r="I100" s="23">
        <x:v>6569</x:v>
      </x:c>
      <x:c r="J100" s="23">
        <x:v>12878</x:v>
      </x:c>
      <x:c r="K100" s="23">
        <x:v>1194</x:v>
      </x:c>
      <x:c r="L100" s="23" t="s">
        <x:v>198</x:v>
      </x:c>
      <x:c r="M100" s="23">
        <x:f t="shared" si="1"/>
        <x:v>980.00000000000011</x:v>
      </x:c>
      <x:c r="N100" s="24" t="str">
        <x:f t="array" ref="N100">INDEX('MATCH INFO'!O:O, INT((ROW()-2)/10)+2)</x:f>
        <x:v>260605_T1_ZETA_S4</x:v>
      </x:c>
    </x:row>
    <x:row r="101">
      <x:c r="A101" s="23" t="s">
        <x:v>47</x:v>
      </x:c>
      <x:c r="B101" s="23" t="s">
        <x:v>52</x:v>
      </x:c>
      <x:c r="C101" s="23" t="s">
        <x:v>16</x:v>
      </x:c>
      <x:c r="D101" s="23" t="s">
        <x:v>119</x:v>
      </x:c>
      <x:c r="E101" s="23" t="s">
        <x:v>191</x:v>
      </x:c>
      <x:c r="F101" s="23">
        <x:v>22</x:v>
      </x:c>
      <x:c r="G101" s="23">
        <x:v>13</x:v>
      </x:c>
      <x:c r="H101" s="23">
        <x:v>21</x:v>
      </x:c>
      <x:c r="I101" s="23">
        <x:v>5497</x:v>
      </x:c>
      <x:c r="J101" s="23">
        <x:v>14306</x:v>
      </x:c>
      <x:c r="K101" s="23">
        <x:v>379</x:v>
      </x:c>
      <x:c r="L101" s="23" t="s">
        <x:v>198</x:v>
      </x:c>
      <x:c r="M101" s="23">
        <x:f t="shared" si="1"/>
        <x:v>980.00000000000011</x:v>
      </x:c>
      <x:c r="N101" s="24" t="str">
        <x:f t="array" ref="N101">INDEX('MATCH INFO'!O:O, INT((ROW()-2)/10)+2)</x:f>
        <x:v>260605_T1_ZETA_S4</x:v>
      </x:c>
    </x:row>
    <x:row r="102">
      <x:c r="A102" s="23" t="s">
        <x:v>63</x:v>
      </x:c>
      <x:c r="B102" s="23" t="s">
        <x:v>69</x:v>
      </x:c>
      <x:c r="C102" s="23" t="s">
        <x:v>16</x:v>
      </x:c>
      <x:c r="D102" s="23" t="s">
        <x:v>113</x:v>
      </x:c>
      <x:c r="E102" s="23" t="s">
        <x:v>188</x:v>
      </x:c>
      <x:c r="F102" s="23">
        <x:v>27</x:v>
      </x:c>
      <x:c r="G102" s="23">
        <x:v>7</x:v>
      </x:c>
      <x:c r="H102" s="23">
        <x:v>26</x:v>
      </x:c>
      <x:c r="I102" s="23">
        <x:v>5268</x:v>
      </x:c>
      <x:c r="J102" s="23">
        <x:v>7595</x:v>
      </x:c>
      <x:c r="K102" s="23">
        <x:v>1132</x:v>
      </x:c>
      <x:c r="L102" s="23" t="s">
        <x:v>199</x:v>
      </x:c>
      <x:c r="M102" s="23">
        <x:f t="shared" si="1"/>
        <x:v>634</x:v>
      </x:c>
      <x:c r="N102" s="24" t="str">
        <x:f t="array" ref="N102">INDEX('MATCH INFO'!O:O, INT((ROW()-2)/10)+2)</x:f>
        <x:v>260605_T1_ZETA_S5</x:v>
      </x:c>
    </x:row>
    <x:row r="103">
      <x:c r="A103" s="23" t="s">
        <x:v>63</x:v>
      </x:c>
      <x:c r="B103" s="23" t="s">
        <x:v>64</x:v>
      </x:c>
      <x:c r="C103" s="23" t="s">
        <x:v>8</x:v>
      </x:c>
      <x:c r="D103" s="23" t="s">
        <x:v>113</x:v>
      </x:c>
      <x:c r="E103" s="23" t="s">
        <x:v>188</x:v>
      </x:c>
      <x:c r="F103" s="23">
        <x:v>30</x:v>
      </x:c>
      <x:c r="G103" s="23">
        <x:v>8</x:v>
      </x:c>
      <x:c r="H103" s="23">
        <x:v>15</x:v>
      </x:c>
      <x:c r="I103" s="23">
        <x:v>11826</x:v>
      </x:c>
      <x:c r="J103" s="23">
        <x:v>2236</x:v>
      </x:c>
      <x:c r="K103" s="23">
        <x:v>6408</x:v>
      </x:c>
      <x:c r="L103" s="23" t="s">
        <x:v>199</x:v>
      </x:c>
      <x:c r="M103" s="23">
        <x:f t="shared" si="1"/>
        <x:v>634</x:v>
      </x:c>
      <x:c r="N103" s="24" t="str">
        <x:f t="array" ref="N103">INDEX('MATCH INFO'!O:O, INT((ROW()-2)/10)+2)</x:f>
        <x:v>260605_T1_ZETA_S5</x:v>
      </x:c>
    </x:row>
    <x:row r="104">
      <x:c r="A104" s="23" t="s">
        <x:v>63</x:v>
      </x:c>
      <x:c r="B104" s="23" t="s">
        <x:v>67</x:v>
      </x:c>
      <x:c r="C104" s="23" t="s">
        <x:v>11</x:v>
      </x:c>
      <x:c r="D104" s="23" t="s">
        <x:v>113</x:v>
      </x:c>
      <x:c r="E104" s="23" t="s">
        <x:v>188</x:v>
      </x:c>
      <x:c r="F104" s="23">
        <x:v>35</x:v>
      </x:c>
      <x:c r="G104" s="23">
        <x:v>7</x:v>
      </x:c>
      <x:c r="H104" s="23">
        <x:v>0</x:v>
      </x:c>
      <x:c r="I104" s="23">
        <x:v>12456</x:v>
      </x:c>
      <x:c r="J104" s="23">
        <x:v>0</x:v>
      </x:c>
      <x:c r="K104" s="23">
        <x:v>0</x:v>
      </x:c>
      <x:c r="L104" s="23" t="s">
        <x:v>199</x:v>
      </x:c>
      <x:c r="M104" s="23">
        <x:f t="shared" si="1"/>
        <x:v>634</x:v>
      </x:c>
      <x:c r="N104" s="24" t="str">
        <x:f t="array" ref="N104">INDEX('MATCH INFO'!O:O, INT((ROW()-2)/10)+2)</x:f>
        <x:v>260605_T1_ZETA_S5</x:v>
      </x:c>
    </x:row>
    <x:row r="105">
      <x:c r="A105" s="23" t="s">
        <x:v>63</x:v>
      </x:c>
      <x:c r="B105" s="23" t="s">
        <x:v>70</x:v>
      </x:c>
      <x:c r="C105" s="23" t="s">
        <x:v>16</x:v>
      </x:c>
      <x:c r="D105" s="23" t="s">
        <x:v>113</x:v>
      </x:c>
      <x:c r="E105" s="23" t="s">
        <x:v>188</x:v>
      </x:c>
      <x:c r="F105" s="23">
        <x:v>21</x:v>
      </x:c>
      <x:c r="G105" s="23">
        <x:v>7</x:v>
      </x:c>
      <x:c r="H105" s="23">
        <x:v>30</x:v>
      </x:c>
      <x:c r="I105" s="23">
        <x:v>5708</x:v>
      </x:c>
      <x:c r="J105" s="23">
        <x:v>11520</x:v>
      </x:c>
      <x:c r="K105" s="23">
        <x:v>0</x:v>
      </x:c>
      <x:c r="L105" s="23" t="s">
        <x:v>199</x:v>
      </x:c>
      <x:c r="M105" s="23">
        <x:f t="shared" si="1"/>
        <x:v>634</x:v>
      </x:c>
      <x:c r="N105" s="24" t="str">
        <x:f t="array" ref="N105">INDEX('MATCH INFO'!O:O, INT((ROW()-2)/10)+2)</x:f>
        <x:v>260605_T1_ZETA_S5</x:v>
      </x:c>
    </x:row>
    <x:row r="106">
      <x:c r="A106" s="23" t="s">
        <x:v>63</x:v>
      </x:c>
      <x:c r="B106" s="23" t="s">
        <x:v>66</x:v>
      </x:c>
      <x:c r="C106" s="23" t="s">
        <x:v>11</x:v>
      </x:c>
      <x:c r="D106" s="23" t="s">
        <x:v>113</x:v>
      </x:c>
      <x:c r="E106" s="23" t="s">
        <x:v>188</x:v>
      </x:c>
      <x:c r="F106" s="23">
        <x:v>21</x:v>
      </x:c>
      <x:c r="G106" s="23">
        <x:v>10</x:v>
      </x:c>
      <x:c r="H106" s="23">
        <x:v>2</x:v>
      </x:c>
      <x:c r="I106" s="23">
        <x:v>8626</x:v>
      </x:c>
      <x:c r="J106" s="23">
        <x:v>847</x:v>
      </x:c>
      <x:c r="K106" s="23">
        <x:v>442</x:v>
      </x:c>
      <x:c r="L106" s="23" t="s">
        <x:v>199</x:v>
      </x:c>
      <x:c r="M106" s="23">
        <x:f t="shared" si="1"/>
        <x:v>634</x:v>
      </x:c>
      <x:c r="N106" s="24" t="str">
        <x:f t="array" ref="N106">INDEX('MATCH INFO'!O:O, INT((ROW()-2)/10)+2)</x:f>
        <x:v>260605_T1_ZETA_S5</x:v>
      </x:c>
    </x:row>
    <x:row r="107">
      <x:c r="A107" s="23" t="s">
        <x:v>47</x:v>
      </x:c>
      <x:c r="B107" s="23" t="s">
        <x:v>49</x:v>
      </x:c>
      <x:c r="C107" s="23" t="s">
        <x:v>8</x:v>
      </x:c>
      <x:c r="D107" s="23" t="s">
        <x:v>113</x:v>
      </x:c>
      <x:c r="E107" s="23" t="s">
        <x:v>188</x:v>
      </x:c>
      <x:c r="F107" s="23">
        <x:v>31</x:v>
      </x:c>
      <x:c r="G107" s="23">
        <x:v>9</x:v>
      </x:c>
      <x:c r="H107" s="23">
        <x:v>18</x:v>
      </x:c>
      <x:c r="I107" s="23">
        <x:v>12989</x:v>
      </x:c>
      <x:c r="J107" s="23">
        <x:v>2277</x:v>
      </x:c>
      <x:c r="K107" s="23">
        <x:v>6576</x:v>
      </x:c>
      <x:c r="L107" s="23" t="s">
        <x:v>199</x:v>
      </x:c>
      <x:c r="M107" s="23">
        <x:f t="shared" si="1"/>
        <x:v>634</x:v>
      </x:c>
      <x:c r="N107" s="24" t="str">
        <x:f t="array" ref="N107">INDEX('MATCH INFO'!O:O, INT((ROW()-2)/10)+2)</x:f>
        <x:v>260605_T1_ZETA_S5</x:v>
      </x:c>
    </x:row>
    <x:row r="108">
      <x:c r="A108" s="23" t="s">
        <x:v>47</x:v>
      </x:c>
      <x:c r="B108" s="23" t="s">
        <x:v>51</x:v>
      </x:c>
      <x:c r="C108" s="23" t="s">
        <x:v>11</x:v>
      </x:c>
      <x:c r="D108" s="23" t="s">
        <x:v>113</x:v>
      </x:c>
      <x:c r="E108" s="23" t="s">
        <x:v>188</x:v>
      </x:c>
      <x:c r="F108" s="23">
        <x:v>20</x:v>
      </x:c>
      <x:c r="G108" s="23">
        <x:v>10</x:v>
      </x:c>
      <x:c r="H108" s="23">
        <x:v>3</x:v>
      </x:c>
      <x:c r="I108" s="23">
        <x:v>9300</x:v>
      </x:c>
      <x:c r="J108" s="23">
        <x:v>0</x:v>
      </x:c>
      <x:c r="K108" s="23">
        <x:v>344</x:v>
      </x:c>
      <x:c r="L108" s="23" t="s">
        <x:v>199</x:v>
      </x:c>
      <x:c r="M108" s="23">
        <x:f t="shared" si="1"/>
        <x:v>634</x:v>
      </x:c>
      <x:c r="N108" s="24" t="str">
        <x:f t="array" ref="N108">INDEX('MATCH INFO'!O:O, INT((ROW()-2)/10)+2)</x:f>
        <x:v>260605_T1_ZETA_S5</x:v>
      </x:c>
    </x:row>
    <x:row r="109">
      <x:c r="A109" s="23" t="s">
        <x:v>47</x:v>
      </x:c>
      <x:c r="B109" s="23" t="s">
        <x:v>50</x:v>
      </x:c>
      <x:c r="C109" s="23" t="s">
        <x:v>11</x:v>
      </x:c>
      <x:c r="D109" s="23" t="s">
        <x:v>113</x:v>
      </x:c>
      <x:c r="E109" s="23" t="s">
        <x:v>188</x:v>
      </x:c>
      <x:c r="F109" s="23">
        <x:v>30</x:v>
      </x:c>
      <x:c r="G109" s="23">
        <x:v>8</x:v>
      </x:c>
      <x:c r="H109" s="23">
        <x:v>0</x:v>
      </x:c>
      <x:c r="I109" s="23">
        <x:v>9219</x:v>
      </x:c>
      <x:c r="J109" s="23">
        <x:v>838</x:v>
      </x:c>
      <x:c r="K109" s="23">
        <x:v>0</x:v>
      </x:c>
      <x:c r="L109" s="23" t="s">
        <x:v>199</x:v>
      </x:c>
      <x:c r="M109" s="23">
        <x:f t="shared" si="1"/>
        <x:v>634</x:v>
      </x:c>
      <x:c r="N109" s="24" t="str">
        <x:f t="array" ref="N109">INDEX('MATCH INFO'!O:O, INT((ROW()-2)/10)+2)</x:f>
        <x:v>260605_T1_ZETA_S5</x:v>
      </x:c>
    </x:row>
    <x:row r="110">
      <x:c r="A110" s="23" t="s">
        <x:v>47</x:v>
      </x:c>
      <x:c r="B110" s="23" t="s">
        <x:v>53</x:v>
      </x:c>
      <x:c r="C110" s="23" t="s">
        <x:v>16</x:v>
      </x:c>
      <x:c r="D110" s="23" t="s">
        <x:v>113</x:v>
      </x:c>
      <x:c r="E110" s="23" t="s">
        <x:v>188</x:v>
      </x:c>
      <x:c r="F110" s="23">
        <x:v>12</x:v>
      </x:c>
      <x:c r="G110" s="23">
        <x:v>9</x:v>
      </x:c>
      <x:c r="H110" s="23">
        <x:v>31</x:v>
      </x:c>
      <x:c r="I110" s="23">
        <x:v>4228</x:v>
      </x:c>
      <x:c r="J110" s="23">
        <x:v>11156</x:v>
      </x:c>
      <x:c r="K110" s="23">
        <x:v>0</x:v>
      </x:c>
      <x:c r="L110" s="23" t="s">
        <x:v>199</x:v>
      </x:c>
      <x:c r="M110" s="23">
        <x:f t="shared" si="1"/>
        <x:v>634</x:v>
      </x:c>
      <x:c r="N110" s="24" t="str">
        <x:f t="array" ref="N110">INDEX('MATCH INFO'!O:O, INT((ROW()-2)/10)+2)</x:f>
        <x:v>260605_T1_ZETA_S5</x:v>
      </x:c>
    </x:row>
    <x:row r="111">
      <x:c r="A111" s="23" t="s">
        <x:v>47</x:v>
      </x:c>
      <x:c r="B111" s="23" t="s">
        <x:v>52</x:v>
      </x:c>
      <x:c r="C111" s="23" t="s">
        <x:v>16</x:v>
      </x:c>
      <x:c r="D111" s="23" t="s">
        <x:v>113</x:v>
      </x:c>
      <x:c r="E111" s="23" t="s">
        <x:v>188</x:v>
      </x:c>
      <x:c r="F111" s="23">
        <x:v>18</x:v>
      </x:c>
      <x:c r="G111" s="23">
        <x:v>10</x:v>
      </x:c>
      <x:c r="H111" s="23">
        <x:v>24</x:v>
      </x:c>
      <x:c r="I111" s="23">
        <x:v>4851</x:v>
      </x:c>
      <x:c r="J111" s="23">
        <x:v>5698</x:v>
      </x:c>
      <x:c r="K111" s="23">
        <x:v>1677</x:v>
      </x:c>
      <x:c r="L111" s="23" t="s">
        <x:v>199</x:v>
      </x:c>
      <x:c r="M111" s="23">
        <x:f t="shared" si="1"/>
        <x:v>634</x:v>
      </x:c>
      <x:c r="N111" s="24" t="str">
        <x:f t="array" ref="N111">INDEX('MATCH INFO'!O:O, INT((ROW()-2)/10)+2)</x:f>
        <x:v>260605_T1_ZETA_S5</x:v>
      </x:c>
    </x:row>
    <x:row r="112">
      <x:c r="A112" s="23" t="s">
        <x:v>39</x:v>
      </x:c>
      <x:c r="B112" s="23" t="s">
        <x:v>45</x:v>
      </x:c>
      <x:c r="C112" s="23" t="s">
        <x:v>16</x:v>
      </x:c>
      <x:c r="D112" s="23" t="s">
        <x:v>116</x:v>
      </x:c>
      <x:c r="E112" s="23" t="s">
        <x:v>184</x:v>
      </x:c>
      <x:c r="F112" s="23">
        <x:v>2</x:v>
      </x:c>
      <x:c r="G112" s="23">
        <x:v>6</x:v>
      </x:c>
      <x:c r="H112" s="23">
        <x:v>9</x:v>
      </x:c>
      <x:c r="I112" s="23">
        <x:v>1020</x:v>
      </x:c>
      <x:c r="J112" s="23">
        <x:v>12284</x:v>
      </x:c>
      <x:c r="K112" s="23">
        <x:v>0</x:v>
      </x:c>
      <x:c r="L112" s="23" t="s">
        <x:v>200</x:v>
      </x:c>
      <x:c r="M112" s="23">
        <x:f t="shared" si="1"/>
        <x:v>502.00000000000006</x:v>
      </x:c>
      <x:c r="N112" s="24" t="str">
        <x:f t="array" ref="N112">INDEX('MATCH INFO'!O:O, INT((ROW()-2)/10)+2)</x:f>
        <x:v>260606_PF_CB_S1</x:v>
      </x:c>
    </x:row>
    <x:row r="113">
      <x:c r="A113" s="23" t="s">
        <x:v>39</x:v>
      </x:c>
      <x:c r="B113" s="23" t="s">
        <x:v>42</x:v>
      </x:c>
      <x:c r="C113" s="23" t="s">
        <x:v>11</x:v>
      </x:c>
      <x:c r="D113" s="23" t="s">
        <x:v>116</x:v>
      </x:c>
      <x:c r="E113" s="23" t="s">
        <x:v>184</x:v>
      </x:c>
      <x:c r="F113" s="23">
        <x:v>7</x:v>
      </x:c>
      <x:c r="G113" s="23">
        <x:v>3</x:v>
      </x:c>
      <x:c r="H113" s="23">
        <x:v>2</x:v>
      </x:c>
      <x:c r="I113" s="23">
        <x:v>6252</x:v>
      </x:c>
      <x:c r="J113" s="23">
        <x:v>648</x:v>
      </x:c>
      <x:c r="K113" s="23">
        <x:v>4210</x:v>
      </x:c>
      <x:c r="L113" s="23" t="s">
        <x:v>200</x:v>
      </x:c>
      <x:c r="M113" s="23">
        <x:f t="shared" si="1"/>
        <x:v>502.00000000000006</x:v>
      </x:c>
      <x:c r="N113" s="24" t="str">
        <x:f t="array" ref="N113">INDEX('MATCH INFO'!O:O, INT((ROW()-2)/10)+2)</x:f>
        <x:v>260606_PF_CB_S1</x:v>
      </x:c>
    </x:row>
    <x:row r="114">
      <x:c r="A114" s="23" t="s">
        <x:v>39</x:v>
      </x:c>
      <x:c r="B114" s="23" t="s">
        <x:v>40</x:v>
      </x:c>
      <x:c r="C114" s="23" t="s">
        <x:v>8</x:v>
      </x:c>
      <x:c r="D114" s="23" t="s">
        <x:v>116</x:v>
      </x:c>
      <x:c r="E114" s="23" t="s">
        <x:v>184</x:v>
      </x:c>
      <x:c r="F114" s="23">
        <x:v>8</x:v>
      </x:c>
      <x:c r="G114" s="23">
        <x:v>6</x:v>
      </x:c>
      <x:c r="H114" s="23">
        <x:v>1</x:v>
      </x:c>
      <x:c r="I114" s="23">
        <x:v>7391</x:v>
      </x:c>
      <x:c r="J114" s="23">
        <x:v>166</x:v>
      </x:c>
      <x:c r="K114" s="23">
        <x:v>14584</x:v>
      </x:c>
      <x:c r="L114" s="23" t="s">
        <x:v>200</x:v>
      </x:c>
      <x:c r="M114" s="23">
        <x:f t="shared" si="1"/>
        <x:v>502.00000000000006</x:v>
      </x:c>
      <x:c r="N114" s="24" t="str">
        <x:f t="array" ref="N114">INDEX('MATCH INFO'!O:O, INT((ROW()-2)/10)+2)</x:f>
        <x:v>260606_PF_CB_S1</x:v>
      </x:c>
    </x:row>
    <x:row r="115">
      <x:c r="A115" s="23" t="s">
        <x:v>39</x:v>
      </x:c>
      <x:c r="B115" s="23" t="s">
        <x:v>43</x:v>
      </x:c>
      <x:c r="C115" s="23" t="s">
        <x:v>11</x:v>
      </x:c>
      <x:c r="D115" s="23" t="s">
        <x:v>116</x:v>
      </x:c>
      <x:c r="E115" s="23" t="s">
        <x:v>184</x:v>
      </x:c>
      <x:c r="F115" s="23">
        <x:v>7</x:v>
      </x:c>
      <x:c r="G115" s="23">
        <x:v>5</x:v>
      </x:c>
      <x:c r="H115" s="23">
        <x:v>0</x:v>
      </x:c>
      <x:c r="I115" s="23">
        <x:v>7456</x:v>
      </x:c>
      <x:c r="J115" s="23">
        <x:v>0</x:v>
      </x:c>
      <x:c r="K115" s="23">
        <x:v>0</x:v>
      </x:c>
      <x:c r="L115" s="23" t="s">
        <x:v>200</x:v>
      </x:c>
      <x:c r="M115" s="23">
        <x:f t="shared" si="1"/>
        <x:v>502.00000000000006</x:v>
      </x:c>
      <x:c r="N115" s="24" t="str">
        <x:f t="array" ref="N115">INDEX('MATCH INFO'!O:O, INT((ROW()-2)/10)+2)</x:f>
        <x:v>260606_PF_CB_S1</x:v>
      </x:c>
    </x:row>
    <x:row r="116">
      <x:c r="A116" s="23" t="s">
        <x:v>39</x:v>
      </x:c>
      <x:c r="B116" s="23" t="s">
        <x:v>44</x:v>
      </x:c>
      <x:c r="C116" s="23" t="s">
        <x:v>16</x:v>
      </x:c>
      <x:c r="D116" s="23" t="s">
        <x:v>116</x:v>
      </x:c>
      <x:c r="E116" s="23" t="s">
        <x:v>184</x:v>
      </x:c>
      <x:c r="F116" s="23">
        <x:v>5</x:v>
      </x:c>
      <x:c r="G116" s="23">
        <x:v>2</x:v>
      </x:c>
      <x:c r="H116" s="23">
        <x:v>6</x:v>
      </x:c>
      <x:c r="I116" s="23">
        <x:v>2347</x:v>
      </x:c>
      <x:c r="J116" s="23">
        <x:v>4796</x:v>
      </x:c>
      <x:c r="K116" s="23">
        <x:v>1535</x:v>
      </x:c>
      <x:c r="L116" s="23" t="s">
        <x:v>200</x:v>
      </x:c>
      <x:c r="M116" s="23">
        <x:f t="shared" si="1"/>
        <x:v>502.00000000000006</x:v>
      </x:c>
      <x:c r="N116" s="24" t="str">
        <x:f t="array" ref="N116">INDEX('MATCH INFO'!O:O, INT((ROW()-2)/10)+2)</x:f>
        <x:v>260606_PF_CB_S1</x:v>
      </x:c>
    </x:row>
    <x:row r="117">
      <x:c r="A117" s="23" t="s">
        <x:v>31</x:v>
      </x:c>
      <x:c r="B117" s="23" t="s">
        <x:v>34</x:v>
      </x:c>
      <x:c r="C117" s="23" t="s">
        <x:v>11</x:v>
      </x:c>
      <x:c r="D117" s="23" t="s">
        <x:v>116</x:v>
      </x:c>
      <x:c r="E117" s="23" t="s">
        <x:v>184</x:v>
      </x:c>
      <x:c r="F117" s="23">
        <x:v>12</x:v>
      </x:c>
      <x:c r="G117" s="23">
        <x:v>3</x:v>
      </x:c>
      <x:c r="H117" s="23">
        <x:v>4</x:v>
      </x:c>
      <x:c r="I117" s="23">
        <x:v>6784</x:v>
      </x:c>
      <x:c r="J117" s="23">
        <x:v>533</x:v>
      </x:c>
      <x:c r="K117" s="23">
        <x:v>2598</x:v>
      </x:c>
      <x:c r="L117" s="23" t="s">
        <x:v>200</x:v>
      </x:c>
      <x:c r="M117" s="23">
        <x:f t="shared" si="1"/>
        <x:v>502.00000000000006</x:v>
      </x:c>
      <x:c r="N117" s="24" t="str">
        <x:f t="array" ref="N117">INDEX('MATCH INFO'!O:O, INT((ROW()-2)/10)+2)</x:f>
        <x:v>260606_PF_CB_S1</x:v>
      </x:c>
    </x:row>
    <x:row r="118">
      <x:c r="A118" s="23" t="s">
        <x:v>31</x:v>
      </x:c>
      <x:c r="B118" s="23" t="s">
        <x:v>33</x:v>
      </x:c>
      <x:c r="C118" s="23" t="s">
        <x:v>8</x:v>
      </x:c>
      <x:c r="D118" s="23" t="s">
        <x:v>116</x:v>
      </x:c>
      <x:c r="E118" s="23" t="s">
        <x:v>184</x:v>
      </x:c>
      <x:c r="F118" s="23">
        <x:v>12</x:v>
      </x:c>
      <x:c r="G118" s="23">
        <x:v>1</x:v>
      </x:c>
      <x:c r="H118" s="23">
        <x:v>1</x:v>
      </x:c>
      <x:c r="I118" s="23">
        <x:v>9335</x:v>
      </x:c>
      <x:c r="J118" s="23">
        <x:v>0</x:v>
      </x:c>
      <x:c r="K118" s="23">
        <x:v>11133</x:v>
      </x:c>
      <x:c r="L118" s="23" t="s">
        <x:v>200</x:v>
      </x:c>
      <x:c r="M118" s="23">
        <x:f t="shared" si="1"/>
        <x:v>502.00000000000006</x:v>
      </x:c>
      <x:c r="N118" s="24" t="str">
        <x:f t="array" ref="N118">INDEX('MATCH INFO'!O:O, INT((ROW()-2)/10)+2)</x:f>
        <x:v>260606_PF_CB_S1</x:v>
      </x:c>
    </x:row>
    <x:row r="119">
      <x:c r="A119" s="23" t="s">
        <x:v>31</x:v>
      </x:c>
      <x:c r="B119" s="23" t="s">
        <x:v>35</x:v>
      </x:c>
      <x:c r="C119" s="23" t="s">
        <x:v>11</x:v>
      </x:c>
      <x:c r="D119" s="23" t="s">
        <x:v>116</x:v>
      </x:c>
      <x:c r="E119" s="23" t="s">
        <x:v>184</x:v>
      </x:c>
      <x:c r="F119" s="23">
        <x:v>16</x:v>
      </x:c>
      <x:c r="G119" s="23">
        <x:v>4</x:v>
      </x:c>
      <x:c r="H119" s="23">
        <x:v>0</x:v>
      </x:c>
      <x:c r="I119" s="23">
        <x:v>7521</x:v>
      </x:c>
      <x:c r="J119" s="23">
        <x:v>0</x:v>
      </x:c>
      <x:c r="K119" s="23">
        <x:v>0</x:v>
      </x:c>
      <x:c r="L119" s="23" t="s">
        <x:v>200</x:v>
      </x:c>
      <x:c r="M119" s="23">
        <x:f t="shared" si="1"/>
        <x:v>502.00000000000006</x:v>
      </x:c>
      <x:c r="N119" s="24" t="str">
        <x:f t="array" ref="N119">INDEX('MATCH INFO'!O:O, INT((ROW()-2)/10)+2)</x:f>
        <x:v>260606_PF_CB_S1</x:v>
      </x:c>
    </x:row>
    <x:row r="120">
      <x:c r="A120" s="23" t="s">
        <x:v>31</x:v>
      </x:c>
      <x:c r="B120" s="23" t="s">
        <x:v>36</x:v>
      </x:c>
      <x:c r="C120" s="23" t="s">
        <x:v>16</x:v>
      </x:c>
      <x:c r="D120" s="23" t="s">
        <x:v>116</x:v>
      </x:c>
      <x:c r="E120" s="23" t="s">
        <x:v>184</x:v>
      </x:c>
      <x:c r="F120" s="23">
        <x:v>10</x:v>
      </x:c>
      <x:c r="G120" s="23">
        <x:v>3</x:v>
      </x:c>
      <x:c r="H120" s="23">
        <x:v>16</x:v>
      </x:c>
      <x:c r="I120" s="23">
        <x:v>4880</x:v>
      </x:c>
      <x:c r="J120" s="23">
        <x:v>8466</x:v>
      </x:c>
      <x:c r="K120" s="23">
        <x:v>1748</x:v>
      </x:c>
      <x:c r="L120" s="23" t="s">
        <x:v>200</x:v>
      </x:c>
      <x:c r="M120" s="23">
        <x:f t="shared" si="1"/>
        <x:v>502.00000000000006</x:v>
      </x:c>
      <x:c r="N120" s="24" t="str">
        <x:f t="array" ref="N120">INDEX('MATCH INFO'!O:O, INT((ROW()-2)/10)+2)</x:f>
        <x:v>260606_PF_CB_S1</x:v>
      </x:c>
    </x:row>
    <x:row r="121">
      <x:c r="A121" s="23" t="s">
        <x:v>31</x:v>
      </x:c>
      <x:c r="B121" s="23" t="s">
        <x:v>37</x:v>
      </x:c>
      <x:c r="C121" s="23" t="s">
        <x:v>16</x:v>
      </x:c>
      <x:c r="D121" s="23" t="s">
        <x:v>116</x:v>
      </x:c>
      <x:c r="E121" s="23" t="s">
        <x:v>184</x:v>
      </x:c>
      <x:c r="F121" s="23">
        <x:v>11</x:v>
      </x:c>
      <x:c r="G121" s="23">
        <x:v>1</x:v>
      </x:c>
      <x:c r="H121" s="23">
        <x:v>13</x:v>
      </x:c>
      <x:c r="I121" s="23">
        <x:v>4199</x:v>
      </x:c>
      <x:c r="J121" s="23">
        <x:v>8563</x:v>
      </x:c>
      <x:c r="K121" s="23">
        <x:v>0</x:v>
      </x:c>
      <x:c r="L121" s="23" t="s">
        <x:v>200</x:v>
      </x:c>
      <x:c r="M121" s="23">
        <x:f t="shared" si="1"/>
        <x:v>502.00000000000006</x:v>
      </x:c>
      <x:c r="N121" s="24" t="str">
        <x:f t="array" ref="N121">INDEX('MATCH INFO'!O:O, INT((ROW()-2)/10)+2)</x:f>
        <x:v>260606_PF_CB_S1</x:v>
      </x:c>
    </x:row>
    <x:row r="122">
      <x:c r="A122" s="23" t="s">
        <x:v>39</x:v>
      </x:c>
      <x:c r="B122" s="23" t="s">
        <x:v>45</x:v>
      </x:c>
      <x:c r="C122" s="23" t="s">
        <x:v>16</x:v>
      </x:c>
      <x:c r="D122" s="23" t="s">
        <x:v>110</x:v>
      </x:c>
      <x:c r="E122" s="23" t="s">
        <x:v>186</x:v>
      </x:c>
      <x:c r="F122" s="23">
        <x:v>6</x:v>
      </x:c>
      <x:c r="G122" s="23">
        <x:v>4</x:v>
      </x:c>
      <x:c r="H122" s="23">
        <x:v>19</x:v>
      </x:c>
      <x:c r="I122" s="23">
        <x:v>3486</x:v>
      </x:c>
      <x:c r="J122" s="23">
        <x:v>20017</x:v>
      </x:c>
      <x:c r="K122" s="23">
        <x:v>0</x:v>
      </x:c>
      <x:c r="L122" s="23" t="s">
        <x:v>201</x:v>
      </x:c>
      <x:c r="M122" s="23">
        <x:f t="shared" si="1"/>
        <x:v>788</x:v>
      </x:c>
      <x:c r="N122" s="24" t="str">
        <x:f t="array" ref="N122">INDEX('MATCH INFO'!O:O, INT((ROW()-2)/10)+2)</x:f>
        <x:v>260606_PF_CB_S2</x:v>
      </x:c>
    </x:row>
    <x:row r="123">
      <x:c r="A123" s="23" t="s">
        <x:v>39</x:v>
      </x:c>
      <x:c r="B123" s="23" t="s">
        <x:v>42</x:v>
      </x:c>
      <x:c r="C123" s="23" t="s">
        <x:v>11</x:v>
      </x:c>
      <x:c r="D123" s="23" t="s">
        <x:v>110</x:v>
      </x:c>
      <x:c r="E123" s="23" t="s">
        <x:v>186</x:v>
      </x:c>
      <x:c r="F123" s="23">
        <x:v>14</x:v>
      </x:c>
      <x:c r="G123" s="23">
        <x:v>8</x:v>
      </x:c>
      <x:c r="H123" s="23">
        <x:v>3</x:v>
      </x:c>
      <x:c r="I123" s="23">
        <x:v>10112</x:v>
      </x:c>
      <x:c r="J123" s="23">
        <x:v>755</x:v>
      </x:c>
      <x:c r="K123" s="23">
        <x:v>11016</x:v>
      </x:c>
      <x:c r="L123" s="23" t="s">
        <x:v>201</x:v>
      </x:c>
      <x:c r="M123" s="23">
        <x:f t="shared" si="1"/>
        <x:v>788</x:v>
      </x:c>
      <x:c r="N123" s="24" t="str">
        <x:f t="array" ref="N123">INDEX('MATCH INFO'!O:O, INT((ROW()-2)/10)+2)</x:f>
        <x:v>260606_PF_CB_S2</x:v>
      </x:c>
    </x:row>
    <x:row r="124">
      <x:c r="A124" s="23" t="s">
        <x:v>39</x:v>
      </x:c>
      <x:c r="B124" s="23" t="s">
        <x:v>40</x:v>
      </x:c>
      <x:c r="C124" s="23" t="s">
        <x:v>8</x:v>
      </x:c>
      <x:c r="D124" s="23" t="s">
        <x:v>110</x:v>
      </x:c>
      <x:c r="E124" s="23" t="s">
        <x:v>186</x:v>
      </x:c>
      <x:c r="F124" s="23">
        <x:v>18</x:v>
      </x:c>
      <x:c r="G124" s="23">
        <x:v>7</x:v>
      </x:c>
      <x:c r="H124" s="23">
        <x:v>9</x:v>
      </x:c>
      <x:c r="I124" s="23">
        <x:v>10322</x:v>
      </x:c>
      <x:c r="J124" s="23">
        <x:v>275</x:v>
      </x:c>
      <x:c r="K124" s="23">
        <x:v>28944</x:v>
      </x:c>
      <x:c r="L124" s="23" t="s">
        <x:v>201</x:v>
      </x:c>
      <x:c r="M124" s="23">
        <x:f t="shared" si="1"/>
        <x:v>788</x:v>
      </x:c>
      <x:c r="N124" s="24" t="str">
        <x:f t="array" ref="N124">INDEX('MATCH INFO'!O:O, INT((ROW()-2)/10)+2)</x:f>
        <x:v>260606_PF_CB_S2</x:v>
      </x:c>
    </x:row>
    <x:row r="125">
      <x:c r="A125" s="23" t="s">
        <x:v>39</x:v>
      </x:c>
      <x:c r="B125" s="23" t="s">
        <x:v>43</x:v>
      </x:c>
      <x:c r="C125" s="23" t="s">
        <x:v>11</x:v>
      </x:c>
      <x:c r="D125" s="23" t="s">
        <x:v>110</x:v>
      </x:c>
      <x:c r="E125" s="23" t="s">
        <x:v>186</x:v>
      </x:c>
      <x:c r="F125" s="23">
        <x:v>23</x:v>
      </x:c>
      <x:c r="G125" s="23">
        <x:v>2</x:v>
      </x:c>
      <x:c r="H125" s="23">
        <x:v>0</x:v>
      </x:c>
      <x:c r="I125" s="23">
        <x:v>17879</x:v>
      </x:c>
      <x:c r="J125" s="23">
        <x:v>0</x:v>
      </x:c>
      <x:c r="K125" s="23">
        <x:v>0</x:v>
      </x:c>
      <x:c r="L125" s="23" t="s">
        <x:v>201</x:v>
      </x:c>
      <x:c r="M125" s="23">
        <x:f t="shared" si="1"/>
        <x:v>788</x:v>
      </x:c>
      <x:c r="N125" s="24" t="str">
        <x:f t="array" ref="N125">INDEX('MATCH INFO'!O:O, INT((ROW()-2)/10)+2)</x:f>
        <x:v>260606_PF_CB_S2</x:v>
      </x:c>
    </x:row>
    <x:row r="126">
      <x:c r="A126" s="23" t="s">
        <x:v>39</x:v>
      </x:c>
      <x:c r="B126" s="23" t="s">
        <x:v>44</x:v>
      </x:c>
      <x:c r="C126" s="23" t="s">
        <x:v>16</x:v>
      </x:c>
      <x:c r="D126" s="23" t="s">
        <x:v>110</x:v>
      </x:c>
      <x:c r="E126" s="23" t="s">
        <x:v>186</x:v>
      </x:c>
      <x:c r="F126" s="23">
        <x:v>15</x:v>
      </x:c>
      <x:c r="G126" s="23">
        <x:v>5</x:v>
      </x:c>
      <x:c r="H126" s="23">
        <x:v>17</x:v>
      </x:c>
      <x:c r="I126" s="23">
        <x:v>5998</x:v>
      </x:c>
      <x:c r="J126" s="23">
        <x:v>9253</x:v>
      </x:c>
      <x:c r="K126" s="23">
        <x:v>3170</x:v>
      </x:c>
      <x:c r="L126" s="23" t="s">
        <x:v>201</x:v>
      </x:c>
      <x:c r="M126" s="23">
        <x:f t="shared" si="1"/>
        <x:v>788</x:v>
      </x:c>
      <x:c r="N126" s="24" t="str">
        <x:f t="array" ref="N126">INDEX('MATCH INFO'!O:O, INT((ROW()-2)/10)+2)</x:f>
        <x:v>260606_PF_CB_S2</x:v>
      </x:c>
    </x:row>
    <x:row r="127">
      <x:c r="A127" s="23" t="s">
        <x:v>31</x:v>
      </x:c>
      <x:c r="B127" s="23" t="s">
        <x:v>34</x:v>
      </x:c>
      <x:c r="C127" s="23" t="s">
        <x:v>11</x:v>
      </x:c>
      <x:c r="D127" s="23" t="s">
        <x:v>110</x:v>
      </x:c>
      <x:c r="E127" s="23" t="s">
        <x:v>186</x:v>
      </x:c>
      <x:c r="F127" s="23">
        <x:v>18</x:v>
      </x:c>
      <x:c r="G127" s="23">
        <x:v>5</x:v>
      </x:c>
      <x:c r="H127" s="23">
        <x:v>6</x:v>
      </x:c>
      <x:c r="I127" s="23">
        <x:v>10406</x:v>
      </x:c>
      <x:c r="J127" s="23">
        <x:v>586</x:v>
      </x:c>
      <x:c r="K127" s="23">
        <x:v>4696</x:v>
      </x:c>
      <x:c r="L127" s="23" t="s">
        <x:v>201</x:v>
      </x:c>
      <x:c r="M127" s="23">
        <x:f t="shared" si="1"/>
        <x:v>788</x:v>
      </x:c>
      <x:c r="N127" s="24" t="str">
        <x:f t="array" ref="N127">INDEX('MATCH INFO'!O:O, INT((ROW()-2)/10)+2)</x:f>
        <x:v>260606_PF_CB_S2</x:v>
      </x:c>
    </x:row>
    <x:row r="128">
      <x:c r="A128" s="23" t="s">
        <x:v>31</x:v>
      </x:c>
      <x:c r="B128" s="23" t="s">
        <x:v>32</x:v>
      </x:c>
      <x:c r="C128" s="23" t="s">
        <x:v>8</x:v>
      </x:c>
      <x:c r="D128" s="23" t="s">
        <x:v>110</x:v>
      </x:c>
      <x:c r="E128" s="23" t="s">
        <x:v>186</x:v>
      </x:c>
      <x:c r="F128" s="23">
        <x:v>19</x:v>
      </x:c>
      <x:c r="G128" s="23">
        <x:v>6</x:v>
      </x:c>
      <x:c r="H128" s="23">
        <x:v>12</x:v>
      </x:c>
      <x:c r="I128" s="23">
        <x:v>11779</x:v>
      </x:c>
      <x:c r="J128" s="23">
        <x:v>1844</x:v>
      </x:c>
      <x:c r="K128" s="23">
        <x:v>7276</x:v>
      </x:c>
      <x:c r="L128" s="23" t="s">
        <x:v>201</x:v>
      </x:c>
      <x:c r="M128" s="23">
        <x:f t="shared" si="1"/>
        <x:v>788</x:v>
      </x:c>
      <x:c r="N128" s="24" t="str">
        <x:f t="array" ref="N128">INDEX('MATCH INFO'!O:O, INT((ROW()-2)/10)+2)</x:f>
        <x:v>260606_PF_CB_S2</x:v>
      </x:c>
    </x:row>
    <x:row r="129">
      <x:c r="A129" s="23" t="s">
        <x:v>31</x:v>
      </x:c>
      <x:c r="B129" s="23" t="s">
        <x:v>35</x:v>
      </x:c>
      <x:c r="C129" s="23" t="s">
        <x:v>11</x:v>
      </x:c>
      <x:c r="D129" s="23" t="s">
        <x:v>110</x:v>
      </x:c>
      <x:c r="E129" s="23" t="s">
        <x:v>186</x:v>
      </x:c>
      <x:c r="F129" s="23">
        <x:v>21</x:v>
      </x:c>
      <x:c r="G129" s="23">
        <x:v>7</x:v>
      </x:c>
      <x:c r="H129" s="23">
        <x:v>1</x:v>
      </x:c>
      <x:c r="I129" s="23">
        <x:v>12450</x:v>
      </x:c>
      <x:c r="J129" s="23">
        <x:v>1</x:v>
      </x:c>
      <x:c r="K129" s="23">
        <x:v>839</x:v>
      </x:c>
      <x:c r="L129" s="23" t="s">
        <x:v>201</x:v>
      </x:c>
      <x:c r="M129" s="23">
        <x:f t="shared" si="1"/>
        <x:v>788</x:v>
      </x:c>
      <x:c r="N129" s="24" t="str">
        <x:f t="array" ref="N129">INDEX('MATCH INFO'!O:O, INT((ROW()-2)/10)+2)</x:f>
        <x:v>260606_PF_CB_S2</x:v>
      </x:c>
    </x:row>
    <x:row r="130">
      <x:c r="A130" s="23" t="s">
        <x:v>31</x:v>
      </x:c>
      <x:c r="B130" s="23" t="s">
        <x:v>36</x:v>
      </x:c>
      <x:c r="C130" s="23" t="s">
        <x:v>16</x:v>
      </x:c>
      <x:c r="D130" s="23" t="s">
        <x:v>110</x:v>
      </x:c>
      <x:c r="E130" s="23" t="s">
        <x:v>186</x:v>
      </x:c>
      <x:c r="F130" s="23">
        <x:v>11</x:v>
      </x:c>
      <x:c r="G130" s="23">
        <x:v>6</x:v>
      </x:c>
      <x:c r="H130" s="23">
        <x:v>16</x:v>
      </x:c>
      <x:c r="I130" s="23">
        <x:v>5839</x:v>
      </x:c>
      <x:c r="J130" s="23">
        <x:v>13155</x:v>
      </x:c>
      <x:c r="K130" s="23">
        <x:v>3021</x:v>
      </x:c>
      <x:c r="L130" s="23" t="s">
        <x:v>201</x:v>
      </x:c>
      <x:c r="M130" s="23" t="e">
        <x:f t="shared" ref="M130:M193" si="2">L130*86400</x:f>
        <x:v>#VALUE!</x:v>
      </x:c>
      <x:c r="N130" s="24" t="str">
        <x:f t="array" ref="N130">INDEX('MATCH INFO'!O:O, INT((ROW()-2)/10)+2)</x:f>
        <x:v>260606_PF_CB_S2</x:v>
      </x:c>
    </x:row>
    <x:row r="131">
      <x:c r="A131" s="23" t="s">
        <x:v>31</x:v>
      </x:c>
      <x:c r="B131" s="23" t="s">
        <x:v>37</x:v>
      </x:c>
      <x:c r="C131" s="23" t="s">
        <x:v>16</x:v>
      </x:c>
      <x:c r="D131" s="23" t="s">
        <x:v>110</x:v>
      </x:c>
      <x:c r="E131" s="23" t="s">
        <x:v>186</x:v>
      </x:c>
      <x:c r="F131" s="23">
        <x:v>11</x:v>
      </x:c>
      <x:c r="G131" s="23">
        <x:v>3</x:v>
      </x:c>
      <x:c r="H131" s="23">
        <x:v>21</x:v>
      </x:c>
      <x:c r="I131" s="23">
        <x:v>6503</x:v>
      </x:c>
      <x:c r="J131" s="23">
        <x:v>16497</x:v>
      </x:c>
      <x:c r="K131" s="23">
        <x:v>0</x:v>
      </x:c>
      <x:c r="L131" s="23" t="s">
        <x:v>201</x:v>
      </x:c>
      <x:c r="M131" s="23">
        <x:f t="shared" si="2"/>
        <x:v>788</x:v>
      </x:c>
      <x:c r="N131" s="24" t="str">
        <x:f t="array" ref="N131">INDEX('MATCH INFO'!O:O, INT((ROW()-2)/10)+2)</x:f>
        <x:v>260606_PF_CB_S2</x:v>
      </x:c>
    </x:row>
    <x:row r="132">
      <x:c r="A132" s="23" t="s">
        <x:v>39</x:v>
      </x:c>
      <x:c r="B132" s="23" t="s">
        <x:v>45</x:v>
      </x:c>
      <x:c r="C132" s="23" t="s">
        <x:v>16</x:v>
      </x:c>
      <x:c r="D132" s="23" t="s">
        <x:v>113</x:v>
      </x:c>
      <x:c r="E132" s="23" t="s">
        <x:v>188</x:v>
      </x:c>
      <x:c r="F132" s="23">
        <x:v>1</x:v>
      </x:c>
      <x:c r="G132" s="23">
        <x:v>4</x:v>
      </x:c>
      <x:c r="H132" s="23">
        <x:v>0</x:v>
      </x:c>
      <x:c r="I132" s="23">
        <x:v>1630</x:v>
      </x:c>
      <x:c r="J132" s="23">
        <x:v>4908</x:v>
      </x:c>
      <x:c r="K132" s="23">
        <x:v>0</x:v>
      </x:c>
      <x:c r="L132" s="23" t="s">
        <x:v>202</x:v>
      </x:c>
      <x:c r="M132" s="23">
        <x:f t="shared" si="2"/>
        <x:v>211</x:v>
      </x:c>
      <x:c r="N132" s="24" t="str">
        <x:f t="array" ref="N132">INDEX('MATCH INFO'!O:O, INT((ROW()-2)/10)+2)</x:f>
        <x:v>260606_PF_CB_S3</x:v>
      </x:c>
    </x:row>
    <x:row r="133">
      <x:c r="A133" s="23" t="s">
        <x:v>39</x:v>
      </x:c>
      <x:c r="B133" s="23" t="s">
        <x:v>42</x:v>
      </x:c>
      <x:c r="C133" s="23" t="s">
        <x:v>11</x:v>
      </x:c>
      <x:c r="D133" s="23" t="s">
        <x:v>113</x:v>
      </x:c>
      <x:c r="E133" s="23" t="s">
        <x:v>188</x:v>
      </x:c>
      <x:c r="F133" s="23">
        <x:v>1</x:v>
      </x:c>
      <x:c r="G133" s="23">
        <x:v>4</x:v>
      </x:c>
      <x:c r="H133" s="23">
        <x:v>0</x:v>
      </x:c>
      <x:c r="I133" s="23">
        <x:v>3294</x:v>
      </x:c>
      <x:c r="J133" s="23">
        <x:v>468</x:v>
      </x:c>
      <x:c r="K133" s="23">
        <x:v>0</x:v>
      </x:c>
      <x:c r="L133" s="23" t="s">
        <x:v>202</x:v>
      </x:c>
      <x:c r="M133" s="23">
        <x:f t="shared" si="2"/>
        <x:v>211</x:v>
      </x:c>
      <x:c r="N133" s="24" t="str">
        <x:f t="array" ref="N133">INDEX('MATCH INFO'!O:O, INT((ROW()-2)/10)+2)</x:f>
        <x:v>260606_PF_CB_S3</x:v>
      </x:c>
    </x:row>
    <x:row r="134">
      <x:c r="A134" s="23" t="s">
        <x:v>39</x:v>
      </x:c>
      <x:c r="B134" s="23" t="s">
        <x:v>40</x:v>
      </x:c>
      <x:c r="C134" s="23" t="s">
        <x:v>8</x:v>
      </x:c>
      <x:c r="D134" s="23" t="s">
        <x:v>113</x:v>
      </x:c>
      <x:c r="E134" s="23" t="s">
        <x:v>188</x:v>
      </x:c>
      <x:c r="F134" s="23">
        <x:v>1</x:v>
      </x:c>
      <x:c r="G134" s="23">
        <x:v>4</x:v>
      </x:c>
      <x:c r="H134" s="23">
        <x:v>1</x:v>
      </x:c>
      <x:c r="I134" s="23">
        <x:v>3638</x:v>
      </x:c>
      <x:c r="J134" s="23">
        <x:v>1114</x:v>
      </x:c>
      <x:c r="K134" s="23">
        <x:v>2240</x:v>
      </x:c>
      <x:c r="L134" s="23" t="s">
        <x:v>202</x:v>
      </x:c>
      <x:c r="M134" s="23">
        <x:f t="shared" si="2"/>
        <x:v>211</x:v>
      </x:c>
      <x:c r="N134" s="24" t="str">
        <x:f t="array" ref="N134">INDEX('MATCH INFO'!O:O, INT((ROW()-2)/10)+2)</x:f>
        <x:v>260606_PF_CB_S3</x:v>
      </x:c>
    </x:row>
    <x:row r="135">
      <x:c r="A135" s="23" t="s">
        <x:v>39</x:v>
      </x:c>
      <x:c r="B135" s="23" t="s">
        <x:v>43</x:v>
      </x:c>
      <x:c r="C135" s="23" t="s">
        <x:v>11</x:v>
      </x:c>
      <x:c r="D135" s="23" t="s">
        <x:v>113</x:v>
      </x:c>
      <x:c r="E135" s="23" t="s">
        <x:v>188</x:v>
      </x:c>
      <x:c r="F135" s="23">
        <x:v>0</x:v>
      </x:c>
      <x:c r="G135" s="23">
        <x:v>4</x:v>
      </x:c>
      <x:c r="H135" s="23">
        <x:v>0</x:v>
      </x:c>
      <x:c r="I135" s="23">
        <x:v>3830</x:v>
      </x:c>
      <x:c r="J135" s="23">
        <x:v>0</x:v>
      </x:c>
      <x:c r="K135" s="23">
        <x:v>559</x:v>
      </x:c>
      <x:c r="L135" s="23" t="s">
        <x:v>202</x:v>
      </x:c>
      <x:c r="M135" s="23">
        <x:f t="shared" si="2"/>
        <x:v>211</x:v>
      </x:c>
      <x:c r="N135" s="24" t="str">
        <x:f t="array" ref="N135">INDEX('MATCH INFO'!O:O, INT((ROW()-2)/10)+2)</x:f>
        <x:v>260606_PF_CB_S3</x:v>
      </x:c>
    </x:row>
    <x:row r="136">
      <x:c r="A136" s="23" t="s">
        <x:v>39</x:v>
      </x:c>
      <x:c r="B136" s="23" t="s">
        <x:v>44</x:v>
      </x:c>
      <x:c r="C136" s="23" t="s">
        <x:v>16</x:v>
      </x:c>
      <x:c r="D136" s="23" t="s">
        <x:v>113</x:v>
      </x:c>
      <x:c r="E136" s="23" t="s">
        <x:v>188</x:v>
      </x:c>
      <x:c r="F136" s="23">
        <x:v>1</x:v>
      </x:c>
      <x:c r="G136" s="23">
        <x:v>3</x:v>
      </x:c>
      <x:c r="H136" s="23">
        <x:v>1</x:v>
      </x:c>
      <x:c r="I136" s="23">
        <x:v>736</x:v>
      </x:c>
      <x:c r="J136" s="23">
        <x:v>2069</x:v>
      </x:c>
      <x:c r="K136" s="23">
        <x:v>0</x:v>
      </x:c>
      <x:c r="L136" s="23" t="s">
        <x:v>202</x:v>
      </x:c>
      <x:c r="M136" s="23">
        <x:f t="shared" si="2"/>
        <x:v>211</x:v>
      </x:c>
      <x:c r="N136" s="24" t="str">
        <x:f t="array" ref="N136">INDEX('MATCH INFO'!O:O, INT((ROW()-2)/10)+2)</x:f>
        <x:v>260606_PF_CB_S3</x:v>
      </x:c>
    </x:row>
    <x:row r="137">
      <x:c r="A137" s="23" t="s">
        <x:v>31</x:v>
      </x:c>
      <x:c r="B137" s="23" t="s">
        <x:v>34</x:v>
      </x:c>
      <x:c r="C137" s="23" t="s">
        <x:v>11</x:v>
      </x:c>
      <x:c r="D137" s="23" t="s">
        <x:v>113</x:v>
      </x:c>
      <x:c r="E137" s="23" t="s">
        <x:v>188</x:v>
      </x:c>
      <x:c r="F137" s="23">
        <x:v>13</x:v>
      </x:c>
      <x:c r="G137" s="23">
        <x:v>0</x:v>
      </x:c>
      <x:c r="H137" s="23">
        <x:v>0</x:v>
      </x:c>
      <x:c r="I137" s="23">
        <x:v>4188</x:v>
      </x:c>
      <x:c r="J137" s="23">
        <x:v>793</x:v>
      </x:c>
      <x:c r="K137" s="23">
        <x:v>0</x:v>
      </x:c>
      <x:c r="L137" s="23" t="s">
        <x:v>202</x:v>
      </x:c>
      <x:c r="M137" s="23">
        <x:f t="shared" si="2"/>
        <x:v>211</x:v>
      </x:c>
      <x:c r="N137" s="24" t="str">
        <x:f t="array" ref="N137">INDEX('MATCH INFO'!O:O, INT((ROW()-2)/10)+2)</x:f>
        <x:v>260606_PF_CB_S3</x:v>
      </x:c>
    </x:row>
    <x:row r="138">
      <x:c r="A138" s="23" t="s">
        <x:v>31</x:v>
      </x:c>
      <x:c r="B138" s="23" t="s">
        <x:v>33</x:v>
      </x:c>
      <x:c r="C138" s="23" t="s">
        <x:v>8</x:v>
      </x:c>
      <x:c r="D138" s="23" t="s">
        <x:v>113</x:v>
      </x:c>
      <x:c r="E138" s="23" t="s">
        <x:v>188</x:v>
      </x:c>
      <x:c r="F138" s="23">
        <x:v>13</x:v>
      </x:c>
      <x:c r="G138" s="23">
        <x:v>0</x:v>
      </x:c>
      <x:c r="H138" s="23">
        <x:v>12</x:v>
      </x:c>
      <x:c r="I138" s="23">
        <x:v>5253</x:v>
      </x:c>
      <x:c r="J138" s="23">
        <x:v>1057</x:v>
      </x:c>
      <x:c r="K138" s="23">
        <x:v>1981</x:v>
      </x:c>
      <x:c r="L138" s="23" t="s">
        <x:v>202</x:v>
      </x:c>
      <x:c r="M138" s="23">
        <x:f t="shared" si="2"/>
        <x:v>211</x:v>
      </x:c>
      <x:c r="N138" s="24" t="str">
        <x:f t="array" ref="N138">INDEX('MATCH INFO'!O:O, INT((ROW()-2)/10)+2)</x:f>
        <x:v>260606_PF_CB_S3</x:v>
      </x:c>
    </x:row>
    <x:row r="139">
      <x:c r="A139" s="23" t="s">
        <x:v>31</x:v>
      </x:c>
      <x:c r="B139" s="23" t="s">
        <x:v>35</x:v>
      </x:c>
      <x:c r="C139" s="23" t="s">
        <x:v>11</x:v>
      </x:c>
      <x:c r="D139" s="23" t="s">
        <x:v>113</x:v>
      </x:c>
      <x:c r="E139" s="23" t="s">
        <x:v>188</x:v>
      </x:c>
      <x:c r="F139" s="23">
        <x:v>10</x:v>
      </x:c>
      <x:c r="G139" s="23">
        <x:v>1</x:v>
      </x:c>
      <x:c r="H139" s="23">
        <x:v>2</x:v>
      </x:c>
      <x:c r="I139" s="23">
        <x:v>4785</x:v>
      </x:c>
      <x:c r="J139" s="23">
        <x:v>0</x:v>
      </x:c>
      <x:c r="K139" s="23">
        <x:v>732</x:v>
      </x:c>
      <x:c r="L139" s="23" t="s">
        <x:v>202</x:v>
      </x:c>
      <x:c r="M139" s="23">
        <x:f t="shared" si="2"/>
        <x:v>211</x:v>
      </x:c>
      <x:c r="N139" s="24" t="str">
        <x:f t="array" ref="N139">INDEX('MATCH INFO'!O:O, INT((ROW()-2)/10)+2)</x:f>
        <x:v>260606_PF_CB_S3</x:v>
      </x:c>
    </x:row>
    <x:row r="140">
      <x:c r="A140" s="23" t="s">
        <x:v>31</x:v>
      </x:c>
      <x:c r="B140" s="23" t="s">
        <x:v>36</x:v>
      </x:c>
      <x:c r="C140" s="23" t="s">
        <x:v>16</x:v>
      </x:c>
      <x:c r="D140" s="23" t="s">
        <x:v>113</x:v>
      </x:c>
      <x:c r="E140" s="23" t="s">
        <x:v>188</x:v>
      </x:c>
      <x:c r="F140" s="23">
        <x:v>14</x:v>
      </x:c>
      <x:c r="G140" s="23">
        <x:v>0</x:v>
      </x:c>
      <x:c r="H140" s="23">
        <x:v>11</x:v>
      </x:c>
      <x:c r="I140" s="23">
        <x:v>989</x:v>
      </x:c>
      <x:c r="J140" s="23">
        <x:v>3230</x:v>
      </x:c>
      <x:c r="K140" s="23">
        <x:v>0</x:v>
      </x:c>
      <x:c r="L140" s="23" t="s">
        <x:v>202</x:v>
      </x:c>
      <x:c r="M140" s="23">
        <x:f t="shared" si="2"/>
        <x:v>211</x:v>
      </x:c>
      <x:c r="N140" s="24" t="str">
        <x:f t="array" ref="N140">INDEX('MATCH INFO'!O:O, INT((ROW()-2)/10)+2)</x:f>
        <x:v>260606_PF_CB_S3</x:v>
      </x:c>
    </x:row>
    <x:row r="141">
      <x:c r="A141" s="23" t="s">
        <x:v>31</x:v>
      </x:c>
      <x:c r="B141" s="23" t="s">
        <x:v>37</x:v>
      </x:c>
      <x:c r="C141" s="23" t="s">
        <x:v>16</x:v>
      </x:c>
      <x:c r="D141" s="23" t="s">
        <x:v>113</x:v>
      </x:c>
      <x:c r="E141" s="23" t="s">
        <x:v>188</x:v>
      </x:c>
      <x:c r="F141" s="23">
        <x:v>7</x:v>
      </x:c>
      <x:c r="G141" s="23">
        <x:v>0</x:v>
      </x:c>
      <x:c r="H141" s="23">
        <x:v>16</x:v>
      </x:c>
      <x:c r="I141" s="23">
        <x:v>1991</x:v>
      </x:c>
      <x:c r="J141" s="23">
        <x:v>5159</x:v>
      </x:c>
      <x:c r="K141" s="23">
        <x:v>0</x:v>
      </x:c>
      <x:c r="L141" s="23" t="s">
        <x:v>202</x:v>
      </x:c>
      <x:c r="M141" s="23">
        <x:f t="shared" si="2"/>
        <x:v>211</x:v>
      </x:c>
      <x:c r="N141" s="24" t="str">
        <x:f t="array" ref="N141">INDEX('MATCH INFO'!O:O, INT((ROW()-2)/10)+2)</x:f>
        <x:v>260606_PF_CB_S3</x:v>
      </x:c>
    </x:row>
    <x:row r="142">
      <x:c r="A142" s="23" t="s">
        <x:v>63</x:v>
      </x:c>
      <x:c r="B142" s="23" t="s">
        <x:v>69</x:v>
      </x:c>
      <x:c r="C142" s="23" t="s">
        <x:v>16</x:v>
      </x:c>
      <x:c r="D142" s="23" t="s">
        <x:v>107</x:v>
      </x:c>
      <x:c r="E142" s="23" t="s">
        <x:v>184</x:v>
      </x:c>
      <x:c r="F142" s="23">
        <x:v>11</x:v>
      </x:c>
      <x:c r="G142" s="23">
        <x:v>2</x:v>
      </x:c>
      <x:c r="H142" s="23">
        <x:v>13</x:v>
      </x:c>
      <x:c r="I142" s="23">
        <x:v>2259</x:v>
      </x:c>
      <x:c r="J142" s="23">
        <x:v>5162</x:v>
      </x:c>
      <x:c r="K142" s="23">
        <x:v>0</x:v>
      </x:c>
      <x:c r="L142" s="23" t="s">
        <x:v>203</x:v>
      </x:c>
      <x:c r="M142" s="23">
        <x:f t="shared" si="2"/>
        <x:v>590</x:v>
      </x:c>
      <x:c r="N142" s="24" t="str">
        <x:f t="array" ref="N142">INDEX('MATCH INFO'!O:O, INT((ROW()-2)/10)+2)</x:f>
        <x:v>260606_T1_SB_S1</x:v>
      </x:c>
    </x:row>
    <x:row r="143">
      <x:c r="A143" s="23" t="s">
        <x:v>63</x:v>
      </x:c>
      <x:c r="B143" s="23" t="s">
        <x:v>64</x:v>
      </x:c>
      <x:c r="C143" s="23" t="s">
        <x:v>8</x:v>
      </x:c>
      <x:c r="D143" s="23" t="s">
        <x:v>107</x:v>
      </x:c>
      <x:c r="E143" s="23" t="s">
        <x:v>184</x:v>
      </x:c>
      <x:c r="F143" s="23">
        <x:v>20</x:v>
      </x:c>
      <x:c r="G143" s="23">
        <x:v>2</x:v>
      </x:c>
      <x:c r="H143" s="23">
        <x:v>3</x:v>
      </x:c>
      <x:c r="I143" s="23">
        <x:v>7695</x:v>
      </x:c>
      <x:c r="J143" s="23">
        <x:v>1948</x:v>
      </x:c>
      <x:c r="K143" s="23">
        <x:v>5704</x:v>
      </x:c>
      <x:c r="L143" s="23" t="s">
        <x:v>203</x:v>
      </x:c>
      <x:c r="M143" s="23">
        <x:f t="shared" si="2"/>
        <x:v>590</x:v>
      </x:c>
      <x:c r="N143" s="24" t="str">
        <x:f t="array" ref="N143">INDEX('MATCH INFO'!O:O, INT((ROW()-2)/10)+2)</x:f>
        <x:v>260606_T1_SB_S1</x:v>
      </x:c>
    </x:row>
    <x:row r="144">
      <x:c r="A144" s="23" t="s">
        <x:v>63</x:v>
      </x:c>
      <x:c r="B144" s="23" t="s">
        <x:v>67</x:v>
      </x:c>
      <x:c r="C144" s="23" t="s">
        <x:v>11</x:v>
      </x:c>
      <x:c r="D144" s="23" t="s">
        <x:v>107</x:v>
      </x:c>
      <x:c r="E144" s="23" t="s">
        <x:v>184</x:v>
      </x:c>
      <x:c r="F144" s="23">
        <x:v>15</x:v>
      </x:c>
      <x:c r="G144" s="23">
        <x:v>5</x:v>
      </x:c>
      <x:c r="H144" s="23">
        <x:v>3</x:v>
      </x:c>
      <x:c r="I144" s="23">
        <x:v>6720</x:v>
      </x:c>
      <x:c r="J144" s="23">
        <x:v>53</x:v>
      </x:c>
      <x:c r="K144" s="23">
        <x:v>0</x:v>
      </x:c>
      <x:c r="L144" s="23" t="s">
        <x:v>203</x:v>
      </x:c>
      <x:c r="M144" s="23">
        <x:f t="shared" si="2"/>
        <x:v>590</x:v>
      </x:c>
      <x:c r="N144" s="24" t="str">
        <x:f t="array" ref="N144">INDEX('MATCH INFO'!O:O, INT((ROW()-2)/10)+2)</x:f>
        <x:v>260606_T1_SB_S1</x:v>
      </x:c>
    </x:row>
    <x:row r="145">
      <x:c r="A145" s="23" t="s">
        <x:v>63</x:v>
      </x:c>
      <x:c r="B145" s="23" t="s">
        <x:v>70</x:v>
      </x:c>
      <x:c r="C145" s="23" t="s">
        <x:v>16</x:v>
      </x:c>
      <x:c r="D145" s="23" t="s">
        <x:v>107</x:v>
      </x:c>
      <x:c r="E145" s="23" t="s">
        <x:v>184</x:v>
      </x:c>
      <x:c r="F145" s="23">
        <x:v>10</x:v>
      </x:c>
      <x:c r="G145" s="23">
        <x:v>5</x:v>
      </x:c>
      <x:c r="H145" s="23">
        <x:v>8</x:v>
      </x:c>
      <x:c r="I145" s="23">
        <x:v>6848</x:v>
      </x:c>
      <x:c r="J145" s="23">
        <x:v>2776</x:v>
      </x:c>
      <x:c r="K145" s="23">
        <x:v>142</x:v>
      </x:c>
      <x:c r="L145" s="23" t="s">
        <x:v>203</x:v>
      </x:c>
      <x:c r="M145" s="23">
        <x:f t="shared" si="2"/>
        <x:v>590</x:v>
      </x:c>
      <x:c r="N145" s="24" t="str">
        <x:f t="array" ref="N145">INDEX('MATCH INFO'!O:O, INT((ROW()-2)/10)+2)</x:f>
        <x:v>260606_T1_SB_S1</x:v>
      </x:c>
    </x:row>
    <x:row r="146">
      <x:c r="A146" s="23" t="s">
        <x:v>63</x:v>
      </x:c>
      <x:c r="B146" s="23" t="s">
        <x:v>66</x:v>
      </x:c>
      <x:c r="C146" s="23" t="s">
        <x:v>11</x:v>
      </x:c>
      <x:c r="D146" s="23" t="s">
        <x:v>107</x:v>
      </x:c>
      <x:c r="E146" s="23" t="s">
        <x:v>184</x:v>
      </x:c>
      <x:c r="F146" s="23">
        <x:v>18</x:v>
      </x:c>
      <x:c r="G146" s="23">
        <x:v>4</x:v>
      </x:c>
      <x:c r="H146" s="23">
        <x:v>0</x:v>
      </x:c>
      <x:c r="I146" s="23">
        <x:v>9353</x:v>
      </x:c>
      <x:c r="J146" s="23">
        <x:v>144</x:v>
      </x:c>
      <x:c r="K146" s="23">
        <x:v>0</x:v>
      </x:c>
      <x:c r="L146" s="23" t="s">
        <x:v>203</x:v>
      </x:c>
      <x:c r="M146" s="23">
        <x:f t="shared" si="2"/>
        <x:v>590</x:v>
      </x:c>
      <x:c r="N146" s="24" t="str">
        <x:f t="array" ref="N146">INDEX('MATCH INFO'!O:O, INT((ROW()-2)/10)+2)</x:f>
        <x:v>260606_T1_SB_S1</x:v>
      </x:c>
    </x:row>
    <x:row r="147">
      <x:c r="A147" s="23" t="s">
        <x:v>81</x:v>
      </x:c>
      <x:c r="B147" s="23" t="s">
        <x:v>84</x:v>
      </x:c>
      <x:c r="C147" s="23" t="s">
        <x:v>11</x:v>
      </x:c>
      <x:c r="D147" s="23" t="s">
        <x:v>107</x:v>
      </x:c>
      <x:c r="E147" s="23" t="s">
        <x:v>184</x:v>
      </x:c>
      <x:c r="F147" s="23">
        <x:v>12</x:v>
      </x:c>
      <x:c r="G147" s="23">
        <x:v>4</x:v>
      </x:c>
      <x:c r="H147" s="23">
        <x:v>0</x:v>
      </x:c>
      <x:c r="I147" s="23">
        <x:v>7697</x:v>
      </x:c>
      <x:c r="J147" s="23">
        <x:v>167</x:v>
      </x:c>
      <x:c r="K147" s="23">
        <x:v>0</x:v>
      </x:c>
      <x:c r="L147" s="23" t="s">
        <x:v>203</x:v>
      </x:c>
      <x:c r="M147" s="23">
        <x:f t="shared" si="2"/>
        <x:v>590</x:v>
      </x:c>
      <x:c r="N147" s="24" t="str">
        <x:f t="array" ref="N147">INDEX('MATCH INFO'!O:O, INT((ROW()-2)/10)+2)</x:f>
        <x:v>260606_T1_SB_S1</x:v>
      </x:c>
    </x:row>
    <x:row r="148">
      <x:c r="A148" s="23" t="s">
        <x:v>81</x:v>
      </x:c>
      <x:c r="B148" s="23" t="s">
        <x:v>82</x:v>
      </x:c>
      <x:c r="C148" s="23" t="s">
        <x:v>8</x:v>
      </x:c>
      <x:c r="D148" s="23" t="s">
        <x:v>107</x:v>
      </x:c>
      <x:c r="E148" s="23" t="s">
        <x:v>184</x:v>
      </x:c>
      <x:c r="F148" s="23">
        <x:v>11</x:v>
      </x:c>
      <x:c r="G148" s="23">
        <x:v>4</x:v>
      </x:c>
      <x:c r="H148" s="23">
        <x:v>2</x:v>
      </x:c>
      <x:c r="I148" s="23">
        <x:v>7860</x:v>
      </x:c>
      <x:c r="J148" s="23">
        <x:v>2054</x:v>
      </x:c>
      <x:c r="K148" s="23">
        <x:v>3714</x:v>
      </x:c>
      <x:c r="L148" s="23" t="s">
        <x:v>203</x:v>
      </x:c>
      <x:c r="M148" s="23">
        <x:f t="shared" si="2"/>
        <x:v>590</x:v>
      </x:c>
      <x:c r="N148" s="24" t="str">
        <x:f t="array" ref="N148">INDEX('MATCH INFO'!O:O, INT((ROW()-2)/10)+2)</x:f>
        <x:v>260606_T1_SB_S1</x:v>
      </x:c>
    </x:row>
    <x:row r="149">
      <x:c r="A149" s="23" t="s">
        <x:v>81</x:v>
      </x:c>
      <x:c r="B149" s="23" t="s">
        <x:v>86</x:v>
      </x:c>
      <x:c r="C149" s="23" t="s">
        <x:v>16</x:v>
      </x:c>
      <x:c r="D149" s="23" t="s">
        <x:v>107</x:v>
      </x:c>
      <x:c r="E149" s="23" t="s">
        <x:v>184</x:v>
      </x:c>
      <x:c r="F149" s="23">
        <x:v>4</x:v>
      </x:c>
      <x:c r="G149" s="23">
        <x:v>7</x:v>
      </x:c>
      <x:c r="H149" s="23">
        <x:v>5</x:v>
      </x:c>
      <x:c r="I149" s="23">
        <x:v>2144</x:v>
      </x:c>
      <x:c r="J149" s="23">
        <x:v>4216</x:v>
      </x:c>
      <x:c r="K149" s="23">
        <x:v>0</x:v>
      </x:c>
      <x:c r="L149" s="23" t="s">
        <x:v>203</x:v>
      </x:c>
      <x:c r="M149" s="23">
        <x:f t="shared" si="2"/>
        <x:v>590</x:v>
      </x:c>
      <x:c r="N149" s="24" t="str">
        <x:f t="array" ref="N149">INDEX('MATCH INFO'!O:O, INT((ROW()-2)/10)+2)</x:f>
        <x:v>260606_T1_SB_S1</x:v>
      </x:c>
    </x:row>
    <x:row r="150">
      <x:c r="A150" s="23" t="s">
        <x:v>81</x:v>
      </x:c>
      <x:c r="B150" s="23" t="s">
        <x:v>85</x:v>
      </x:c>
      <x:c r="C150" s="23" t="s">
        <x:v>11</x:v>
      </x:c>
      <x:c r="D150" s="23" t="s">
        <x:v>107</x:v>
      </x:c>
      <x:c r="E150" s="23" t="s">
        <x:v>184</x:v>
      </x:c>
      <x:c r="F150" s="23">
        <x:v>7</x:v>
      </x:c>
      <x:c r="G150" s="23">
        <x:v>10</x:v>
      </x:c>
      <x:c r="H150" s="23">
        <x:v>0</x:v>
      </x:c>
      <x:c r="I150" s="23">
        <x:v>5510</x:v>
      </x:c>
      <x:c r="J150" s="23">
        <x:v>415</x:v>
      </x:c>
      <x:c r="K150" s="23">
        <x:v>53</x:v>
      </x:c>
      <x:c r="L150" s="23" t="s">
        <x:v>203</x:v>
      </x:c>
      <x:c r="M150" s="23">
        <x:f t="shared" si="2"/>
        <x:v>590</x:v>
      </x:c>
      <x:c r="N150" s="24" t="str">
        <x:f t="array" ref="N150">INDEX('MATCH INFO'!O:O, INT((ROW()-2)/10)+2)</x:f>
        <x:v>260606_T1_SB_S1</x:v>
      </x:c>
    </x:row>
    <x:row r="151">
      <x:c r="A151" s="23" t="s">
        <x:v>81</x:v>
      </x:c>
      <x:c r="B151" s="23" t="s">
        <x:v>88</x:v>
      </x:c>
      <x:c r="C151" s="23" t="s">
        <x:v>16</x:v>
      </x:c>
      <x:c r="D151" s="23" t="s">
        <x:v>107</x:v>
      </x:c>
      <x:c r="E151" s="23" t="s">
        <x:v>184</x:v>
      </x:c>
      <x:c r="F151" s="23">
        <x:v>4</x:v>
      </x:c>
      <x:c r="G151" s="23">
        <x:v>8</x:v>
      </x:c>
      <x:c r="H151" s="23">
        <x:v>3</x:v>
      </x:c>
      <x:c r="I151" s="23">
        <x:v>4412</x:v>
      </x:c>
      <x:c r="J151" s="23">
        <x:v>5058</x:v>
      </x:c>
      <x:c r="K151" s="23">
        <x:v>0</x:v>
      </x:c>
      <x:c r="L151" s="23" t="s">
        <x:v>203</x:v>
      </x:c>
      <x:c r="M151" s="23">
        <x:f t="shared" si="2"/>
        <x:v>590</x:v>
      </x:c>
      <x:c r="N151" s="24" t="str">
        <x:f t="array" ref="N151">INDEX('MATCH INFO'!O:O, INT((ROW()-2)/10)+2)</x:f>
        <x:v>260606_T1_SB_S1</x:v>
      </x:c>
    </x:row>
    <x:row r="152">
      <x:c r="A152" s="23" t="s">
        <x:v>81</x:v>
      </x:c>
      <x:c r="B152" s="23" t="s">
        <x:v>87</x:v>
      </x:c>
      <x:c r="C152" s="23" t="s">
        <x:v>16</x:v>
      </x:c>
      <x:c r="D152" s="23" t="s">
        <x:v>133</x:v>
      </x:c>
      <x:c r="E152" s="23" t="s">
        <x:v>191</x:v>
      </x:c>
      <x:c r="F152" s="23">
        <x:v>5</x:v>
      </x:c>
      <x:c r="G152" s="23">
        <x:v>8</x:v>
      </x:c>
      <x:c r="H152" s="23">
        <x:v>2</x:v>
      </x:c>
      <x:c r="I152" s="23">
        <x:v>2877</x:v>
      </x:c>
      <x:c r="J152" s="23">
        <x:v>5323</x:v>
      </x:c>
      <x:c r="K152" s="23">
        <x:v>675</x:v>
      </x:c>
      <x:c r="L152" s="23" t="s">
        <x:v>204</x:v>
      </x:c>
      <x:c r="M152" s="23">
        <x:f t="shared" si="2"/>
        <x:v>622</x:v>
      </x:c>
      <x:c r="N152" s="24" t="str">
        <x:f t="array" ref="N152">INDEX('MATCH INFO'!O:O, INT((ROW()-2)/10)+2)</x:f>
        <x:v>260606_T1_SB_S2</x:v>
      </x:c>
    </x:row>
    <x:row r="153">
      <x:c r="A153" s="23" t="s">
        <x:v>81</x:v>
      </x:c>
      <x:c r="B153" s="23" t="s">
        <x:v>83</x:v>
      </x:c>
      <x:c r="C153" s="23" t="s">
        <x:v>8</x:v>
      </x:c>
      <x:c r="D153" s="23" t="s">
        <x:v>133</x:v>
      </x:c>
      <x:c r="E153" s="23" t="s">
        <x:v>191</x:v>
      </x:c>
      <x:c r="F153" s="23">
        <x:v>10</x:v>
      </x:c>
      <x:c r="G153" s="23">
        <x:v>8</x:v>
      </x:c>
      <x:c r="H153" s="23">
        <x:v>2</x:v>
      </x:c>
      <x:c r="I153" s="23">
        <x:v>9421</x:v>
      </x:c>
      <x:c r="J153" s="23">
        <x:v>284</x:v>
      </x:c>
      <x:c r="K153" s="23">
        <x:v>17666</x:v>
      </x:c>
      <x:c r="L153" s="23" t="s">
        <x:v>204</x:v>
      </x:c>
      <x:c r="M153" s="23">
        <x:f t="shared" si="2"/>
        <x:v>622</x:v>
      </x:c>
      <x:c r="N153" s="24" t="str">
        <x:f t="array" ref="N153">INDEX('MATCH INFO'!O:O, INT((ROW()-2)/10)+2)</x:f>
        <x:v>260606_T1_SB_S2</x:v>
      </x:c>
    </x:row>
    <x:row r="154">
      <x:c r="A154" s="23" t="s">
        <x:v>81</x:v>
      </x:c>
      <x:c r="B154" s="23" t="s">
        <x:v>86</x:v>
      </x:c>
      <x:c r="C154" s="23" t="s">
        <x:v>16</x:v>
      </x:c>
      <x:c r="D154" s="23" t="s">
        <x:v>133</x:v>
      </x:c>
      <x:c r="E154" s="23" t="s">
        <x:v>191</x:v>
      </x:c>
      <x:c r="F154" s="23">
        <x:v>6</x:v>
      </x:c>
      <x:c r="G154" s="23">
        <x:v>9</x:v>
      </x:c>
      <x:c r="H154" s="23">
        <x:v>2</x:v>
      </x:c>
      <x:c r="I154" s="23">
        <x:v>4905</x:v>
      </x:c>
      <x:c r="J154" s="23">
        <x:v>580</x:v>
      </x:c>
      <x:c r="K154" s="23">
        <x:v>5457</x:v>
      </x:c>
      <x:c r="L154" s="23" t="s">
        <x:v>204</x:v>
      </x:c>
      <x:c r="M154" s="23">
        <x:f t="shared" si="2"/>
        <x:v>622</x:v>
      </x:c>
      <x:c r="N154" s="24" t="str">
        <x:f t="array" ref="N154">INDEX('MATCH INFO'!O:O, INT((ROW()-2)/10)+2)</x:f>
        <x:v>260606_T1_SB_S2</x:v>
      </x:c>
    </x:row>
    <x:row r="155">
      <x:c r="A155" s="23" t="s">
        <x:v>81</x:v>
      </x:c>
      <x:c r="B155" s="23" t="s">
        <x:v>85</x:v>
      </x:c>
      <x:c r="C155" s="23" t="s">
        <x:v>11</x:v>
      </x:c>
      <x:c r="D155" s="23" t="s">
        <x:v>133</x:v>
      </x:c>
      <x:c r="E155" s="23" t="s">
        <x:v>191</x:v>
      </x:c>
      <x:c r="F155" s="23">
        <x:v>9</x:v>
      </x:c>
      <x:c r="G155" s="23">
        <x:v>11</x:v>
      </x:c>
      <x:c r="H155" s="23">
        <x:v>3</x:v>
      </x:c>
      <x:c r="I155" s="23">
        <x:v>7087</x:v>
      </x:c>
      <x:c r="J155" s="23">
        <x:v>38</x:v>
      </x:c>
      <x:c r="K155" s="23">
        <x:v>711</x:v>
      </x:c>
      <x:c r="L155" s="23" t="s">
        <x:v>204</x:v>
      </x:c>
      <x:c r="M155" s="23">
        <x:f t="shared" si="2"/>
        <x:v>622</x:v>
      </x:c>
      <x:c r="N155" s="24" t="str">
        <x:f t="array" ref="N155">INDEX('MATCH INFO'!O:O, INT((ROW()-2)/10)+2)</x:f>
        <x:v>260606_T1_SB_S2</x:v>
      </x:c>
    </x:row>
    <x:row r="156">
      <x:c r="A156" s="23" t="s">
        <x:v>81</x:v>
      </x:c>
      <x:c r="B156" s="23" t="s">
        <x:v>88</x:v>
      </x:c>
      <x:c r="C156" s="23" t="s">
        <x:v>16</x:v>
      </x:c>
      <x:c r="D156" s="23" t="s">
        <x:v>133</x:v>
      </x:c>
      <x:c r="E156" s="23" t="s">
        <x:v>191</x:v>
      </x:c>
      <x:c r="F156" s="23">
        <x:v>2</x:v>
      </x:c>
      <x:c r="G156" s="23">
        <x:v>11</x:v>
      </x:c>
      <x:c r="H156" s="23">
        <x:v>9</x:v>
      </x:c>
      <x:c r="I156" s="23">
        <x:v>2891</x:v>
      </x:c>
      <x:c r="J156" s="23">
        <x:v>11983</x:v>
      </x:c>
      <x:c r="K156" s="23">
        <x:v>0</x:v>
      </x:c>
      <x:c r="L156" s="23" t="s">
        <x:v>204</x:v>
      </x:c>
      <x:c r="M156" s="23">
        <x:f t="shared" si="2"/>
        <x:v>622</x:v>
      </x:c>
      <x:c r="N156" s="24" t="str">
        <x:f t="array" ref="N156">INDEX('MATCH INFO'!O:O, INT((ROW()-2)/10)+2)</x:f>
        <x:v>260606_T1_SB_S2</x:v>
      </x:c>
    </x:row>
    <x:row r="157">
      <x:c r="A157" s="23" t="s">
        <x:v>63</x:v>
      </x:c>
      <x:c r="B157" s="23" t="s">
        <x:v>69</x:v>
      </x:c>
      <x:c r="C157" s="23" t="s">
        <x:v>16</x:v>
      </x:c>
      <x:c r="D157" s="23" t="s">
        <x:v>133</x:v>
      </x:c>
      <x:c r="E157" s="23" t="s">
        <x:v>191</x:v>
      </x:c>
      <x:c r="F157" s="23">
        <x:v>19</x:v>
      </x:c>
      <x:c r="G157" s="23">
        <x:v>2</x:v>
      </x:c>
      <x:c r="H157" s="23">
        <x:v>30</x:v>
      </x:c>
      <x:c r="I157" s="23">
        <x:v>3621</x:v>
      </x:c>
      <x:c r="J157" s="23">
        <x:v>8861</x:v>
      </x:c>
      <x:c r="K157" s="23">
        <x:v>1945</x:v>
      </x:c>
      <x:c r="L157" s="23" t="s">
        <x:v>204</x:v>
      </x:c>
      <x:c r="M157" s="23">
        <x:f t="shared" si="2"/>
        <x:v>622</x:v>
      </x:c>
      <x:c r="N157" s="24" t="str">
        <x:f t="array" ref="N157">INDEX('MATCH INFO'!O:O, INT((ROW()-2)/10)+2)</x:f>
        <x:v>260606_T1_SB_S2</x:v>
      </x:c>
    </x:row>
    <x:row r="158">
      <x:c r="A158" s="23" t="s">
        <x:v>63</x:v>
      </x:c>
      <x:c r="B158" s="23" t="s">
        <x:v>65</x:v>
      </x:c>
      <x:c r="C158" s="23" t="s">
        <x:v>8</x:v>
      </x:c>
      <x:c r="D158" s="23" t="s">
        <x:v>133</x:v>
      </x:c>
      <x:c r="E158" s="23" t="s">
        <x:v>191</x:v>
      </x:c>
      <x:c r="F158" s="23">
        <x:v>28</x:v>
      </x:c>
      <x:c r="G158" s="23">
        <x:v>1</x:v>
      </x:c>
      <x:c r="H158" s="23">
        <x:v>10</x:v>
      </x:c>
      <x:c r="I158" s="23">
        <x:v>11493</x:v>
      </x:c>
      <x:c r="J158" s="23">
        <x:v>0</x:v>
      </x:c>
      <x:c r="K158" s="23">
        <x:v>11511</x:v>
      </x:c>
      <x:c r="L158" s="23" t="s">
        <x:v>204</x:v>
      </x:c>
      <x:c r="M158" s="23">
        <x:f t="shared" si="2"/>
        <x:v>622</x:v>
      </x:c>
      <x:c r="N158" s="24" t="str">
        <x:f t="array" ref="N158">INDEX('MATCH INFO'!O:O, INT((ROW()-2)/10)+2)</x:f>
        <x:v>260606_T1_SB_S2</x:v>
      </x:c>
    </x:row>
    <x:row r="159">
      <x:c r="A159" s="23" t="s">
        <x:v>63</x:v>
      </x:c>
      <x:c r="B159" s="23" t="s">
        <x:v>67</x:v>
      </x:c>
      <x:c r="C159" s="23" t="s">
        <x:v>11</x:v>
      </x:c>
      <x:c r="D159" s="23" t="s">
        <x:v>133</x:v>
      </x:c>
      <x:c r="E159" s="23" t="s">
        <x:v>191</x:v>
      </x:c>
      <x:c r="F159" s="23">
        <x:v>34</x:v>
      </x:c>
      <x:c r="G159" s="23">
        <x:v>3</x:v>
      </x:c>
      <x:c r="H159" s="23">
        <x:v>0</x:v>
      </x:c>
      <x:c r="I159" s="23">
        <x:v>11482</x:v>
      </x:c>
      <x:c r="J159" s="23">
        <x:v>0</x:v>
      </x:c>
      <x:c r="K159" s="23">
        <x:v>0</x:v>
      </x:c>
      <x:c r="L159" s="23" t="s">
        <x:v>204</x:v>
      </x:c>
      <x:c r="M159" s="23">
        <x:f t="shared" si="2"/>
        <x:v>622</x:v>
      </x:c>
      <x:c r="N159" s="24" t="str">
        <x:f t="array" ref="N159">INDEX('MATCH INFO'!O:O, INT((ROW()-2)/10)+2)</x:f>
        <x:v>260606_T1_SB_S2</x:v>
      </x:c>
    </x:row>
    <x:row r="160">
      <x:c r="A160" s="23" t="s">
        <x:v>63</x:v>
      </x:c>
      <x:c r="B160" s="23" t="s">
        <x:v>70</x:v>
      </x:c>
      <x:c r="C160" s="23" t="s">
        <x:v>16</x:v>
      </x:c>
      <x:c r="D160" s="23" t="s">
        <x:v>133</x:v>
      </x:c>
      <x:c r="E160" s="23" t="s">
        <x:v>191</x:v>
      </x:c>
      <x:c r="F160" s="23">
        <x:v>24</x:v>
      </x:c>
      <x:c r="G160" s="23">
        <x:v>2</x:v>
      </x:c>
      <x:c r="H160" s="23">
        <x:v>23</x:v>
      </x:c>
      <x:c r="I160" s="23">
        <x:v>5228</x:v>
      </x:c>
      <x:c r="J160" s="23">
        <x:v>10623</x:v>
      </x:c>
      <x:c r="K160" s="23">
        <x:v>0</x:v>
      </x:c>
      <x:c r="L160" s="23" t="s">
        <x:v>204</x:v>
      </x:c>
      <x:c r="M160" s="23">
        <x:f t="shared" si="2"/>
        <x:v>622</x:v>
      </x:c>
      <x:c r="N160" s="24" t="str">
        <x:f t="array" ref="N160">INDEX('MATCH INFO'!O:O, INT((ROW()-2)/10)+2)</x:f>
        <x:v>260606_T1_SB_S2</x:v>
      </x:c>
    </x:row>
    <x:row r="161">
      <x:c r="A161" s="23" t="s">
        <x:v>63</x:v>
      </x:c>
      <x:c r="B161" s="23" t="s">
        <x:v>66</x:v>
      </x:c>
      <x:c r="C161" s="23" t="s">
        <x:v>11</x:v>
      </x:c>
      <x:c r="D161" s="23" t="s">
        <x:v>133</x:v>
      </x:c>
      <x:c r="E161" s="23" t="s">
        <x:v>191</x:v>
      </x:c>
      <x:c r="F161" s="23">
        <x:v>25</x:v>
      </x:c>
      <x:c r="G161" s="23">
        <x:v>5</x:v>
      </x:c>
      <x:c r="H161" s="23">
        <x:v>10</x:v>
      </x:c>
      <x:c r="I161" s="23">
        <x:v>7351</x:v>
      </x:c>
      <x:c r="J161" s="23">
        <x:v>0</x:v>
      </x:c>
      <x:c r="K161" s="23">
        <x:v>79</x:v>
      </x:c>
      <x:c r="L161" s="23" t="s">
        <x:v>204</x:v>
      </x:c>
      <x:c r="M161" s="23">
        <x:f t="shared" si="2"/>
        <x:v>622</x:v>
      </x:c>
      <x:c r="N161" s="24" t="str">
        <x:f t="array" ref="N161">INDEX('MATCH INFO'!O:O, INT((ROW()-2)/10)+2)</x:f>
        <x:v>260606_T1_SB_S2</x:v>
      </x:c>
    </x:row>
    <x:row r="162">
      <x:c r="A162" s="23" t="s">
        <x:v>63</x:v>
      </x:c>
      <x:c r="B162" s="23" t="s">
        <x:v>68</x:v>
      </x:c>
      <x:c r="C162" s="23" t="str">
        <x:v>SPT</x:v>
      </x:c>
      <x:c r="D162" s="23" t="s">
        <x:v>124</x:v>
      </x:c>
      <x:c r="E162" s="23" t="s">
        <x:v>186</x:v>
      </x:c>
      <x:c r="F162" s="23">
        <x:v>11</x:v>
      </x:c>
      <x:c r="G162" s="23">
        <x:v>3</x:v>
      </x:c>
      <x:c r="H162" s="23">
        <x:v>22</x:v>
      </x:c>
      <x:c r="I162" s="23">
        <x:v>1471</x:v>
      </x:c>
      <x:c r="J162" s="23">
        <x:v>5991</x:v>
      </x:c>
      <x:c r="K162" s="23">
        <x:v>0</x:v>
      </x:c>
      <x:c r="L162" s="23" t="s">
        <x:v>205</x:v>
      </x:c>
      <x:c r="M162" s="23">
        <x:f t="shared" si="2"/>
        <x:v>398</x:v>
      </x:c>
      <x:c r="N162" s="24" t="str">
        <x:f t="array" ref="N162">INDEX('MATCH INFO'!O:O, INT((ROW()-2)/10)+2)</x:f>
        <x:v>260606_T1_SB_S3</x:v>
      </x:c>
    </x:row>
    <x:row r="163">
      <x:c r="A163" s="23" t="s">
        <x:v>63</x:v>
      </x:c>
      <x:c r="B163" s="23" t="s">
        <x:v>65</x:v>
      </x:c>
      <x:c r="C163" s="23" t="s">
        <x:v>8</x:v>
      </x:c>
      <x:c r="D163" s="23" t="s">
        <x:v>124</x:v>
      </x:c>
      <x:c r="E163" s="23" t="s">
        <x:v>186</x:v>
      </x:c>
      <x:c r="F163" s="23">
        <x:v>16</x:v>
      </x:c>
      <x:c r="G163" s="23">
        <x:v>2</x:v>
      </x:c>
      <x:c r="H163" s="23">
        <x:v>9</x:v>
      </x:c>
      <x:c r="I163" s="23">
        <x:v>6143</x:v>
      </x:c>
      <x:c r="J163" s="23">
        <x:v>0</x:v>
      </x:c>
      <x:c r="K163" s="23">
        <x:v>5414</x:v>
      </x:c>
      <x:c r="L163" s="23" t="s">
        <x:v>205</x:v>
      </x:c>
      <x:c r="M163" s="23">
        <x:f t="shared" si="2"/>
        <x:v>398</x:v>
      </x:c>
      <x:c r="N163" s="24" t="str">
        <x:f t="array" ref="N163">INDEX('MATCH INFO'!O:O, INT((ROW()-2)/10)+2)</x:f>
        <x:v>260606_T1_SB_S3</x:v>
      </x:c>
    </x:row>
    <x:row r="164">
      <x:c r="A164" s="23" t="s">
        <x:v>63</x:v>
      </x:c>
      <x:c r="B164" s="23" t="s">
        <x:v>67</x:v>
      </x:c>
      <x:c r="C164" s="23" t="s">
        <x:v>11</x:v>
      </x:c>
      <x:c r="D164" s="23" t="s">
        <x:v>124</x:v>
      </x:c>
      <x:c r="E164" s="23" t="s">
        <x:v>186</x:v>
      </x:c>
      <x:c r="F164" s="23">
        <x:v>20</x:v>
      </x:c>
      <x:c r="G164" s="23">
        <x:v>3</x:v>
      </x:c>
      <x:c r="H164" s="23">
        <x:v>0</x:v>
      </x:c>
      <x:c r="I164" s="23">
        <x:v>7283</x:v>
      </x:c>
      <x:c r="J164" s="23">
        <x:v>0</x:v>
      </x:c>
      <x:c r="K164" s="23">
        <x:v>0</x:v>
      </x:c>
      <x:c r="L164" s="23" t="s">
        <x:v>205</x:v>
      </x:c>
      <x:c r="M164" s="23">
        <x:f t="shared" si="2"/>
        <x:v>398</x:v>
      </x:c>
      <x:c r="N164" s="24" t="str">
        <x:f t="array" ref="N164">INDEX('MATCH INFO'!O:O, INT((ROW()-2)/10)+2)</x:f>
        <x:v>260606_T1_SB_S3</x:v>
      </x:c>
    </x:row>
    <x:row r="165">
      <x:c r="A165" s="23" t="s">
        <x:v>63</x:v>
      </x:c>
      <x:c r="B165" s="23" t="s">
        <x:v>70</x:v>
      </x:c>
      <x:c r="C165" s="23" t="s">
        <x:v>16</x:v>
      </x:c>
      <x:c r="D165" s="23" t="s">
        <x:v>124</x:v>
      </x:c>
      <x:c r="E165" s="23" t="s">
        <x:v>186</x:v>
      </x:c>
      <x:c r="F165" s="23">
        <x:v>18</x:v>
      </x:c>
      <x:c r="G165" s="23">
        <x:v>2</x:v>
      </x:c>
      <x:c r="H165" s="23">
        <x:v>15</x:v>
      </x:c>
      <x:c r="I165" s="23">
        <x:v>2529</x:v>
      </x:c>
      <x:c r="J165" s="23">
        <x:v>4822</x:v>
      </x:c>
      <x:c r="K165" s="23">
        <x:v>827</x:v>
      </x:c>
      <x:c r="L165" s="23" t="s">
        <x:v>205</x:v>
      </x:c>
      <x:c r="M165" s="23">
        <x:f t="shared" si="2"/>
        <x:v>398</x:v>
      </x:c>
      <x:c r="N165" s="24" t="str">
        <x:f t="array" ref="N165">INDEX('MATCH INFO'!O:O, INT((ROW()-2)/10)+2)</x:f>
        <x:v>260606_T1_SB_S3</x:v>
      </x:c>
    </x:row>
    <x:row r="166">
      <x:c r="A166" s="23" t="s">
        <x:v>63</x:v>
      </x:c>
      <x:c r="B166" s="23" t="s">
        <x:v>66</x:v>
      </x:c>
      <x:c r="C166" s="23" t="s">
        <x:v>11</x:v>
      </x:c>
      <x:c r="D166" s="23" t="s">
        <x:v>124</x:v>
      </x:c>
      <x:c r="E166" s="23" t="s">
        <x:v>186</x:v>
      </x:c>
      <x:c r="F166" s="23">
        <x:v>20</x:v>
      </x:c>
      <x:c r="G166" s="23">
        <x:v>2</x:v>
      </x:c>
      <x:c r="H166" s="23">
        <x:v>1</x:v>
      </x:c>
      <x:c r="I166" s="23">
        <x:v>5277</x:v>
      </x:c>
      <x:c r="J166" s="23">
        <x:v>48</x:v>
      </x:c>
      <x:c r="K166" s="23">
        <x:v>254</x:v>
      </x:c>
      <x:c r="L166" s="23" t="s">
        <x:v>205</x:v>
      </x:c>
      <x:c r="M166" s="23">
        <x:f t="shared" si="2"/>
        <x:v>398</x:v>
      </x:c>
      <x:c r="N166" s="24" t="str">
        <x:f t="array" ref="N166">INDEX('MATCH INFO'!O:O, INT((ROW()-2)/10)+2)</x:f>
        <x:v>260606_T1_SB_S3</x:v>
      </x:c>
    </x:row>
    <x:row r="167">
      <x:c r="A167" s="23" t="s">
        <x:v>81</x:v>
      </x:c>
      <x:c r="B167" s="23" t="s">
        <x:v>84</x:v>
      </x:c>
      <x:c r="C167" s="23" t="s">
        <x:v>11</x:v>
      </x:c>
      <x:c r="D167" s="23" t="s">
        <x:v>124</x:v>
      </x:c>
      <x:c r="E167" s="23" t="s">
        <x:v>186</x:v>
      </x:c>
      <x:c r="F167" s="23">
        <x:v>9</x:v>
      </x:c>
      <x:c r="G167" s="23">
        <x:v>6</x:v>
      </x:c>
      <x:c r="H167" s="23">
        <x:v>1</x:v>
      </x:c>
      <x:c r="I167" s="23">
        <x:v>4005</x:v>
      </x:c>
      <x:c r="J167" s="23">
        <x:v>0</x:v>
      </x:c>
      <x:c r="K167" s="23">
        <x:v>495</x:v>
      </x:c>
      <x:c r="L167" s="23" t="s">
        <x:v>205</x:v>
      </x:c>
      <x:c r="M167" s="23">
        <x:f t="shared" si="2"/>
        <x:v>398</x:v>
      </x:c>
      <x:c r="N167" s="24" t="str">
        <x:f t="array" ref="N167">INDEX('MATCH INFO'!O:O, INT((ROW()-2)/10)+2)</x:f>
        <x:v>260606_T1_SB_S3</x:v>
      </x:c>
    </x:row>
    <x:row r="168">
      <x:c r="A168" s="23" t="s">
        <x:v>81</x:v>
      </x:c>
      <x:c r="B168" s="23" t="s">
        <x:v>87</x:v>
      </x:c>
      <x:c r="C168" s="23" t="s">
        <x:v>16</x:v>
      </x:c>
      <x:c r="D168" s="23" t="s">
        <x:v>124</x:v>
      </x:c>
      <x:c r="E168" s="23" t="s">
        <x:v>186</x:v>
      </x:c>
      <x:c r="F168" s="23">
        <x:v>5</x:v>
      </x:c>
      <x:c r="G168" s="23">
        <x:v>5</x:v>
      </x:c>
      <x:c r="H168" s="23">
        <x:v>5</x:v>
      </x:c>
      <x:c r="I168" s="23">
        <x:v>1528</x:v>
      </x:c>
      <x:c r="J168" s="23">
        <x:v>3275</x:v>
      </x:c>
      <x:c r="K168" s="23">
        <x:v>928</x:v>
      </x:c>
      <x:c r="L168" s="23" t="s">
        <x:v>205</x:v>
      </x:c>
      <x:c r="M168" s="23">
        <x:f t="shared" si="2"/>
        <x:v>398</x:v>
      </x:c>
      <x:c r="N168" s="24" t="str">
        <x:f t="array" ref="N168">INDEX('MATCH INFO'!O:O, INT((ROW()-2)/10)+2)</x:f>
        <x:v>260606_T1_SB_S3</x:v>
      </x:c>
    </x:row>
    <x:row r="169">
      <x:c r="A169" s="23" t="s">
        <x:v>81</x:v>
      </x:c>
      <x:c r="B169" s="23" t="s">
        <x:v>83</x:v>
      </x:c>
      <x:c r="C169" s="23" t="s">
        <x:v>8</x:v>
      </x:c>
      <x:c r="D169" s="23" t="s">
        <x:v>124</x:v>
      </x:c>
      <x:c r="E169" s="23" t="s">
        <x:v>186</x:v>
      </x:c>
      <x:c r="F169" s="23">
        <x:v>9</x:v>
      </x:c>
      <x:c r="G169" s="23">
        <x:v>7</x:v>
      </x:c>
      <x:c r="H169" s="23">
        <x:v>5</x:v>
      </x:c>
      <x:c r="I169" s="23">
        <x:v>4991</x:v>
      </x:c>
      <x:c r="J169" s="23">
        <x:v>0</x:v>
      </x:c>
      <x:c r="K169" s="23">
        <x:v>5573</x:v>
      </x:c>
      <x:c r="L169" s="23" t="s">
        <x:v>205</x:v>
      </x:c>
      <x:c r="M169" s="23">
        <x:f t="shared" si="2"/>
        <x:v>398</x:v>
      </x:c>
      <x:c r="N169" s="24" t="str">
        <x:f t="array" ref="N169">INDEX('MATCH INFO'!O:O, INT((ROW()-2)/10)+2)</x:f>
        <x:v>260606_T1_SB_S3</x:v>
      </x:c>
    </x:row>
    <x:row r="170">
      <x:c r="A170" s="23" t="s">
        <x:v>81</x:v>
      </x:c>
      <x:c r="B170" s="23" t="s">
        <x:v>85</x:v>
      </x:c>
      <x:c r="C170" s="23" t="s">
        <x:v>11</x:v>
      </x:c>
      <x:c r="D170" s="23" t="s">
        <x:v>124</x:v>
      </x:c>
      <x:c r="E170" s="23" t="s">
        <x:v>186</x:v>
      </x:c>
      <x:c r="F170" s="23">
        <x:v>7</x:v>
      </x:c>
      <x:c r="G170" s="23">
        <x:v>6</x:v>
      </x:c>
      <x:c r="H170" s="23">
        <x:v>0</x:v>
      </x:c>
      <x:c r="I170" s="23">
        <x:v>3790</x:v>
      </x:c>
      <x:c r="J170" s="23">
        <x:v>0</x:v>
      </x:c>
      <x:c r="K170" s="23">
        <x:v>0</x:v>
      </x:c>
      <x:c r="L170" s="23" t="s">
        <x:v>205</x:v>
      </x:c>
      <x:c r="M170" s="23">
        <x:f t="shared" si="2"/>
        <x:v>398</x:v>
      </x:c>
      <x:c r="N170" s="24" t="str">
        <x:f t="array" ref="N170">INDEX('MATCH INFO'!O:O, INT((ROW()-2)/10)+2)</x:f>
        <x:v>260606_T1_SB_S3</x:v>
      </x:c>
    </x:row>
    <x:row r="171">
      <x:c r="A171" s="23" t="s">
        <x:v>81</x:v>
      </x:c>
      <x:c r="B171" s="23" t="s">
        <x:v>88</x:v>
      </x:c>
      <x:c r="C171" s="23" t="s">
        <x:v>16</x:v>
      </x:c>
      <x:c r="D171" s="23" t="s">
        <x:v>124</x:v>
      </x:c>
      <x:c r="E171" s="23" t="s">
        <x:v>186</x:v>
      </x:c>
      <x:c r="F171" s="23">
        <x:v>5</x:v>
      </x:c>
      <x:c r="G171" s="23">
        <x:v>6</x:v>
      </x:c>
      <x:c r="H171" s="23">
        <x:v>9</x:v>
      </x:c>
      <x:c r="I171" s="23">
        <x:v>2106</x:v>
      </x:c>
      <x:c r="J171" s="23">
        <x:v>7631</x:v>
      </x:c>
      <x:c r="K171" s="23">
        <x:v>0</x:v>
      </x:c>
      <x:c r="L171" s="23" t="s">
        <x:v>205</x:v>
      </x:c>
      <x:c r="M171" s="23">
        <x:f t="shared" si="2"/>
        <x:v>398</x:v>
      </x:c>
      <x:c r="N171" s="24" t="str">
        <x:f t="array" ref="N171">INDEX('MATCH INFO'!O:O, INT((ROW()-2)/10)+2)</x:f>
        <x:v>260606_T1_SB_S3</x:v>
      </x:c>
    </x:row>
    <x:row r="172">
      <x:c r="A172" s="23" t="s">
        <x:v>22</x:v>
      </x:c>
      <x:c r="B172" s="23" t="s">
        <x:v>25</x:v>
      </x:c>
      <x:c r="C172" s="23" t="s">
        <x:v>11</x:v>
      </x:c>
      <x:c r="D172" s="23" t="s">
        <x:v>131</x:v>
      </x:c>
      <x:c r="E172" s="23" t="s">
        <x:v>184</x:v>
      </x:c>
      <x:c r="F172" s="23">
        <x:v>5</x:v>
      </x:c>
      <x:c r="G172" s="23">
        <x:v>9</x:v>
      </x:c>
      <x:c r="H172" s="23">
        <x:v>0</x:v>
      </x:c>
      <x:c r="I172" s="23">
        <x:v>7545</x:v>
      </x:c>
      <x:c r="J172" s="23">
        <x:v>339</x:v>
      </x:c>
      <x:c r="K172" s="23">
        <x:v>6221</x:v>
      </x:c>
      <x:c r="L172" s="23" t="s">
        <x:v>206</x:v>
      </x:c>
      <x:c r="M172" s="23">
        <x:f t="shared" si="2"/>
        <x:v>567</x:v>
      </x:c>
      <x:c r="N172" s="24" t="str">
        <x:f t="array" ref="N172">INDEX('MATCH INFO'!O:O, INT((ROW()-2)/10)+2)</x:f>
        <x:v>260606_ROZE_FLC_S1</x:v>
      </x:c>
    </x:row>
    <x:row r="173">
      <x:c r="A173" s="23" t="s">
        <x:v>22</x:v>
      </x:c>
      <x:c r="B173" s="23" t="s">
        <x:v>29</x:v>
      </x:c>
      <x:c r="C173" s="23" t="s">
        <x:v>16</x:v>
      </x:c>
      <x:c r="D173" s="23" t="s">
        <x:v>131</x:v>
      </x:c>
      <x:c r="E173" s="23" t="s">
        <x:v>184</x:v>
      </x:c>
      <x:c r="F173" s="23">
        <x:v>7</x:v>
      </x:c>
      <x:c r="G173" s="23">
        <x:v>6</x:v>
      </x:c>
      <x:c r="H173" s="23">
        <x:v>8</x:v>
      </x:c>
      <x:c r="I173" s="23">
        <x:v>4457</x:v>
      </x:c>
      <x:c r="J173" s="23">
        <x:v>11394</x:v>
      </x:c>
      <x:c r="K173" s="23">
        <x:v>0</x:v>
      </x:c>
      <x:c r="L173" s="23" t="s">
        <x:v>206</x:v>
      </x:c>
      <x:c r="M173" s="23">
        <x:f t="shared" si="2"/>
        <x:v>567</x:v>
      </x:c>
      <x:c r="N173" s="24" t="str">
        <x:f t="array" ref="N173">INDEX('MATCH INFO'!O:O, INT((ROW()-2)/10)+2)</x:f>
        <x:v>260606_ROZE_FLC_S1</x:v>
      </x:c>
    </x:row>
    <x:row r="174">
      <x:c r="A174" s="23" t="s">
        <x:v>22</x:v>
      </x:c>
      <x:c r="B174" s="23" t="s">
        <x:v>26</x:v>
      </x:c>
      <x:c r="C174" s="23" t="s">
        <x:v>11</x:v>
      </x:c>
      <x:c r="D174" s="23" t="s">
        <x:v>131</x:v>
      </x:c>
      <x:c r="E174" s="23" t="s">
        <x:v>184</x:v>
      </x:c>
      <x:c r="F174" s="23">
        <x:v>10</x:v>
      </x:c>
      <x:c r="G174" s="23">
        <x:v>8</x:v>
      </x:c>
      <x:c r="H174" s="23">
        <x:v>2</x:v>
      </x:c>
      <x:c r="I174" s="23">
        <x:v>11039</x:v>
      </x:c>
      <x:c r="J174" s="23">
        <x:v>0</x:v>
      </x:c>
      <x:c r="K174" s="23">
        <x:v>997</x:v>
      </x:c>
      <x:c r="L174" s="23" t="s">
        <x:v>206</x:v>
      </x:c>
      <x:c r="M174" s="23">
        <x:f t="shared" si="2"/>
        <x:v>567</x:v>
      </x:c>
      <x:c r="N174" s="24" t="str">
        <x:f t="array" ref="N174">INDEX('MATCH INFO'!O:O, INT((ROW()-2)/10)+2)</x:f>
        <x:v>260606_ROZE_FLC_S1</x:v>
      </x:c>
    </x:row>
    <x:row r="175">
      <x:c r="A175" s="23" t="s">
        <x:v>22</x:v>
      </x:c>
      <x:c r="B175" s="23" t="s">
        <x:v>28</x:v>
      </x:c>
      <x:c r="C175" s="23" t="s">
        <x:v>16</x:v>
      </x:c>
      <x:c r="D175" s="23" t="s">
        <x:v>131</x:v>
      </x:c>
      <x:c r="E175" s="23" t="s">
        <x:v>184</x:v>
      </x:c>
      <x:c r="F175" s="23">
        <x:v>9</x:v>
      </x:c>
      <x:c r="G175" s="23">
        <x:v>6</x:v>
      </x:c>
      <x:c r="H175" s="23">
        <x:v>6</x:v>
      </x:c>
      <x:c r="I175" s="23">
        <x:v>4493</x:v>
      </x:c>
      <x:c r="J175" s="23">
        <x:v>10255</x:v>
      </x:c>
      <x:c r="K175" s="23">
        <x:v>1455</x:v>
      </x:c>
      <x:c r="L175" s="23" t="s">
        <x:v>206</x:v>
      </x:c>
      <x:c r="M175" s="23">
        <x:f t="shared" si="2"/>
        <x:v>567</x:v>
      </x:c>
      <x:c r="N175" s="24" t="str">
        <x:f t="array" ref="N175">INDEX('MATCH INFO'!O:O, INT((ROW()-2)/10)+2)</x:f>
        <x:v>260606_ROZE_FLC_S1</x:v>
      </x:c>
    </x:row>
    <x:row r="176">
      <x:c r="A176" s="23" t="s">
        <x:v>22</x:v>
      </x:c>
      <x:c r="B176" s="23" t="s">
        <x:v>23</x:v>
      </x:c>
      <x:c r="C176" s="23" t="s">
        <x:v>8</x:v>
      </x:c>
      <x:c r="D176" s="23" t="s">
        <x:v>131</x:v>
      </x:c>
      <x:c r="E176" s="23" t="s">
        <x:v>184</x:v>
      </x:c>
      <x:c r="F176" s="23">
        <x:v>11</x:v>
      </x:c>
      <x:c r="G176" s="23">
        <x:v>5</x:v>
      </x:c>
      <x:c r="H176" s="23">
        <x:v>5</x:v>
      </x:c>
      <x:c r="I176" s="23">
        <x:v>6963</x:v>
      </x:c>
      <x:c r="J176" s="23">
        <x:v>1402</x:v>
      </x:c>
      <x:c r="K176" s="23">
        <x:v>16163</x:v>
      </x:c>
      <x:c r="L176" s="23" t="s">
        <x:v>206</x:v>
      </x:c>
      <x:c r="M176" s="23">
        <x:f t="shared" si="2"/>
        <x:v>567</x:v>
      </x:c>
      <x:c r="N176" s="24" t="str">
        <x:f t="array" ref="N176">INDEX('MATCH INFO'!O:O, INT((ROW()-2)/10)+2)</x:f>
        <x:v>260606_ROZE_FLC_S1</x:v>
      </x:c>
    </x:row>
    <x:row r="177">
      <x:c r="A177" s="23" t="s">
        <x:v>72</x:v>
      </x:c>
      <x:c r="B177" s="23" t="s">
        <x:v>78</x:v>
      </x:c>
      <x:c r="C177" s="23" t="s">
        <x:v>16</x:v>
      </x:c>
      <x:c r="D177" s="23" t="s">
        <x:v>131</x:v>
      </x:c>
      <x:c r="E177" s="23" t="s">
        <x:v>184</x:v>
      </x:c>
      <x:c r="F177" s="23">
        <x:v>22</x:v>
      </x:c>
      <x:c r="G177" s="23">
        <x:v>3</x:v>
      </x:c>
      <x:c r="H177" s="23">
        <x:v>12</x:v>
      </x:c>
      <x:c r="I177" s="23">
        <x:v>3595</x:v>
      </x:c>
      <x:c r="J177" s="23">
        <x:v>8752</x:v>
      </x:c>
      <x:c r="K177" s="23">
        <x:v>0</x:v>
      </x:c>
      <x:c r="L177" s="23" t="s">
        <x:v>206</x:v>
      </x:c>
      <x:c r="M177" s="23">
        <x:f t="shared" si="2"/>
        <x:v>567</x:v>
      </x:c>
      <x:c r="N177" s="24" t="str">
        <x:f t="array" ref="N177">INDEX('MATCH INFO'!O:O, INT((ROW()-2)/10)+2)</x:f>
        <x:v>260606_ROZE_FLC_S1</x:v>
      </x:c>
    </x:row>
    <x:row r="178">
      <x:c r="A178" s="23" t="s">
        <x:v>72</x:v>
      </x:c>
      <x:c r="B178" s="23" t="s">
        <x:v>79</x:v>
      </x:c>
      <x:c r="C178" s="23" t="s">
        <x:v>16</x:v>
      </x:c>
      <x:c r="D178" s="23" t="s">
        <x:v>131</x:v>
      </x:c>
      <x:c r="E178" s="23" t="s">
        <x:v>184</x:v>
      </x:c>
      <x:c r="F178" s="23">
        <x:v>12</x:v>
      </x:c>
      <x:c r="G178" s="23">
        <x:v>5</x:v>
      </x:c>
      <x:c r="H178" s="23">
        <x:v>17</x:v>
      </x:c>
      <x:c r="I178" s="23">
        <x:v>6025</x:v>
      </x:c>
      <x:c r="J178" s="23">
        <x:v>10552</x:v>
      </x:c>
      <x:c r="K178" s="23">
        <x:v>0</x:v>
      </x:c>
      <x:c r="L178" s="23" t="s">
        <x:v>206</x:v>
      </x:c>
      <x:c r="M178" s="23">
        <x:f t="shared" si="2"/>
        <x:v>567</x:v>
      </x:c>
      <x:c r="N178" s="24" t="str">
        <x:f t="array" ref="N178">INDEX('MATCH INFO'!O:O, INT((ROW()-2)/10)+2)</x:f>
        <x:v>260606_ROZE_FLC_S1</x:v>
      </x:c>
    </x:row>
    <x:row r="179">
      <x:c r="A179" s="23" t="s">
        <x:v>72</x:v>
      </x:c>
      <x:c r="B179" s="23" t="s">
        <x:v>74</x:v>
      </x:c>
      <x:c r="C179" s="23" t="s">
        <x:v>8</x:v>
      </x:c>
      <x:c r="D179" s="23" t="s">
        <x:v>131</x:v>
      </x:c>
      <x:c r="E179" s="23" t="s">
        <x:v>184</x:v>
      </x:c>
      <x:c r="F179" s="23">
        <x:v>30</x:v>
      </x:c>
      <x:c r="G179" s="23">
        <x:v>3</x:v>
      </x:c>
      <x:c r="H179" s="23">
        <x:v>21</x:v>
      </x:c>
      <x:c r="I179" s="23">
        <x:v>7572</x:v>
      </x:c>
      <x:c r="J179" s="23">
        <x:v>2959</x:v>
      </x:c>
      <x:c r="K179" s="23">
        <x:v>20344</x:v>
      </x:c>
      <x:c r="L179" s="23" t="s">
        <x:v>206</x:v>
      </x:c>
      <x:c r="M179" s="23">
        <x:f t="shared" si="2"/>
        <x:v>567</x:v>
      </x:c>
      <x:c r="N179" s="24" t="str">
        <x:f t="array" ref="N179">INDEX('MATCH INFO'!O:O, INT((ROW()-2)/10)+2)</x:f>
        <x:v>260606_ROZE_FLC_S1</x:v>
      </x:c>
    </x:row>
    <x:row r="180">
      <x:c r="A180" s="23" t="s">
        <x:v>72</x:v>
      </x:c>
      <x:c r="B180" s="23" t="s">
        <x:v>77</x:v>
      </x:c>
      <x:c r="C180" s="23" t="s">
        <x:v>11</x:v>
      </x:c>
      <x:c r="D180" s="23" t="s">
        <x:v>131</x:v>
      </x:c>
      <x:c r="E180" s="23" t="s">
        <x:v>184</x:v>
      </x:c>
      <x:c r="F180" s="23">
        <x:v>20</x:v>
      </x:c>
      <x:c r="G180" s="23">
        <x:v>5</x:v>
      </x:c>
      <x:c r="H180" s="23">
        <x:v>0</x:v>
      </x:c>
      <x:c r="I180" s="23">
        <x:v>14919</x:v>
      </x:c>
      <x:c r="J180" s="23">
        <x:v>247</x:v>
      </x:c>
      <x:c r="K180" s="23">
        <x:v>1230</x:v>
      </x:c>
      <x:c r="L180" s="23" t="s">
        <x:v>206</x:v>
      </x:c>
      <x:c r="M180" s="23">
        <x:f t="shared" si="2"/>
        <x:v>567</x:v>
      </x:c>
      <x:c r="N180" s="24" t="str">
        <x:f t="array" ref="N180">INDEX('MATCH INFO'!O:O, INT((ROW()-2)/10)+2)</x:f>
        <x:v>260606_ROZE_FLC_S1</x:v>
      </x:c>
    </x:row>
    <x:row r="181">
      <x:c r="A181" s="23" t="s">
        <x:v>72</x:v>
      </x:c>
      <x:c r="B181" s="23" t="s">
        <x:v>75</x:v>
      </x:c>
      <x:c r="C181" s="23" t="s">
        <x:v>11</x:v>
      </x:c>
      <x:c r="D181" s="23" t="s">
        <x:v>131</x:v>
      </x:c>
      <x:c r="E181" s="23" t="s">
        <x:v>184</x:v>
      </x:c>
      <x:c r="F181" s="23">
        <x:v>25</x:v>
      </x:c>
      <x:c r="G181" s="23">
        <x:v>4</x:v>
      </x:c>
      <x:c r="H181" s="23">
        <x:v>0</x:v>
      </x:c>
      <x:c r="I181" s="23">
        <x:v>7587</x:v>
      </x:c>
      <x:c r="J181" s="23">
        <x:v>62</x:v>
      </x:c>
      <x:c r="K181" s="23">
        <x:v>0</x:v>
      </x:c>
      <x:c r="L181" s="23" t="s">
        <x:v>206</x:v>
      </x:c>
      <x:c r="M181" s="23">
        <x:f t="shared" si="2"/>
        <x:v>567</x:v>
      </x:c>
      <x:c r="N181" s="24" t="str">
        <x:f t="array" ref="N181">INDEX('MATCH INFO'!O:O, INT((ROW()-2)/10)+2)</x:f>
        <x:v>260606_ROZE_FLC_S1</x:v>
      </x:c>
    </x:row>
    <x:row r="182">
      <x:c r="A182" s="23" t="s">
        <x:v>22</x:v>
      </x:c>
      <x:c r="B182" s="23" t="s">
        <x:v>25</x:v>
      </x:c>
      <x:c r="C182" s="23" t="s">
        <x:v>11</x:v>
      </x:c>
      <x:c r="D182" s="23" t="s">
        <x:v>110</x:v>
      </x:c>
      <x:c r="E182" s="23" t="s">
        <x:v>186</x:v>
      </x:c>
      <x:c r="F182" s="23">
        <x:v>25</x:v>
      </x:c>
      <x:c r="G182" s="23">
        <x:v>7</x:v>
      </x:c>
      <x:c r="H182" s="23">
        <x:v>1</x:v>
      </x:c>
      <x:c r="I182" s="23">
        <x:v>10743</x:v>
      </x:c>
      <x:c r="J182" s="23">
        <x:v>1727</x:v>
      </x:c>
      <x:c r="K182" s="23">
        <x:v>0</x:v>
      </x:c>
      <x:c r="L182" s="23" t="s">
        <x:v>207</x:v>
      </x:c>
      <x:c r="M182" s="23">
        <x:f t="shared" si="2"/>
        <x:v>614</x:v>
      </x:c>
      <x:c r="N182" s="24" t="str">
        <x:f t="array" ref="N182">INDEX('MATCH INFO'!O:O, INT((ROW()-2)/10)+2)</x:f>
        <x:v>260606_ROZE_FLC_S2</x:v>
      </x:c>
    </x:row>
    <x:row r="183">
      <x:c r="A183" s="23" t="s">
        <x:v>22</x:v>
      </x:c>
      <x:c r="B183" s="23" t="s">
        <x:v>29</x:v>
      </x:c>
      <x:c r="C183" s="23" t="s">
        <x:v>16</x:v>
      </x:c>
      <x:c r="D183" s="23" t="s">
        <x:v>110</x:v>
      </x:c>
      <x:c r="E183" s="23" t="s">
        <x:v>186</x:v>
      </x:c>
      <x:c r="F183" s="23">
        <x:v>19</x:v>
      </x:c>
      <x:c r="G183" s="23">
        <x:v>8</x:v>
      </x:c>
      <x:c r="H183" s="23">
        <x:v>21</x:v>
      </x:c>
      <x:c r="I183" s="23">
        <x:v>6228</x:v>
      </x:c>
      <x:c r="J183" s="23">
        <x:v>12699</x:v>
      </x:c>
      <x:c r="K183" s="23">
        <x:v>0</x:v>
      </x:c>
      <x:c r="L183" s="23" t="s">
        <x:v>207</x:v>
      </x:c>
      <x:c r="M183" s="23">
        <x:f t="shared" si="2"/>
        <x:v>614</x:v>
      </x:c>
      <x:c r="N183" s="24" t="str">
        <x:f t="array" ref="N183">INDEX('MATCH INFO'!O:O, INT((ROW()-2)/10)+2)</x:f>
        <x:v>260606_ROZE_FLC_S2</x:v>
      </x:c>
    </x:row>
    <x:row r="184">
      <x:c r="A184" s="23" t="s">
        <x:v>22</x:v>
      </x:c>
      <x:c r="B184" s="23" t="s">
        <x:v>26</x:v>
      </x:c>
      <x:c r="C184" s="23" t="s">
        <x:v>11</x:v>
      </x:c>
      <x:c r="D184" s="23" t="s">
        <x:v>110</x:v>
      </x:c>
      <x:c r="E184" s="23" t="s">
        <x:v>186</x:v>
      </x:c>
      <x:c r="F184" s="23">
        <x:v>18</x:v>
      </x:c>
      <x:c r="G184" s="23">
        <x:v>11</x:v>
      </x:c>
      <x:c r="H184" s="23">
        <x:v>0</x:v>
      </x:c>
      <x:c r="I184" s="23">
        <x:v>10055</x:v>
      </x:c>
      <x:c r="J184" s="23">
        <x:v>0</x:v>
      </x:c>
      <x:c r="K184" s="23">
        <x:v>0</x:v>
      </x:c>
      <x:c r="L184" s="23" t="s">
        <x:v>207</x:v>
      </x:c>
      <x:c r="M184" s="23">
        <x:f t="shared" si="2"/>
        <x:v>614</x:v>
      </x:c>
      <x:c r="N184" s="24" t="str">
        <x:f t="array" ref="N184">INDEX('MATCH INFO'!O:O, INT((ROW()-2)/10)+2)</x:f>
        <x:v>260606_ROZE_FLC_S2</x:v>
      </x:c>
    </x:row>
    <x:row r="185">
      <x:c r="A185" s="23" t="s">
        <x:v>22</x:v>
      </x:c>
      <x:c r="B185" s="23" t="s">
        <x:v>28</x:v>
      </x:c>
      <x:c r="C185" s="23" t="s">
        <x:v>16</x:v>
      </x:c>
      <x:c r="D185" s="23" t="s">
        <x:v>110</x:v>
      </x:c>
      <x:c r="E185" s="23" t="s">
        <x:v>186</x:v>
      </x:c>
      <x:c r="F185" s="23">
        <x:v>20</x:v>
      </x:c>
      <x:c r="G185" s="23">
        <x:v>7</x:v>
      </x:c>
      <x:c r="H185" s="23">
        <x:v>22</x:v>
      </x:c>
      <x:c r="I185" s="23">
        <x:v>4767</x:v>
      </x:c>
      <x:c r="J185" s="23">
        <x:v>9125</x:v>
      </x:c>
      <x:c r="K185" s="23">
        <x:v>2905</x:v>
      </x:c>
      <x:c r="L185" s="23" t="s">
        <x:v>207</x:v>
      </x:c>
      <x:c r="M185" s="23">
        <x:f t="shared" si="2"/>
        <x:v>614</x:v>
      </x:c>
      <x:c r="N185" s="24" t="str">
        <x:f t="array" ref="N185">INDEX('MATCH INFO'!O:O, INT((ROW()-2)/10)+2)</x:f>
        <x:v>260606_ROZE_FLC_S2</x:v>
      </x:c>
    </x:row>
    <x:row r="186">
      <x:c r="A186" s="23" t="s">
        <x:v>22</x:v>
      </x:c>
      <x:c r="B186" s="23" t="s">
        <x:v>23</x:v>
      </x:c>
      <x:c r="C186" s="23" t="s">
        <x:v>8</x:v>
      </x:c>
      <x:c r="D186" s="23" t="s">
        <x:v>110</x:v>
      </x:c>
      <x:c r="E186" s="23" t="s">
        <x:v>186</x:v>
      </x:c>
      <x:c r="F186" s="23">
        <x:v>22</x:v>
      </x:c>
      <x:c r="G186" s="23">
        <x:v>8</x:v>
      </x:c>
      <x:c r="H186" s="23">
        <x:v>15</x:v>
      </x:c>
      <x:c r="I186" s="23">
        <x:v>10204</x:v>
      </x:c>
      <x:c r="J186" s="23">
        <x:v>3136</x:v>
      </x:c>
      <x:c r="K186" s="23">
        <x:v>6861</x:v>
      </x:c>
      <x:c r="L186" s="23" t="s">
        <x:v>207</x:v>
      </x:c>
      <x:c r="M186" s="23">
        <x:f t="shared" si="2"/>
        <x:v>614</x:v>
      </x:c>
      <x:c r="N186" s="24" t="str">
        <x:f t="array" ref="N186">INDEX('MATCH INFO'!O:O, INT((ROW()-2)/10)+2)</x:f>
        <x:v>260606_ROZE_FLC_S2</x:v>
      </x:c>
    </x:row>
    <x:row r="187">
      <x:c r="A187" s="23" t="s">
        <x:v>72</x:v>
      </x:c>
      <x:c r="B187" s="23" t="s">
        <x:v>78</x:v>
      </x:c>
      <x:c r="C187" s="23" t="s">
        <x:v>16</x:v>
      </x:c>
      <x:c r="D187" s="23" t="s">
        <x:v>110</x:v>
      </x:c>
      <x:c r="E187" s="23" t="s">
        <x:v>186</x:v>
      </x:c>
      <x:c r="F187" s="23">
        <x:v>28</x:v>
      </x:c>
      <x:c r="G187" s="23">
        <x:v>6</x:v>
      </x:c>
      <x:c r="H187" s="23">
        <x:v>27</x:v>
      </x:c>
      <x:c r="I187" s="23">
        <x:v>4643</x:v>
      </x:c>
      <x:c r="J187" s="23">
        <x:v>9155</x:v>
      </x:c>
      <x:c r="K187" s="23">
        <x:v>0</x:v>
      </x:c>
      <x:c r="L187" s="23" t="s">
        <x:v>207</x:v>
      </x:c>
      <x:c r="M187" s="23">
        <x:f t="shared" si="2"/>
        <x:v>614</x:v>
      </x:c>
      <x:c r="N187" s="24" t="str">
        <x:f t="array" ref="N187">INDEX('MATCH INFO'!O:O, INT((ROW()-2)/10)+2)</x:f>
        <x:v>260606_ROZE_FLC_S2</x:v>
      </x:c>
    </x:row>
    <x:row r="188">
      <x:c r="A188" s="23" t="s">
        <x:v>72</x:v>
      </x:c>
      <x:c r="B188" s="23" t="s">
        <x:v>79</x:v>
      </x:c>
      <x:c r="C188" s="23" t="s">
        <x:v>16</x:v>
      </x:c>
      <x:c r="D188" s="23" t="s">
        <x:v>110</x:v>
      </x:c>
      <x:c r="E188" s="23" t="s">
        <x:v>186</x:v>
      </x:c>
      <x:c r="F188" s="23">
        <x:v>19</x:v>
      </x:c>
      <x:c r="G188" s="23">
        <x:v>8</x:v>
      </x:c>
      <x:c r="H188" s="23">
        <x:v>28</x:v>
      </x:c>
      <x:c r="I188" s="23">
        <x:v>5372</x:v>
      </x:c>
      <x:c r="J188" s="23">
        <x:v>7412</x:v>
      </x:c>
      <x:c r="K188" s="23">
        <x:v>2924</x:v>
      </x:c>
      <x:c r="L188" s="23" t="s">
        <x:v>207</x:v>
      </x:c>
      <x:c r="M188" s="23">
        <x:f t="shared" si="2"/>
        <x:v>614</x:v>
      </x:c>
      <x:c r="N188" s="24" t="str">
        <x:f t="array" ref="N188">INDEX('MATCH INFO'!O:O, INT((ROW()-2)/10)+2)</x:f>
        <x:v>260606_ROZE_FLC_S2</x:v>
      </x:c>
    </x:row>
    <x:row r="189">
      <x:c r="A189" s="23" t="s">
        <x:v>72</x:v>
      </x:c>
      <x:c r="B189" s="23" t="s">
        <x:v>74</x:v>
      </x:c>
      <x:c r="C189" s="23" t="s">
        <x:v>8</x:v>
      </x:c>
      <x:c r="D189" s="23" t="s">
        <x:v>110</x:v>
      </x:c>
      <x:c r="E189" s="23" t="s">
        <x:v>186</x:v>
      </x:c>
      <x:c r="F189" s="23">
        <x:v>28</x:v>
      </x:c>
      <x:c r="G189" s="23">
        <x:v>6</x:v>
      </x:c>
      <x:c r="H189" s="23">
        <x:v>18</x:v>
      </x:c>
      <x:c r="I189" s="23">
        <x:v>12919</x:v>
      </x:c>
      <x:c r="J189" s="23">
        <x:v>3612</x:v>
      </x:c>
      <x:c r="K189" s="23">
        <x:v>8905</x:v>
      </x:c>
      <x:c r="L189" s="23" t="s">
        <x:v>207</x:v>
      </x:c>
      <x:c r="M189" s="23">
        <x:f t="shared" si="2"/>
        <x:v>614</x:v>
      </x:c>
      <x:c r="N189" s="24" t="str">
        <x:f t="array" ref="N189">INDEX('MATCH INFO'!O:O, INT((ROW()-2)/10)+2)</x:f>
        <x:v>260606_ROZE_FLC_S2</x:v>
      </x:c>
    </x:row>
    <x:row r="190">
      <x:c r="A190" s="23" t="s">
        <x:v>72</x:v>
      </x:c>
      <x:c r="B190" s="23" t="s">
        <x:v>77</x:v>
      </x:c>
      <x:c r="C190" s="23" t="s">
        <x:v>11</x:v>
      </x:c>
      <x:c r="D190" s="23" t="s">
        <x:v>110</x:v>
      </x:c>
      <x:c r="E190" s="23" t="s">
        <x:v>186</x:v>
      </x:c>
      <x:c r="F190" s="23">
        <x:v>27</x:v>
      </x:c>
      <x:c r="G190" s="23">
        <x:v>7</x:v>
      </x:c>
      <x:c r="H190" s="23">
        <x:v>0</x:v>
      </x:c>
      <x:c r="I190" s="23">
        <x:v>13965</x:v>
      </x:c>
      <x:c r="J190" s="23">
        <x:v>0</x:v>
      </x:c>
      <x:c r="K190" s="23">
        <x:v>0</x:v>
      </x:c>
      <x:c r="L190" s="23" t="s">
        <x:v>207</x:v>
      </x:c>
      <x:c r="M190" s="23">
        <x:f t="shared" si="2"/>
        <x:v>614</x:v>
      </x:c>
      <x:c r="N190" s="24" t="str">
        <x:f t="array" ref="N190">INDEX('MATCH INFO'!O:O, INT((ROW()-2)/10)+2)</x:f>
        <x:v>260606_ROZE_FLC_S2</x:v>
      </x:c>
    </x:row>
    <x:row r="191">
      <x:c r="A191" s="23" t="s">
        <x:v>72</x:v>
      </x:c>
      <x:c r="B191" s="23" t="s">
        <x:v>75</x:v>
      </x:c>
      <x:c r="C191" s="23" t="s">
        <x:v>11</x:v>
      </x:c>
      <x:c r="D191" s="23" t="s">
        <x:v>110</x:v>
      </x:c>
      <x:c r="E191" s="23" t="s">
        <x:v>186</x:v>
      </x:c>
      <x:c r="F191" s="23">
        <x:v>26</x:v>
      </x:c>
      <x:c r="G191" s="23">
        <x:v>8</x:v>
      </x:c>
      <x:c r="H191" s="23">
        <x:v>0</x:v>
      </x:c>
      <x:c r="I191" s="23">
        <x:v>11931</x:v>
      </x:c>
      <x:c r="J191" s="23">
        <x:v>1649</x:v>
      </x:c>
      <x:c r="K191" s="23">
        <x:v>0</x:v>
      </x:c>
      <x:c r="L191" s="23" t="s">
        <x:v>207</x:v>
      </x:c>
      <x:c r="M191" s="23">
        <x:f t="shared" si="2"/>
        <x:v>614</x:v>
      </x:c>
      <x:c r="N191" s="24" t="str">
        <x:f t="array" ref="N191">INDEX('MATCH INFO'!O:O, INT((ROW()-2)/10)+2)</x:f>
        <x:v>260606_ROZE_FLC_S2</x:v>
      </x:c>
    </x:row>
    <x:row r="192">
      <x:c r="A192" s="23" t="s">
        <x:v>72</x:v>
      </x:c>
      <x:c r="B192" s="23" t="s">
        <x:v>76</x:v>
      </x:c>
      <x:c r="C192" s="23" t="s">
        <x:v>11</x:v>
      </x:c>
      <x:c r="D192" s="23" t="s">
        <x:v>113</x:v>
      </x:c>
      <x:c r="E192" s="23" t="s">
        <x:v>188</x:v>
      </x:c>
      <x:c r="F192" s="23">
        <x:v>18</x:v>
      </x:c>
      <x:c r="G192" s="23">
        <x:v>5</x:v>
      </x:c>
      <x:c r="H192" s="23">
        <x:v>4</x:v>
      </x:c>
      <x:c r="I192" s="23">
        <x:v>8792</x:v>
      </x:c>
      <x:c r="J192" s="23">
        <x:v>1168</x:v>
      </x:c>
      <x:c r="K192" s="23">
        <x:v>5411</x:v>
      </x:c>
      <x:c r="L192" s="23" t="s">
        <x:v>208</x:v>
      </x:c>
      <x:c r="M192" s="23">
        <x:f t="shared" si="2"/>
        <x:v>623</x:v>
      </x:c>
      <x:c r="N192" s="24" t="str">
        <x:f t="array" ref="N192">INDEX('MATCH INFO'!O:O, INT((ROW()-2)/10)+2)</x:f>
        <x:v>260606_ROZE_FLC_S3</x:v>
      </x:c>
    </x:row>
    <x:row r="193">
      <x:c r="A193" s="23" t="s">
        <x:v>72</x:v>
      </x:c>
      <x:c r="B193" s="23" t="s">
        <x:v>78</x:v>
      </x:c>
      <x:c r="C193" s="23" t="s">
        <x:v>16</x:v>
      </x:c>
      <x:c r="D193" s="23" t="s">
        <x:v>113</x:v>
      </x:c>
      <x:c r="E193" s="23" t="s">
        <x:v>188</x:v>
      </x:c>
      <x:c r="F193" s="23">
        <x:v>23</x:v>
      </x:c>
      <x:c r="G193" s="23">
        <x:v>6</x:v>
      </x:c>
      <x:c r="H193" s="23">
        <x:v>24</x:v>
      </x:c>
      <x:c r="I193" s="23">
        <x:v>4940</x:v>
      </x:c>
      <x:c r="J193" s="23">
        <x:v>7881</x:v>
      </x:c>
      <x:c r="K193" s="23">
        <x:v>1987</x:v>
      </x:c>
      <x:c r="L193" s="23" t="s">
        <x:v>208</x:v>
      </x:c>
      <x:c r="M193" s="23">
        <x:f t="shared" si="2"/>
        <x:v>623</x:v>
      </x:c>
      <x:c r="N193" s="24" t="str">
        <x:f t="array" ref="N193">INDEX('MATCH INFO'!O:O, INT((ROW()-2)/10)+2)</x:f>
        <x:v>260606_ROZE_FLC_S3</x:v>
      </x:c>
    </x:row>
    <x:row r="194">
      <x:c r="A194" s="23" t="s">
        <x:v>72</x:v>
      </x:c>
      <x:c r="B194" s="23" t="s">
        <x:v>79</x:v>
      </x:c>
      <x:c r="C194" s="23" t="s">
        <x:v>16</x:v>
      </x:c>
      <x:c r="D194" s="23" t="s">
        <x:v>113</x:v>
      </x:c>
      <x:c r="E194" s="23" t="s">
        <x:v>188</x:v>
      </x:c>
      <x:c r="F194" s="23">
        <x:v>17</x:v>
      </x:c>
      <x:c r="G194" s="23">
        <x:v>6</x:v>
      </x:c>
      <x:c r="H194" s="23">
        <x:v>33</x:v>
      </x:c>
      <x:c r="I194" s="23">
        <x:v>4097</x:v>
      </x:c>
      <x:c r="J194" s="23">
        <x:v>14796</x:v>
      </x:c>
      <x:c r="K194" s="23">
        <x:v>0</x:v>
      </x:c>
      <x:c r="L194" s="23" t="s">
        <x:v>208</x:v>
      </x:c>
      <x:c r="M194" s="23" t="e">
        <x:f t="shared" ref="M194:M257" si="3">L194*86400</x:f>
        <x:v>#VALUE!</x:v>
      </x:c>
      <x:c r="N194" s="24" t="str">
        <x:f t="array" ref="N194">INDEX('MATCH INFO'!O:O, INT((ROW()-2)/10)+2)</x:f>
        <x:v>260606_ROZE_FLC_S3</x:v>
      </x:c>
    </x:row>
    <x:row r="195">
      <x:c r="A195" s="23" t="s">
        <x:v>72</x:v>
      </x:c>
      <x:c r="B195" s="23" t="s">
        <x:v>77</x:v>
      </x:c>
      <x:c r="C195" s="23" t="s">
        <x:v>11</x:v>
      </x:c>
      <x:c r="D195" s="23" t="s">
        <x:v>113</x:v>
      </x:c>
      <x:c r="E195" s="23" t="s">
        <x:v>188</x:v>
      </x:c>
      <x:c r="F195" s="23">
        <x:v>27</x:v>
      </x:c>
      <x:c r="G195" s="23">
        <x:v>6</x:v>
      </x:c>
      <x:c r="H195" s="23">
        <x:v>1</x:v>
      </x:c>
      <x:c r="I195" s="23">
        <x:v>11304</x:v>
      </x:c>
      <x:c r="J195" s="23">
        <x:v>0</x:v>
      </x:c>
      <x:c r="K195" s="23">
        <x:v>256</x:v>
      </x:c>
      <x:c r="L195" s="23" t="s">
        <x:v>208</x:v>
      </x:c>
      <x:c r="M195" s="23">
        <x:f t="shared" si="3"/>
        <x:v>623</x:v>
      </x:c>
      <x:c r="N195" s="24" t="str">
        <x:f t="array" ref="N195">INDEX('MATCH INFO'!O:O, INT((ROW()-2)/10)+2)</x:f>
        <x:v>260606_ROZE_FLC_S3</x:v>
      </x:c>
    </x:row>
    <x:row r="196">
      <x:c r="A196" s="23" t="s">
        <x:v>72</x:v>
      </x:c>
      <x:c r="B196" s="23" t="s">
        <x:v>73</x:v>
      </x:c>
      <x:c r="C196" s="23" t="s">
        <x:v>8</x:v>
      </x:c>
      <x:c r="D196" s="23" t="s">
        <x:v>113</x:v>
      </x:c>
      <x:c r="E196" s="23" t="s">
        <x:v>188</x:v>
      </x:c>
      <x:c r="F196" s="23">
        <x:v>35</x:v>
      </x:c>
      <x:c r="G196" s="23">
        <x:v>4</x:v>
      </x:c>
      <x:c r="H196" s="23">
        <x:v>5</x:v>
      </x:c>
      <x:c r="I196" s="23">
        <x:v>15211</x:v>
      </x:c>
      <x:c r="J196" s="23">
        <x:v>275</x:v>
      </x:c>
      <x:c r="K196" s="23">
        <x:v>18968</x:v>
      </x:c>
      <x:c r="L196" s="23" t="s">
        <x:v>208</x:v>
      </x:c>
      <x:c r="M196" s="23">
        <x:f t="shared" si="3"/>
        <x:v>623</x:v>
      </x:c>
      <x:c r="N196" s="24" t="str">
        <x:f t="array" ref="N196">INDEX('MATCH INFO'!O:O, INT((ROW()-2)/10)+2)</x:f>
        <x:v>260606_ROZE_FLC_S3</x:v>
      </x:c>
    </x:row>
    <x:row r="197">
      <x:c r="A197" s="23" t="s">
        <x:v>22</x:v>
      </x:c>
      <x:c r="B197" s="23" t="s">
        <x:v>25</x:v>
      </x:c>
      <x:c r="C197" s="23" t="s">
        <x:v>11</x:v>
      </x:c>
      <x:c r="D197" s="23" t="s">
        <x:v>113</x:v>
      </x:c>
      <x:c r="E197" s="23" t="s">
        <x:v>188</x:v>
      </x:c>
      <x:c r="F197" s="23">
        <x:v>18</x:v>
      </x:c>
      <x:c r="G197" s="23">
        <x:v>9</x:v>
      </x:c>
      <x:c r="H197" s="23">
        <x:v>4</x:v>
      </x:c>
      <x:c r="I197" s="23">
        <x:v>9317</x:v>
      </x:c>
      <x:c r="J197" s="23">
        <x:v>1152</x:v>
      </x:c>
      <x:c r="K197" s="23">
        <x:v>7544</x:v>
      </x:c>
      <x:c r="L197" s="23" t="s">
        <x:v>208</x:v>
      </x:c>
      <x:c r="M197" s="23">
        <x:f t="shared" si="3"/>
        <x:v>623</x:v>
      </x:c>
      <x:c r="N197" s="24" t="str">
        <x:f t="array" ref="N197">INDEX('MATCH INFO'!O:O, INT((ROW()-2)/10)+2)</x:f>
        <x:v>260606_ROZE_FLC_S3</x:v>
      </x:c>
    </x:row>
    <x:row r="198">
      <x:c r="A198" s="23" t="s">
        <x:v>22</x:v>
      </x:c>
      <x:c r="B198" s="23" t="s">
        <x:v>29</x:v>
      </x:c>
      <x:c r="C198" s="23" t="s">
        <x:v>16</x:v>
      </x:c>
      <x:c r="D198" s="23" t="s">
        <x:v>113</x:v>
      </x:c>
      <x:c r="E198" s="23" t="s">
        <x:v>188</x:v>
      </x:c>
      <x:c r="F198" s="23">
        <x:v>9</x:v>
      </x:c>
      <x:c r="G198" s="23">
        <x:v>9</x:v>
      </x:c>
      <x:c r="H198" s="23">
        <x:v>21</x:v>
      </x:c>
      <x:c r="I198" s="23">
        <x:v>5210</x:v>
      </x:c>
      <x:c r="J198" s="23">
        <x:v>12473</x:v>
      </x:c>
      <x:c r="K198" s="23">
        <x:v>0</x:v>
      </x:c>
      <x:c r="L198" s="23" t="s">
        <x:v>208</x:v>
      </x:c>
      <x:c r="M198" s="23">
        <x:f t="shared" si="3"/>
        <x:v>623</x:v>
      </x:c>
      <x:c r="N198" s="24" t="str">
        <x:f t="array" ref="N198">INDEX('MATCH INFO'!O:O, INT((ROW()-2)/10)+2)</x:f>
        <x:v>260606_ROZE_FLC_S3</x:v>
      </x:c>
    </x:row>
    <x:row r="199">
      <x:c r="A199" s="23" t="s">
        <x:v>22</x:v>
      </x:c>
      <x:c r="B199" s="23" t="s">
        <x:v>26</x:v>
      </x:c>
      <x:c r="C199" s="23" t="s">
        <x:v>11</x:v>
      </x:c>
      <x:c r="D199" s="23" t="s">
        <x:v>113</x:v>
      </x:c>
      <x:c r="E199" s="23" t="s">
        <x:v>188</x:v>
      </x:c>
      <x:c r="F199" s="23">
        <x:v>17</x:v>
      </x:c>
      <x:c r="G199" s="23">
        <x:v>9</x:v>
      </x:c>
      <x:c r="H199" s="23">
        <x:v>1</x:v>
      </x:c>
      <x:c r="I199" s="23">
        <x:v>11815</x:v>
      </x:c>
      <x:c r="J199" s="23">
        <x:v>0</x:v>
      </x:c>
      <x:c r="K199" s="23">
        <x:v>593</x:v>
      </x:c>
      <x:c r="L199" s="23" t="s">
        <x:v>208</x:v>
      </x:c>
      <x:c r="M199" s="23">
        <x:f t="shared" si="3"/>
        <x:v>623</x:v>
      </x:c>
      <x:c r="N199" s="24" t="str">
        <x:f t="array" ref="N199">INDEX('MATCH INFO'!O:O, INT((ROW()-2)/10)+2)</x:f>
        <x:v>260606_ROZE_FLC_S3</x:v>
      </x:c>
    </x:row>
    <x:row r="200">
      <x:c r="A200" s="23" t="s">
        <x:v>22</x:v>
      </x:c>
      <x:c r="B200" s="23" t="s">
        <x:v>28</x:v>
      </x:c>
      <x:c r="C200" s="23" t="s">
        <x:v>16</x:v>
      </x:c>
      <x:c r="D200" s="23" t="s">
        <x:v>113</x:v>
      </x:c>
      <x:c r="E200" s="23" t="s">
        <x:v>188</x:v>
      </x:c>
      <x:c r="F200" s="23">
        <x:v>9</x:v>
      </x:c>
      <x:c r="G200" s="23">
        <x:v>9</x:v>
      </x:c>
      <x:c r="H200" s="23">
        <x:v>16</x:v>
      </x:c>
      <x:c r="I200" s="23">
        <x:v>4278</x:v>
      </x:c>
      <x:c r="J200" s="23">
        <x:v>9391</x:v>
      </x:c>
      <x:c r="K200" s="23">
        <x:v>3125</x:v>
      </x:c>
      <x:c r="L200" s="23" t="s">
        <x:v>208</x:v>
      </x:c>
      <x:c r="M200" s="23">
        <x:f t="shared" si="3"/>
        <x:v>623</x:v>
      </x:c>
      <x:c r="N200" s="24" t="str">
        <x:f t="array" ref="N200">INDEX('MATCH INFO'!O:O, INT((ROW()-2)/10)+2)</x:f>
        <x:v>260606_ROZE_FLC_S3</x:v>
      </x:c>
    </x:row>
    <x:row r="201">
      <x:c r="A201" s="23" t="s">
        <x:v>22</x:v>
      </x:c>
      <x:c r="B201" s="23" t="s">
        <x:v>23</x:v>
      </x:c>
      <x:c r="C201" s="23" t="s">
        <x:v>8</x:v>
      </x:c>
      <x:c r="D201" s="23" t="s">
        <x:v>113</x:v>
      </x:c>
      <x:c r="E201" s="23" t="s">
        <x:v>188</x:v>
      </x:c>
      <x:c r="F201" s="23">
        <x:v>19</x:v>
      </x:c>
      <x:c r="G201" s="23">
        <x:v>8</x:v>
      </x:c>
      <x:c r="H201" s="23">
        <x:v>5</x:v>
      </x:c>
      <x:c r="I201" s="23">
        <x:v>9900</x:v>
      </x:c>
      <x:c r="J201" s="23">
        <x:v>517</x:v>
      </x:c>
      <x:c r="K201" s="23">
        <x:v>19646</x:v>
      </x:c>
      <x:c r="L201" s="23" t="s">
        <x:v>208</x:v>
      </x:c>
      <x:c r="M201" s="23">
        <x:f t="shared" si="3"/>
        <x:v>623</x:v>
      </x:c>
      <x:c r="N201" s="24" t="str">
        <x:f t="array" ref="N201">INDEX('MATCH INFO'!O:O, INT((ROW()-2)/10)+2)</x:f>
        <x:v>260606_ROZE_FLC_S3</x:v>
      </x:c>
    </x:row>
    <x:row r="202">
      <x:c r="A202" s="23" t="s">
        <x:v>81</x:v>
      </x:c>
      <x:c r="B202" s="23" t="s">
        <x:v>84</x:v>
      </x:c>
      <x:c r="C202" s="23" t="s">
        <x:v>11</x:v>
      </x:c>
      <x:c r="D202" s="23" t="s">
        <x:v>131</x:v>
      </x:c>
      <x:c r="E202" s="23" t="s">
        <x:v>184</x:v>
      </x:c>
      <x:c r="F202" s="23">
        <x:v>30</x:v>
      </x:c>
      <x:c r="G202" s="23">
        <x:v>7</x:v>
      </x:c>
      <x:c r="H202" s="23">
        <x:v>0</x:v>
      </x:c>
      <x:c r="I202" s="23">
        <x:v>15314</x:v>
      </x:c>
      <x:c r="J202" s="23">
        <x:v>2185</x:v>
      </x:c>
      <x:c r="K202" s="23">
        <x:v>0</x:v>
      </x:c>
      <x:c r="L202" s="23" t="s">
        <x:v>209</x:v>
      </x:c>
      <x:c r="M202" s="23">
        <x:f t="shared" si="3"/>
        <x:v>831</x:v>
      </x:c>
      <x:c r="N202" s="24" t="str">
        <x:f t="array" ref="N202">INDEX('MATCH INFO'!O:O, INT((ROW()-2)/10)+2)</x:f>
        <x:v>260607_SB_O2_S1</x:v>
      </x:c>
    </x:row>
    <x:row r="203">
      <x:c r="A203" s="23" t="s">
        <x:v>81</x:v>
      </x:c>
      <x:c r="B203" s="23" t="s">
        <x:v>82</x:v>
      </x:c>
      <x:c r="C203" s="23" t="s">
        <x:v>8</x:v>
      </x:c>
      <x:c r="D203" s="23" t="s">
        <x:v>131</x:v>
      </x:c>
      <x:c r="E203" s="23" t="s">
        <x:v>184</x:v>
      </x:c>
      <x:c r="F203" s="23">
        <x:v>28</x:v>
      </x:c>
      <x:c r="G203" s="23">
        <x:v>7</x:v>
      </x:c>
      <x:c r="H203" s="23">
        <x:v>24</x:v>
      </x:c>
      <x:c r="I203" s="23">
        <x:v>20347</x:v>
      </x:c>
      <x:c r="J203" s="23">
        <x:v>5077</x:v>
      </x:c>
      <x:c r="K203" s="23">
        <x:v>7530</x:v>
      </x:c>
      <x:c r="L203" s="23" t="s">
        <x:v>209</x:v>
      </x:c>
      <x:c r="M203" s="23">
        <x:f t="shared" si="3"/>
        <x:v>831</x:v>
      </x:c>
      <x:c r="N203" s="24" t="str">
        <x:f t="array" ref="N203">INDEX('MATCH INFO'!O:O, INT((ROW()-2)/10)+2)</x:f>
        <x:v>260607_SB_O2_S1</x:v>
      </x:c>
    </x:row>
    <x:row r="204">
      <x:c r="A204" s="23" t="s">
        <x:v>81</x:v>
      </x:c>
      <x:c r="B204" s="23" t="s">
        <x:v>86</x:v>
      </x:c>
      <x:c r="C204" s="23" t="s">
        <x:v>16</x:v>
      </x:c>
      <x:c r="D204" s="23" t="s">
        <x:v>131</x:v>
      </x:c>
      <x:c r="E204" s="23" t="s">
        <x:v>184</x:v>
      </x:c>
      <x:c r="F204" s="23">
        <x:v>14</x:v>
      </x:c>
      <x:c r="G204" s="23">
        <x:v>5</x:v>
      </x:c>
      <x:c r="H204" s="23">
        <x:v>26</x:v>
      </x:c>
      <x:c r="I204" s="23">
        <x:v>2167</x:v>
      </x:c>
      <x:c r="J204" s="23">
        <x:v>9416</x:v>
      </x:c>
      <x:c r="K204" s="23">
        <x:v>0</x:v>
      </x:c>
      <x:c r="L204" s="23" t="s">
        <x:v>209</x:v>
      </x:c>
      <x:c r="M204" s="23">
        <x:f t="shared" si="3"/>
        <x:v>831</x:v>
      </x:c>
      <x:c r="N204" s="24" t="str">
        <x:f t="array" ref="N204">INDEX('MATCH INFO'!O:O, INT((ROW()-2)/10)+2)</x:f>
        <x:v>260607_SB_O2_S1</x:v>
      </x:c>
    </x:row>
    <x:row r="205">
      <x:c r="A205" s="23" t="s">
        <x:v>81</x:v>
      </x:c>
      <x:c r="B205" s="23" t="s">
        <x:v>85</x:v>
      </x:c>
      <x:c r="C205" s="23" t="s">
        <x:v>11</x:v>
      </x:c>
      <x:c r="D205" s="23" t="s">
        <x:v>131</x:v>
      </x:c>
      <x:c r="E205" s="23" t="s">
        <x:v>184</x:v>
      </x:c>
      <x:c r="F205" s="23">
        <x:v>25</x:v>
      </x:c>
      <x:c r="G205" s="23">
        <x:v>9</x:v>
      </x:c>
      <x:c r="H205" s="23">
        <x:v>2</x:v>
      </x:c>
      <x:c r="I205" s="23">
        <x:v>17069</x:v>
      </x:c>
      <x:c r="J205" s="23">
        <x:v>354</x:v>
      </x:c>
      <x:c r="K205" s="23">
        <x:v>2435</x:v>
      </x:c>
      <x:c r="L205" s="23" t="s">
        <x:v>209</x:v>
      </x:c>
      <x:c r="M205" s="23">
        <x:f t="shared" si="3"/>
        <x:v>831</x:v>
      </x:c>
      <x:c r="N205" s="24" t="str">
        <x:f t="array" ref="N205">INDEX('MATCH INFO'!O:O, INT((ROW()-2)/10)+2)</x:f>
        <x:v>260607_SB_O2_S1</x:v>
      </x:c>
    </x:row>
    <x:row r="206">
      <x:c r="A206" s="23" t="s">
        <x:v>81</x:v>
      </x:c>
      <x:c r="B206" s="23" t="s">
        <x:v>88</x:v>
      </x:c>
      <x:c r="C206" s="23" t="s">
        <x:v>16</x:v>
      </x:c>
      <x:c r="D206" s="23" t="s">
        <x:v>131</x:v>
      </x:c>
      <x:c r="E206" s="23" t="s">
        <x:v>184</x:v>
      </x:c>
      <x:c r="F206" s="23">
        <x:v>25</x:v>
      </x:c>
      <x:c r="G206" s="23">
        <x:v>6</x:v>
      </x:c>
      <x:c r="H206" s="23">
        <x:v>25</x:v>
      </x:c>
      <x:c r="I206" s="23">
        <x:v>6593</x:v>
      </x:c>
      <x:c r="J206" s="23">
        <x:v>19597</x:v>
      </x:c>
      <x:c r="K206" s="23">
        <x:v>0</x:v>
      </x:c>
      <x:c r="L206" s="23" t="s">
        <x:v>209</x:v>
      </x:c>
      <x:c r="M206" s="23">
        <x:f t="shared" si="3"/>
        <x:v>831</x:v>
      </x:c>
      <x:c r="N206" s="24" t="str">
        <x:f t="array" ref="N206">INDEX('MATCH INFO'!O:O, INT((ROW()-2)/10)+2)</x:f>
        <x:v>260607_SB_O2_S1</x:v>
      </x:c>
    </x:row>
    <x:row r="207">
      <x:c r="A207" s="23" t="s">
        <x:v>6</x:v>
      </x:c>
      <x:c r="B207" s="23" t="s">
        <x:v>15</x:v>
      </x:c>
      <x:c r="C207" s="23" t="s">
        <x:v>16</x:v>
      </x:c>
      <x:c r="D207" s="23" t="s">
        <x:v>131</x:v>
      </x:c>
      <x:c r="E207" s="23" t="s">
        <x:v>184</x:v>
      </x:c>
      <x:c r="F207" s="23">
        <x:v>15</x:v>
      </x:c>
      <x:c r="G207" s="23">
        <x:v>4</x:v>
      </x:c>
      <x:c r="H207" s="23">
        <x:v>21</x:v>
      </x:c>
      <x:c r="I207" s="23">
        <x:v>3218</x:v>
      </x:c>
      <x:c r="J207" s="23">
        <x:v>10102</x:v>
      </x:c>
      <x:c r="K207" s="23">
        <x:v>0</x:v>
      </x:c>
      <x:c r="L207" s="23" t="s">
        <x:v>209</x:v>
      </x:c>
      <x:c r="M207" s="23">
        <x:f t="shared" si="3"/>
        <x:v>831</x:v>
      </x:c>
      <x:c r="N207" s="24" t="str">
        <x:f t="array" ref="N207">INDEX('MATCH INFO'!O:O, INT((ROW()-2)/10)+2)</x:f>
        <x:v>260607_SB_O2_S1</x:v>
      </x:c>
    </x:row>
    <x:row r="208">
      <x:c r="A208" s="23" t="s">
        <x:v>6</x:v>
      </x:c>
      <x:c r="B208" s="23" t="s">
        <x:v>7</x:v>
      </x:c>
      <x:c r="C208" s="23" t="s">
        <x:v>8</x:v>
      </x:c>
      <x:c r="D208" s="23" t="s">
        <x:v>131</x:v>
      </x:c>
      <x:c r="E208" s="23" t="s">
        <x:v>184</x:v>
      </x:c>
      <x:c r="F208" s="23">
        <x:v>23</x:v>
      </x:c>
      <x:c r="G208" s="23">
        <x:v>10</x:v>
      </x:c>
      <x:c r="H208" s="23">
        <x:v>16</x:v>
      </x:c>
      <x:c r="I208" s="23">
        <x:v>17882</x:v>
      </x:c>
      <x:c r="J208" s="23">
        <x:v>4039</x:v>
      </x:c>
      <x:c r="K208" s="23">
        <x:v>9939</x:v>
      </x:c>
      <x:c r="L208" s="23" t="s">
        <x:v>209</x:v>
      </x:c>
      <x:c r="M208" s="23">
        <x:f t="shared" si="3"/>
        <x:v>831</x:v>
      </x:c>
      <x:c r="N208" s="24" t="str">
        <x:f t="array" ref="N208">INDEX('MATCH INFO'!O:O, INT((ROW()-2)/10)+2)</x:f>
        <x:v>260607_SB_O2_S1</x:v>
      </x:c>
    </x:row>
    <x:row r="209">
      <x:c r="A209" s="23" t="s">
        <x:v>6</x:v>
      </x:c>
      <x:c r="B209" s="23" t="s">
        <x:v>18</x:v>
      </x:c>
      <x:c r="C209" s="23" t="s">
        <x:v>16</x:v>
      </x:c>
      <x:c r="D209" s="23" t="s">
        <x:v>131</x:v>
      </x:c>
      <x:c r="E209" s="23" t="s">
        <x:v>184</x:v>
      </x:c>
      <x:c r="F209" s="23">
        <x:v>18</x:v>
      </x:c>
      <x:c r="G209" s="23">
        <x:v>5</x:v>
      </x:c>
      <x:c r="H209" s="23">
        <x:v>25</x:v>
      </x:c>
      <x:c r="I209" s="23">
        <x:v>6524</x:v>
      </x:c>
      <x:c r="J209" s="23">
        <x:v>18182</x:v>
      </x:c>
      <x:c r="K209" s="23">
        <x:v>0</x:v>
      </x:c>
      <x:c r="L209" s="23" t="s">
        <x:v>209</x:v>
      </x:c>
      <x:c r="M209" s="23">
        <x:f t="shared" si="3"/>
        <x:v>831</x:v>
      </x:c>
      <x:c r="N209" s="24" t="str">
        <x:f t="array" ref="N209">INDEX('MATCH INFO'!O:O, INT((ROW()-2)/10)+2)</x:f>
        <x:v>260607_SB_O2_S1</x:v>
      </x:c>
    </x:row>
    <x:row r="210">
      <x:c r="A210" s="23" t="s">
        <x:v>6</x:v>
      </x:c>
      <x:c r="B210" s="23" t="s">
        <x:v>13</x:v>
      </x:c>
      <x:c r="C210" s="23" t="s">
        <x:v>11</x:v>
      </x:c>
      <x:c r="D210" s="23" t="s">
        <x:v>131</x:v>
      </x:c>
      <x:c r="E210" s="23" t="s">
        <x:v>184</x:v>
      </x:c>
      <x:c r="F210" s="23">
        <x:v>25</x:v>
      </x:c>
      <x:c r="G210" s="23">
        <x:v>8</x:v>
      </x:c>
      <x:c r="H210" s="23">
        <x:v>4</x:v>
      </x:c>
      <x:c r="I210" s="23">
        <x:v>17270</x:v>
      </x:c>
      <x:c r="J210" s="23">
        <x:v>836</x:v>
      </x:c>
      <x:c r="K210" s="23">
        <x:v>2041</x:v>
      </x:c>
      <x:c r="L210" s="23" t="s">
        <x:v>209</x:v>
      </x:c>
      <x:c r="M210" s="23">
        <x:f t="shared" si="3"/>
        <x:v>831</x:v>
      </x:c>
      <x:c r="N210" s="24" t="str">
        <x:f t="array" ref="N210">INDEX('MATCH INFO'!O:O, INT((ROW()-2)/10)+2)</x:f>
        <x:v>260607_SB_O2_S1</x:v>
      </x:c>
    </x:row>
    <x:row r="211">
      <x:c r="A211" s="23" t="s">
        <x:v>6</x:v>
      </x:c>
      <x:c r="B211" s="23" t="s">
        <x:v>10</x:v>
      </x:c>
      <x:c r="C211" s="23" t="s">
        <x:v>11</x:v>
      </x:c>
      <x:c r="D211" s="23" t="s">
        <x:v>131</x:v>
      </x:c>
      <x:c r="E211" s="23" t="s">
        <x:v>184</x:v>
      </x:c>
      <x:c r="F211" s="23">
        <x:v>29</x:v>
      </x:c>
      <x:c r="G211" s="23">
        <x:v>8</x:v>
      </x:c>
      <x:c r="H211" s="23">
        <x:v>0</x:v>
      </x:c>
      <x:c r="I211" s="23">
        <x:v>16810</x:v>
      </x:c>
      <x:c r="J211" s="23">
        <x:v>2477</x:v>
      </x:c>
      <x:c r="K211" s="23">
        <x:v>0</x:v>
      </x:c>
      <x:c r="L211" s="23" t="s">
        <x:v>209</x:v>
      </x:c>
      <x:c r="M211" s="23">
        <x:f t="shared" si="3"/>
        <x:v>831</x:v>
      </x:c>
      <x:c r="N211" s="24" t="str">
        <x:f t="array" ref="N211">INDEX('MATCH INFO'!O:O, INT((ROW()-2)/10)+2)</x:f>
        <x:v>260607_SB_O2_S1</x:v>
      </x:c>
    </x:row>
    <x:row r="212">
      <x:c r="A212" s="23" t="s">
        <x:v>81</x:v>
      </x:c>
      <x:c r="B212" s="23" t="s">
        <x:v>84</x:v>
      </x:c>
      <x:c r="C212" s="23" t="s">
        <x:v>11</x:v>
      </x:c>
      <x:c r="D212" s="23" t="s">
        <x:v>123</x:v>
      </x:c>
      <x:c r="E212" s="23" t="s">
        <x:v>195</x:v>
      </x:c>
      <x:c r="F212" s="23">
        <x:v>14</x:v>
      </x:c>
      <x:c r="G212" s="23">
        <x:v>8</x:v>
      </x:c>
      <x:c r="H212" s="23">
        <x:v>1</x:v>
      </x:c>
      <x:c r="I212" s="23">
        <x:v>8171</x:v>
      </x:c>
      <x:c r="J212" s="23">
        <x:v>76</x:v>
      </x:c>
      <x:c r="K212" s="23">
        <x:v>1243</x:v>
      </x:c>
      <x:c r="L212" s="23" t="s">
        <x:v>210</x:v>
      </x:c>
      <x:c r="M212" s="23">
        <x:f t="shared" si="3"/>
        <x:v>796.99999999999989</x:v>
      </x:c>
      <x:c r="N212" s="24" t="str">
        <x:f t="array" ref="N212">INDEX('MATCH INFO'!O:O, INT((ROW()-2)/10)+2)</x:f>
        <x:v>260607_SB_O2_S2</x:v>
      </x:c>
    </x:row>
    <x:row r="213">
      <x:c r="A213" s="23" t="s">
        <x:v>81</x:v>
      </x:c>
      <x:c r="B213" s="23" t="s">
        <x:v>87</x:v>
      </x:c>
      <x:c r="C213" s="23" t="s">
        <x:v>16</x:v>
      </x:c>
      <x:c r="D213" s="23" t="s">
        <x:v>123</x:v>
      </x:c>
      <x:c r="E213" s="23" t="s">
        <x:v>195</x:v>
      </x:c>
      <x:c r="F213" s="23">
        <x:v>4</x:v>
      </x:c>
      <x:c r="G213" s="23">
        <x:v>9</x:v>
      </x:c>
      <x:c r="H213" s="23">
        <x:v>13</x:v>
      </x:c>
      <x:c r="I213" s="23">
        <x:v>3865</x:v>
      </x:c>
      <x:c r="J213" s="23">
        <x:v>10744</x:v>
      </x:c>
      <x:c r="K213" s="23">
        <x:v>2949</x:v>
      </x:c>
      <x:c r="L213" s="23" t="s">
        <x:v>210</x:v>
      </x:c>
      <x:c r="M213" s="23">
        <x:f t="shared" si="3"/>
        <x:v>796.99999999999989</x:v>
      </x:c>
      <x:c r="N213" s="24" t="str">
        <x:f t="array" ref="N213">INDEX('MATCH INFO'!O:O, INT((ROW()-2)/10)+2)</x:f>
        <x:v>260607_SB_O2_S2</x:v>
      </x:c>
    </x:row>
    <x:row r="214">
      <x:c r="A214" s="23" t="s">
        <x:v>81</x:v>
      </x:c>
      <x:c r="B214" s="23" t="s">
        <x:v>83</x:v>
      </x:c>
      <x:c r="C214" s="23" t="s">
        <x:v>8</x:v>
      </x:c>
      <x:c r="D214" s="23" t="s">
        <x:v>123</x:v>
      </x:c>
      <x:c r="E214" s="23" t="s">
        <x:v>195</x:v>
      </x:c>
      <x:c r="F214" s="23">
        <x:v>12</x:v>
      </x:c>
      <x:c r="G214" s="23">
        <x:v>8</x:v>
      </x:c>
      <x:c r="H214" s="23">
        <x:v>4</x:v>
      </x:c>
      <x:c r="I214" s="23">
        <x:v>11613</x:v>
      </x:c>
      <x:c r="J214" s="23">
        <x:v>1508</x:v>
      </x:c>
      <x:c r="K214" s="23">
        <x:v>18682</x:v>
      </x:c>
      <x:c r="L214" s="23" t="s">
        <x:v>210</x:v>
      </x:c>
      <x:c r="M214" s="23">
        <x:f t="shared" si="3"/>
        <x:v>796.99999999999989</x:v>
      </x:c>
      <x:c r="N214" s="24" t="str">
        <x:f t="array" ref="N214">INDEX('MATCH INFO'!O:O, INT((ROW()-2)/10)+2)</x:f>
        <x:v>260607_SB_O2_S2</x:v>
      </x:c>
    </x:row>
    <x:row r="215">
      <x:c r="A215" s="23" t="s">
        <x:v>81</x:v>
      </x:c>
      <x:c r="B215" s="23" t="s">
        <x:v>85</x:v>
      </x:c>
      <x:c r="C215" s="23" t="s">
        <x:v>11</x:v>
      </x:c>
      <x:c r="D215" s="23" t="s">
        <x:v>123</x:v>
      </x:c>
      <x:c r="E215" s="23" t="s">
        <x:v>195</x:v>
      </x:c>
      <x:c r="F215" s="23">
        <x:v>11</x:v>
      </x:c>
      <x:c r="G215" s="23">
        <x:v>10</x:v>
      </x:c>
      <x:c r="H215" s="23">
        <x:v>1</x:v>
      </x:c>
      <x:c r="I215" s="23">
        <x:v>12365</x:v>
      </x:c>
      <x:c r="J215" s="23">
        <x:v>185</x:v>
      </x:c>
      <x:c r="K215" s="23">
        <x:v>458</x:v>
      </x:c>
      <x:c r="L215" s="23" t="s">
        <x:v>210</x:v>
      </x:c>
      <x:c r="M215" s="23">
        <x:f t="shared" si="3"/>
        <x:v>796.99999999999989</x:v>
      </x:c>
      <x:c r="N215" s="24" t="str">
        <x:f t="array" ref="N215">INDEX('MATCH INFO'!O:O, INT((ROW()-2)/10)+2)</x:f>
        <x:v>260607_SB_O2_S2</x:v>
      </x:c>
    </x:row>
    <x:row r="216">
      <x:c r="A216" s="23" t="s">
        <x:v>81</x:v>
      </x:c>
      <x:c r="B216" s="23" t="s">
        <x:v>88</x:v>
      </x:c>
      <x:c r="C216" s="23" t="s">
        <x:v>16</x:v>
      </x:c>
      <x:c r="D216" s="23" t="s">
        <x:v>123</x:v>
      </x:c>
      <x:c r="E216" s="23" t="s">
        <x:v>195</x:v>
      </x:c>
      <x:c r="F216" s="23">
        <x:v>6</x:v>
      </x:c>
      <x:c r="G216" s="23">
        <x:v>7</x:v>
      </x:c>
      <x:c r="H216" s="23">
        <x:v>13</x:v>
      </x:c>
      <x:c r="I216" s="23">
        <x:v>4468</x:v>
      </x:c>
      <x:c r="J216" s="23">
        <x:v>14632</x:v>
      </x:c>
      <x:c r="K216" s="23">
        <x:v>0</x:v>
      </x:c>
      <x:c r="L216" s="23" t="s">
        <x:v>210</x:v>
      </x:c>
      <x:c r="M216" s="23">
        <x:f t="shared" si="3"/>
        <x:v>796.99999999999989</x:v>
      </x:c>
      <x:c r="N216" s="24" t="str">
        <x:f t="array" ref="N216">INDEX('MATCH INFO'!O:O, INT((ROW()-2)/10)+2)</x:f>
        <x:v>260607_SB_O2_S2</x:v>
      </x:c>
    </x:row>
    <x:row r="217">
      <x:c r="A217" s="23" t="s">
        <x:v>6</x:v>
      </x:c>
      <x:c r="B217" s="23" t="s">
        <x:v>15</x:v>
      </x:c>
      <x:c r="C217" s="23" t="s">
        <x:v>16</x:v>
      </x:c>
      <x:c r="D217" s="23" t="s">
        <x:v>123</x:v>
      </x:c>
      <x:c r="E217" s="23" t="s">
        <x:v>195</x:v>
      </x:c>
      <x:c r="F217" s="23">
        <x:v>21</x:v>
      </x:c>
      <x:c r="G217" s="23">
        <x:v>1</x:v>
      </x:c>
      <x:c r="H217" s="23">
        <x:v>23</x:v>
      </x:c>
      <x:c r="I217" s="23">
        <x:v>2969</x:v>
      </x:c>
      <x:c r="J217" s="23">
        <x:v>9352</x:v>
      </x:c>
      <x:c r="K217" s="23">
        <x:v>0</x:v>
      </x:c>
      <x:c r="L217" s="23" t="s">
        <x:v>210</x:v>
      </x:c>
      <x:c r="M217" s="23">
        <x:f t="shared" si="3"/>
        <x:v>796.99999999999989</x:v>
      </x:c>
      <x:c r="N217" s="24" t="str">
        <x:f t="array" ref="N217">INDEX('MATCH INFO'!O:O, INT((ROW()-2)/10)+2)</x:f>
        <x:v>260607_SB_O2_S2</x:v>
      </x:c>
    </x:row>
    <x:row r="218">
      <x:c r="A218" s="23" t="s">
        <x:v>6</x:v>
      </x:c>
      <x:c r="B218" s="23" t="s">
        <x:v>18</x:v>
      </x:c>
      <x:c r="C218" s="23" t="s">
        <x:v>16</x:v>
      </x:c>
      <x:c r="D218" s="23" t="s">
        <x:v>123</x:v>
      </x:c>
      <x:c r="E218" s="23" t="s">
        <x:v>195</x:v>
      </x:c>
      <x:c r="F218" s="23">
        <x:v>17</x:v>
      </x:c>
      <x:c r="G218" s="23">
        <x:v>7</x:v>
      </x:c>
      <x:c r="H218" s="23">
        <x:v>23</x:v>
      </x:c>
      <x:c r="I218" s="23">
        <x:v>6840</x:v>
      </x:c>
      <x:c r="J218" s="23">
        <x:v>12540</x:v>
      </x:c>
      <x:c r="K218" s="23">
        <x:v>0</x:v>
      </x:c>
      <x:c r="L218" s="23" t="s">
        <x:v>210</x:v>
      </x:c>
      <x:c r="M218" s="23">
        <x:f t="shared" si="3"/>
        <x:v>796.99999999999989</x:v>
      </x:c>
      <x:c r="N218" s="24" t="str">
        <x:f t="array" ref="N218">INDEX('MATCH INFO'!O:O, INT((ROW()-2)/10)+2)</x:f>
        <x:v>260607_SB_O2_S2</x:v>
      </x:c>
    </x:row>
    <x:row r="219">
      <x:c r="A219" s="23" t="s">
        <x:v>6</x:v>
      </x:c>
      <x:c r="B219" s="23" t="s">
        <x:v>13</x:v>
      </x:c>
      <x:c r="C219" s="23" t="s">
        <x:v>11</x:v>
      </x:c>
      <x:c r="D219" s="23" t="s">
        <x:v>123</x:v>
      </x:c>
      <x:c r="E219" s="23" t="s">
        <x:v>195</x:v>
      </x:c>
      <x:c r="F219" s="23">
        <x:v>25</x:v>
      </x:c>
      <x:c r="G219" s="23">
        <x:v>4</x:v>
      </x:c>
      <x:c r="H219" s="23">
        <x:v>4</x:v>
      </x:c>
      <x:c r="I219" s="23">
        <x:v>14489</x:v>
      </x:c>
      <x:c r="J219" s="23">
        <x:v>0</x:v>
      </x:c>
      <x:c r="K219" s="23">
        <x:v>919</x:v>
      </x:c>
      <x:c r="L219" s="23" t="s">
        <x:v>210</x:v>
      </x:c>
      <x:c r="M219" s="23">
        <x:f t="shared" si="3"/>
        <x:v>796.99999999999989</x:v>
      </x:c>
      <x:c r="N219" s="24" t="str">
        <x:f t="array" ref="N219">INDEX('MATCH INFO'!O:O, INT((ROW()-2)/10)+2)</x:f>
        <x:v>260607_SB_O2_S2</x:v>
      </x:c>
    </x:row>
    <x:row r="220">
      <x:c r="A220" s="23" t="s">
        <x:v>6</x:v>
      </x:c>
      <x:c r="B220" s="23" t="s">
        <x:v>9</x:v>
      </x:c>
      <x:c r="C220" s="23" t="s">
        <x:v>8</x:v>
      </x:c>
      <x:c r="D220" s="23" t="s">
        <x:v>123</x:v>
      </x:c>
      <x:c r="E220" s="23" t="s">
        <x:v>195</x:v>
      </x:c>
      <x:c r="F220" s="23">
        <x:v>24</x:v>
      </x:c>
      <x:c r="G220" s="23">
        <x:v>5</x:v>
      </x:c>
      <x:c r="H220" s="23">
        <x:v>13</x:v>
      </x:c>
      <x:c r="I220" s="23">
        <x:v>11176</x:v>
      </x:c>
      <x:c r="J220" s="23">
        <x:v>1079</x:v>
      </x:c>
      <x:c r="K220" s="23">
        <x:v>17345</x:v>
      </x:c>
      <x:c r="L220" s="23" t="s">
        <x:v>210</x:v>
      </x:c>
      <x:c r="M220" s="23">
        <x:f t="shared" si="3"/>
        <x:v>796.99999999999989</x:v>
      </x:c>
      <x:c r="N220" s="24" t="str">
        <x:f t="array" ref="N220">INDEX('MATCH INFO'!O:O, INT((ROW()-2)/10)+2)</x:f>
        <x:v>260607_SB_O2_S2</x:v>
      </x:c>
    </x:row>
    <x:row r="221">
      <x:c r="A221" s="23" t="s">
        <x:v>6</x:v>
      </x:c>
      <x:c r="B221" s="23" t="s">
        <x:v>10</x:v>
      </x:c>
      <x:c r="C221" s="23" t="s">
        <x:v>11</x:v>
      </x:c>
      <x:c r="D221" s="23" t="s">
        <x:v>123</x:v>
      </x:c>
      <x:c r="E221" s="23" t="s">
        <x:v>195</x:v>
      </x:c>
      <x:c r="F221" s="23">
        <x:v>23</x:v>
      </x:c>
      <x:c r="G221" s="23">
        <x:v>5</x:v>
      </x:c>
      <x:c r="H221" s="23">
        <x:v>1</x:v>
      </x:c>
      <x:c r="I221" s="23">
        <x:v>10823</x:v>
      </x:c>
      <x:c r="J221" s="23">
        <x:v>62</x:v>
      </x:c>
      <x:c r="K221" s="23">
        <x:v>117</x:v>
      </x:c>
      <x:c r="L221" s="23" t="s">
        <x:v>210</x:v>
      </x:c>
      <x:c r="M221" s="23">
        <x:f t="shared" si="3"/>
        <x:v>796.99999999999989</x:v>
      </x:c>
      <x:c r="N221" s="24" t="str">
        <x:f t="array" ref="N221">INDEX('MATCH INFO'!O:O, INT((ROW()-2)/10)+2)</x:f>
        <x:v>260607_SB_O2_S2</x:v>
      </x:c>
    </x:row>
    <x:row r="222">
      <x:c r="A222" s="23" t="s">
        <x:v>6</x:v>
      </x:c>
      <x:c r="B222" s="23" t="s">
        <x:v>15</x:v>
      </x:c>
      <x:c r="C222" s="23" t="s">
        <x:v>16</x:v>
      </x:c>
      <x:c r="D222" s="23" t="s">
        <x:v>138</x:v>
      </x:c>
      <x:c r="E222" s="23" t="s">
        <x:v>191</x:v>
      </x:c>
      <x:c r="F222" s="23">
        <x:v>12</x:v>
      </x:c>
      <x:c r="G222" s="23">
        <x:v>1</x:v>
      </x:c>
      <x:c r="H222" s="23">
        <x:v>18</x:v>
      </x:c>
      <x:c r="I222" s="23">
        <x:v>4147</x:v>
      </x:c>
      <x:c r="J222" s="23">
        <x:v>6439</x:v>
      </x:c>
      <x:c r="K222" s="23">
        <x:v>0</x:v>
      </x:c>
      <x:c r="L222" s="23" t="s">
        <x:v>211</x:v>
      </x:c>
      <x:c r="M222" s="23">
        <x:f t="shared" si="3"/>
        <x:v>568</x:v>
      </x:c>
      <x:c r="N222" s="24" t="str">
        <x:f t="array" ref="N222">INDEX('MATCH INFO'!O:O, INT((ROW()-2)/10)+2)</x:f>
        <x:v>260607_SB_O2_S3</x:v>
      </x:c>
    </x:row>
    <x:row r="223">
      <x:c r="A223" s="23" t="s">
        <x:v>6</x:v>
      </x:c>
      <x:c r="B223" s="23" t="s">
        <x:v>18</x:v>
      </x:c>
      <x:c r="C223" s="23" t="s">
        <x:v>16</x:v>
      </x:c>
      <x:c r="D223" s="23" t="s">
        <x:v>138</x:v>
      </x:c>
      <x:c r="E223" s="23" t="s">
        <x:v>191</x:v>
      </x:c>
      <x:c r="F223" s="23">
        <x:v>9</x:v>
      </x:c>
      <x:c r="G223" s="23">
        <x:v>2</x:v>
      </x:c>
      <x:c r="H223" s="23">
        <x:v>14</x:v>
      </x:c>
      <x:c r="I223" s="23">
        <x:v>3298</x:v>
      </x:c>
      <x:c r="J223" s="23">
        <x:v>6410</x:v>
      </x:c>
      <x:c r="K223" s="23">
        <x:v>0</x:v>
      </x:c>
      <x:c r="L223" s="23" t="s">
        <x:v>211</x:v>
      </x:c>
      <x:c r="M223" s="23">
        <x:f t="shared" si="3"/>
        <x:v>568</x:v>
      </x:c>
      <x:c r="N223" s="24" t="str">
        <x:f t="array" ref="N223">INDEX('MATCH INFO'!O:O, INT((ROW()-2)/10)+2)</x:f>
        <x:v>260607_SB_O2_S3</x:v>
      </x:c>
    </x:row>
    <x:row r="224">
      <x:c r="A224" s="23" t="s">
        <x:v>6</x:v>
      </x:c>
      <x:c r="B224" s="23" t="s">
        <x:v>13</x:v>
      </x:c>
      <x:c r="C224" s="23" t="s">
        <x:v>11</x:v>
      </x:c>
      <x:c r="D224" s="23" t="s">
        <x:v>138</x:v>
      </x:c>
      <x:c r="E224" s="23" t="s">
        <x:v>191</x:v>
      </x:c>
      <x:c r="F224" s="23">
        <x:v>21</x:v>
      </x:c>
      <x:c r="G224" s="23">
        <x:v>2</x:v>
      </x:c>
      <x:c r="H224" s="23">
        <x:v>0</x:v>
      </x:c>
      <x:c r="I224" s="23">
        <x:v>7415</x:v>
      </x:c>
      <x:c r="J224" s="23">
        <x:v>0</x:v>
      </x:c>
      <x:c r="K224" s="23">
        <x:v>174</x:v>
      </x:c>
      <x:c r="L224" s="23" t="s">
        <x:v>211</x:v>
      </x:c>
      <x:c r="M224" s="23">
        <x:f t="shared" si="3"/>
        <x:v>568</x:v>
      </x:c>
      <x:c r="N224" s="24" t="str">
        <x:f t="array" ref="N224">INDEX('MATCH INFO'!O:O, INT((ROW()-2)/10)+2)</x:f>
        <x:v>260607_SB_O2_S3</x:v>
      </x:c>
    </x:row>
    <x:row r="225">
      <x:c r="A225" s="23" t="s">
        <x:v>6</x:v>
      </x:c>
      <x:c r="B225" s="23" t="s">
        <x:v>9</x:v>
      </x:c>
      <x:c r="C225" s="23" t="s">
        <x:v>8</x:v>
      </x:c>
      <x:c r="D225" s="23" t="s">
        <x:v>138</x:v>
      </x:c>
      <x:c r="E225" s="23" t="s">
        <x:v>191</x:v>
      </x:c>
      <x:c r="F225" s="23">
        <x:v>22</x:v>
      </x:c>
      <x:c r="G225" s="23">
        <x:v>1</x:v>
      </x:c>
      <x:c r="H225" s="23">
        <x:v>4</x:v>
      </x:c>
      <x:c r="I225" s="23">
        <x:v>11077</x:v>
      </x:c>
      <x:c r="J225" s="23">
        <x:v>0</x:v>
      </x:c>
      <x:c r="K225" s="23">
        <x:v>14431</x:v>
      </x:c>
      <x:c r="L225" s="23" t="s">
        <x:v>211</x:v>
      </x:c>
      <x:c r="M225" s="23">
        <x:f t="shared" si="3"/>
        <x:v>568</x:v>
      </x:c>
      <x:c r="N225" s="24" t="str">
        <x:f t="array" ref="N225">INDEX('MATCH INFO'!O:O, INT((ROW()-2)/10)+2)</x:f>
        <x:v>260607_SB_O2_S3</x:v>
      </x:c>
    </x:row>
    <x:row r="226">
      <x:c r="A226" s="23" t="s">
        <x:v>6</x:v>
      </x:c>
      <x:c r="B226" s="23" t="s">
        <x:v>10</x:v>
      </x:c>
      <x:c r="C226" s="23" t="s">
        <x:v>11</x:v>
      </x:c>
      <x:c r="D226" s="23" t="s">
        <x:v>138</x:v>
      </x:c>
      <x:c r="E226" s="23" t="s">
        <x:v>191</x:v>
      </x:c>
      <x:c r="F226" s="23">
        <x:v>20</x:v>
      </x:c>
      <x:c r="G226" s="23">
        <x:v>4</x:v>
      </x:c>
      <x:c r="H226" s="23">
        <x:v>6</x:v>
      </x:c>
      <x:c r="I226" s="23">
        <x:v>10474</x:v>
      </x:c>
      <x:c r="J226" s="23">
        <x:v>0</x:v>
      </x:c>
      <x:c r="K226" s="23">
        <x:v>88</x:v>
      </x:c>
      <x:c r="L226" s="23" t="s">
        <x:v>211</x:v>
      </x:c>
      <x:c r="M226" s="23">
        <x:f t="shared" si="3"/>
        <x:v>568</x:v>
      </x:c>
      <x:c r="N226" s="24" t="str">
        <x:f t="array" ref="N226">INDEX('MATCH INFO'!O:O, INT((ROW()-2)/10)+2)</x:f>
        <x:v>260607_SB_O2_S3</x:v>
      </x:c>
    </x:row>
    <x:row r="227">
      <x:c r="A227" s="23" t="s">
        <x:v>81</x:v>
      </x:c>
      <x:c r="B227" s="23" t="s">
        <x:v>84</x:v>
      </x:c>
      <x:c r="C227" s="23" t="s">
        <x:v>11</x:v>
      </x:c>
      <x:c r="D227" s="23" t="s">
        <x:v>138</x:v>
      </x:c>
      <x:c r="E227" s="23" t="s">
        <x:v>191</x:v>
      </x:c>
      <x:c r="F227" s="23">
        <x:v>4</x:v>
      </x:c>
      <x:c r="G227" s="23">
        <x:v>8</x:v>
      </x:c>
      <x:c r="H227" s="23">
        <x:v>2</x:v>
      </x:c>
      <x:c r="I227" s="23">
        <x:v>2954</x:v>
      </x:c>
      <x:c r="J227" s="23">
        <x:v>35</x:v>
      </x:c>
      <x:c r="K227" s="23">
        <x:v>1300</x:v>
      </x:c>
      <x:c r="L227" s="23" t="s">
        <x:v>211</x:v>
      </x:c>
      <x:c r="M227" s="23">
        <x:f t="shared" si="3"/>
        <x:v>568</x:v>
      </x:c>
      <x:c r="N227" s="24" t="str">
        <x:f t="array" ref="N227">INDEX('MATCH INFO'!O:O, INT((ROW()-2)/10)+2)</x:f>
        <x:v>260607_SB_O2_S3</x:v>
      </x:c>
    </x:row>
    <x:row r="228">
      <x:c r="A228" s="23" t="s">
        <x:v>81</x:v>
      </x:c>
      <x:c r="B228" s="23" t="s">
        <x:v>82</x:v>
      </x:c>
      <x:c r="C228" s="23" t="s">
        <x:v>8</x:v>
      </x:c>
      <x:c r="D228" s="23" t="s">
        <x:v>138</x:v>
      </x:c>
      <x:c r="E228" s="23" t="s">
        <x:v>191</x:v>
      </x:c>
      <x:c r="F228" s="23">
        <x:v>8</x:v>
      </x:c>
      <x:c r="G228" s="23">
        <x:v>6</x:v>
      </x:c>
      <x:c r="H228" s="23">
        <x:v>0</x:v>
      </x:c>
      <x:c r="I228" s="23">
        <x:v>5533</x:v>
      </x:c>
      <x:c r="J228" s="23">
        <x:v>0</x:v>
      </x:c>
      <x:c r="K228" s="23">
        <x:v>15947</x:v>
      </x:c>
      <x:c r="L228" s="23" t="s">
        <x:v>211</x:v>
      </x:c>
      <x:c r="M228" s="23">
        <x:f t="shared" si="3"/>
        <x:v>568</x:v>
      </x:c>
      <x:c r="N228" s="24" t="str">
        <x:f t="array" ref="N228">INDEX('MATCH INFO'!O:O, INT((ROW()-2)/10)+2)</x:f>
        <x:v>260607_SB_O2_S3</x:v>
      </x:c>
    </x:row>
    <x:row r="229">
      <x:c r="A229" s="23" t="s">
        <x:v>81</x:v>
      </x:c>
      <x:c r="B229" s="23" t="s">
        <x:v>86</x:v>
      </x:c>
      <x:c r="C229" s="23" t="s">
        <x:v>16</x:v>
      </x:c>
      <x:c r="D229" s="23" t="s">
        <x:v>138</x:v>
      </x:c>
      <x:c r="E229" s="23" t="s">
        <x:v>191</x:v>
      </x:c>
      <x:c r="F229" s="23">
        <x:v>3</x:v>
      </x:c>
      <x:c r="G229" s="23">
        <x:v>8</x:v>
      </x:c>
      <x:c r="H229" s="23">
        <x:v>6</x:v>
      </x:c>
      <x:c r="I229" s="23">
        <x:v>2072</x:v>
      </x:c>
      <x:c r="J229" s="23">
        <x:v>7759</x:v>
      </x:c>
      <x:c r="K229" s="23">
        <x:v>477</x:v>
      </x:c>
      <x:c r="L229" s="23" t="s">
        <x:v>211</x:v>
      </x:c>
      <x:c r="M229" s="23">
        <x:f t="shared" si="3"/>
        <x:v>568</x:v>
      </x:c>
      <x:c r="N229" s="24" t="str">
        <x:f t="array" ref="N229">INDEX('MATCH INFO'!O:O, INT((ROW()-2)/10)+2)</x:f>
        <x:v>260607_SB_O2_S3</x:v>
      </x:c>
    </x:row>
    <x:row r="230">
      <x:c r="A230" s="23" t="s">
        <x:v>81</x:v>
      </x:c>
      <x:c r="B230" s="23" t="s">
        <x:v>85</x:v>
      </x:c>
      <x:c r="C230" s="23" t="s">
        <x:v>11</x:v>
      </x:c>
      <x:c r="D230" s="23" t="s">
        <x:v>138</x:v>
      </x:c>
      <x:c r="E230" s="23" t="s">
        <x:v>191</x:v>
      </x:c>
      <x:c r="F230" s="23">
        <x:v>7</x:v>
      </x:c>
      <x:c r="G230" s="23">
        <x:v>6</x:v>
      </x:c>
      <x:c r="H230" s="23">
        <x:v>0</x:v>
      </x:c>
      <x:c r="I230" s="23">
        <x:v>5147</x:v>
      </x:c>
      <x:c r="J230" s="23">
        <x:v>35</x:v>
      </x:c>
      <x:c r="K230" s="23">
        <x:v>285</x:v>
      </x:c>
      <x:c r="L230" s="23" t="s">
        <x:v>211</x:v>
      </x:c>
      <x:c r="M230" s="23">
        <x:f t="shared" si="3"/>
        <x:v>568</x:v>
      </x:c>
      <x:c r="N230" s="24" t="str">
        <x:f t="array" ref="N230">INDEX('MATCH INFO'!O:O, INT((ROW()-2)/10)+2)</x:f>
        <x:v>260607_SB_O2_S3</x:v>
      </x:c>
    </x:row>
    <x:row r="231">
      <x:c r="A231" s="23" t="s">
        <x:v>81</x:v>
      </x:c>
      <x:c r="B231" s="23" t="s">
        <x:v>88</x:v>
      </x:c>
      <x:c r="C231" s="23" t="s">
        <x:v>16</x:v>
      </x:c>
      <x:c r="D231" s="23" t="s">
        <x:v>138</x:v>
      </x:c>
      <x:c r="E231" s="23" t="s">
        <x:v>191</x:v>
      </x:c>
      <x:c r="F231" s="23">
        <x:v>4</x:v>
      </x:c>
      <x:c r="G231" s="23">
        <x:v>5</x:v>
      </x:c>
      <x:c r="H231" s="23">
        <x:v>8</x:v>
      </x:c>
      <x:c r="I231" s="23">
        <x:v>2265</x:v>
      </x:c>
      <x:c r="J231" s="23">
        <x:v>13250</x:v>
      </x:c>
      <x:c r="K231" s="23">
        <x:v>0</x:v>
      </x:c>
      <x:c r="L231" s="23" t="s">
        <x:v>211</x:v>
      </x:c>
      <x:c r="M231" s="23">
        <x:f t="shared" si="3"/>
        <x:v>568</x:v>
      </x:c>
      <x:c r="N231" s="24" t="str">
        <x:f t="array" ref="N231">INDEX('MATCH INFO'!O:O, INT((ROW()-2)/10)+2)</x:f>
        <x:v>260607_SB_O2_S3</x:v>
      </x:c>
    </x:row>
    <x:row r="232">
      <x:c r="A232" s="23" t="s">
        <x:v>47</x:v>
      </x:c>
      <x:c r="B232" s="23" t="s">
        <x:v>49</x:v>
      </x:c>
      <x:c r="C232" s="23" t="s">
        <x:v>8</x:v>
      </x:c>
      <x:c r="D232" s="23" t="s">
        <x:v>131</x:v>
      </x:c>
      <x:c r="E232" s="23" t="s">
        <x:v>184</x:v>
      </x:c>
      <x:c r="F232" s="23">
        <x:v>18</x:v>
      </x:c>
      <x:c r="G232" s="23">
        <x:v>1</x:v>
      </x:c>
      <x:c r="H232" s="23">
        <x:v>3</x:v>
      </x:c>
      <x:c r="I232" s="23">
        <x:v>7812</x:v>
      </x:c>
      <x:c r="J232" s="23">
        <x:v>0</x:v>
      </x:c>
      <x:c r="K232" s="23">
        <x:v>12825</x:v>
      </x:c>
      <x:c r="L232" s="23" t="s">
        <x:v>212</x:v>
      </x:c>
      <x:c r="M232" s="23">
        <x:f t="shared" si="3"/>
        <x:v>424</x:v>
      </x:c>
      <x:c r="N232" s="24" t="str">
        <x:f t="array" ref="N232">INDEX('MATCH INFO'!O:O, INT((ROW()-2)/10)+2)</x:f>
        <x:v>260607_ZETA_CB_S1</x:v>
      </x:c>
    </x:row>
    <x:row r="233">
      <x:c r="A233" s="23" t="s">
        <x:v>47</x:v>
      </x:c>
      <x:c r="B233" s="23" t="s">
        <x:v>51</x:v>
      </x:c>
      <x:c r="C233" s="23" t="s">
        <x:v>11</x:v>
      </x:c>
      <x:c r="D233" s="23" t="s">
        <x:v>131</x:v>
      </x:c>
      <x:c r="E233" s="23" t="s">
        <x:v>184</x:v>
      </x:c>
      <x:c r="F233" s="23">
        <x:v>20</x:v>
      </x:c>
      <x:c r="G233" s="23">
        <x:v>1</x:v>
      </x:c>
      <x:c r="H233" s="23">
        <x:v>1</x:v>
      </x:c>
      <x:c r="I233" s="23">
        <x:v>8954</x:v>
      </x:c>
      <x:c r="J233" s="23">
        <x:v>87</x:v>
      </x:c>
      <x:c r="K233" s="23">
        <x:v>703</x:v>
      </x:c>
      <x:c r="L233" s="23" t="s">
        <x:v>212</x:v>
      </x:c>
      <x:c r="M233" s="23">
        <x:f t="shared" si="3"/>
        <x:v>424</x:v>
      </x:c>
      <x:c r="N233" s="24" t="str">
        <x:f t="array" ref="N233">INDEX('MATCH INFO'!O:O, INT((ROW()-2)/10)+2)</x:f>
        <x:v>260607_ZETA_CB_S1</x:v>
      </x:c>
    </x:row>
    <x:row r="234">
      <x:c r="A234" s="23" t="s">
        <x:v>47</x:v>
      </x:c>
      <x:c r="B234" s="23" t="s">
        <x:v>50</x:v>
      </x:c>
      <x:c r="C234" s="23" t="s">
        <x:v>11</x:v>
      </x:c>
      <x:c r="D234" s="23" t="s">
        <x:v>131</x:v>
      </x:c>
      <x:c r="E234" s="23" t="s">
        <x:v>184</x:v>
      </x:c>
      <x:c r="F234" s="23">
        <x:v>11</x:v>
      </x:c>
      <x:c r="G234" s="23">
        <x:v>2</x:v>
      </x:c>
      <x:c r="H234" s="23">
        <x:v>5</x:v>
      </x:c>
      <x:c r="I234" s="23">
        <x:v>7370</x:v>
      </x:c>
      <x:c r="J234" s="23">
        <x:v>0</x:v>
      </x:c>
      <x:c r="K234" s="23">
        <x:v>0</x:v>
      </x:c>
      <x:c r="L234" s="23" t="s">
        <x:v>212</x:v>
      </x:c>
      <x:c r="M234" s="23">
        <x:f t="shared" si="3"/>
        <x:v>424</x:v>
      </x:c>
      <x:c r="N234" s="24" t="str">
        <x:f t="array" ref="N234">INDEX('MATCH INFO'!O:O, INT((ROW()-2)/10)+2)</x:f>
        <x:v>260607_ZETA_CB_S1</x:v>
      </x:c>
    </x:row>
    <x:row r="235">
      <x:c r="A235" s="23" t="s">
        <x:v>47</x:v>
      </x:c>
      <x:c r="B235" s="23" t="s">
        <x:v>53</x:v>
      </x:c>
      <x:c r="C235" s="23" t="s">
        <x:v>16</x:v>
      </x:c>
      <x:c r="D235" s="23" t="s">
        <x:v>131</x:v>
      </x:c>
      <x:c r="E235" s="23" t="s">
        <x:v>184</x:v>
      </x:c>
      <x:c r="F235" s="23">
        <x:v>15</x:v>
      </x:c>
      <x:c r="G235" s="23">
        <x:v>3</x:v>
      </x:c>
      <x:c r="H235" s="23">
        <x:v>9</x:v>
      </x:c>
      <x:c r="I235" s="23">
        <x:v>4170</x:v>
      </x:c>
      <x:c r="J235" s="23">
        <x:v>5698</x:v>
      </x:c>
      <x:c r="K235" s="23">
        <x:v>480</x:v>
      </x:c>
      <x:c r="L235" s="23" t="s">
        <x:v>212</x:v>
      </x:c>
      <x:c r="M235" s="23">
        <x:f t="shared" si="3"/>
        <x:v>424</x:v>
      </x:c>
      <x:c r="N235" s="24" t="str">
        <x:f t="array" ref="N235">INDEX('MATCH INFO'!O:O, INT((ROW()-2)/10)+2)</x:f>
        <x:v>260607_ZETA_CB_S1</x:v>
      </x:c>
    </x:row>
    <x:row r="236">
      <x:c r="A236" s="23" t="s">
        <x:v>47</x:v>
      </x:c>
      <x:c r="B236" s="23" t="s">
        <x:v>52</x:v>
      </x:c>
      <x:c r="C236" s="23" t="s">
        <x:v>16</x:v>
      </x:c>
      <x:c r="D236" s="23" t="s">
        <x:v>131</x:v>
      </x:c>
      <x:c r="E236" s="23" t="s">
        <x:v>184</x:v>
      </x:c>
      <x:c r="F236" s="23">
        <x:v>12</x:v>
      </x:c>
      <x:c r="G236" s="23">
        <x:v>1</x:v>
      </x:c>
      <x:c r="H236" s="23">
        <x:v>17</x:v>
      </x:c>
      <x:c r="I236" s="23">
        <x:v>4106</x:v>
      </x:c>
      <x:c r="J236" s="23">
        <x:v>8994</x:v>
      </x:c>
      <x:c r="K236" s="23">
        <x:v>0</x:v>
      </x:c>
      <x:c r="L236" s="23" t="s">
        <x:v>212</x:v>
      </x:c>
      <x:c r="M236" s="23">
        <x:f t="shared" si="3"/>
        <x:v>424</x:v>
      </x:c>
      <x:c r="N236" s="24" t="str">
        <x:f t="array" ref="N236">INDEX('MATCH INFO'!O:O, INT((ROW()-2)/10)+2)</x:f>
        <x:v>260607_ZETA_CB_S1</x:v>
      </x:c>
    </x:row>
    <x:row r="237">
      <x:c r="A237" s="23" t="s">
        <x:v>31</x:v>
      </x:c>
      <x:c r="B237" s="23" t="s">
        <x:v>34</x:v>
      </x:c>
      <x:c r="C237" s="23" t="s">
        <x:v>11</x:v>
      </x:c>
      <x:c r="D237" s="23" t="s">
        <x:v>131</x:v>
      </x:c>
      <x:c r="E237" s="23" t="s">
        <x:v>184</x:v>
      </x:c>
      <x:c r="F237" s="23">
        <x:v>5</x:v>
      </x:c>
      <x:c r="G237" s="23">
        <x:v>5</x:v>
      </x:c>
      <x:c r="H237" s="23">
        <x:v>1</x:v>
      </x:c>
      <x:c r="I237" s="23">
        <x:v>4119</x:v>
      </x:c>
      <x:c r="J237" s="23">
        <x:v>61</x:v>
      </x:c>
      <x:c r="K237" s="23">
        <x:v>2958</x:v>
      </x:c>
      <x:c r="L237" s="23" t="s">
        <x:v>212</x:v>
      </x:c>
      <x:c r="M237" s="23">
        <x:f t="shared" si="3"/>
        <x:v>424</x:v>
      </x:c>
      <x:c r="N237" s="24" t="str">
        <x:f t="array" ref="N237">INDEX('MATCH INFO'!O:O, INT((ROW()-2)/10)+2)</x:f>
        <x:v>260607_ZETA_CB_S1</x:v>
      </x:c>
    </x:row>
    <x:row r="238">
      <x:c r="A238" s="23" t="s">
        <x:v>31</x:v>
      </x:c>
      <x:c r="B238" s="23" t="s">
        <x:v>33</x:v>
      </x:c>
      <x:c r="C238" s="23" t="s">
        <x:v>8</x:v>
      </x:c>
      <x:c r="D238" s="23" t="s">
        <x:v>131</x:v>
      </x:c>
      <x:c r="E238" s="23" t="s">
        <x:v>184</x:v>
      </x:c>
      <x:c r="F238" s="23">
        <x:v>5</x:v>
      </x:c>
      <x:c r="G238" s="23">
        <x:v>6</x:v>
      </x:c>
      <x:c r="H238" s="23">
        <x:v>3</x:v>
      </x:c>
      <x:c r="I238" s="23">
        <x:v>6304</x:v>
      </x:c>
      <x:c r="J238" s="23">
        <x:v>0</x:v>
      </x:c>
      <x:c r="K238" s="23">
        <x:v>19353</x:v>
      </x:c>
      <x:c r="L238" s="23" t="s">
        <x:v>212</x:v>
      </x:c>
      <x:c r="M238" s="23">
        <x:f t="shared" si="3"/>
        <x:v>424</x:v>
      </x:c>
      <x:c r="N238" s="24" t="str">
        <x:f t="array" ref="N238">INDEX('MATCH INFO'!O:O, INT((ROW()-2)/10)+2)</x:f>
        <x:v>260607_ZETA_CB_S1</x:v>
      </x:c>
    </x:row>
    <x:row r="239">
      <x:c r="A239" s="23" t="s">
        <x:v>31</x:v>
      </x:c>
      <x:c r="B239" s="23" t="s">
        <x:v>35</x:v>
      </x:c>
      <x:c r="C239" s="23" t="s">
        <x:v>11</x:v>
      </x:c>
      <x:c r="D239" s="23" t="s">
        <x:v>131</x:v>
      </x:c>
      <x:c r="E239" s="23" t="s">
        <x:v>184</x:v>
      </x:c>
      <x:c r="F239" s="23">
        <x:v>4</x:v>
      </x:c>
      <x:c r="G239" s="23">
        <x:v>5</x:v>
      </x:c>
      <x:c r="H239" s="23">
        <x:v>0</x:v>
      </x:c>
      <x:c r="I239" s="23">
        <x:v>4849</x:v>
      </x:c>
      <x:c r="J239" s="23">
        <x:v>0</x:v>
      </x:c>
      <x:c r="K239" s="23">
        <x:v>147</x:v>
      </x:c>
      <x:c r="L239" s="23" t="s">
        <x:v>212</x:v>
      </x:c>
      <x:c r="M239" s="23">
        <x:f t="shared" si="3"/>
        <x:v>424</x:v>
      </x:c>
      <x:c r="N239" s="24" t="str">
        <x:f t="array" ref="N239">INDEX('MATCH INFO'!O:O, INT((ROW()-2)/10)+2)</x:f>
        <x:v>260607_ZETA_CB_S1</x:v>
      </x:c>
    </x:row>
    <x:row r="240">
      <x:c r="A240" s="23" t="s">
        <x:v>31</x:v>
      </x:c>
      <x:c r="B240" s="23" t="s">
        <x:v>36</x:v>
      </x:c>
      <x:c r="C240" s="23" t="s">
        <x:v>16</x:v>
      </x:c>
      <x:c r="D240" s="23" t="s">
        <x:v>131</x:v>
      </x:c>
      <x:c r="E240" s="23" t="s">
        <x:v>184</x:v>
      </x:c>
      <x:c r="F240" s="23">
        <x:v>3</x:v>
      </x:c>
      <x:c r="G240" s="23">
        <x:v>6</x:v>
      </x:c>
      <x:c r="H240" s="23">
        <x:v>4</x:v>
      </x:c>
      <x:c r="I240" s="23">
        <x:v>3107</x:v>
      </x:c>
      <x:c r="J240" s="23">
        <x:v>8024</x:v>
      </x:c>
      <x:c r="K240" s="23">
        <x:v>1376</x:v>
      </x:c>
      <x:c r="L240" s="23" t="s">
        <x:v>212</x:v>
      </x:c>
      <x:c r="M240" s="23">
        <x:f t="shared" si="3"/>
        <x:v>424</x:v>
      </x:c>
      <x:c r="N240" s="24" t="str">
        <x:f t="array" ref="N240">INDEX('MATCH INFO'!O:O, INT((ROW()-2)/10)+2)</x:f>
        <x:v>260607_ZETA_CB_S1</x:v>
      </x:c>
    </x:row>
    <x:row r="241">
      <x:c r="A241" s="23" t="s">
        <x:v>31</x:v>
      </x:c>
      <x:c r="B241" s="23" t="s">
        <x:v>37</x:v>
      </x:c>
      <x:c r="C241" s="23" t="s">
        <x:v>16</x:v>
      </x:c>
      <x:c r="D241" s="23" t="s">
        <x:v>131</x:v>
      </x:c>
      <x:c r="E241" s="23" t="s">
        <x:v>184</x:v>
      </x:c>
      <x:c r="F241" s="23">
        <x:v>3</x:v>
      </x:c>
      <x:c r="G241" s="23">
        <x:v>5</x:v>
      </x:c>
      <x:c r="H241" s="23">
        <x:v>4</x:v>
      </x:c>
      <x:c r="I241" s="23">
        <x:v>2033</x:v>
      </x:c>
      <x:c r="J241" s="23">
        <x:v>9688</x:v>
      </x:c>
      <x:c r="K241" s="23">
        <x:v>0</x:v>
      </x:c>
      <x:c r="L241" s="23" t="s">
        <x:v>212</x:v>
      </x:c>
      <x:c r="M241" s="23">
        <x:f t="shared" si="3"/>
        <x:v>424</x:v>
      </x:c>
      <x:c r="N241" s="24" t="str">
        <x:f t="array" ref="N241">INDEX('MATCH INFO'!O:O, INT((ROW()-2)/10)+2)</x:f>
        <x:v>260607_ZETA_CB_S1</x:v>
      </x:c>
    </x:row>
    <x:row r="242">
      <x:c r="A242" s="23" t="s">
        <x:v>47</x:v>
      </x:c>
      <x:c r="B242" s="23" t="s">
        <x:v>49</x:v>
      </x:c>
      <x:c r="C242" s="23" t="s">
        <x:v>8</x:v>
      </x:c>
      <x:c r="D242" s="23" t="s">
        <x:v>113</x:v>
      </x:c>
      <x:c r="E242" s="23" t="s">
        <x:v>188</x:v>
      </x:c>
      <x:c r="F242" s="23">
        <x:v>16</x:v>
      </x:c>
      <x:c r="G242" s="23">
        <x:v>5</x:v>
      </x:c>
      <x:c r="H242" s="23">
        <x:v>12</x:v>
      </x:c>
      <x:c r="I242" s="23">
        <x:v>8242</x:v>
      </x:c>
      <x:c r="J242" s="23">
        <x:v>1605</x:v>
      </x:c>
      <x:c r="K242" s="23">
        <x:v>16267</x:v>
      </x:c>
      <x:c r="L242" s="23" t="s">
        <x:v>213</x:v>
      </x:c>
      <x:c r="M242" s="23">
        <x:f t="shared" si="3"/>
        <x:v>594</x:v>
      </x:c>
      <x:c r="N242" s="24" t="str">
        <x:f t="array" ref="N242">INDEX('MATCH INFO'!O:O, INT((ROW()-2)/10)+2)</x:f>
        <x:v>260607_ZETA_CB_S2</x:v>
      </x:c>
    </x:row>
    <x:row r="243">
      <x:c r="A243" s="23" t="s">
        <x:v>47</x:v>
      </x:c>
      <x:c r="B243" s="23" t="s">
        <x:v>51</x:v>
      </x:c>
      <x:c r="C243" s="23" t="s">
        <x:v>11</x:v>
      </x:c>
      <x:c r="D243" s="23" t="s">
        <x:v>113</x:v>
      </x:c>
      <x:c r="E243" s="23" t="s">
        <x:v>188</x:v>
      </x:c>
      <x:c r="F243" s="23">
        <x:v>16</x:v>
      </x:c>
      <x:c r="G243" s="23">
        <x:v>6</x:v>
      </x:c>
      <x:c r="H243" s="23">
        <x:v>0</x:v>
      </x:c>
      <x:c r="I243" s="23">
        <x:v>13932</x:v>
      </x:c>
      <x:c r="J243" s="23">
        <x:v>305</x:v>
      </x:c>
      <x:c r="K243" s="23">
        <x:v>1628</x:v>
      </x:c>
      <x:c r="L243" s="23" t="s">
        <x:v>213</x:v>
      </x:c>
      <x:c r="M243" s="23">
        <x:f t="shared" si="3"/>
        <x:v>594</x:v>
      </x:c>
      <x:c r="N243" s="24" t="str">
        <x:f t="array" ref="N243">INDEX('MATCH INFO'!O:O, INT((ROW()-2)/10)+2)</x:f>
        <x:v>260607_ZETA_CB_S2</x:v>
      </x:c>
    </x:row>
    <x:row r="244">
      <x:c r="A244" s="23" t="s">
        <x:v>47</x:v>
      </x:c>
      <x:c r="B244" s="23" t="s">
        <x:v>50</x:v>
      </x:c>
      <x:c r="C244" s="23" t="s">
        <x:v>11</x:v>
      </x:c>
      <x:c r="D244" s="23" t="s">
        <x:v>113</x:v>
      </x:c>
      <x:c r="E244" s="23" t="s">
        <x:v>188</x:v>
      </x:c>
      <x:c r="F244" s="23">
        <x:v>24</x:v>
      </x:c>
      <x:c r="G244" s="23">
        <x:v>5</x:v>
      </x:c>
      <x:c r="H244" s="23">
        <x:v>0</x:v>
      </x:c>
      <x:c r="I244" s="23">
        <x:v>12695</x:v>
      </x:c>
      <x:c r="J244" s="23">
        <x:v>1734</x:v>
      </x:c>
      <x:c r="K244" s="23">
        <x:v>0</x:v>
      </x:c>
      <x:c r="L244" s="23" t="s">
        <x:v>213</x:v>
      </x:c>
      <x:c r="M244" s="23">
        <x:f t="shared" si="3"/>
        <x:v>594</x:v>
      </x:c>
      <x:c r="N244" s="24" t="str">
        <x:f t="array" ref="N244">INDEX('MATCH INFO'!O:O, INT((ROW()-2)/10)+2)</x:f>
        <x:v>260607_ZETA_CB_S2</x:v>
      </x:c>
    </x:row>
    <x:row r="245">
      <x:c r="A245" s="23" t="s">
        <x:v>47</x:v>
      </x:c>
      <x:c r="B245" s="23" t="s">
        <x:v>53</x:v>
      </x:c>
      <x:c r="C245" s="23" t="s">
        <x:v>16</x:v>
      </x:c>
      <x:c r="D245" s="23" t="s">
        <x:v>113</x:v>
      </x:c>
      <x:c r="E245" s="23" t="s">
        <x:v>188</x:v>
      </x:c>
      <x:c r="F245" s="23">
        <x:v>14</x:v>
      </x:c>
      <x:c r="G245" s="23">
        <x:v>5</x:v>
      </x:c>
      <x:c r="H245" s="23">
        <x:v>22</x:v>
      </x:c>
      <x:c r="I245" s="23">
        <x:v>5772</x:v>
      </x:c>
      <x:c r="J245" s="23">
        <x:v>12321</x:v>
      </x:c>
      <x:c r="K245" s="23">
        <x:v>0</x:v>
      </x:c>
      <x:c r="L245" s="23" t="s">
        <x:v>213</x:v>
      </x:c>
      <x:c r="M245" s="23">
        <x:f t="shared" si="3"/>
        <x:v>594</x:v>
      </x:c>
      <x:c r="N245" s="24" t="str">
        <x:f t="array" ref="N245">INDEX('MATCH INFO'!O:O, INT((ROW()-2)/10)+2)</x:f>
        <x:v>260607_ZETA_CB_S2</x:v>
      </x:c>
    </x:row>
    <x:row r="246">
      <x:c r="A246" s="23" t="s">
        <x:v>47</x:v>
      </x:c>
      <x:c r="B246" s="23" t="s">
        <x:v>52</x:v>
      </x:c>
      <x:c r="C246" s="23" t="s">
        <x:v>16</x:v>
      </x:c>
      <x:c r="D246" s="23" t="s">
        <x:v>113</x:v>
      </x:c>
      <x:c r="E246" s="23" t="s">
        <x:v>188</x:v>
      </x:c>
      <x:c r="F246" s="23">
        <x:v>16</x:v>
      </x:c>
      <x:c r="G246" s="23">
        <x:v>4</x:v>
      </x:c>
      <x:c r="H246" s="23">
        <x:v>16</x:v>
      </x:c>
      <x:c r="I246" s="23">
        <x:v>2477</x:v>
      </x:c>
      <x:c r="J246" s="23">
        <x:v>8426</x:v>
      </x:c>
      <x:c r="K246" s="23">
        <x:v>0</x:v>
      </x:c>
      <x:c r="L246" s="23" t="s">
        <x:v>213</x:v>
      </x:c>
      <x:c r="M246" s="23">
        <x:f t="shared" si="3"/>
        <x:v>594</x:v>
      </x:c>
      <x:c r="N246" s="24" t="str">
        <x:f t="array" ref="N246">INDEX('MATCH INFO'!O:O, INT((ROW()-2)/10)+2)</x:f>
        <x:v>260607_ZETA_CB_S2</x:v>
      </x:c>
    </x:row>
    <x:row r="247">
      <x:c r="A247" s="23" t="s">
        <x:v>31</x:v>
      </x:c>
      <x:c r="B247" s="23" t="s">
        <x:v>34</x:v>
      </x:c>
      <x:c r="C247" s="23" t="s">
        <x:v>11</x:v>
      </x:c>
      <x:c r="D247" s="23" t="s">
        <x:v>113</x:v>
      </x:c>
      <x:c r="E247" s="23" t="s">
        <x:v>188</x:v>
      </x:c>
      <x:c r="F247" s="23">
        <x:v>18</x:v>
      </x:c>
      <x:c r="G247" s="23">
        <x:v>4</x:v>
      </x:c>
      <x:c r="H247" s="23">
        <x:v>0</x:v>
      </x:c>
      <x:c r="I247" s="23">
        <x:v>10060</x:v>
      </x:c>
      <x:c r="J247" s="23">
        <x:v>1880</x:v>
      </x:c>
      <x:c r="K247" s="23">
        <x:v>0</x:v>
      </x:c>
      <x:c r="L247" s="23" t="s">
        <x:v>213</x:v>
      </x:c>
      <x:c r="M247" s="23">
        <x:f t="shared" si="3"/>
        <x:v>594</x:v>
      </x:c>
      <x:c r="N247" s="24" t="str">
        <x:f t="array" ref="N247">INDEX('MATCH INFO'!O:O, INT((ROW()-2)/10)+2)</x:f>
        <x:v>260607_ZETA_CB_S2</x:v>
      </x:c>
    </x:row>
    <x:row r="248">
      <x:c r="A248" s="23" t="s">
        <x:v>31</x:v>
      </x:c>
      <x:c r="B248" s="23" t="s">
        <x:v>33</x:v>
      </x:c>
      <x:c r="C248" s="23" t="s">
        <x:v>8</x:v>
      </x:c>
      <x:c r="D248" s="23" t="s">
        <x:v>113</x:v>
      </x:c>
      <x:c r="E248" s="23" t="s">
        <x:v>188</x:v>
      </x:c>
      <x:c r="F248" s="23">
        <x:v>13</x:v>
      </x:c>
      <x:c r="G248" s="23">
        <x:v>8</x:v>
      </x:c>
      <x:c r="H248" s="23">
        <x:v>6</x:v>
      </x:c>
      <x:c r="I248" s="23">
        <x:v>7013</x:v>
      </x:c>
      <x:c r="J248" s="23">
        <x:v>2104</x:v>
      </x:c>
      <x:c r="K248" s="23">
        <x:v>16054</x:v>
      </x:c>
      <x:c r="L248" s="23" t="s">
        <x:v>213</x:v>
      </x:c>
      <x:c r="M248" s="23">
        <x:f t="shared" si="3"/>
        <x:v>594</x:v>
      </x:c>
      <x:c r="N248" s="24" t="str">
        <x:f t="array" ref="N248">INDEX('MATCH INFO'!O:O, INT((ROW()-2)/10)+2)</x:f>
        <x:v>260607_ZETA_CB_S2</x:v>
      </x:c>
    </x:row>
    <x:row r="249">
      <x:c r="A249" s="23" t="s">
        <x:v>31</x:v>
      </x:c>
      <x:c r="B249" s="23" t="s">
        <x:v>35</x:v>
      </x:c>
      <x:c r="C249" s="23" t="s">
        <x:v>11</x:v>
      </x:c>
      <x:c r="D249" s="23" t="s">
        <x:v>113</x:v>
      </x:c>
      <x:c r="E249" s="23" t="s">
        <x:v>188</x:v>
      </x:c>
      <x:c r="F249" s="23">
        <x:v>14</x:v>
      </x:c>
      <x:c r="G249" s="23">
        <x:v>7</x:v>
      </x:c>
      <x:c r="H249" s="23">
        <x:v>2</x:v>
      </x:c>
      <x:c r="I249" s="23">
        <x:v>13851</x:v>
      </x:c>
      <x:c r="J249" s="23">
        <x:v>596</x:v>
      </x:c>
      <x:c r="K249" s="23">
        <x:v>2319</x:v>
      </x:c>
      <x:c r="L249" s="23" t="s">
        <x:v>213</x:v>
      </x:c>
      <x:c r="M249" s="23">
        <x:f t="shared" si="3"/>
        <x:v>594</x:v>
      </x:c>
      <x:c r="N249" s="24" t="str">
        <x:f t="array" ref="N249">INDEX('MATCH INFO'!O:O, INT((ROW()-2)/10)+2)</x:f>
        <x:v>260607_ZETA_CB_S2</x:v>
      </x:c>
    </x:row>
    <x:row r="250">
      <x:c r="A250" s="23" t="s">
        <x:v>31</x:v>
      </x:c>
      <x:c r="B250" s="23" t="s">
        <x:v>36</x:v>
      </x:c>
      <x:c r="C250" s="23" t="s">
        <x:v>16</x:v>
      </x:c>
      <x:c r="D250" s="23" t="s">
        <x:v>113</x:v>
      </x:c>
      <x:c r="E250" s="23" t="s">
        <x:v>188</x:v>
      </x:c>
      <x:c r="F250" s="23">
        <x:v>10</x:v>
      </x:c>
      <x:c r="G250" s="23">
        <x:v>7</x:v>
      </x:c>
      <x:c r="H250" s="23">
        <x:v>12</x:v>
      </x:c>
      <x:c r="I250" s="23">
        <x:v>2868</x:v>
      </x:c>
      <x:c r="J250" s="23">
        <x:v>9511</x:v>
      </x:c>
      <x:c r="K250" s="23">
        <x:v>0</x:v>
      </x:c>
      <x:c r="L250" s="23" t="s">
        <x:v>213</x:v>
      </x:c>
      <x:c r="M250" s="23">
        <x:f t="shared" si="3"/>
        <x:v>594</x:v>
      </x:c>
      <x:c r="N250" s="24" t="str">
        <x:f t="array" ref="N250">INDEX('MATCH INFO'!O:O, INT((ROW()-2)/10)+2)</x:f>
        <x:v>260607_ZETA_CB_S2</x:v>
      </x:c>
    </x:row>
    <x:row r="251">
      <x:c r="A251" s="23" t="s">
        <x:v>31</x:v>
      </x:c>
      <x:c r="B251" s="23" t="s">
        <x:v>37</x:v>
      </x:c>
      <x:c r="C251" s="23" t="s">
        <x:v>16</x:v>
      </x:c>
      <x:c r="D251" s="23" t="s">
        <x:v>113</x:v>
      </x:c>
      <x:c r="E251" s="23" t="s">
        <x:v>188</x:v>
      </x:c>
      <x:c r="F251" s="23">
        <x:v>7</x:v>
      </x:c>
      <x:c r="G251" s="23">
        <x:v>6</x:v>
      </x:c>
      <x:c r="H251" s="23">
        <x:v>16</x:v>
      </x:c>
      <x:c r="I251" s="23">
        <x:v>4473</x:v>
      </x:c>
      <x:c r="J251" s="23">
        <x:v>12811</x:v>
      </x:c>
      <x:c r="K251" s="23">
        <x:v>0</x:v>
      </x:c>
      <x:c r="L251" s="23" t="s">
        <x:v>213</x:v>
      </x:c>
      <x:c r="M251" s="23">
        <x:f t="shared" si="3"/>
        <x:v>594</x:v>
      </x:c>
      <x:c r="N251" s="24" t="str">
        <x:f t="array" ref="N251">INDEX('MATCH INFO'!O:O, INT((ROW()-2)/10)+2)</x:f>
        <x:v>260607_ZETA_CB_S2</x:v>
      </x:c>
    </x:row>
    <x:row r="252">
      <x:c r="A252" s="23" t="s">
        <x:v>47</x:v>
      </x:c>
      <x:c r="B252" s="23" t="s">
        <x:v>51</x:v>
      </x:c>
      <x:c r="C252" s="23" t="s">
        <x:v>11</x:v>
      </x:c>
      <x:c r="D252" s="23" t="s">
        <x:v>140</x:v>
      </x:c>
      <x:c r="E252" s="23" t="s">
        <x:v>195</x:v>
      </x:c>
      <x:c r="F252" s="23">
        <x:v>16</x:v>
      </x:c>
      <x:c r="G252" s="23">
        <x:v>9</x:v>
      </x:c>
      <x:c r="H252" s="23">
        <x:v>1</x:v>
      </x:c>
      <x:c r="I252" s="23">
        <x:v>13519</x:v>
      </x:c>
      <x:c r="J252" s="23">
        <x:v>0</x:v>
      </x:c>
      <x:c r="K252" s="23">
        <x:v>2406</x:v>
      </x:c>
      <x:c r="L252" s="23" t="s">
        <x:v>214</x:v>
      </x:c>
      <x:c r="M252" s="23">
        <x:f t="shared" si="3"/>
        <x:v>657</x:v>
      </x:c>
      <x:c r="N252" s="24" t="str">
        <x:f t="array" ref="N252">INDEX('MATCH INFO'!O:O, INT((ROW()-2)/10)+2)</x:f>
        <x:v>260607_ZETA_CB_S3</x:v>
      </x:c>
    </x:row>
    <x:row r="253">
      <x:c r="A253" s="23" t="s">
        <x:v>47</x:v>
      </x:c>
      <x:c r="B253" s="23" t="s">
        <x:v>48</x:v>
      </x:c>
      <x:c r="C253" s="23" t="s">
        <x:v>8</x:v>
      </x:c>
      <x:c r="D253" s="23" t="s">
        <x:v>140</x:v>
      </x:c>
      <x:c r="E253" s="23" t="s">
        <x:v>195</x:v>
      </x:c>
      <x:c r="F253" s="23">
        <x:v>20</x:v>
      </x:c>
      <x:c r="G253" s="23">
        <x:v>2</x:v>
      </x:c>
      <x:c r="H253" s="23">
        <x:v>3</x:v>
      </x:c>
      <x:c r="I253" s="23">
        <x:v>8308</x:v>
      </x:c>
      <x:c r="J253" s="23">
        <x:v>1454</x:v>
      </x:c>
      <x:c r="K253" s="23">
        <x:v>3373</x:v>
      </x:c>
      <x:c r="L253" s="23" t="s">
        <x:v>214</x:v>
      </x:c>
      <x:c r="M253" s="23">
        <x:f t="shared" si="3"/>
        <x:v>657</x:v>
      </x:c>
      <x:c r="N253" s="24" t="str">
        <x:f t="array" ref="N253">INDEX('MATCH INFO'!O:O, INT((ROW()-2)/10)+2)</x:f>
        <x:v>260607_ZETA_CB_S3</x:v>
      </x:c>
    </x:row>
    <x:row r="254">
      <x:c r="A254" s="23" t="s">
        <x:v>47</x:v>
      </x:c>
      <x:c r="B254" s="23" t="s">
        <x:v>50</x:v>
      </x:c>
      <x:c r="C254" s="23" t="s">
        <x:v>11</x:v>
      </x:c>
      <x:c r="D254" s="23" t="s">
        <x:v>140</x:v>
      </x:c>
      <x:c r="E254" s="23" t="s">
        <x:v>195</x:v>
      </x:c>
      <x:c r="F254" s="23">
        <x:v>23</x:v>
      </x:c>
      <x:c r="G254" s="23">
        <x:v>2</x:v>
      </x:c>
      <x:c r="H254" s="23">
        <x:v>0</x:v>
      </x:c>
      <x:c r="I254" s="23">
        <x:v>11664</x:v>
      </x:c>
      <x:c r="J254" s="23">
        <x:v>119</x:v>
      </x:c>
      <x:c r="K254" s="23">
        <x:v>0</x:v>
      </x:c>
      <x:c r="L254" s="23" t="s">
        <x:v>214</x:v>
      </x:c>
      <x:c r="M254" s="23">
        <x:f t="shared" si="3"/>
        <x:v>657</x:v>
      </x:c>
      <x:c r="N254" s="24" t="str">
        <x:f t="array" ref="N254">INDEX('MATCH INFO'!O:O, INT((ROW()-2)/10)+2)</x:f>
        <x:v>260607_ZETA_CB_S3</x:v>
      </x:c>
    </x:row>
    <x:row r="255">
      <x:c r="A255" s="23" t="s">
        <x:v>47</x:v>
      </x:c>
      <x:c r="B255" s="23" t="s">
        <x:v>53</x:v>
      </x:c>
      <x:c r="C255" s="23" t="s">
        <x:v>16</x:v>
      </x:c>
      <x:c r="D255" s="23" t="s">
        <x:v>140</x:v>
      </x:c>
      <x:c r="E255" s="23" t="s">
        <x:v>195</x:v>
      </x:c>
      <x:c r="F255" s="23">
        <x:v>10</x:v>
      </x:c>
      <x:c r="G255" s="23">
        <x:v>5</x:v>
      </x:c>
      <x:c r="H255" s="23">
        <x:v>12</x:v>
      </x:c>
      <x:c r="I255" s="23">
        <x:v>6418</x:v>
      </x:c>
      <x:c r="J255" s="23">
        <x:v>7407</x:v>
      </x:c>
      <x:c r="K255" s="23">
        <x:v>1442</x:v>
      </x:c>
      <x:c r="L255" s="23" t="s">
        <x:v>214</x:v>
      </x:c>
      <x:c r="M255" s="23">
        <x:f t="shared" si="3"/>
        <x:v>657</x:v>
      </x:c>
      <x:c r="N255" s="24" t="str">
        <x:f t="array" ref="N255">INDEX('MATCH INFO'!O:O, INT((ROW()-2)/10)+2)</x:f>
        <x:v>260607_ZETA_CB_S3</x:v>
      </x:c>
    </x:row>
    <x:row r="256">
      <x:c r="A256" s="23" t="s">
        <x:v>47</x:v>
      </x:c>
      <x:c r="B256" s="23" t="s">
        <x:v>52</x:v>
      </x:c>
      <x:c r="C256" s="23" t="s">
        <x:v>16</x:v>
      </x:c>
      <x:c r="D256" s="23" t="s">
        <x:v>140</x:v>
      </x:c>
      <x:c r="E256" s="23" t="s">
        <x:v>195</x:v>
      </x:c>
      <x:c r="F256" s="23">
        <x:v>14</x:v>
      </x:c>
      <x:c r="G256" s="23">
        <x:v>3</x:v>
      </x:c>
      <x:c r="H256" s="23">
        <x:v>15</x:v>
      </x:c>
      <x:c r="I256" s="23">
        <x:v>2611</x:v>
      </x:c>
      <x:c r="J256" s="23">
        <x:v>11316</x:v>
      </x:c>
      <x:c r="K256" s="23">
        <x:v>0</x:v>
      </x:c>
      <x:c r="L256" s="23" t="s">
        <x:v>214</x:v>
      </x:c>
      <x:c r="M256" s="23">
        <x:f t="shared" si="3"/>
        <x:v>657</x:v>
      </x:c>
      <x:c r="N256" s="24" t="str">
        <x:f t="array" ref="N256">INDEX('MATCH INFO'!O:O, INT((ROW()-2)/10)+2)</x:f>
        <x:v>260607_ZETA_CB_S3</x:v>
      </x:c>
    </x:row>
    <x:row r="257">
      <x:c r="A257" s="23" t="s">
        <x:v>31</x:v>
      </x:c>
      <x:c r="B257" s="23" t="s">
        <x:v>34</x:v>
      </x:c>
      <x:c r="C257" s="23" t="s">
        <x:v>11</x:v>
      </x:c>
      <x:c r="D257" s="23" t="s">
        <x:v>140</x:v>
      </x:c>
      <x:c r="E257" s="23" t="s">
        <x:v>195</x:v>
      </x:c>
      <x:c r="F257" s="23">
        <x:v>9</x:v>
      </x:c>
      <x:c r="G257" s="23">
        <x:v>6</x:v>
      </x:c>
      <x:c r="H257" s="23">
        <x:v>0</x:v>
      </x:c>
      <x:c r="I257" s="23">
        <x:v>10271</x:v>
      </x:c>
      <x:c r="J257" s="23">
        <x:v>1155</x:v>
      </x:c>
      <x:c r="K257" s="23">
        <x:v>0</x:v>
      </x:c>
      <x:c r="L257" s="23" t="s">
        <x:v>214</x:v>
      </x:c>
      <x:c r="M257" s="23">
        <x:f t="shared" si="3"/>
        <x:v>657</x:v>
      </x:c>
      <x:c r="N257" s="24" t="str">
        <x:f t="array" ref="N257">INDEX('MATCH INFO'!O:O, INT((ROW()-2)/10)+2)</x:f>
        <x:v>260607_ZETA_CB_S3</x:v>
      </x:c>
    </x:row>
    <x:row r="258">
      <x:c r="A258" s="23" t="s">
        <x:v>31</x:v>
      </x:c>
      <x:c r="B258" s="23" t="s">
        <x:v>32</x:v>
      </x:c>
      <x:c r="C258" s="23" t="s">
        <x:v>8</x:v>
      </x:c>
      <x:c r="D258" s="23" t="s">
        <x:v>140</x:v>
      </x:c>
      <x:c r="E258" s="23" t="s">
        <x:v>195</x:v>
      </x:c>
      <x:c r="F258" s="23">
        <x:v>11</x:v>
      </x:c>
      <x:c r="G258" s="23">
        <x:v>6</x:v>
      </x:c>
      <x:c r="H258" s="23">
        <x:v>5</x:v>
      </x:c>
      <x:c r="I258" s="23">
        <x:v>7840</x:v>
      </x:c>
      <x:c r="J258" s="23">
        <x:v>1258</x:v>
      </x:c>
      <x:c r="K258" s="23">
        <x:v>4245</x:v>
      </x:c>
      <x:c r="L258" s="23" t="s">
        <x:v>214</x:v>
      </x:c>
      <x:c r="M258" s="23" t="e">
        <x:f t="shared" ref="M258:M291" si="4">L258*86400</x:f>
        <x:v>#VALUE!</x:v>
      </x:c>
      <x:c r="N258" s="24" t="str">
        <x:f t="array" ref="N258">INDEX('MATCH INFO'!O:O, INT((ROW()-2)/10)+2)</x:f>
        <x:v>260607_ZETA_CB_S3</x:v>
      </x:c>
    </x:row>
    <x:row r="259">
      <x:c r="A259" s="23" t="s">
        <x:v>31</x:v>
      </x:c>
      <x:c r="B259" s="23" t="s">
        <x:v>35</x:v>
      </x:c>
      <x:c r="C259" s="23" t="s">
        <x:v>11</x:v>
      </x:c>
      <x:c r="D259" s="23" t="s">
        <x:v>140</x:v>
      </x:c>
      <x:c r="E259" s="23" t="s">
        <x:v>195</x:v>
      </x:c>
      <x:c r="F259" s="23">
        <x:v>11</x:v>
      </x:c>
      <x:c r="G259" s="23">
        <x:v>8</x:v>
      </x:c>
      <x:c r="H259" s="23">
        <x:v>1</x:v>
      </x:c>
      <x:c r="I259" s="23">
        <x:v>14719</x:v>
      </x:c>
      <x:c r="J259" s="23">
        <x:v>365</x:v>
      </x:c>
      <x:c r="K259" s="23">
        <x:v>1665</x:v>
      </x:c>
      <x:c r="L259" s="23" t="s">
        <x:v>214</x:v>
      </x:c>
      <x:c r="M259" s="23">
        <x:f t="shared" si="4"/>
        <x:v>657</x:v>
      </x:c>
      <x:c r="N259" s="24" t="str">
        <x:f t="array" ref="N259">INDEX('MATCH INFO'!O:O, INT((ROW()-2)/10)+2)</x:f>
        <x:v>260607_ZETA_CB_S3</x:v>
      </x:c>
    </x:row>
    <x:row r="260">
      <x:c r="A260" s="23" t="s">
        <x:v>31</x:v>
      </x:c>
      <x:c r="B260" s="23" t="s">
        <x:v>36</x:v>
      </x:c>
      <x:c r="C260" s="23" t="s">
        <x:v>16</x:v>
      </x:c>
      <x:c r="D260" s="23" t="s">
        <x:v>140</x:v>
      </x:c>
      <x:c r="E260" s="23" t="s">
        <x:v>195</x:v>
      </x:c>
      <x:c r="F260" s="23">
        <x:v>10</x:v>
      </x:c>
      <x:c r="G260" s="23">
        <x:v>3</x:v>
      </x:c>
      <x:c r="H260" s="23">
        <x:v>10</x:v>
      </x:c>
      <x:c r="I260" s="23">
        <x:v>1636</x:v>
      </x:c>
      <x:c r="J260" s="23">
        <x:v>11212</x:v>
      </x:c>
      <x:c r="K260" s="23">
        <x:v>0</x:v>
      </x:c>
      <x:c r="L260" s="23" t="s">
        <x:v>214</x:v>
      </x:c>
      <x:c r="M260" s="23">
        <x:f t="shared" si="4"/>
        <x:v>657</x:v>
      </x:c>
      <x:c r="N260" s="24" t="str">
        <x:f t="array" ref="N260">INDEX('MATCH INFO'!O:O, INT((ROW()-2)/10)+2)</x:f>
        <x:v>260607_ZETA_CB_S3</x:v>
      </x:c>
    </x:row>
    <x:row r="261">
      <x:c r="A261" s="23" t="s">
        <x:v>31</x:v>
      </x:c>
      <x:c r="B261" s="23" t="s">
        <x:v>37</x:v>
      </x:c>
      <x:c r="C261" s="23" t="s">
        <x:v>16</x:v>
      </x:c>
      <x:c r="D261" s="23" t="s">
        <x:v>140</x:v>
      </x:c>
      <x:c r="E261" s="23" t="s">
        <x:v>195</x:v>
      </x:c>
      <x:c r="F261" s="23">
        <x:v>7</x:v>
      </x:c>
      <x:c r="G261" s="23">
        <x:v>8</x:v>
      </x:c>
      <x:c r="H261" s="23">
        <x:v>7</x:v>
      </x:c>
      <x:c r="I261" s="23">
        <x:v>5291</x:v>
      </x:c>
      <x:c r="J261" s="23">
        <x:v>7611</x:v>
      </x:c>
      <x:c r="K261" s="23">
        <x:v>1108</x:v>
      </x:c>
      <x:c r="L261" s="23" t="s">
        <x:v>214</x:v>
      </x:c>
      <x:c r="M261" s="23">
        <x:f t="shared" si="4"/>
        <x:v>657</x:v>
      </x:c>
      <x:c r="N261" s="24" t="str">
        <x:f t="array" ref="N261">INDEX('MATCH INFO'!O:O, INT((ROW()-2)/10)+2)</x:f>
        <x:v>260607_ZETA_CB_S3</x:v>
      </x:c>
    </x:row>
    <x:row r="262">
      <x:c r="A262" s="23" t="s">
        <x:v>55</x:v>
      </x:c>
      <x:c r="B262" s="23" t="s">
        <x:v>61</x:v>
      </x:c>
      <x:c r="C262" s="23" t="s">
        <x:v>16</x:v>
      </x:c>
      <x:c r="D262" s="23" t="s">
        <x:v>107</x:v>
      </x:c>
      <x:c r="E262" s="23" t="s">
        <x:v>184</x:v>
      </x:c>
      <x:c r="F262" s="23">
        <x:v>14</x:v>
      </x:c>
      <x:c r="G262" s="23">
        <x:v>3</x:v>
      </x:c>
      <x:c r="H262" s="23">
        <x:v>18</x:v>
      </x:c>
      <x:c r="I262" s="23">
        <x:v>2794</x:v>
      </x:c>
      <x:c r="J262" s="23">
        <x:v>6919</x:v>
      </x:c>
      <x:c r="K262" s="23">
        <x:v>0</x:v>
      </x:c>
      <x:c r="L262" s="23" t="s">
        <x:v>215</x:v>
      </x:c>
      <x:c r="M262" s="23">
        <x:f t="shared" si="4"/>
        <x:v>538</x:v>
      </x:c>
      <x:c r="N262" s="24" t="str">
        <x:f t="array" ref="N262">INDEX('MATCH INFO'!O:O, INT((ROW()-2)/10)+2)</x:f>
        <x:v>260607_CR_PF_S1</x:v>
      </x:c>
    </x:row>
    <x:row r="263">
      <x:c r="A263" s="23" t="s">
        <x:v>55</x:v>
      </x:c>
      <x:c r="B263" s="23" t="s">
        <x:v>58</x:v>
      </x:c>
      <x:c r="C263" s="23" t="s">
        <x:v>11</x:v>
      </x:c>
      <x:c r="D263" s="23" t="s">
        <x:v>107</x:v>
      </x:c>
      <x:c r="E263" s="23" t="s">
        <x:v>184</x:v>
      </x:c>
      <x:c r="F263" s="23">
        <x:v>18</x:v>
      </x:c>
      <x:c r="G263" s="23">
        <x:v>4</x:v>
      </x:c>
      <x:c r="H263" s="23">
        <x:v>3</x:v>
      </x:c>
      <x:c r="I263" s="23">
        <x:v>9048</x:v>
      </x:c>
      <x:c r="J263" s="23">
        <x:v>188</x:v>
      </x:c>
      <x:c r="K263" s="23">
        <x:v>668</x:v>
      </x:c>
      <x:c r="L263" s="23" t="s">
        <x:v>215</x:v>
      </x:c>
      <x:c r="M263" s="23">
        <x:f t="shared" si="4"/>
        <x:v>538</x:v>
      </x:c>
      <x:c r="N263" s="24" t="str">
        <x:f t="array" ref="N263">INDEX('MATCH INFO'!O:O, INT((ROW()-2)/10)+2)</x:f>
        <x:v>260607_CR_PF_S1</x:v>
      </x:c>
    </x:row>
    <x:row r="264">
      <x:c r="A264" s="23" t="s">
        <x:v>55</x:v>
      </x:c>
      <x:c r="B264" s="23" t="s">
        <x:v>59</x:v>
      </x:c>
      <x:c r="C264" s="23" t="s">
        <x:v>11</x:v>
      </x:c>
      <x:c r="D264" s="23" t="s">
        <x:v>107</x:v>
      </x:c>
      <x:c r="E264" s="23" t="s">
        <x:v>184</x:v>
      </x:c>
      <x:c r="F264" s="23">
        <x:v>21</x:v>
      </x:c>
      <x:c r="G264" s="23">
        <x:v>4</x:v>
      </x:c>
      <x:c r="H264" s="23">
        <x:v>2</x:v>
      </x:c>
      <x:c r="I264" s="23">
        <x:v>10890</x:v>
      </x:c>
      <x:c r="J264" s="23">
        <x:v>232</x:v>
      </x:c>
      <x:c r="K264" s="23">
        <x:v>170</x:v>
      </x:c>
      <x:c r="L264" s="23" t="s">
        <x:v>215</x:v>
      </x:c>
      <x:c r="M264" s="23">
        <x:f t="shared" si="4"/>
        <x:v>538</x:v>
      </x:c>
      <x:c r="N264" s="24" t="str">
        <x:f t="array" ref="N264">INDEX('MATCH INFO'!O:O, INT((ROW()-2)/10)+2)</x:f>
        <x:v>260607_CR_PF_S1</x:v>
      </x:c>
    </x:row>
    <x:row r="265">
      <x:c r="A265" s="23" t="s">
        <x:v>55</x:v>
      </x:c>
      <x:c r="B265" s="23" t="s">
        <x:v>57</x:v>
      </x:c>
      <x:c r="C265" s="23" t="s">
        <x:v>8</x:v>
      </x:c>
      <x:c r="D265" s="23" t="s">
        <x:v>107</x:v>
      </x:c>
      <x:c r="E265" s="23" t="s">
        <x:v>184</x:v>
      </x:c>
      <x:c r="F265" s="23">
        <x:v>14</x:v>
      </x:c>
      <x:c r="G265" s="23">
        <x:v>1</x:v>
      </x:c>
      <x:c r="H265" s="23">
        <x:v>4</x:v>
      </x:c>
      <x:c r="I265" s="23">
        <x:v>5519</x:v>
      </x:c>
      <x:c r="J265" s="23">
        <x:v>1013</x:v>
      </x:c>
      <x:c r="K265" s="23">
        <x:v>8298</x:v>
      </x:c>
      <x:c r="L265" s="23" t="s">
        <x:v>215</x:v>
      </x:c>
      <x:c r="M265" s="23">
        <x:f t="shared" si="4"/>
        <x:v>538</x:v>
      </x:c>
      <x:c r="N265" s="24" t="str">
        <x:f t="array" ref="N265">INDEX('MATCH INFO'!O:O, INT((ROW()-2)/10)+2)</x:f>
        <x:v>260607_CR_PF_S1</x:v>
      </x:c>
    </x:row>
    <x:row r="266">
      <x:c r="A266" s="23" t="s">
        <x:v>55</x:v>
      </x:c>
      <x:c r="B266" s="23" t="s">
        <x:v>62</x:v>
      </x:c>
      <x:c r="C266" s="23" t="s">
        <x:v>16</x:v>
      </x:c>
      <x:c r="D266" s="23" t="s">
        <x:v>107</x:v>
      </x:c>
      <x:c r="E266" s="23" t="s">
        <x:v>184</x:v>
      </x:c>
      <x:c r="F266" s="23">
        <x:v>11</x:v>
      </x:c>
      <x:c r="G266" s="23">
        <x:v>7</x:v>
      </x:c>
      <x:c r="H266" s="23">
        <x:v>13</x:v>
      </x:c>
      <x:c r="I266" s="23">
        <x:v>4568</x:v>
      </x:c>
      <x:c r="J266" s="23">
        <x:v>4864</x:v>
      </x:c>
      <x:c r="K266" s="23">
        <x:v>223</x:v>
      </x:c>
      <x:c r="L266" s="23" t="s">
        <x:v>215</x:v>
      </x:c>
      <x:c r="M266" s="23">
        <x:f t="shared" si="4"/>
        <x:v>538</x:v>
      </x:c>
      <x:c r="N266" s="24" t="str">
        <x:f t="array" ref="N266">INDEX('MATCH INFO'!O:O, INT((ROW()-2)/10)+2)</x:f>
        <x:v>260607_CR_PF_S1</x:v>
      </x:c>
    </x:row>
    <x:row r="267">
      <x:c r="A267" s="23" t="s">
        <x:v>39</x:v>
      </x:c>
      <x:c r="B267" s="23" t="s">
        <x:v>45</x:v>
      </x:c>
      <x:c r="C267" s="23" t="s">
        <x:v>16</x:v>
      </x:c>
      <x:c r="D267" s="23" t="s">
        <x:v>107</x:v>
      </x:c>
      <x:c r="E267" s="23" t="s">
        <x:v>184</x:v>
      </x:c>
      <x:c r="F267" s="23">
        <x:v>6</x:v>
      </x:c>
      <x:c r="G267" s="23">
        <x:v>4</x:v>
      </x:c>
      <x:c r="H267" s="23">
        <x:v>4</x:v>
      </x:c>
      <x:c r="I267" s="23">
        <x:v>2534</x:v>
      </x:c>
      <x:c r="J267" s="23">
        <x:v>8317</x:v>
      </x:c>
      <x:c r="K267" s="23">
        <x:v>0</x:v>
      </x:c>
      <x:c r="L267" s="23" t="s">
        <x:v>215</x:v>
      </x:c>
      <x:c r="M267" s="23">
        <x:f t="shared" si="4"/>
        <x:v>538</x:v>
      </x:c>
      <x:c r="N267" s="24" t="str">
        <x:f t="array" ref="N267">INDEX('MATCH INFO'!O:O, INT((ROW()-2)/10)+2)</x:f>
        <x:v>260607_CR_PF_S1</x:v>
      </x:c>
    </x:row>
    <x:row r="268">
      <x:c r="A268" s="23" t="s">
        <x:v>39</x:v>
      </x:c>
      <x:c r="B268" s="23" t="s">
        <x:v>42</x:v>
      </x:c>
      <x:c r="C268" s="23" t="s">
        <x:v>11</x:v>
      </x:c>
      <x:c r="D268" s="23" t="s">
        <x:v>107</x:v>
      </x:c>
      <x:c r="E268" s="23" t="s">
        <x:v>184</x:v>
      </x:c>
      <x:c r="F268" s="23">
        <x:v>8</x:v>
      </x:c>
      <x:c r="G268" s="23">
        <x:v>8</x:v>
      </x:c>
      <x:c r="H268" s="23">
        <x:v>0</x:v>
      </x:c>
      <x:c r="I268" s="23">
        <x:v>4490</x:v>
      </x:c>
      <x:c r="J268" s="23">
        <x:v>224</x:v>
      </x:c>
      <x:c r="K268" s="23">
        <x:v>0</x:v>
      </x:c>
      <x:c r="L268" s="23" t="s">
        <x:v>215</x:v>
      </x:c>
      <x:c r="M268" s="23">
        <x:f t="shared" si="4"/>
        <x:v>538</x:v>
      </x:c>
      <x:c r="N268" s="24" t="str">
        <x:f t="array" ref="N268">INDEX('MATCH INFO'!O:O, INT((ROW()-2)/10)+2)</x:f>
        <x:v>260607_CR_PF_S1</x:v>
      </x:c>
    </x:row>
    <x:row r="269">
      <x:c r="A269" s="23" t="s">
        <x:v>39</x:v>
      </x:c>
      <x:c r="B269" s="23" t="s">
        <x:v>40</x:v>
      </x:c>
      <x:c r="C269" s="23" t="s">
        <x:v>8</x:v>
      </x:c>
      <x:c r="D269" s="23" t="s">
        <x:v>107</x:v>
      </x:c>
      <x:c r="E269" s="23" t="s">
        <x:v>184</x:v>
      </x:c>
      <x:c r="F269" s="23">
        <x:v>7</x:v>
      </x:c>
      <x:c r="G269" s="23">
        <x:v>7</x:v>
      </x:c>
      <x:c r="H269" s="23">
        <x:v>2</x:v>
      </x:c>
      <x:c r="I269" s="23">
        <x:v>5533</x:v>
      </x:c>
      <x:c r="J269" s="23">
        <x:v>1123</x:v>
      </x:c>
      <x:c r="K269" s="23">
        <x:v>2883</x:v>
      </x:c>
      <x:c r="L269" s="23" t="s">
        <x:v>215</x:v>
      </x:c>
      <x:c r="M269" s="23">
        <x:f t="shared" si="4"/>
        <x:v>538</x:v>
      </x:c>
      <x:c r="N269" s="24" t="str">
        <x:f t="array" ref="N269">INDEX('MATCH INFO'!O:O, INT((ROW()-2)/10)+2)</x:f>
        <x:v>260607_CR_PF_S1</x:v>
      </x:c>
    </x:row>
    <x:row r="270">
      <x:c r="A270" s="23" t="s">
        <x:v>39</x:v>
      </x:c>
      <x:c r="B270" s="23" t="s">
        <x:v>43</x:v>
      </x:c>
      <x:c r="C270" s="23" t="s">
        <x:v>11</x:v>
      </x:c>
      <x:c r="D270" s="23" t="s">
        <x:v>107</x:v>
      </x:c>
      <x:c r="E270" s="23" t="s">
        <x:v>184</x:v>
      </x:c>
      <x:c r="F270" s="23">
        <x:v>8</x:v>
      </x:c>
      <x:c r="G270" s="23">
        <x:v>8</x:v>
      </x:c>
      <x:c r="H270" s="23">
        <x:v>1</x:v>
      </x:c>
      <x:c r="I270" s="23">
        <x:v>8021</x:v>
      </x:c>
      <x:c r="J270" s="23">
        <x:v>272</x:v>
      </x:c>
      <x:c r="K270" s="23">
        <x:v>947</x:v>
      </x:c>
      <x:c r="L270" s="23" t="s">
        <x:v>215</x:v>
      </x:c>
      <x:c r="M270" s="23">
        <x:f t="shared" si="4"/>
        <x:v>538</x:v>
      </x:c>
      <x:c r="N270" s="24" t="str">
        <x:f t="array" ref="N270">INDEX('MATCH INFO'!O:O, INT((ROW()-2)/10)+2)</x:f>
        <x:v>260607_CR_PF_S1</x:v>
      </x:c>
    </x:row>
    <x:row r="271">
      <x:c r="A271" s="23" t="s">
        <x:v>39</x:v>
      </x:c>
      <x:c r="B271" s="23" t="s">
        <x:v>44</x:v>
      </x:c>
      <x:c r="C271" s="23" t="s">
        <x:v>16</x:v>
      </x:c>
      <x:c r="D271" s="23" t="s">
        <x:v>107</x:v>
      </x:c>
      <x:c r="E271" s="23" t="s">
        <x:v>184</x:v>
      </x:c>
      <x:c r="F271" s="23">
        <x:v>9</x:v>
      </x:c>
      <x:c r="G271" s="23">
        <x:v>7</x:v>
      </x:c>
      <x:c r="H271" s="23">
        <x:v>5</x:v>
      </x:c>
      <x:c r="I271" s="23">
        <x:v>2122</x:v>
      </x:c>
      <x:c r="J271" s="23">
        <x:v>5691</x:v>
      </x:c>
      <x:c r="K271" s="23">
        <x:v>0</x:v>
      </x:c>
      <x:c r="L271" s="23" t="s">
        <x:v>215</x:v>
      </x:c>
      <x:c r="M271" s="23">
        <x:f t="shared" si="4"/>
        <x:v>538</x:v>
      </x:c>
      <x:c r="N271" s="24" t="str">
        <x:f t="array" ref="N271">INDEX('MATCH INFO'!O:O, INT((ROW()-2)/10)+2)</x:f>
        <x:v>260607_CR_PF_S1</x:v>
      </x:c>
    </x:row>
    <x:row r="272">
      <x:c r="A272" s="23" t="s">
        <x:v>39</x:v>
      </x:c>
      <x:c r="B272" s="23" t="s">
        <x:v>45</x:v>
      </x:c>
      <x:c r="C272" s="23" t="s">
        <x:v>16</x:v>
      </x:c>
      <x:c r="D272" s="23" t="s">
        <x:v>110</x:v>
      </x:c>
      <x:c r="E272" s="23" t="s">
        <x:v>186</x:v>
      </x:c>
      <x:c r="F272" s="23">
        <x:v>3</x:v>
      </x:c>
      <x:c r="G272" s="23">
        <x:v>8</x:v>
      </x:c>
      <x:c r="H272" s="23">
        <x:v>18</x:v>
      </x:c>
      <x:c r="I272" s="23">
        <x:v>2681</x:v>
      </x:c>
      <x:c r="J272" s="23">
        <x:v>13855</x:v>
      </x:c>
      <x:c r="K272" s="23">
        <x:v>0</x:v>
      </x:c>
      <x:c r="L272" s="23" t="s">
        <x:v>216</x:v>
      </x:c>
      <x:c r="M272" s="23">
        <x:f t="shared" si="4"/>
        <x:v>630</x:v>
      </x:c>
      <x:c r="N272" s="24" t="str">
        <x:f t="array" ref="N272">INDEX('MATCH INFO'!O:O, INT((ROW()-2)/10)+2)</x:f>
        <x:v>260607_CR_PF_S2</x:v>
      </x:c>
    </x:row>
    <x:row r="273">
      <x:c r="A273" s="23" t="s">
        <x:v>39</x:v>
      </x:c>
      <x:c r="B273" s="23" t="s">
        <x:v>42</x:v>
      </x:c>
      <x:c r="C273" s="23" t="s">
        <x:v>11</x:v>
      </x:c>
      <x:c r="D273" s="23" t="s">
        <x:v>110</x:v>
      </x:c>
      <x:c r="E273" s="23" t="s">
        <x:v>186</x:v>
      </x:c>
      <x:c r="F273" s="23">
        <x:v>8</x:v>
      </x:c>
      <x:c r="G273" s="23">
        <x:v>8</x:v>
      </x:c>
      <x:c r="H273" s="23">
        <x:v>2</x:v>
      </x:c>
      <x:c r="I273" s="23">
        <x:v>7845</x:v>
      </x:c>
      <x:c r="J273" s="23">
        <x:v>33</x:v>
      </x:c>
      <x:c r="K273" s="23">
        <x:v>1773</x:v>
      </x:c>
      <x:c r="L273" s="23" t="s">
        <x:v>216</x:v>
      </x:c>
      <x:c r="M273" s="23">
        <x:f t="shared" si="4"/>
        <x:v>630</x:v>
      </x:c>
      <x:c r="N273" s="24" t="str">
        <x:f t="array" ref="N273">INDEX('MATCH INFO'!O:O, INT((ROW()-2)/10)+2)</x:f>
        <x:v>260607_CR_PF_S2</x:v>
      </x:c>
    </x:row>
    <x:row r="274">
      <x:c r="A274" s="23" t="s">
        <x:v>39</x:v>
      </x:c>
      <x:c r="B274" s="23" t="s">
        <x:v>40</x:v>
      </x:c>
      <x:c r="C274" s="23" t="s">
        <x:v>8</x:v>
      </x:c>
      <x:c r="D274" s="23" t="s">
        <x:v>110</x:v>
      </x:c>
      <x:c r="E274" s="23" t="s">
        <x:v>186</x:v>
      </x:c>
      <x:c r="F274" s="23">
        <x:v>9</x:v>
      </x:c>
      <x:c r="G274" s="23">
        <x:v>6</x:v>
      </x:c>
      <x:c r="H274" s="23">
        <x:v>2</x:v>
      </x:c>
      <x:c r="I274" s="23">
        <x:v>9591</x:v>
      </x:c>
      <x:c r="J274" s="23">
        <x:v>0</x:v>
      </x:c>
      <x:c r="K274" s="23">
        <x:v>18423</x:v>
      </x:c>
      <x:c r="L274" s="23" t="s">
        <x:v>216</x:v>
      </x:c>
      <x:c r="M274" s="23">
        <x:f t="shared" si="4"/>
        <x:v>630</x:v>
      </x:c>
      <x:c r="N274" s="24" t="str">
        <x:f t="array" ref="N274">INDEX('MATCH INFO'!O:O, INT((ROW()-2)/10)+2)</x:f>
        <x:v>260607_CR_PF_S2</x:v>
      </x:c>
    </x:row>
    <x:row r="275">
      <x:c r="A275" s="23" t="s">
        <x:v>39</x:v>
      </x:c>
      <x:c r="B275" s="23" t="s">
        <x:v>43</x:v>
      </x:c>
      <x:c r="C275" s="23" t="s">
        <x:v>11</x:v>
      </x:c>
      <x:c r="D275" s="23" t="s">
        <x:v>110</x:v>
      </x:c>
      <x:c r="E275" s="23" t="s">
        <x:v>186</x:v>
      </x:c>
      <x:c r="F275" s="23">
        <x:v>15</x:v>
      </x:c>
      <x:c r="G275" s="23">
        <x:v>7</x:v>
      </x:c>
      <x:c r="H275" s="23">
        <x:v>0</x:v>
      </x:c>
      <x:c r="I275" s="23">
        <x:v>9979</x:v>
      </x:c>
      <x:c r="J275" s="23">
        <x:v>0</x:v>
      </x:c>
      <x:c r="K275" s="23">
        <x:v>0</x:v>
      </x:c>
      <x:c r="L275" s="23" t="s">
        <x:v>216</x:v>
      </x:c>
      <x:c r="M275" s="23">
        <x:f t="shared" si="4"/>
        <x:v>630</x:v>
      </x:c>
      <x:c r="N275" s="24" t="str">
        <x:f t="array" ref="N275">INDEX('MATCH INFO'!O:O, INT((ROW()-2)/10)+2)</x:f>
        <x:v>260607_CR_PF_S2</x:v>
      </x:c>
    </x:row>
    <x:row r="276">
      <x:c r="A276" s="23" t="s">
        <x:v>39</x:v>
      </x:c>
      <x:c r="B276" s="23" t="s">
        <x:v>44</x:v>
      </x:c>
      <x:c r="C276" s="23" t="s">
        <x:v>16</x:v>
      </x:c>
      <x:c r="D276" s="23" t="s">
        <x:v>110</x:v>
      </x:c>
      <x:c r="E276" s="23" t="s">
        <x:v>186</x:v>
      </x:c>
      <x:c r="F276" s="23">
        <x:v>11</x:v>
      </x:c>
      <x:c r="G276" s="23">
        <x:v>6</x:v>
      </x:c>
      <x:c r="H276" s="23">
        <x:v>9</x:v>
      </x:c>
      <x:c r="I276" s="23">
        <x:v>3940</x:v>
      </x:c>
      <x:c r="J276" s="23">
        <x:v>6797</x:v>
      </x:c>
      <x:c r="K276" s="23">
        <x:v>1574</x:v>
      </x:c>
      <x:c r="L276" s="23" t="s">
        <x:v>216</x:v>
      </x:c>
      <x:c r="M276" s="23">
        <x:f t="shared" si="4"/>
        <x:v>630</x:v>
      </x:c>
      <x:c r="N276" s="24" t="str">
        <x:f t="array" ref="N276">INDEX('MATCH INFO'!O:O, INT((ROW()-2)/10)+2)</x:f>
        <x:v>260607_CR_PF_S2</x:v>
      </x:c>
    </x:row>
    <x:row r="277">
      <x:c r="A277" s="23" t="s">
        <x:v>55</x:v>
      </x:c>
      <x:c r="B277" s="23" t="s">
        <x:v>61</x:v>
      </x:c>
      <x:c r="C277" s="23" t="s">
        <x:v>16</x:v>
      </x:c>
      <x:c r="D277" s="23" t="s">
        <x:v>110</x:v>
      </x:c>
      <x:c r="E277" s="23" t="s">
        <x:v>186</x:v>
      </x:c>
      <x:c r="F277" s="23">
        <x:v>12</x:v>
      </x:c>
      <x:c r="G277" s="23">
        <x:v>4</x:v>
      </x:c>
      <x:c r="H277" s="23">
        <x:v>15</x:v>
      </x:c>
      <x:c r="I277" s="23">
        <x:v>3941</x:v>
      </x:c>
      <x:c r="J277" s="23">
        <x:v>5220</x:v>
      </x:c>
      <x:c r="K277" s="23">
        <x:v>827</x:v>
      </x:c>
      <x:c r="L277" s="23" t="s">
        <x:v>216</x:v>
      </x:c>
      <x:c r="M277" s="23">
        <x:f t="shared" si="4"/>
        <x:v>630</x:v>
      </x:c>
      <x:c r="N277" s="24" t="str">
        <x:f t="array" ref="N277">INDEX('MATCH INFO'!O:O, INT((ROW()-2)/10)+2)</x:f>
        <x:v>260607_CR_PF_S2</x:v>
      </x:c>
    </x:row>
    <x:row r="278">
      <x:c r="A278" s="23" t="s">
        <x:v>55</x:v>
      </x:c>
      <x:c r="B278" s="23" t="s">
        <x:v>58</x:v>
      </x:c>
      <x:c r="C278" s="23" t="s">
        <x:v>11</x:v>
      </x:c>
      <x:c r="D278" s="23" t="s">
        <x:v>110</x:v>
      </x:c>
      <x:c r="E278" s="23" t="s">
        <x:v>186</x:v>
      </x:c>
      <x:c r="F278" s="23">
        <x:v>22</x:v>
      </x:c>
      <x:c r="G278" s="23">
        <x:v>3</x:v>
      </x:c>
      <x:c r="H278" s="23">
        <x:v>8</x:v>
      </x:c>
      <x:c r="I278" s="23">
        <x:v>11970</x:v>
      </x:c>
      <x:c r="J278" s="23">
        <x:v>61</x:v>
      </x:c>
      <x:c r="K278" s="23">
        <x:v>0</x:v>
      </x:c>
      <x:c r="L278" s="23" t="s">
        <x:v>216</x:v>
      </x:c>
      <x:c r="M278" s="23">
        <x:f t="shared" si="4"/>
        <x:v>630</x:v>
      </x:c>
      <x:c r="N278" s="24" t="str">
        <x:f t="array" ref="N278">INDEX('MATCH INFO'!O:O, INT((ROW()-2)/10)+2)</x:f>
        <x:v>260607_CR_PF_S2</x:v>
      </x:c>
    </x:row>
    <x:row r="279">
      <x:c r="A279" s="23" t="s">
        <x:v>55</x:v>
      </x:c>
      <x:c r="B279" s="23" t="s">
        <x:v>59</x:v>
      </x:c>
      <x:c r="C279" s="23" t="s">
        <x:v>11</x:v>
      </x:c>
      <x:c r="D279" s="23" t="s">
        <x:v>110</x:v>
      </x:c>
      <x:c r="E279" s="23" t="s">
        <x:v>186</x:v>
      </x:c>
      <x:c r="F279" s="23">
        <x:v>17</x:v>
      </x:c>
      <x:c r="G279" s="23">
        <x:v>7</x:v>
      </x:c>
      <x:c r="H279" s="23">
        <x:v>0</x:v>
      </x:c>
      <x:c r="I279" s="23">
        <x:v>9234</x:v>
      </x:c>
      <x:c r="J279" s="23">
        <x:v>0</x:v>
      </x:c>
      <x:c r="K279" s="23">
        <x:v>0</x:v>
      </x:c>
      <x:c r="L279" s="23" t="s">
        <x:v>216</x:v>
      </x:c>
      <x:c r="M279" s="23">
        <x:f t="shared" si="4"/>
        <x:v>630</x:v>
      </x:c>
      <x:c r="N279" s="24" t="str">
        <x:f t="array" ref="N279">INDEX('MATCH INFO'!O:O, INT((ROW()-2)/10)+2)</x:f>
        <x:v>260607_CR_PF_S2</x:v>
      </x:c>
    </x:row>
    <x:row r="280">
      <x:c r="A280" s="23" t="s">
        <x:v>55</x:v>
      </x:c>
      <x:c r="B280" s="23" t="s">
        <x:v>57</x:v>
      </x:c>
      <x:c r="C280" s="23" t="s">
        <x:v>8</x:v>
      </x:c>
      <x:c r="D280" s="23" t="s">
        <x:v>110</x:v>
      </x:c>
      <x:c r="E280" s="23" t="s">
        <x:v>186</x:v>
      </x:c>
      <x:c r="F280" s="23">
        <x:v>22</x:v>
      </x:c>
      <x:c r="G280" s="23">
        <x:v>2</x:v>
      </x:c>
      <x:c r="H280" s="23">
        <x:v>6</x:v>
      </x:c>
      <x:c r="I280" s="23">
        <x:v>9845</x:v>
      </x:c>
      <x:c r="J280" s="23">
        <x:v>1615</x:v>
      </x:c>
      <x:c r="K280" s="23">
        <x:v>15866</x:v>
      </x:c>
      <x:c r="L280" s="23" t="s">
        <x:v>216</x:v>
      </x:c>
      <x:c r="M280" s="23">
        <x:f t="shared" si="4"/>
        <x:v>630</x:v>
      </x:c>
      <x:c r="N280" s="24" t="str">
        <x:f t="array" ref="N280">INDEX('MATCH INFO'!O:O, INT((ROW()-2)/10)+2)</x:f>
        <x:v>260607_CR_PF_S2</x:v>
      </x:c>
    </x:row>
    <x:row r="281">
      <x:c r="A281" s="23" t="s">
        <x:v>55</x:v>
      </x:c>
      <x:c r="B281" s="23" t="s">
        <x:v>62</x:v>
      </x:c>
      <x:c r="C281" s="23" t="s">
        <x:v>16</x:v>
      </x:c>
      <x:c r="D281" s="23" t="s">
        <x:v>110</x:v>
      </x:c>
      <x:c r="E281" s="23" t="s">
        <x:v>186</x:v>
      </x:c>
      <x:c r="F281" s="23">
        <x:v>7</x:v>
      </x:c>
      <x:c r="G281" s="23">
        <x:v>4</x:v>
      </x:c>
      <x:c r="H281" s="23">
        <x:v>20</x:v>
      </x:c>
      <x:c r="I281" s="23">
        <x:v>4298</x:v>
      </x:c>
      <x:c r="J281" s="23">
        <x:v>11702</x:v>
      </x:c>
      <x:c r="K281" s="23">
        <x:v>0</x:v>
      </x:c>
      <x:c r="L281" s="23" t="s">
        <x:v>216</x:v>
      </x:c>
      <x:c r="M281" s="23">
        <x:f t="shared" si="4"/>
        <x:v>630</x:v>
      </x:c>
      <x:c r="N281" s="24" t="str">
        <x:f t="array" ref="N281">INDEX('MATCH INFO'!O:O, INT((ROW()-2)/10)+2)</x:f>
        <x:v>260607_CR_PF_S2</x:v>
      </x:c>
    </x:row>
    <x:row r="282">
      <x:c r="A282" s="23" t="s">
        <x:v>39</x:v>
      </x:c>
      <x:c r="B282" s="23" t="s">
        <x:v>45</x:v>
      </x:c>
      <x:c r="C282" s="23" t="s">
        <x:v>16</x:v>
      </x:c>
      <x:c r="D282" s="23" t="s">
        <x:v>113</x:v>
      </x:c>
      <x:c r="E282" s="23" t="s">
        <x:v>188</x:v>
      </x:c>
      <x:c r="F282" s="23">
        <x:v>4</x:v>
      </x:c>
      <x:c r="G282" s="23">
        <x:v>10</x:v>
      </x:c>
      <x:c r="H282" s="23">
        <x:v>9</x:v>
      </x:c>
      <x:c r="I282" s="23">
        <x:v>3409</x:v>
      </x:c>
      <x:c r="J282" s="23">
        <x:v>5516</x:v>
      </x:c>
      <x:c r="K282" s="23">
        <x:v>0</x:v>
      </x:c>
      <x:c r="L282" s="23" t="s">
        <x:v>217</x:v>
      </x:c>
      <x:c r="M282" s="23">
        <x:f t="shared" si="4"/>
        <x:v>631</x:v>
      </x:c>
      <x:c r="N282" s="24" t="str">
        <x:f t="array" ref="N282">INDEX('MATCH INFO'!O:O, INT((ROW()-2)/10)+2)</x:f>
        <x:v>260607_CR_PF_S3</x:v>
      </x:c>
    </x:row>
    <x:row r="283">
      <x:c r="A283" s="23" t="s">
        <x:v>39</x:v>
      </x:c>
      <x:c r="B283" s="23" t="s">
        <x:v>42</x:v>
      </x:c>
      <x:c r="C283" s="23" t="s">
        <x:v>11</x:v>
      </x:c>
      <x:c r="D283" s="23" t="s">
        <x:v>113</x:v>
      </x:c>
      <x:c r="E283" s="23" t="s">
        <x:v>188</x:v>
      </x:c>
      <x:c r="F283" s="23">
        <x:v>10</x:v>
      </x:c>
      <x:c r="G283" s="23">
        <x:v>9</x:v>
      </x:c>
      <x:c r="H283" s="23">
        <x:v>0</x:v>
      </x:c>
      <x:c r="I283" s="23">
        <x:v>5429</x:v>
      </x:c>
      <x:c r="J283" s="23">
        <x:v>8</x:v>
      </x:c>
      <x:c r="K283" s="23">
        <x:v>0</x:v>
      </x:c>
      <x:c r="L283" s="23" t="s">
        <x:v>217</x:v>
      </x:c>
      <x:c r="M283" s="23">
        <x:f t="shared" si="4"/>
        <x:v>631</x:v>
      </x:c>
      <x:c r="N283" s="24" t="str">
        <x:f t="array" ref="N283">INDEX('MATCH INFO'!O:O, INT((ROW()-2)/10)+2)</x:f>
        <x:v>260607_CR_PF_S3</x:v>
      </x:c>
    </x:row>
    <x:row r="284">
      <x:c r="A284" s="23" t="s">
        <x:v>39</x:v>
      </x:c>
      <x:c r="B284" s="23" t="s">
        <x:v>40</x:v>
      </x:c>
      <x:c r="C284" s="23" t="s">
        <x:v>8</x:v>
      </x:c>
      <x:c r="D284" s="23" t="s">
        <x:v>113</x:v>
      </x:c>
      <x:c r="E284" s="23" t="s">
        <x:v>188</x:v>
      </x:c>
      <x:c r="F284" s="23">
        <x:v>10</x:v>
      </x:c>
      <x:c r="G284" s="23">
        <x:v>6</x:v>
      </x:c>
      <x:c r="H284" s="23">
        <x:v>0</x:v>
      </x:c>
      <x:c r="I284" s="23">
        <x:v>7194</x:v>
      </x:c>
      <x:c r="J284" s="23">
        <x:v>1773</x:v>
      </x:c>
      <x:c r="K284" s="23">
        <x:v>4843</x:v>
      </x:c>
      <x:c r="L284" s="23" t="s">
        <x:v>217</x:v>
      </x:c>
      <x:c r="M284" s="23">
        <x:f t="shared" si="4"/>
        <x:v>631</x:v>
      </x:c>
      <x:c r="N284" s="24" t="str">
        <x:f t="array" ref="N284">INDEX('MATCH INFO'!O:O, INT((ROW()-2)/10)+2)</x:f>
        <x:v>260607_CR_PF_S3</x:v>
      </x:c>
    </x:row>
    <x:row r="285">
      <x:c r="A285" s="23" t="s">
        <x:v>39</x:v>
      </x:c>
      <x:c r="B285" s="23" t="s">
        <x:v>43</x:v>
      </x:c>
      <x:c r="C285" s="23" t="s">
        <x:v>11</x:v>
      </x:c>
      <x:c r="D285" s="23" t="s">
        <x:v>113</x:v>
      </x:c>
      <x:c r="E285" s="23" t="s">
        <x:v>188</x:v>
      </x:c>
      <x:c r="F285" s="23">
        <x:v>14</x:v>
      </x:c>
      <x:c r="G285" s="23">
        <x:v>10</x:v>
      </x:c>
      <x:c r="H285" s="23">
        <x:v>0</x:v>
      </x:c>
      <x:c r="I285" s="23">
        <x:v>12076</x:v>
      </x:c>
      <x:c r="J285" s="23">
        <x:v>0</x:v>
      </x:c>
      <x:c r="K285" s="23">
        <x:v>317</x:v>
      </x:c>
      <x:c r="L285" s="23" t="s">
        <x:v>217</x:v>
      </x:c>
      <x:c r="M285" s="23">
        <x:f t="shared" si="4"/>
        <x:v>631</x:v>
      </x:c>
      <x:c r="N285" s="24" t="str">
        <x:f t="array" ref="N285">INDEX('MATCH INFO'!O:O, INT((ROW()-2)/10)+2)</x:f>
        <x:v>260607_CR_PF_S3</x:v>
      </x:c>
    </x:row>
    <x:row r="286">
      <x:c r="A286" s="23" t="s">
        <x:v>39</x:v>
      </x:c>
      <x:c r="B286" s="23" t="s">
        <x:v>44</x:v>
      </x:c>
      <x:c r="C286" s="23" t="s">
        <x:v>16</x:v>
      </x:c>
      <x:c r="D286" s="23" t="s">
        <x:v>113</x:v>
      </x:c>
      <x:c r="E286" s="23" t="s">
        <x:v>188</x:v>
      </x:c>
      <x:c r="F286" s="23">
        <x:v>4</x:v>
      </x:c>
      <x:c r="G286" s="23">
        <x:v>9</x:v>
      </x:c>
      <x:c r="H286" s="23">
        <x:v>13</x:v>
      </x:c>
      <x:c r="I286" s="23">
        <x:v>3318</x:v>
      </x:c>
      <x:c r="J286" s="23">
        <x:v>6761</x:v>
      </x:c>
      <x:c r="K286" s="23">
        <x:v>4674</x:v>
      </x:c>
      <x:c r="L286" s="23" t="s">
        <x:v>217</x:v>
      </x:c>
      <x:c r="M286" s="23">
        <x:f t="shared" si="4"/>
        <x:v>631</x:v>
      </x:c>
      <x:c r="N286" s="24" t="str">
        <x:f t="array" ref="N286">INDEX('MATCH INFO'!O:O, INT((ROW()-2)/10)+2)</x:f>
        <x:v>260607_CR_PF_S3</x:v>
      </x:c>
    </x:row>
    <x:row r="287">
      <x:c r="A287" s="23" t="s">
        <x:v>55</x:v>
      </x:c>
      <x:c r="B287" s="23" t="s">
        <x:v>61</x:v>
      </x:c>
      <x:c r="C287" s="23" t="s">
        <x:v>16</x:v>
      </x:c>
      <x:c r="D287" s="23" t="s">
        <x:v>113</x:v>
      </x:c>
      <x:c r="E287" s="23" t="s">
        <x:v>188</x:v>
      </x:c>
      <x:c r="F287" s="23">
        <x:v>16</x:v>
      </x:c>
      <x:c r="G287" s="23">
        <x:v>2</x:v>
      </x:c>
      <x:c r="H287" s="23">
        <x:v>19</x:v>
      </x:c>
      <x:c r="I287" s="23">
        <x:v>2685</x:v>
      </x:c>
      <x:c r="J287" s="23">
        <x:v>6585</x:v>
      </x:c>
      <x:c r="K287" s="23">
        <x:v>0</x:v>
      </x:c>
      <x:c r="L287" s="23" t="s">
        <x:v>217</x:v>
      </x:c>
      <x:c r="M287" s="23">
        <x:f t="shared" si="4"/>
        <x:v>631</x:v>
      </x:c>
      <x:c r="N287" s="24" t="str">
        <x:f t="array" ref="N287">INDEX('MATCH INFO'!O:O, INT((ROW()-2)/10)+2)</x:f>
        <x:v>260607_CR_PF_S3</x:v>
      </x:c>
    </x:row>
    <x:row r="288">
      <x:c r="A288" s="23" t="s">
        <x:v>55</x:v>
      </x:c>
      <x:c r="B288" s="23" t="s">
        <x:v>56</x:v>
      </x:c>
      <x:c r="C288" s="23" t="s">
        <x:v>8</x:v>
      </x:c>
      <x:c r="D288" s="23" t="s">
        <x:v>113</x:v>
      </x:c>
      <x:c r="E288" s="23" t="s">
        <x:v>188</x:v>
      </x:c>
      <x:c r="F288" s="23">
        <x:v>29</x:v>
      </x:c>
      <x:c r="G288" s="23">
        <x:v>2</x:v>
      </x:c>
      <x:c r="H288" s="23">
        <x:v>2</x:v>
      </x:c>
      <x:c r="I288" s="23">
        <x:v>8705</x:v>
      </x:c>
      <x:c r="J288" s="23">
        <x:v>2490</x:v>
      </x:c>
      <x:c r="K288" s="23">
        <x:v>4864</x:v>
      </x:c>
      <x:c r="L288" s="23" t="s">
        <x:v>217</x:v>
      </x:c>
      <x:c r="M288" s="23">
        <x:f t="shared" si="4"/>
        <x:v>631</x:v>
      </x:c>
      <x:c r="N288" s="24" t="str">
        <x:f t="array" ref="N288">INDEX('MATCH INFO'!O:O, INT((ROW()-2)/10)+2)</x:f>
        <x:v>260607_CR_PF_S3</x:v>
      </x:c>
    </x:row>
    <x:row r="289">
      <x:c r="A289" s="23" t="s">
        <x:v>55</x:v>
      </x:c>
      <x:c r="B289" s="23" t="s">
        <x:v>59</x:v>
      </x:c>
      <x:c r="C289" s="23" t="s">
        <x:v>11</x:v>
      </x:c>
      <x:c r="D289" s="23" t="s">
        <x:v>113</x:v>
      </x:c>
      <x:c r="E289" s="23" t="s">
        <x:v>188</x:v>
      </x:c>
      <x:c r="F289" s="23">
        <x:v>25</x:v>
      </x:c>
      <x:c r="G289" s="23">
        <x:v>6</x:v>
      </x:c>
      <x:c r="H289" s="23">
        <x:v>10</x:v>
      </x:c>
      <x:c r="I289" s="23">
        <x:v>8840</x:v>
      </x:c>
      <x:c r="J289" s="23">
        <x:v>428</x:v>
      </x:c>
      <x:c r="K289" s="23">
        <x:v>0</x:v>
      </x:c>
      <x:c r="L289" s="23" t="s">
        <x:v>217</x:v>
      </x:c>
      <x:c r="M289" s="23">
        <x:f t="shared" si="4"/>
        <x:v>631</x:v>
      </x:c>
      <x:c r="N289" s="24" t="str">
        <x:f t="array" ref="N289">INDEX('MATCH INFO'!O:O, INT((ROW()-2)/10)+2)</x:f>
        <x:v>260607_CR_PF_S3</x:v>
      </x:c>
    </x:row>
    <x:row r="290">
      <x:c r="A290" s="23" t="s">
        <x:v>55</x:v>
      </x:c>
      <x:c r="B290" s="23" t="s">
        <x:v>60</x:v>
      </x:c>
      <x:c r="C290" s="23" t="s">
        <x:v>11</x:v>
      </x:c>
      <x:c r="D290" s="23" t="s">
        <x:v>113</x:v>
      </x:c>
      <x:c r="E290" s="23" t="s">
        <x:v>188</x:v>
      </x:c>
      <x:c r="F290" s="23">
        <x:v>27</x:v>
      </x:c>
      <x:c r="G290" s="23">
        <x:v>3</x:v>
      </x:c>
      <x:c r="H290" s="23">
        <x:v>0</x:v>
      </x:c>
      <x:c r="I290" s="23">
        <x:v>8596</x:v>
      </x:c>
      <x:c r="J290" s="23">
        <x:v>0</x:v>
      </x:c>
      <x:c r="K290" s="23">
        <x:v>0</x:v>
      </x:c>
      <x:c r="L290" s="23" t="s">
        <x:v>217</x:v>
      </x:c>
      <x:c r="M290" s="23">
        <x:f t="shared" si="4"/>
        <x:v>631</x:v>
      </x:c>
      <x:c r="N290" s="24" t="str">
        <x:f t="array" ref="N290">INDEX('MATCH INFO'!O:O, INT((ROW()-2)/10)+2)</x:f>
        <x:v>260607_CR_PF_S3</x:v>
      </x:c>
    </x:row>
    <x:row r="291">
      <x:c r="A291" s="23" t="s">
        <x:v>55</x:v>
      </x:c>
      <x:c r="B291" s="23" t="s">
        <x:v>62</x:v>
      </x:c>
      <x:c r="C291" s="23" t="s">
        <x:v>16</x:v>
      </x:c>
      <x:c r="D291" s="23" t="s">
        <x:v>113</x:v>
      </x:c>
      <x:c r="E291" s="23" t="s">
        <x:v>188</x:v>
      </x:c>
      <x:c r="F291" s="23">
        <x:v>20</x:v>
      </x:c>
      <x:c r="G291" s="23">
        <x:v>5</x:v>
      </x:c>
      <x:c r="H291" s="23">
        <x:v>17</x:v>
      </x:c>
      <x:c r="I291" s="23">
        <x:v>9535</x:v>
      </x:c>
      <x:c r="J291" s="23">
        <x:v>2481</x:v>
      </x:c>
      <x:c r="K291" s="23">
        <x:v>593</x:v>
      </x:c>
      <x:c r="L291" s="23" t="s">
        <x:v>217</x:v>
      </x:c>
      <x:c r="M291" s="23">
        <x:f t="shared" si="4"/>
        <x:v>631</x:v>
      </x:c>
      <x:c r="N291" s="24" t="str">
        <x:f t="array" ref="N291">INDEX('MATCH INFO'!O:O, INT((ROW()-2)/10)+2)</x:f>
        <x:v>260607_CR_PF_S3</x:v>
      </x:c>
    </x:row>
  </x:sheetData>
  <x:conditionalFormatting sqref="A2:N291">
    <x:cfRule type="expression" dxfId="11" priority="1">
      <x:formula>MOD(ROW()-1, 10)=0</x:formula>
    </x:cfRule>
    <x:cfRule type="expression" dxfId="10" priority="2">
      <x:formula>MOD(INT((ROW()-2)/10), 2)=1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8"/>
  <x:cols>
    <x:col min="2" max="2" width="12.5703125" style="3" customWidth="1"/>
    <x:col min="3" max="3" width="8.7109375" style="3" customWidth="1"/>
    <x:col min="4" max="4" width="15.28515625" style="3" customWidth="1"/>
    <x:col min="5" max="12" width="8.7109375" style="3" customWidth="1"/>
    <x:col min="13" max="13" width="16.7109375" style="3" customWidth="1"/>
    <x:col min="14" max="14" width="17.42578125" style="3" customWidth="1"/>
  </x:cols>
  <x:sheetData>
    <x:row r="1">
      <x:c r="A1" s="4" t="s">
        <x:v>171</x:v>
      </x:c>
      <x:c r="B1" s="4" t="s">
        <x:v>172</x:v>
      </x:c>
      <x:c r="C1" s="4" t="s">
        <x:v>173</x:v>
      </x:c>
      <x:c r="D1" s="4" t="s">
        <x:v>174</x:v>
      </x:c>
      <x:c r="E1" s="4" t="s">
        <x:v>175</x:v>
      </x:c>
      <x:c r="F1" s="4" t="s">
        <x:v>176</x:v>
      </x:c>
      <x:c r="G1" s="4" t="s">
        <x:v>177</x:v>
      </x:c>
      <x:c r="H1" s="4" t="s">
        <x:v>178</x:v>
      </x:c>
      <x:c r="I1" s="4" t="s">
        <x:v>179</x:v>
      </x:c>
      <x:c r="J1" s="4" t="s">
        <x:v>180</x:v>
      </x:c>
      <x:c r="K1" s="4" t="s">
        <x:v>181</x:v>
      </x:c>
      <x:c r="L1" s="4" t="s">
        <x:v>182</x:v>
      </x:c>
      <x:c r="M1" s="4" t="s">
        <x:v>183</x:v>
      </x:c>
      <x:c r="N1" s="7" t="s">
        <x:v>103</x:v>
      </x:c>
    </x:row>
    <x:row r="2">
      <x:c r="A2" s="23" t="s">
        <x:v>31</x:v>
      </x:c>
      <x:c r="B2" s="23" t="s">
        <x:v>34</x:v>
      </x:c>
      <x:c r="C2" s="23" t="s">
        <x:v>11</x:v>
      </x:c>
      <x:c r="D2" s="23" t="s">
        <x:v>107</x:v>
      </x:c>
      <x:c r="E2" s="23" t="s">
        <x:v>184</x:v>
      </x:c>
      <x:c r="F2" s="23">
        <x:v>13</x:v>
      </x:c>
      <x:c r="G2" s="23">
        <x:v>1</x:v>
      </x:c>
      <x:c r="H2" s="23">
        <x:v>0</x:v>
      </x:c>
      <x:c r="I2" s="23">
        <x:v>6715</x:v>
      </x:c>
      <x:c r="J2" s="23">
        <x:v>958</x:v>
      </x:c>
      <x:c r="K2" s="23">
        <x:v>0</x:v>
      </x:c>
      <x:c r="L2" s="23" t="s">
        <x:v>218</x:v>
      </x:c>
      <x:c r="M2" s="23" t="e">
        <x:f t="shared" ref="M2:M65" si="0">L2*86400</x:f>
        <x:v>#VALUE!</x:v>
      </x:c>
      <x:c r="N2" s="24" t="str">
        <x:f t="array" ref="N2">INDEX('MATCH INFO'!O:O, INT((ROW()-2)/10)+2 + 29)</x:f>
        <x:v>260612_CB_SB_S1</x:v>
      </x:c>
    </x:row>
    <x:row r="3">
      <x:c r="A3" s="23" t="s">
        <x:v>31</x:v>
      </x:c>
      <x:c r="B3" s="23" t="s">
        <x:v>32</x:v>
      </x:c>
      <x:c r="C3" s="23" t="s">
        <x:v>8</x:v>
      </x:c>
      <x:c r="D3" s="23" t="s">
        <x:v>107</x:v>
      </x:c>
      <x:c r="E3" s="23" t="s">
        <x:v>184</x:v>
      </x:c>
      <x:c r="F3" s="23">
        <x:v>15</x:v>
      </x:c>
      <x:c r="G3" s="23">
        <x:v>2</x:v>
      </x:c>
      <x:c r="H3" s="23">
        <x:v>3</x:v>
      </x:c>
      <x:c r="I3" s="23">
        <x:v>5418</x:v>
      </x:c>
      <x:c r="J3" s="23">
        <x:v>3101</x:v>
      </x:c>
      <x:c r="K3" s="23">
        <x:v>2770</x:v>
      </x:c>
      <x:c r="L3" s="23" t="s">
        <x:v>218</x:v>
      </x:c>
      <x:c r="M3" s="23">
        <x:f t="shared" si="0"/>
        <x:v>425.99999999999994</x:v>
      </x:c>
      <x:c r="N3" s="24" t="str">
        <x:f t="array" ref="N3">INDEX('MATCH INFO'!O:O, INT((ROW()-2)/10)+2 + 29)</x:f>
        <x:v>260612_CB_SB_S1</x:v>
      </x:c>
    </x:row>
    <x:row r="4">
      <x:c r="A4" s="23" t="s">
        <x:v>31</x:v>
      </x:c>
      <x:c r="B4" s="23" t="s">
        <x:v>35</x:v>
      </x:c>
      <x:c r="C4" s="23" t="s">
        <x:v>11</x:v>
      </x:c>
      <x:c r="D4" s="23" t="s">
        <x:v>107</x:v>
      </x:c>
      <x:c r="E4" s="23" t="s">
        <x:v>184</x:v>
      </x:c>
      <x:c r="F4" s="23">
        <x:v>10</x:v>
      </x:c>
      <x:c r="G4" s="23">
        <x:v>2</x:v>
      </x:c>
      <x:c r="H4" s="23">
        <x:v>0</x:v>
      </x:c>
      <x:c r="I4" s="23">
        <x:v>6539</x:v>
      </x:c>
      <x:c r="J4" s="23">
        <x:v>258</x:v>
      </x:c>
      <x:c r="K4" s="23">
        <x:v>313</x:v>
      </x:c>
      <x:c r="L4" s="23" t="s">
        <x:v>218</x:v>
      </x:c>
      <x:c r="M4" s="23">
        <x:f t="shared" si="0"/>
        <x:v>425.99999999999994</x:v>
      </x:c>
      <x:c r="N4" s="24" t="str">
        <x:f t="array" ref="N4">INDEX('MATCH INFO'!O:O, INT((ROW()-2)/10)+2 + 29)</x:f>
        <x:v>260612_CB_SB_S1</x:v>
      </x:c>
    </x:row>
    <x:row r="5">
      <x:c r="A5" s="23" t="s">
        <x:v>31</x:v>
      </x:c>
      <x:c r="B5" s="23" t="s">
        <x:v>36</x:v>
      </x:c>
      <x:c r="C5" s="23" t="s">
        <x:v>16</x:v>
      </x:c>
      <x:c r="D5" s="23" t="s">
        <x:v>107</x:v>
      </x:c>
      <x:c r="E5" s="23" t="s">
        <x:v>184</x:v>
      </x:c>
      <x:c r="F5" s="23">
        <x:v>6</x:v>
      </x:c>
      <x:c r="G5" s="23">
        <x:v>3</x:v>
      </x:c>
      <x:c r="H5" s="23">
        <x:v>6</x:v>
      </x:c>
      <x:c r="I5" s="23">
        <x:v>2534</x:v>
      </x:c>
      <x:c r="J5" s="23">
        <x:v>5358</x:v>
      </x:c>
      <x:c r="K5" s="23">
        <x:v>1327</x:v>
      </x:c>
      <x:c r="L5" s="23" t="s">
        <x:v>218</x:v>
      </x:c>
      <x:c r="M5" s="23">
        <x:f t="shared" si="0"/>
        <x:v>425.99999999999994</x:v>
      </x:c>
      <x:c r="N5" s="24" t="str">
        <x:f t="array" ref="N5">INDEX('MATCH INFO'!O:O, INT((ROW()-2)/10)+2 + 29)</x:f>
        <x:v>260612_CB_SB_S1</x:v>
      </x:c>
    </x:row>
    <x:row r="6">
      <x:c r="A6" s="23" t="s">
        <x:v>31</x:v>
      </x:c>
      <x:c r="B6" s="23" t="s">
        <x:v>37</x:v>
      </x:c>
      <x:c r="C6" s="23" t="s">
        <x:v>16</x:v>
      </x:c>
      <x:c r="D6" s="23" t="s">
        <x:v>107</x:v>
      </x:c>
      <x:c r="E6" s="23" t="s">
        <x:v>184</x:v>
      </x:c>
      <x:c r="F6" s="23">
        <x:v>5</x:v>
      </x:c>
      <x:c r="G6" s="23">
        <x:v>0</x:v>
      </x:c>
      <x:c r="H6" s="23">
        <x:v>8</x:v>
      </x:c>
      <x:c r="I6" s="23">
        <x:v>4607</x:v>
      </x:c>
      <x:c r="J6" s="23">
        <x:v>6392</x:v>
      </x:c>
      <x:c r="K6" s="23">
        <x:v>0</x:v>
      </x:c>
      <x:c r="L6" s="23" t="s">
        <x:v>218</x:v>
      </x:c>
      <x:c r="M6" s="23">
        <x:f t="shared" si="0"/>
        <x:v>425.99999999999994</x:v>
      </x:c>
      <x:c r="N6" s="24" t="str">
        <x:f t="array" ref="N6">INDEX('MATCH INFO'!O:O, INT((ROW()-2)/10)+2 + 29)</x:f>
        <x:v>260612_CB_SB_S1</x:v>
      </x:c>
    </x:row>
    <x:row r="7">
      <x:c r="A7" s="23" t="s">
        <x:v>81</x:v>
      </x:c>
      <x:c r="B7" s="23" t="s">
        <x:v>84</x:v>
      </x:c>
      <x:c r="C7" s="23" t="s">
        <x:v>11</x:v>
      </x:c>
      <x:c r="D7" s="23" t="s">
        <x:v>107</x:v>
      </x:c>
      <x:c r="E7" s="23" t="s">
        <x:v>184</x:v>
      </x:c>
      <x:c r="F7" s="23">
        <x:v>6</x:v>
      </x:c>
      <x:c r="G7" s="23">
        <x:v>5</x:v>
      </x:c>
      <x:c r="H7" s="23">
        <x:v>0</x:v>
      </x:c>
      <x:c r="I7" s="23">
        <x:v>6072</x:v>
      </x:c>
      <x:c r="J7" s="23">
        <x:v>133</x:v>
      </x:c>
      <x:c r="K7" s="23">
        <x:v>0</x:v>
      </x:c>
      <x:c r="L7" s="23" t="s">
        <x:v>218</x:v>
      </x:c>
      <x:c r="M7" s="23">
        <x:f t="shared" si="0"/>
        <x:v>425.99999999999994</x:v>
      </x:c>
      <x:c r="N7" s="24" t="str">
        <x:f t="array" ref="N7">INDEX('MATCH INFO'!O:O, INT((ROW()-2)/10)+2 + 29)</x:f>
        <x:v>260612_CB_SB_S1</x:v>
      </x:c>
    </x:row>
    <x:row r="8">
      <x:c r="A8" s="23" t="s">
        <x:v>81</x:v>
      </x:c>
      <x:c r="B8" s="23" t="s">
        <x:v>87</x:v>
      </x:c>
      <x:c r="C8" s="23" t="s">
        <x:v>16</x:v>
      </x:c>
      <x:c r="D8" s="23" t="s">
        <x:v>107</x:v>
      </x:c>
      <x:c r="E8" s="23" t="s">
        <x:v>184</x:v>
      </x:c>
      <x:c r="F8" s="23">
        <x:v>3</x:v>
      </x:c>
      <x:c r="G8" s="23">
        <x:v>2</x:v>
      </x:c>
      <x:c r="H8" s="23">
        <x:v>6</x:v>
      </x:c>
      <x:c r="I8" s="23">
        <x:v>5033</x:v>
      </x:c>
      <x:c r="J8" s="23">
        <x:v>4993</x:v>
      </x:c>
      <x:c r="K8" s="23">
        <x:v>1279</x:v>
      </x:c>
      <x:c r="L8" s="23" t="s">
        <x:v>218</x:v>
      </x:c>
      <x:c r="M8" s="23">
        <x:f t="shared" si="0"/>
        <x:v>425.99999999999994</x:v>
      </x:c>
      <x:c r="N8" s="24" t="str">
        <x:f t="array" ref="N8">INDEX('MATCH INFO'!O:O, INT((ROW()-2)/10)+2 + 29)</x:f>
        <x:v>260612_CB_SB_S1</x:v>
      </x:c>
    </x:row>
    <x:row r="9">
      <x:c r="A9" s="23" t="s">
        <x:v>81</x:v>
      </x:c>
      <x:c r="B9" s="23" t="s">
        <x:v>82</x:v>
      </x:c>
      <x:c r="C9" s="23" t="s">
        <x:v>8</x:v>
      </x:c>
      <x:c r="D9" s="23" t="s">
        <x:v>107</x:v>
      </x:c>
      <x:c r="E9" s="23" t="s">
        <x:v>184</x:v>
      </x:c>
      <x:c r="F9" s="23">
        <x:v>3</x:v>
      </x:c>
      <x:c r="G9" s="23">
        <x:v>3</x:v>
      </x:c>
      <x:c r="H9" s="23">
        <x:v>1</x:v>
      </x:c>
      <x:c r="I9" s="23">
        <x:v>4170</x:v>
      </x:c>
      <x:c r="J9" s="23">
        <x:v>1321</x:v>
      </x:c>
      <x:c r="K9" s="23">
        <x:v>3035</x:v>
      </x:c>
      <x:c r="L9" s="23" t="s">
        <x:v>218</x:v>
      </x:c>
      <x:c r="M9" s="23">
        <x:f t="shared" si="0"/>
        <x:v>425.99999999999994</x:v>
      </x:c>
      <x:c r="N9" s="24" t="str">
        <x:f t="array" ref="N9">INDEX('MATCH INFO'!O:O, INT((ROW()-2)/10)+2 + 29)</x:f>
        <x:v>260612_CB_SB_S1</x:v>
      </x:c>
    </x:row>
    <x:row r="10">
      <x:c r="A10" s="23" t="s">
        <x:v>81</x:v>
      </x:c>
      <x:c r="B10" s="23" t="s">
        <x:v>85</x:v>
      </x:c>
      <x:c r="C10" s="23" t="s">
        <x:v>11</x:v>
      </x:c>
      <x:c r="D10" s="23" t="s">
        <x:v>107</x:v>
      </x:c>
      <x:c r="E10" s="23" t="s">
        <x:v>184</x:v>
      </x:c>
      <x:c r="F10" s="23">
        <x:v>3</x:v>
      </x:c>
      <x:c r="G10" s="23">
        <x:v>7</x:v>
      </x:c>
      <x:c r="H10" s="23">
        <x:v>0</x:v>
      </x:c>
      <x:c r="I10" s="23">
        <x:v>5562</x:v>
      </x:c>
      <x:c r="J10" s="23">
        <x:v>0</x:v>
      </x:c>
      <x:c r="K10" s="23">
        <x:v>86</x:v>
      </x:c>
      <x:c r="L10" s="23" t="s">
        <x:v>218</x:v>
      </x:c>
      <x:c r="M10" s="23">
        <x:f t="shared" si="0"/>
        <x:v>425.99999999999994</x:v>
      </x:c>
      <x:c r="N10" s="24" t="str">
        <x:f t="array" ref="N10">INDEX('MATCH INFO'!O:O, INT((ROW()-2)/10)+2 + 29)</x:f>
        <x:v>260612_CB_SB_S1</x:v>
      </x:c>
    </x:row>
    <x:row r="11">
      <x:c r="A11" s="23" t="s">
        <x:v>81</x:v>
      </x:c>
      <x:c r="B11" s="23" t="s">
        <x:v>88</x:v>
      </x:c>
      <x:c r="C11" s="23" t="s">
        <x:v>16</x:v>
      </x:c>
      <x:c r="D11" s="23" t="s">
        <x:v>107</x:v>
      </x:c>
      <x:c r="E11" s="23" t="s">
        <x:v>184</x:v>
      </x:c>
      <x:c r="F11" s="23">
        <x:v>4</x:v>
      </x:c>
      <x:c r="G11" s="23">
        <x:v>5</x:v>
      </x:c>
      <x:c r="H11" s="23">
        <x:v>4</x:v>
      </x:c>
      <x:c r="I11" s="23">
        <x:v>4764</x:v>
      </x:c>
      <x:c r="J11" s="23">
        <x:v>4943</x:v>
      </x:c>
      <x:c r="K11" s="23">
        <x:v>0</x:v>
      </x:c>
      <x:c r="L11" s="23" t="s">
        <x:v>218</x:v>
      </x:c>
      <x:c r="M11" s="23">
        <x:f t="shared" si="0"/>
        <x:v>425.99999999999994</x:v>
      </x:c>
      <x:c r="N11" s="24" t="str">
        <x:f t="array" ref="N11">INDEX('MATCH INFO'!O:O, INT((ROW()-2)/10)+2 + 29)</x:f>
        <x:v>260612_CB_SB_S1</x:v>
      </x:c>
    </x:row>
    <x:row r="12">
      <x:c r="A12" s="23" t="s">
        <x:v>81</x:v>
      </x:c>
      <x:c r="B12" s="23" t="s">
        <x:v>87</x:v>
      </x:c>
      <x:c r="C12" s="23" t="s">
        <x:v>16</x:v>
      </x:c>
      <x:c r="D12" s="23" t="s">
        <x:v>124</x:v>
      </x:c>
      <x:c r="E12" s="23" t="s">
        <x:v>186</x:v>
      </x:c>
      <x:c r="F12" s="23">
        <x:v>9</x:v>
      </x:c>
      <x:c r="G12" s="23">
        <x:v>6</x:v>
      </x:c>
      <x:c r="H12" s="23">
        <x:v>13</x:v>
      </x:c>
      <x:c r="I12" s="23">
        <x:v>3278</x:v>
      </x:c>
      <x:c r="J12" s="23">
        <x:v>9861</x:v>
      </x:c>
      <x:c r="K12" s="23">
        <x:v>1274</x:v>
      </x:c>
      <x:c r="L12" s="23" t="s">
        <x:v>219</x:v>
      </x:c>
      <x:c r="M12" s="23">
        <x:f t="shared" si="0"/>
        <x:v>739.00000000000011</x:v>
      </x:c>
      <x:c r="N12" s="24" t="str">
        <x:f t="array" ref="N12">INDEX('MATCH INFO'!O:O, INT((ROW()-2)/10)+2 + 29)</x:f>
        <x:v>260612_CB_SB_S2</x:v>
      </x:c>
    </x:row>
    <x:row r="13">
      <x:c r="A13" s="23" t="s">
        <x:v>81</x:v>
      </x:c>
      <x:c r="B13" s="23" t="s">
        <x:v>83</x:v>
      </x:c>
      <x:c r="C13" s="23" t="s">
        <x:v>8</x:v>
      </x:c>
      <x:c r="D13" s="23" t="s">
        <x:v>124</x:v>
      </x:c>
      <x:c r="E13" s="23" t="s">
        <x:v>186</x:v>
      </x:c>
      <x:c r="F13" s="23">
        <x:v>15</x:v>
      </x:c>
      <x:c r="G13" s="23">
        <x:v>5</x:v>
      </x:c>
      <x:c r="H13" s="23">
        <x:v>7</x:v>
      </x:c>
      <x:c r="I13" s="23">
        <x:v>11067</x:v>
      </x:c>
      <x:c r="J13" s="23">
        <x:v>0</x:v>
      </x:c>
      <x:c r="K13" s="23">
        <x:v>19977</x:v>
      </x:c>
      <x:c r="L13" s="23" t="s">
        <x:v>219</x:v>
      </x:c>
      <x:c r="M13" s="23">
        <x:f t="shared" si="0"/>
        <x:v>739.00000000000011</x:v>
      </x:c>
      <x:c r="N13" s="24" t="str">
        <x:f t="array" ref="N13">INDEX('MATCH INFO'!O:O, INT((ROW()-2)/10)+2 + 29)</x:f>
        <x:v>260612_CB_SB_S2</x:v>
      </x:c>
    </x:row>
    <x:row r="14">
      <x:c r="A14" s="23" t="s">
        <x:v>81</x:v>
      </x:c>
      <x:c r="B14" s="23" t="s">
        <x:v>86</x:v>
      </x:c>
      <x:c r="C14" s="23" t="s">
        <x:v>16</x:v>
      </x:c>
      <x:c r="D14" s="23" t="s">
        <x:v>124</x:v>
      </x:c>
      <x:c r="E14" s="23" t="s">
        <x:v>186</x:v>
      </x:c>
      <x:c r="F14" s="23">
        <x:v>20</x:v>
      </x:c>
      <x:c r="G14" s="23">
        <x:v>6</x:v>
      </x:c>
      <x:c r="H14" s="23">
        <x:v>5</x:v>
      </x:c>
      <x:c r="I14" s="23">
        <x:v>10368</x:v>
      </x:c>
      <x:c r="J14" s="23">
        <x:v>1471</x:v>
      </x:c>
      <x:c r="K14" s="23">
        <x:v>9889</x:v>
      </x:c>
      <x:c r="L14" s="23" t="s">
        <x:v>219</x:v>
      </x:c>
      <x:c r="M14" s="23">
        <x:f t="shared" si="0"/>
        <x:v>739.00000000000011</x:v>
      </x:c>
      <x:c r="N14" s="24" t="str">
        <x:f t="array" ref="N14">INDEX('MATCH INFO'!O:O, INT((ROW()-2)/10)+2 + 29)</x:f>
        <x:v>260612_CB_SB_S2</x:v>
      </x:c>
    </x:row>
    <x:row r="15">
      <x:c r="A15" s="23" t="s">
        <x:v>81</x:v>
      </x:c>
      <x:c r="B15" s="23" t="s">
        <x:v>85</x:v>
      </x:c>
      <x:c r="C15" s="23" t="s">
        <x:v>11</x:v>
      </x:c>
      <x:c r="D15" s="23" t="s">
        <x:v>124</x:v>
      </x:c>
      <x:c r="E15" s="23" t="s">
        <x:v>186</x:v>
      </x:c>
      <x:c r="F15" s="23">
        <x:v>22</x:v>
      </x:c>
      <x:c r="G15" s="23">
        <x:v>6</x:v>
      </x:c>
      <x:c r="H15" s="23">
        <x:v>0</x:v>
      </x:c>
      <x:c r="I15" s="23">
        <x:v>12335</x:v>
      </x:c>
      <x:c r="J15" s="23">
        <x:v>0</x:v>
      </x:c>
      <x:c r="K15" s="23">
        <x:v>0</x:v>
      </x:c>
      <x:c r="L15" s="23" t="s">
        <x:v>219</x:v>
      </x:c>
      <x:c r="M15" s="23">
        <x:f t="shared" si="0"/>
        <x:v>739.00000000000011</x:v>
      </x:c>
      <x:c r="N15" s="24" t="str">
        <x:f t="array" ref="N15">INDEX('MATCH INFO'!O:O, INT((ROW()-2)/10)+2 + 29)</x:f>
        <x:v>260612_CB_SB_S2</x:v>
      </x:c>
    </x:row>
    <x:row r="16">
      <x:c r="A16" s="23" t="s">
        <x:v>81</x:v>
      </x:c>
      <x:c r="B16" s="23" t="s">
        <x:v>88</x:v>
      </x:c>
      <x:c r="C16" s="23" t="s">
        <x:v>16</x:v>
      </x:c>
      <x:c r="D16" s="23" t="s">
        <x:v>124</x:v>
      </x:c>
      <x:c r="E16" s="23" t="s">
        <x:v>186</x:v>
      </x:c>
      <x:c r="F16" s="23">
        <x:v>6</x:v>
      </x:c>
      <x:c r="G16" s="23">
        <x:v>4</x:v>
      </x:c>
      <x:c r="H16" s="23">
        <x:v>22</x:v>
      </x:c>
      <x:c r="I16" s="23">
        <x:v>4200</x:v>
      </x:c>
      <x:c r="J16" s="23">
        <x:v>17283</x:v>
      </x:c>
      <x:c r="K16" s="23">
        <x:v>0</x:v>
      </x:c>
      <x:c r="L16" s="23" t="s">
        <x:v>219</x:v>
      </x:c>
      <x:c r="M16" s="23">
        <x:f t="shared" si="0"/>
        <x:v>739.00000000000011</x:v>
      </x:c>
      <x:c r="N16" s="24" t="str">
        <x:f t="array" ref="N16">INDEX('MATCH INFO'!O:O, INT((ROW()-2)/10)+2 + 29)</x:f>
        <x:v>260612_CB_SB_S2</x:v>
      </x:c>
    </x:row>
    <x:row r="17">
      <x:c r="A17" s="23" t="s">
        <x:v>31</x:v>
      </x:c>
      <x:c r="B17" s="23" t="s">
        <x:v>34</x:v>
      </x:c>
      <x:c r="C17" s="23" t="s">
        <x:v>11</x:v>
      </x:c>
      <x:c r="D17" s="23" t="s">
        <x:v>124</x:v>
      </x:c>
      <x:c r="E17" s="23" t="s">
        <x:v>186</x:v>
      </x:c>
      <x:c r="F17" s="23">
        <x:v>17</x:v>
      </x:c>
      <x:c r="G17" s="23">
        <x:v>5</x:v>
      </x:c>
      <x:c r="H17" s="23">
        <x:v>4</x:v>
      </x:c>
      <x:c r="I17" s="23">
        <x:v>9271</x:v>
      </x:c>
      <x:c r="J17" s="23">
        <x:v>1415</x:v>
      </x:c>
      <x:c r="K17" s="23">
        <x:v>8444</x:v>
      </x:c>
      <x:c r="L17" s="23" t="s">
        <x:v>219</x:v>
      </x:c>
      <x:c r="M17" s="23">
        <x:f t="shared" si="0"/>
        <x:v>739.00000000000011</x:v>
      </x:c>
      <x:c r="N17" s="24" t="str">
        <x:f t="array" ref="N17">INDEX('MATCH INFO'!O:O, INT((ROW()-2)/10)+2 + 29)</x:f>
        <x:v>260612_CB_SB_S2</x:v>
      </x:c>
    </x:row>
    <x:row r="18">
      <x:c r="A18" s="23" t="s">
        <x:v>31</x:v>
      </x:c>
      <x:c r="B18" s="23" t="s">
        <x:v>33</x:v>
      </x:c>
      <x:c r="C18" s="23" t="s">
        <x:v>8</x:v>
      </x:c>
      <x:c r="D18" s="23" t="s">
        <x:v>124</x:v>
      </x:c>
      <x:c r="E18" s="23" t="s">
        <x:v>186</x:v>
      </x:c>
      <x:c r="F18" s="23">
        <x:v>18</x:v>
      </x:c>
      <x:c r="G18" s="23">
        <x:v>4</x:v>
      </x:c>
      <x:c r="H18" s="23">
        <x:v>2</x:v>
      </x:c>
      <x:c r="I18" s="23">
        <x:v>14656</x:v>
      </x:c>
      <x:c r="J18" s="23">
        <x:v>0</x:v>
      </x:c>
      <x:c r="K18" s="23">
        <x:v>22567</x:v>
      </x:c>
      <x:c r="L18" s="23" t="s">
        <x:v>219</x:v>
      </x:c>
      <x:c r="M18" s="23">
        <x:f t="shared" si="0"/>
        <x:v>739.00000000000011</x:v>
      </x:c>
      <x:c r="N18" s="24" t="str">
        <x:f t="array" ref="N18">INDEX('MATCH INFO'!O:O, INT((ROW()-2)/10)+2 + 29)</x:f>
        <x:v>260612_CB_SB_S2</x:v>
      </x:c>
    </x:row>
    <x:row r="19">
      <x:c r="A19" s="23" t="s">
        <x:v>31</x:v>
      </x:c>
      <x:c r="B19" s="23" t="s">
        <x:v>35</x:v>
      </x:c>
      <x:c r="C19" s="23" t="s">
        <x:v>11</x:v>
      </x:c>
      <x:c r="D19" s="23" t="s">
        <x:v>124</x:v>
      </x:c>
      <x:c r="E19" s="23" t="s">
        <x:v>186</x:v>
      </x:c>
      <x:c r="F19" s="23">
        <x:v>16</x:v>
      </x:c>
      <x:c r="G19" s="23">
        <x:v>5</x:v>
      </x:c>
      <x:c r="H19" s="23">
        <x:v>0</x:v>
      </x:c>
      <x:c r="I19" s="23">
        <x:v>11654</x:v>
      </x:c>
      <x:c r="J19" s="23">
        <x:v>0</x:v>
      </x:c>
      <x:c r="K19" s="23">
        <x:v>0</x:v>
      </x:c>
      <x:c r="L19" s="23" t="s">
        <x:v>219</x:v>
      </x:c>
      <x:c r="M19" s="23">
        <x:f t="shared" si="0"/>
        <x:v>739.00000000000011</x:v>
      </x:c>
      <x:c r="N19" s="24" t="str">
        <x:f t="array" ref="N19">INDEX('MATCH INFO'!O:O, INT((ROW()-2)/10)+2 + 29)</x:f>
        <x:v>260612_CB_SB_S2</x:v>
      </x:c>
    </x:row>
    <x:row r="20">
      <x:c r="A20" s="23" t="s">
        <x:v>31</x:v>
      </x:c>
      <x:c r="B20" s="23" t="s">
        <x:v>36</x:v>
      </x:c>
      <x:c r="C20" s="23" t="s">
        <x:v>16</x:v>
      </x:c>
      <x:c r="D20" s="23" t="s">
        <x:v>124</x:v>
      </x:c>
      <x:c r="E20" s="23" t="s">
        <x:v>186</x:v>
      </x:c>
      <x:c r="F20" s="23">
        <x:v>8</x:v>
      </x:c>
      <x:c r="G20" s="23">
        <x:v>7</x:v>
      </x:c>
      <x:c r="H20" s="23">
        <x:v>15</x:v>
      </x:c>
      <x:c r="I20" s="23">
        <x:v>4788</x:v>
      </x:c>
      <x:c r="J20" s="23">
        <x:v>12333</x:v>
      </x:c>
      <x:c r="K20" s="23">
        <x:v>2281</x:v>
      </x:c>
      <x:c r="L20" s="23" t="s">
        <x:v>219</x:v>
      </x:c>
      <x:c r="M20" s="23">
        <x:f t="shared" si="0"/>
        <x:v>739.00000000000011</x:v>
      </x:c>
      <x:c r="N20" s="24" t="str">
        <x:f t="array" ref="N20">INDEX('MATCH INFO'!O:O, INT((ROW()-2)/10)+2 + 29)</x:f>
        <x:v>260612_CB_SB_S2</x:v>
      </x:c>
    </x:row>
    <x:row r="21">
      <x:c r="A21" s="23" t="s">
        <x:v>31</x:v>
      </x:c>
      <x:c r="B21" s="23" t="s">
        <x:v>37</x:v>
      </x:c>
      <x:c r="C21" s="23" t="s">
        <x:v>16</x:v>
      </x:c>
      <x:c r="D21" s="23" t="s">
        <x:v>124</x:v>
      </x:c>
      <x:c r="E21" s="23" t="s">
        <x:v>186</x:v>
      </x:c>
      <x:c r="F21" s="23">
        <x:v>7</x:v>
      </x:c>
      <x:c r="G21" s="23">
        <x:v>5</x:v>
      </x:c>
      <x:c r="H21" s="23">
        <x:v>18</x:v>
      </x:c>
      <x:c r="I21" s="23">
        <x:v>3296</x:v>
      </x:c>
      <x:c r="J21" s="23">
        <x:v>15212</x:v>
      </x:c>
      <x:c r="K21" s="23">
        <x:v>0</x:v>
      </x:c>
      <x:c r="L21" s="23" t="s">
        <x:v>219</x:v>
      </x:c>
      <x:c r="M21" s="23">
        <x:f t="shared" si="0"/>
        <x:v>739.00000000000011</x:v>
      </x:c>
      <x:c r="N21" s="24" t="str">
        <x:f t="array" ref="N21">INDEX('MATCH INFO'!O:O, INT((ROW()-2)/10)+2 + 29)</x:f>
        <x:v>260612_CB_SB_S2</x:v>
      </x:c>
    </x:row>
    <x:row r="22">
      <x:c r="A22" s="23" t="s">
        <x:v>31</x:v>
      </x:c>
      <x:c r="B22" s="23" t="s">
        <x:v>34</x:v>
      </x:c>
      <x:c r="C22" s="23" t="s">
        <x:v>11</x:v>
      </x:c>
      <x:c r="D22" s="23" t="s">
        <x:v>119</x:v>
      </x:c>
      <x:c r="E22" s="23" t="s">
        <x:v>191</x:v>
      </x:c>
      <x:c r="F22" s="23">
        <x:v>20</x:v>
      </x:c>
      <x:c r="G22" s="23">
        <x:v>5</x:v>
      </x:c>
      <x:c r="H22" s="23">
        <x:v>1</x:v>
      </x:c>
      <x:c r="I22" s="23">
        <x:v>10035</x:v>
      </x:c>
      <x:c r="J22" s="23">
        <x:v>525</x:v>
      </x:c>
      <x:c r="K22" s="23">
        <x:v>3809</x:v>
      </x:c>
      <x:c r="L22" s="23" t="s">
        <x:v>220</x:v>
      </x:c>
      <x:c r="M22" s="23">
        <x:f t="shared" si="0"/>
        <x:v>848</x:v>
      </x:c>
      <x:c r="N22" s="24" t="str">
        <x:f t="array" ref="N22">INDEX('MATCH INFO'!O:O, INT((ROW()-2)/10)+2 + 29)</x:f>
        <x:v>260612_CB_SB_S3</x:v>
      </x:c>
    </x:row>
    <x:row r="23">
      <x:c r="A23" s="23" t="s">
        <x:v>31</x:v>
      </x:c>
      <x:c r="B23" s="23" t="s">
        <x:v>33</x:v>
      </x:c>
      <x:c r="C23" s="23" t="s">
        <x:v>8</x:v>
      </x:c>
      <x:c r="D23" s="23" t="s">
        <x:v>119</x:v>
      </x:c>
      <x:c r="E23" s="23" t="s">
        <x:v>191</x:v>
      </x:c>
      <x:c r="F23" s="23">
        <x:v>19</x:v>
      </x:c>
      <x:c r="G23" s="23">
        <x:v>6</x:v>
      </x:c>
      <x:c r="H23" s="23">
        <x:v>4</x:v>
      </x:c>
      <x:c r="I23" s="23">
        <x:v>15502</x:v>
      </x:c>
      <x:c r="J23" s="23">
        <x:v>1094</x:v>
      </x:c>
      <x:c r="K23" s="23">
        <x:v>24000</x:v>
      </x:c>
      <x:c r="L23" s="23" t="s">
        <x:v>220</x:v>
      </x:c>
      <x:c r="M23" s="23">
        <x:f t="shared" si="0"/>
        <x:v>848</x:v>
      </x:c>
      <x:c r="N23" s="24" t="str">
        <x:f t="array" ref="N23">INDEX('MATCH INFO'!O:O, INT((ROW()-2)/10)+2 + 29)</x:f>
        <x:v>260612_CB_SB_S3</x:v>
      </x:c>
    </x:row>
    <x:row r="24">
      <x:c r="A24" s="23" t="s">
        <x:v>31</x:v>
      </x:c>
      <x:c r="B24" s="23" t="s">
        <x:v>35</x:v>
      </x:c>
      <x:c r="C24" s="23" t="s">
        <x:v>11</x:v>
      </x:c>
      <x:c r="D24" s="23" t="s">
        <x:v>119</x:v>
      </x:c>
      <x:c r="E24" s="23" t="s">
        <x:v>191</x:v>
      </x:c>
      <x:c r="F24" s="23">
        <x:v>21</x:v>
      </x:c>
      <x:c r="G24" s="23">
        <x:v>4</x:v>
      </x:c>
      <x:c r="H24" s="23">
        <x:v>0</x:v>
      </x:c>
      <x:c r="I24" s="23">
        <x:v>12705</x:v>
      </x:c>
      <x:c r="J24" s="23">
        <x:v>0</x:v>
      </x:c>
      <x:c r="K24" s="23">
        <x:v>0</x:v>
      </x:c>
      <x:c r="L24" s="23" t="s">
        <x:v>220</x:v>
      </x:c>
      <x:c r="M24" s="23">
        <x:f t="shared" si="0"/>
        <x:v>848</x:v>
      </x:c>
      <x:c r="N24" s="24" t="str">
        <x:f t="array" ref="N24">INDEX('MATCH INFO'!O:O, INT((ROW()-2)/10)+2 + 29)</x:f>
        <x:v>260612_CB_SB_S3</x:v>
      </x:c>
    </x:row>
    <x:row r="25">
      <x:c r="A25" s="23" t="s">
        <x:v>31</x:v>
      </x:c>
      <x:c r="B25" s="23" t="s">
        <x:v>36</x:v>
      </x:c>
      <x:c r="C25" s="23" t="s">
        <x:v>16</x:v>
      </x:c>
      <x:c r="D25" s="23" t="s">
        <x:v>119</x:v>
      </x:c>
      <x:c r="E25" s="23" t="s">
        <x:v>191</x:v>
      </x:c>
      <x:c r="F25" s="23">
        <x:v>15</x:v>
      </x:c>
      <x:c r="G25" s="23">
        <x:v>6</x:v>
      </x:c>
      <x:c r="H25" s="23">
        <x:v>16</x:v>
      </x:c>
      <x:c r="I25" s="23">
        <x:v>9394</x:v>
      </x:c>
      <x:c r="J25" s="23">
        <x:v>11540</x:v>
      </x:c>
      <x:c r="K25" s="23">
        <x:v>1578</x:v>
      </x:c>
      <x:c r="L25" s="23" t="s">
        <x:v>220</x:v>
      </x:c>
      <x:c r="M25" s="23">
        <x:f t="shared" si="0"/>
        <x:v>848</x:v>
      </x:c>
      <x:c r="N25" s="24" t="str">
        <x:f t="array" ref="N25">INDEX('MATCH INFO'!O:O, INT((ROW()-2)/10)+2 + 29)</x:f>
        <x:v>260612_CB_SB_S3</x:v>
      </x:c>
    </x:row>
    <x:row r="26">
      <x:c r="A26" s="23" t="s">
        <x:v>31</x:v>
      </x:c>
      <x:c r="B26" s="23" t="s">
        <x:v>37</x:v>
      </x:c>
      <x:c r="C26" s="23" t="s">
        <x:v>16</x:v>
      </x:c>
      <x:c r="D26" s="23" t="s">
        <x:v>119</x:v>
      </x:c>
      <x:c r="E26" s="23" t="s">
        <x:v>191</x:v>
      </x:c>
      <x:c r="F26" s="23">
        <x:v>6</x:v>
      </x:c>
      <x:c r="G26" s="23">
        <x:v>6</x:v>
      </x:c>
      <x:c r="H26" s="23">
        <x:v>16</x:v>
      </x:c>
      <x:c r="I26" s="23">
        <x:v>4893</x:v>
      </x:c>
      <x:c r="J26" s="23">
        <x:v>13214</x:v>
      </x:c>
      <x:c r="K26" s="23">
        <x:v>367</x:v>
      </x:c>
      <x:c r="L26" s="23" t="s">
        <x:v>220</x:v>
      </x:c>
      <x:c r="M26" s="23">
        <x:f t="shared" si="0"/>
        <x:v>848</x:v>
      </x:c>
      <x:c r="N26" s="24" t="str">
        <x:f t="array" ref="N26">INDEX('MATCH INFO'!O:O, INT((ROW()-2)/10)+2 + 29)</x:f>
        <x:v>260612_CB_SB_S3</x:v>
      </x:c>
    </x:row>
    <x:row r="27">
      <x:c r="A27" s="23" t="s">
        <x:v>81</x:v>
      </x:c>
      <x:c r="B27" s="23" t="s">
        <x:v>87</x:v>
      </x:c>
      <x:c r="C27" s="23" t="s">
        <x:v>16</x:v>
      </x:c>
      <x:c r="D27" s="23" t="s">
        <x:v>119</x:v>
      </x:c>
      <x:c r="E27" s="23" t="s">
        <x:v>191</x:v>
      </x:c>
      <x:c r="F27" s="23">
        <x:v>10</x:v>
      </x:c>
      <x:c r="G27" s="23">
        <x:v>5</x:v>
      </x:c>
      <x:c r="H27" s="23">
        <x:v>13</x:v>
      </x:c>
      <x:c r="I27" s="23">
        <x:v>4954</x:v>
      </x:c>
      <x:c r="J27" s="23">
        <x:v>16485</x:v>
      </x:c>
      <x:c r="K27" s="23">
        <x:v>2391</x:v>
      </x:c>
      <x:c r="L27" s="23" t="s">
        <x:v>220</x:v>
      </x:c>
      <x:c r="M27" s="23">
        <x:f t="shared" si="0"/>
        <x:v>848</x:v>
      </x:c>
      <x:c r="N27" s="24" t="str">
        <x:f t="array" ref="N27">INDEX('MATCH INFO'!O:O, INT((ROW()-2)/10)+2 + 29)</x:f>
        <x:v>260612_CB_SB_S3</x:v>
      </x:c>
    </x:row>
    <x:row r="28">
      <x:c r="A28" s="23" t="s">
        <x:v>81</x:v>
      </x:c>
      <x:c r="B28" s="23" t="s">
        <x:v>83</x:v>
      </x:c>
      <x:c r="C28" s="23" t="s">
        <x:v>8</x:v>
      </x:c>
      <x:c r="D28" s="23" t="s">
        <x:v>119</x:v>
      </x:c>
      <x:c r="E28" s="23" t="s">
        <x:v>191</x:v>
      </x:c>
      <x:c r="F28" s="23">
        <x:v>14</x:v>
      </x:c>
      <x:c r="G28" s="23">
        <x:v>5</x:v>
      </x:c>
      <x:c r="H28" s="23">
        <x:v>2</x:v>
      </x:c>
      <x:c r="I28" s="23">
        <x:v>14459</x:v>
      </x:c>
      <x:c r="J28" s="23">
        <x:v>50</x:v>
      </x:c>
      <x:c r="K28" s="23">
        <x:v>20677</x:v>
      </x:c>
      <x:c r="L28" s="23" t="s">
        <x:v>220</x:v>
      </x:c>
      <x:c r="M28" s="23">
        <x:f t="shared" si="0"/>
        <x:v>848</x:v>
      </x:c>
      <x:c r="N28" s="24" t="str">
        <x:f t="array" ref="N28">INDEX('MATCH INFO'!O:O, INT((ROW()-2)/10)+2 + 29)</x:f>
        <x:v>260612_CB_SB_S3</x:v>
      </x:c>
    </x:row>
    <x:row r="29">
      <x:c r="A29" s="23" t="s">
        <x:v>81</x:v>
      </x:c>
      <x:c r="B29" s="23" t="s">
        <x:v>86</x:v>
      </x:c>
      <x:c r="C29" s="23" t="s">
        <x:v>16</x:v>
      </x:c>
      <x:c r="D29" s="23" t="s">
        <x:v>119</x:v>
      </x:c>
      <x:c r="E29" s="23" t="s">
        <x:v>191</x:v>
      </x:c>
      <x:c r="F29" s="23">
        <x:v>12</x:v>
      </x:c>
      <x:c r="G29" s="23">
        <x:v>8</x:v>
      </x:c>
      <x:c r="H29" s="23">
        <x:v>4</x:v>
      </x:c>
      <x:c r="I29" s="23">
        <x:v>7033</x:v>
      </x:c>
      <x:c r="J29" s="23">
        <x:v>1070</x:v>
      </x:c>
      <x:c r="K29" s="23">
        <x:v>6081</x:v>
      </x:c>
      <x:c r="L29" s="23" t="s">
        <x:v>220</x:v>
      </x:c>
      <x:c r="M29" s="23">
        <x:f t="shared" si="0"/>
        <x:v>848</x:v>
      </x:c>
      <x:c r="N29" s="24" t="str">
        <x:f t="array" ref="N29">INDEX('MATCH INFO'!O:O, INT((ROW()-2)/10)+2 + 29)</x:f>
        <x:v>260612_CB_SB_S3</x:v>
      </x:c>
    </x:row>
    <x:row r="30">
      <x:c r="A30" s="23" t="s">
        <x:v>81</x:v>
      </x:c>
      <x:c r="B30" s="23" t="s">
        <x:v>85</x:v>
      </x:c>
      <x:c r="C30" s="23" t="s">
        <x:v>11</x:v>
      </x:c>
      <x:c r="D30" s="23" t="s">
        <x:v>119</x:v>
      </x:c>
      <x:c r="E30" s="23" t="s">
        <x:v>191</x:v>
      </x:c>
      <x:c r="F30" s="23">
        <x:v>16</x:v>
      </x:c>
      <x:c r="G30" s="23">
        <x:v>8</x:v>
      </x:c>
      <x:c r="H30" s="23">
        <x:v>0</x:v>
      </x:c>
      <x:c r="I30" s="23">
        <x:v>11389</x:v>
      </x:c>
      <x:c r="J30" s="23">
        <x:v>0</x:v>
      </x:c>
      <x:c r="K30" s="23">
        <x:v>0</x:v>
      </x:c>
      <x:c r="L30" s="23" t="s">
        <x:v>220</x:v>
      </x:c>
      <x:c r="M30" s="23">
        <x:f t="shared" si="0"/>
        <x:v>848</x:v>
      </x:c>
      <x:c r="N30" s="24" t="str">
        <x:f t="array" ref="N30">INDEX('MATCH INFO'!O:O, INT((ROW()-2)/10)+2 + 29)</x:f>
        <x:v>260612_CB_SB_S3</x:v>
      </x:c>
    </x:row>
    <x:row r="31">
      <x:c r="A31" s="23" t="s">
        <x:v>81</x:v>
      </x:c>
      <x:c r="B31" s="23" t="s">
        <x:v>88</x:v>
      </x:c>
      <x:c r="C31" s="23" t="s">
        <x:v>16</x:v>
      </x:c>
      <x:c r="D31" s="23" t="s">
        <x:v>119</x:v>
      </x:c>
      <x:c r="E31" s="23" t="s">
        <x:v>191</x:v>
      </x:c>
      <x:c r="F31" s="23">
        <x:v>9</x:v>
      </x:c>
      <x:c r="G31" s="23">
        <x:v>5</x:v>
      </x:c>
      <x:c r="H31" s="23">
        <x:v>15</x:v>
      </x:c>
      <x:c r="I31" s="23">
        <x:v>4962</x:v>
      </x:c>
      <x:c r="J31" s="23">
        <x:v>19892</x:v>
      </x:c>
      <x:c r="K31" s="23">
        <x:v>0</x:v>
      </x:c>
      <x:c r="L31" s="23" t="s">
        <x:v>220</x:v>
      </x:c>
      <x:c r="M31" s="23">
        <x:f t="shared" si="0"/>
        <x:v>848</x:v>
      </x:c>
      <x:c r="N31" s="24" t="str">
        <x:f t="array" ref="N31">INDEX('MATCH INFO'!O:O, INT((ROW()-2)/10)+2 + 29)</x:f>
        <x:v>260612_CB_SB_S3</x:v>
      </x:c>
    </x:row>
    <x:row r="32">
      <x:c r="A32" s="23" t="s">
        <x:v>6</x:v>
      </x:c>
      <x:c r="B32" s="23" t="s">
        <x:v>15</x:v>
      </x:c>
      <x:c r="C32" s="23" t="s">
        <x:v>16</x:v>
      </x:c>
      <x:c r="D32" s="23" t="s">
        <x:v>131</x:v>
      </x:c>
      <x:c r="E32" s="23" t="s">
        <x:v>184</x:v>
      </x:c>
      <x:c r="F32" s="23">
        <x:v>4</x:v>
      </x:c>
      <x:c r="G32" s="23">
        <x:v>6</x:v>
      </x:c>
      <x:c r="H32" s="23">
        <x:v>7</x:v>
      </x:c>
      <x:c r="I32" s="23">
        <x:v>2278</x:v>
      </x:c>
      <x:c r="J32" s="23">
        <x:v>5643</x:v>
      </x:c>
      <x:c r="K32" s="23">
        <x:v>1692</x:v>
      </x:c>
      <x:c r="L32" s="23" t="s">
        <x:v>221</x:v>
      </x:c>
      <x:c r="M32" s="23">
        <x:f t="shared" si="0"/>
        <x:v>444.99999999999994</x:v>
      </x:c>
      <x:c r="N32" s="24" t="str">
        <x:f t="array" ref="N32">INDEX('MATCH INFO'!O:O, INT((ROW()-2)/10)+2 + 29)</x:f>
        <x:v>260612_O2_ZETA_S1</x:v>
      </x:c>
    </x:row>
    <x:row r="33">
      <x:c r="A33" s="23" t="s">
        <x:v>6</x:v>
      </x:c>
      <x:c r="B33" s="23" t="s">
        <x:v>18</x:v>
      </x:c>
      <x:c r="C33" s="23" t="s">
        <x:v>16</x:v>
      </x:c>
      <x:c r="D33" s="23" t="s">
        <x:v>131</x:v>
      </x:c>
      <x:c r="E33" s="23" t="s">
        <x:v>184</x:v>
      </x:c>
      <x:c r="F33" s="23">
        <x:v>5</x:v>
      </x:c>
      <x:c r="G33" s="23">
        <x:v>5</x:v>
      </x:c>
      <x:c r="H33" s="23">
        <x:v>8</x:v>
      </x:c>
      <x:c r="I33" s="23">
        <x:v>2678</x:v>
      </x:c>
      <x:c r="J33" s="23">
        <x:v>7458</x:v>
      </x:c>
      <x:c r="K33" s="23">
        <x:v>0</x:v>
      </x:c>
      <x:c r="L33" s="23" t="s">
        <x:v>221</x:v>
      </x:c>
      <x:c r="M33" s="23">
        <x:f t="shared" si="0"/>
        <x:v>444.99999999999994</x:v>
      </x:c>
      <x:c r="N33" s="24" t="str">
        <x:f t="array" ref="N33">INDEX('MATCH INFO'!O:O, INT((ROW()-2)/10)+2 + 29)</x:f>
        <x:v>260612_O2_ZETA_S1</x:v>
      </x:c>
    </x:row>
    <x:row r="34">
      <x:c r="A34" s="23" t="s">
        <x:v>6</x:v>
      </x:c>
      <x:c r="B34" s="23" t="s">
        <x:v>13</x:v>
      </x:c>
      <x:c r="C34" s="23" t="s">
        <x:v>11</x:v>
      </x:c>
      <x:c r="D34" s="23" t="s">
        <x:v>131</x:v>
      </x:c>
      <x:c r="E34" s="23" t="s">
        <x:v>184</x:v>
      </x:c>
      <x:c r="F34" s="23">
        <x:v>7</x:v>
      </x:c>
      <x:c r="G34" s="23">
        <x:v>4</x:v>
      </x:c>
      <x:c r="H34" s="23">
        <x:v>0</x:v>
      </x:c>
      <x:c r="I34" s="23">
        <x:v>4640</x:v>
      </x:c>
      <x:c r="J34" s="23">
        <x:v>0</x:v>
      </x:c>
      <x:c r="K34" s="23">
        <x:v>310</x:v>
      </x:c>
      <x:c r="L34" s="23" t="s">
        <x:v>221</x:v>
      </x:c>
      <x:c r="M34" s="23">
        <x:f t="shared" si="0"/>
        <x:v>444.99999999999994</x:v>
      </x:c>
      <x:c r="N34" s="24" t="str">
        <x:f t="array" ref="N34">INDEX('MATCH INFO'!O:O, INT((ROW()-2)/10)+2 + 29)</x:f>
        <x:v>260612_O2_ZETA_S1</x:v>
      </x:c>
    </x:row>
    <x:row r="35">
      <x:c r="A35" s="23" t="s">
        <x:v>6</x:v>
      </x:c>
      <x:c r="B35" s="23" t="s">
        <x:v>9</x:v>
      </x:c>
      <x:c r="C35" s="23" t="s">
        <x:v>8</x:v>
      </x:c>
      <x:c r="D35" s="23" t="s">
        <x:v>131</x:v>
      </x:c>
      <x:c r="E35" s="23" t="s">
        <x:v>184</x:v>
      </x:c>
      <x:c r="F35" s="23">
        <x:v>7</x:v>
      </x:c>
      <x:c r="G35" s="23">
        <x:v>6</x:v>
      </x:c>
      <x:c r="H35" s="23">
        <x:v>0</x:v>
      </x:c>
      <x:c r="I35" s="23">
        <x:v>6784</x:v>
      </x:c>
      <x:c r="J35" s="23">
        <x:v>0</x:v>
      </x:c>
      <x:c r="K35" s="23">
        <x:v>12952</x:v>
      </x:c>
      <x:c r="L35" s="23" t="s">
        <x:v>221</x:v>
      </x:c>
      <x:c r="M35" s="23">
        <x:f t="shared" si="0"/>
        <x:v>444.99999999999994</x:v>
      </x:c>
      <x:c r="N35" s="24" t="str">
        <x:f t="array" ref="N35">INDEX('MATCH INFO'!O:O, INT((ROW()-2)/10)+2 + 29)</x:f>
        <x:v>260612_O2_ZETA_S1</x:v>
      </x:c>
    </x:row>
    <x:row r="36">
      <x:c r="A36" s="23" t="s">
        <x:v>6</x:v>
      </x:c>
      <x:c r="B36" s="23" t="s">
        <x:v>10</x:v>
      </x:c>
      <x:c r="C36" s="23" t="s">
        <x:v>11</x:v>
      </x:c>
      <x:c r="D36" s="23" t="s">
        <x:v>131</x:v>
      </x:c>
      <x:c r="E36" s="23" t="s">
        <x:v>184</x:v>
      </x:c>
      <x:c r="F36" s="23">
        <x:v>6</x:v>
      </x:c>
      <x:c r="G36" s="23">
        <x:v>6</x:v>
      </x:c>
      <x:c r="H36" s="23">
        <x:v>0</x:v>
      </x:c>
      <x:c r="I36" s="23">
        <x:v>3988</x:v>
      </x:c>
      <x:c r="J36" s="23">
        <x:v>73</x:v>
      </x:c>
      <x:c r="K36" s="23">
        <x:v>0</x:v>
      </x:c>
      <x:c r="L36" s="23" t="s">
        <x:v>221</x:v>
      </x:c>
      <x:c r="M36" s="23">
        <x:f t="shared" si="0"/>
        <x:v>444.99999999999994</x:v>
      </x:c>
      <x:c r="N36" s="24" t="str">
        <x:f t="array" ref="N36">INDEX('MATCH INFO'!O:O, INT((ROW()-2)/10)+2 + 29)</x:f>
        <x:v>260612_O2_ZETA_S1</x:v>
      </x:c>
    </x:row>
    <x:row r="37">
      <x:c r="A37" s="23" t="s">
        <x:v>47</x:v>
      </x:c>
      <x:c r="B37" s="23" t="s">
        <x:v>49</x:v>
      </x:c>
      <x:c r="C37" s="23" t="s">
        <x:v>8</x:v>
      </x:c>
      <x:c r="D37" s="23" t="s">
        <x:v>131</x:v>
      </x:c>
      <x:c r="E37" s="23" t="s">
        <x:v>184</x:v>
      </x:c>
      <x:c r="F37" s="23">
        <x:v>9</x:v>
      </x:c>
      <x:c r="G37" s="23">
        <x:v>3</x:v>
      </x:c>
      <x:c r="H37" s="23">
        <x:v>2</x:v>
      </x:c>
      <x:c r="I37" s="23">
        <x:v>6385</x:v>
      </x:c>
      <x:c r="J37" s="23">
        <x:v>0</x:v>
      </x:c>
      <x:c r="K37" s="23">
        <x:v>9708</x:v>
      </x:c>
      <x:c r="L37" s="23" t="s">
        <x:v>221</x:v>
      </x:c>
      <x:c r="M37" s="23">
        <x:f t="shared" si="0"/>
        <x:v>444.99999999999994</x:v>
      </x:c>
      <x:c r="N37" s="24" t="str">
        <x:f t="array" ref="N37">INDEX('MATCH INFO'!O:O, INT((ROW()-2)/10)+2 + 29)</x:f>
        <x:v>260612_O2_ZETA_S1</x:v>
      </x:c>
    </x:row>
    <x:row r="38">
      <x:c r="A38" s="23" t="s">
        <x:v>47</x:v>
      </x:c>
      <x:c r="B38" s="23" t="s">
        <x:v>51</x:v>
      </x:c>
      <x:c r="C38" s="23" t="s">
        <x:v>11</x:v>
      </x:c>
      <x:c r="D38" s="23" t="s">
        <x:v>131</x:v>
      </x:c>
      <x:c r="E38" s="23" t="s">
        <x:v>184</x:v>
      </x:c>
      <x:c r="F38" s="23">
        <x:v>14</x:v>
      </x:c>
      <x:c r="G38" s="23">
        <x:v>2</x:v>
      </x:c>
      <x:c r="H38" s="23">
        <x:v>0</x:v>
      </x:c>
      <x:c r="I38" s="23">
        <x:v>5431</x:v>
      </x:c>
      <x:c r="J38" s="23">
        <x:v>0</x:v>
      </x:c>
      <x:c r="K38" s="23">
        <x:v>0</x:v>
      </x:c>
      <x:c r="L38" s="23" t="s">
        <x:v>221</x:v>
      </x:c>
      <x:c r="M38" s="23">
        <x:f t="shared" si="0"/>
        <x:v>444.99999999999994</x:v>
      </x:c>
      <x:c r="N38" s="24" t="str">
        <x:f t="array" ref="N38">INDEX('MATCH INFO'!O:O, INT((ROW()-2)/10)+2 + 29)</x:f>
        <x:v>260612_O2_ZETA_S1</x:v>
      </x:c>
    </x:row>
    <x:row r="39">
      <x:c r="A39" s="23" t="s">
        <x:v>47</x:v>
      </x:c>
      <x:c r="B39" s="23" t="s">
        <x:v>50</x:v>
      </x:c>
      <x:c r="C39" s="23" t="s">
        <x:v>11</x:v>
      </x:c>
      <x:c r="D39" s="23" t="s">
        <x:v>131</x:v>
      </x:c>
      <x:c r="E39" s="23" t="s">
        <x:v>184</x:v>
      </x:c>
      <x:c r="F39" s="23">
        <x:v>19</x:v>
      </x:c>
      <x:c r="G39" s="23">
        <x:v>2</x:v>
      </x:c>
      <x:c r="H39" s="23">
        <x:v>4</x:v>
      </x:c>
      <x:c r="I39" s="23">
        <x:v>6871</x:v>
      </x:c>
      <x:c r="J39" s="23">
        <x:v>0</x:v>
      </x:c>
      <x:c r="K39" s="23">
        <x:v>0</x:v>
      </x:c>
      <x:c r="L39" s="23" t="s">
        <x:v>221</x:v>
      </x:c>
      <x:c r="M39" s="23">
        <x:f t="shared" si="0"/>
        <x:v>444.99999999999994</x:v>
      </x:c>
      <x:c r="N39" s="24" t="str">
        <x:f t="array" ref="N39">INDEX('MATCH INFO'!O:O, INT((ROW()-2)/10)+2 + 29)</x:f>
        <x:v>260612_O2_ZETA_S1</x:v>
      </x:c>
    </x:row>
    <x:row r="40">
      <x:c r="A40" s="23" t="s">
        <x:v>47</x:v>
      </x:c>
      <x:c r="B40" s="23" t="s">
        <x:v>53</x:v>
      </x:c>
      <x:c r="C40" s="23" t="s">
        <x:v>16</x:v>
      </x:c>
      <x:c r="D40" s="23" t="s">
        <x:v>131</x:v>
      </x:c>
      <x:c r="E40" s="23" t="s">
        <x:v>184</x:v>
      </x:c>
      <x:c r="F40" s="23">
        <x:v>18</x:v>
      </x:c>
      <x:c r="G40" s="23">
        <x:v>3</x:v>
      </x:c>
      <x:c r="H40" s="23">
        <x:v>11</x:v>
      </x:c>
      <x:c r="I40" s="23">
        <x:v>4745</x:v>
      </x:c>
      <x:c r="J40" s="23">
        <x:v>5636</x:v>
      </x:c>
      <x:c r="K40" s="23">
        <x:v>1596</x:v>
      </x:c>
      <x:c r="L40" s="23" t="s">
        <x:v>221</x:v>
      </x:c>
      <x:c r="M40" s="23">
        <x:f t="shared" si="0"/>
        <x:v>444.99999999999994</x:v>
      </x:c>
      <x:c r="N40" s="24" t="str">
        <x:f t="array" ref="N40">INDEX('MATCH INFO'!O:O, INT((ROW()-2)/10)+2 + 29)</x:f>
        <x:v>260612_O2_ZETA_S1</x:v>
      </x:c>
    </x:row>
    <x:row r="41">
      <x:c r="A41" s="23" t="s">
        <x:v>47</x:v>
      </x:c>
      <x:c r="B41" s="23" t="s">
        <x:v>52</x:v>
      </x:c>
      <x:c r="C41" s="23" t="s">
        <x:v>16</x:v>
      </x:c>
      <x:c r="D41" s="23" t="s">
        <x:v>131</x:v>
      </x:c>
      <x:c r="E41" s="23" t="s">
        <x:v>184</x:v>
      </x:c>
      <x:c r="F41" s="23">
        <x:v>11</x:v>
      </x:c>
      <x:c r="G41" s="23">
        <x:v>2</x:v>
      </x:c>
      <x:c r="H41" s="23">
        <x:v>11</x:v>
      </x:c>
      <x:c r="I41" s="23">
        <x:v>3578</x:v>
      </x:c>
      <x:c r="J41" s="23">
        <x:v>7137</x:v>
      </x:c>
      <x:c r="K41" s="23">
        <x:v>0</x:v>
      </x:c>
      <x:c r="L41" s="23" t="s">
        <x:v>221</x:v>
      </x:c>
      <x:c r="M41" s="23">
        <x:f t="shared" si="0"/>
        <x:v>444.99999999999994</x:v>
      </x:c>
      <x:c r="N41" s="24" t="str">
        <x:f t="array" ref="N41">INDEX('MATCH INFO'!O:O, INT((ROW()-2)/10)+2 + 29)</x:f>
        <x:v>260612_O2_ZETA_S1</x:v>
      </x:c>
    </x:row>
    <x:row r="42">
      <x:c r="A42" s="23" t="s">
        <x:v>47</x:v>
      </x:c>
      <x:c r="B42" s="23" t="s">
        <x:v>51</x:v>
      </x:c>
      <x:c r="C42" s="23" t="s">
        <x:v>11</x:v>
      </x:c>
      <x:c r="D42" s="23" t="s">
        <x:v>124</x:v>
      </x:c>
      <x:c r="E42" s="23" t="s">
        <x:v>186</x:v>
      </x:c>
      <x:c r="F42" s="23">
        <x:v>22</x:v>
      </x:c>
      <x:c r="G42" s="23">
        <x:v>4</x:v>
      </x:c>
      <x:c r="H42" s="23">
        <x:v>5</x:v>
      </x:c>
      <x:c r="I42" s="23">
        <x:v>7950</x:v>
      </x:c>
      <x:c r="J42" s="23">
        <x:v>536</x:v>
      </x:c>
      <x:c r="K42" s="23">
        <x:v>3444</x:v>
      </x:c>
      <x:c r="L42" s="23" t="s">
        <x:v>222</x:v>
      </x:c>
      <x:c r="M42" s="23">
        <x:f t="shared" si="0"/>
        <x:v>475.99999999999994</x:v>
      </x:c>
      <x:c r="N42" s="24" t="str">
        <x:f t="array" ref="N42">INDEX('MATCH INFO'!O:O, INT((ROW()-2)/10)+2 + 29)</x:f>
        <x:v>260612_O2_ZETA_S2</x:v>
      </x:c>
    </x:row>
    <x:row r="43">
      <x:c r="A43" s="23" t="s">
        <x:v>47</x:v>
      </x:c>
      <x:c r="B43" s="23" t="s">
        <x:v>48</x:v>
      </x:c>
      <x:c r="C43" s="23" t="s">
        <x:v>8</x:v>
      </x:c>
      <x:c r="D43" s="23" t="s">
        <x:v>124</x:v>
      </x:c>
      <x:c r="E43" s="23" t="s">
        <x:v>186</x:v>
      </x:c>
      <x:c r="F43" s="23">
        <x:v>18</x:v>
      </x:c>
      <x:c r="G43" s="23">
        <x:v>4</x:v>
      </x:c>
      <x:c r="H43" s="23">
        <x:v>15</x:v>
      </x:c>
      <x:c r="I43" s="23">
        <x:v>9995</x:v>
      </x:c>
      <x:c r="J43" s="23">
        <x:v>1434</x:v>
      </x:c>
      <x:c r="K43" s="23">
        <x:v>4970</x:v>
      </x:c>
      <x:c r="L43" s="23" t="s">
        <x:v>222</x:v>
      </x:c>
      <x:c r="M43" s="23">
        <x:f t="shared" si="0"/>
        <x:v>475.99999999999994</x:v>
      </x:c>
      <x:c r="N43" s="24" t="str">
        <x:f t="array" ref="N43">INDEX('MATCH INFO'!O:O, INT((ROW()-2)/10)+2 + 29)</x:f>
        <x:v>260612_O2_ZETA_S2</x:v>
      </x:c>
    </x:row>
    <x:row r="44">
      <x:c r="A44" s="23" t="s">
        <x:v>47</x:v>
      </x:c>
      <x:c r="B44" s="23" t="s">
        <x:v>50</x:v>
      </x:c>
      <x:c r="C44" s="23" t="s">
        <x:v>11</x:v>
      </x:c>
      <x:c r="D44" s="23" t="s">
        <x:v>124</x:v>
      </x:c>
      <x:c r="E44" s="23" t="s">
        <x:v>186</x:v>
      </x:c>
      <x:c r="F44" s="23">
        <x:v>20</x:v>
      </x:c>
      <x:c r="G44" s="23">
        <x:v>2</x:v>
      </x:c>
      <x:c r="H44" s="23">
        <x:v>0</x:v>
      </x:c>
      <x:c r="I44" s="23">
        <x:v>6934</x:v>
      </x:c>
      <x:c r="J44" s="23">
        <x:v>137</x:v>
      </x:c>
      <x:c r="K44" s="23">
        <x:v>514</x:v>
      </x:c>
      <x:c r="L44" s="23" t="s">
        <x:v>222</x:v>
      </x:c>
      <x:c r="M44" s="23">
        <x:f t="shared" si="0"/>
        <x:v>475.99999999999994</x:v>
      </x:c>
      <x:c r="N44" s="24" t="str">
        <x:f t="array" ref="N44">INDEX('MATCH INFO'!O:O, INT((ROW()-2)/10)+2 + 29)</x:f>
        <x:v>260612_O2_ZETA_S2</x:v>
      </x:c>
    </x:row>
    <x:row r="45">
      <x:c r="A45" s="23" t="s">
        <x:v>47</x:v>
      </x:c>
      <x:c r="B45" s="23" t="s">
        <x:v>53</x:v>
      </x:c>
      <x:c r="C45" s="23" t="s">
        <x:v>16</x:v>
      </x:c>
      <x:c r="D45" s="23" t="s">
        <x:v>124</x:v>
      </x:c>
      <x:c r="E45" s="23" t="s">
        <x:v>186</x:v>
      </x:c>
      <x:c r="F45" s="23">
        <x:v>14</x:v>
      </x:c>
      <x:c r="G45" s="23">
        <x:v>4</x:v>
      </x:c>
      <x:c r="H45" s="23">
        <x:v>21</x:v>
      </x:c>
      <x:c r="I45" s="23">
        <x:v>4269</x:v>
      </x:c>
      <x:c r="J45" s="23">
        <x:v>8567</x:v>
      </x:c>
      <x:c r="K45" s="23">
        <x:v>0</x:v>
      </x:c>
      <x:c r="L45" s="23" t="s">
        <x:v>222</x:v>
      </x:c>
      <x:c r="M45" s="23">
        <x:f t="shared" si="0"/>
        <x:v>475.99999999999994</x:v>
      </x:c>
      <x:c r="N45" s="24" t="str">
        <x:f t="array" ref="N45">INDEX('MATCH INFO'!O:O, INT((ROW()-2)/10)+2 + 29)</x:f>
        <x:v>260612_O2_ZETA_S2</x:v>
      </x:c>
    </x:row>
    <x:row r="46">
      <x:c r="A46" s="23" t="s">
        <x:v>47</x:v>
      </x:c>
      <x:c r="B46" s="23" t="s">
        <x:v>52</x:v>
      </x:c>
      <x:c r="C46" s="23" t="s">
        <x:v>16</x:v>
      </x:c>
      <x:c r="D46" s="23" t="s">
        <x:v>124</x:v>
      </x:c>
      <x:c r="E46" s="23" t="s">
        <x:v>186</x:v>
      </x:c>
      <x:c r="F46" s="23">
        <x:v>23</x:v>
      </x:c>
      <x:c r="G46" s="23">
        <x:v>1</x:v>
      </x:c>
      <x:c r="H46" s="23">
        <x:v>16</x:v>
      </x:c>
      <x:c r="I46" s="23">
        <x:v>5363</x:v>
      </x:c>
      <x:c r="J46" s="23">
        <x:v>5196</x:v>
      </x:c>
      <x:c r="K46" s="23">
        <x:v>2066</x:v>
      </x:c>
      <x:c r="L46" s="23" t="s">
        <x:v>222</x:v>
      </x:c>
      <x:c r="M46" s="23">
        <x:f t="shared" si="0"/>
        <x:v>475.99999999999994</x:v>
      </x:c>
      <x:c r="N46" s="24" t="str">
        <x:f t="array" ref="N46">INDEX('MATCH INFO'!O:O, INT((ROW()-2)/10)+2 + 29)</x:f>
        <x:v>260612_O2_ZETA_S2</x:v>
      </x:c>
    </x:row>
    <x:row r="47">
      <x:c r="A47" s="23" t="s">
        <x:v>6</x:v>
      </x:c>
      <x:c r="B47" s="23" t="s">
        <x:v>15</x:v>
      </x:c>
      <x:c r="C47" s="23" t="s">
        <x:v>16</x:v>
      </x:c>
      <x:c r="D47" s="23" t="s">
        <x:v>124</x:v>
      </x:c>
      <x:c r="E47" s="23" t="s">
        <x:v>186</x:v>
      </x:c>
      <x:c r="F47" s="23">
        <x:v>8</x:v>
      </x:c>
      <x:c r="G47" s="23">
        <x:v>6</x:v>
      </x:c>
      <x:c r="H47" s="23">
        <x:v>12</x:v>
      </x:c>
      <x:c r="I47" s="23">
        <x:v>2840</x:v>
      </x:c>
      <x:c r="J47" s="23">
        <x:v>6022</x:v>
      </x:c>
      <x:c r="K47" s="23">
        <x:v>465</x:v>
      </x:c>
      <x:c r="L47" s="23" t="s">
        <x:v>222</x:v>
      </x:c>
      <x:c r="M47" s="23">
        <x:f t="shared" si="0"/>
        <x:v>475.99999999999994</x:v>
      </x:c>
      <x:c r="N47" s="24" t="str">
        <x:f t="array" ref="N47">INDEX('MATCH INFO'!O:O, INT((ROW()-2)/10)+2 + 29)</x:f>
        <x:v>260612_O2_ZETA_S2</x:v>
      </x:c>
    </x:row>
    <x:row r="48">
      <x:c r="A48" s="23" t="s">
        <x:v>6</x:v>
      </x:c>
      <x:c r="B48" s="23" t="s">
        <x:v>18</x:v>
      </x:c>
      <x:c r="C48" s="23" t="s">
        <x:v>16</x:v>
      </x:c>
      <x:c r="D48" s="23" t="s">
        <x:v>124</x:v>
      </x:c>
      <x:c r="E48" s="23" t="s">
        <x:v>186</x:v>
      </x:c>
      <x:c r="F48" s="23">
        <x:v>4</x:v>
      </x:c>
      <x:c r="G48" s="23">
        <x:v>7</x:v>
      </x:c>
      <x:c r="H48" s="23">
        <x:v>10</x:v>
      </x:c>
      <x:c r="I48" s="23">
        <x:v>2829</x:v>
      </x:c>
      <x:c r="J48" s="23">
        <x:v>9185</x:v>
      </x:c>
      <x:c r="K48" s="23">
        <x:v>0</x:v>
      </x:c>
      <x:c r="L48" s="23" t="s">
        <x:v>222</x:v>
      </x:c>
      <x:c r="M48" s="23">
        <x:f t="shared" si="0"/>
        <x:v>475.99999999999994</x:v>
      </x:c>
      <x:c r="N48" s="24" t="str">
        <x:f t="array" ref="N48">INDEX('MATCH INFO'!O:O, INT((ROW()-2)/10)+2 + 29)</x:f>
        <x:v>260612_O2_ZETA_S2</x:v>
      </x:c>
    </x:row>
    <x:row r="49">
      <x:c r="A49" s="23" t="s">
        <x:v>6</x:v>
      </x:c>
      <x:c r="B49" s="23" t="s">
        <x:v>13</x:v>
      </x:c>
      <x:c r="C49" s="23" t="s">
        <x:v>11</x:v>
      </x:c>
      <x:c r="D49" s="23" t="s">
        <x:v>124</x:v>
      </x:c>
      <x:c r="E49" s="23" t="s">
        <x:v>186</x:v>
      </x:c>
      <x:c r="F49" s="23">
        <x:v>9</x:v>
      </x:c>
      <x:c r="G49" s="23">
        <x:v>8</x:v>
      </x:c>
      <x:c r="H49" s="23">
        <x:v>0</x:v>
      </x:c>
      <x:c r="I49" s="23">
        <x:v>6104</x:v>
      </x:c>
      <x:c r="J49" s="23">
        <x:v>0</x:v>
      </x:c>
      <x:c r="K49" s="23">
        <x:v>0</x:v>
      </x:c>
      <x:c r="L49" s="23" t="s">
        <x:v>222</x:v>
      </x:c>
      <x:c r="M49" s="23">
        <x:f t="shared" si="0"/>
        <x:v>475.99999999999994</x:v>
      </x:c>
      <x:c r="N49" s="24" t="str">
        <x:f t="array" ref="N49">INDEX('MATCH INFO'!O:O, INT((ROW()-2)/10)+2 + 29)</x:f>
        <x:v>260612_O2_ZETA_S2</x:v>
      </x:c>
    </x:row>
    <x:row r="50">
      <x:c r="A50" s="23" t="s">
        <x:v>6</x:v>
      </x:c>
      <x:c r="B50" s="23" t="s">
        <x:v>9</x:v>
      </x:c>
      <x:c r="C50" s="23" t="s">
        <x:v>8</x:v>
      </x:c>
      <x:c r="D50" s="23" t="s">
        <x:v>124</x:v>
      </x:c>
      <x:c r="E50" s="23" t="s">
        <x:v>186</x:v>
      </x:c>
      <x:c r="F50" s="23">
        <x:v>13</x:v>
      </x:c>
      <x:c r="G50" s="23">
        <x:v>6</x:v>
      </x:c>
      <x:c r="H50" s="23">
        <x:v>6</x:v>
      </x:c>
      <x:c r="I50" s="23">
        <x:v>9884</x:v>
      </x:c>
      <x:c r="J50" s="23">
        <x:v>2608</x:v>
      </x:c>
      <x:c r="K50" s="23">
        <x:v>5692</x:v>
      </x:c>
      <x:c r="L50" s="23" t="s">
        <x:v>222</x:v>
      </x:c>
      <x:c r="M50" s="23">
        <x:f t="shared" si="0"/>
        <x:v>475.99999999999994</x:v>
      </x:c>
      <x:c r="N50" s="24" t="str">
        <x:f t="array" ref="N50">INDEX('MATCH INFO'!O:O, INT((ROW()-2)/10)+2 + 29)</x:f>
        <x:v>260612_O2_ZETA_S2</x:v>
      </x:c>
    </x:row>
    <x:row r="51">
      <x:c r="A51" s="23" t="s">
        <x:v>6</x:v>
      </x:c>
      <x:c r="B51" s="23" t="s">
        <x:v>10</x:v>
      </x:c>
      <x:c r="C51" s="23" t="s">
        <x:v>11</x:v>
      </x:c>
      <x:c r="D51" s="23" t="s">
        <x:v>124</x:v>
      </x:c>
      <x:c r="E51" s="23" t="s">
        <x:v>186</x:v>
      </x:c>
      <x:c r="F51" s="23">
        <x:v>9</x:v>
      </x:c>
      <x:c r="G51" s="23">
        <x:v>6</x:v>
      </x:c>
      <x:c r="H51" s="23">
        <x:v>0</x:v>
      </x:c>
      <x:c r="I51" s="23">
        <x:v>7128</x:v>
      </x:c>
      <x:c r="J51" s="23">
        <x:v>924</x:v>
      </x:c>
      <x:c r="K51" s="23">
        <x:v>0</x:v>
      </x:c>
      <x:c r="L51" s="23" t="s">
        <x:v>222</x:v>
      </x:c>
      <x:c r="M51" s="23">
        <x:f t="shared" si="0"/>
        <x:v>475.99999999999994</x:v>
      </x:c>
      <x:c r="N51" s="24" t="str">
        <x:f t="array" ref="N51">INDEX('MATCH INFO'!O:O, INT((ROW()-2)/10)+2 + 29)</x:f>
        <x:v>260612_O2_ZETA_S2</x:v>
      </x:c>
    </x:row>
    <x:row r="52">
      <x:c r="A52" s="23" t="s">
        <x:v>47</x:v>
      </x:c>
      <x:c r="B52" s="23" t="s">
        <x:v>49</x:v>
      </x:c>
      <x:c r="C52" s="23" t="s">
        <x:v>8</x:v>
      </x:c>
      <x:c r="D52" s="23" t="s">
        <x:v>113</x:v>
      </x:c>
      <x:c r="E52" s="23" t="s">
        <x:v>188</x:v>
      </x:c>
      <x:c r="F52" s="23">
        <x:v>30</x:v>
      </x:c>
      <x:c r="G52" s="23">
        <x:v>4</x:v>
      </x:c>
      <x:c r="H52" s="23">
        <x:v>19</x:v>
      </x:c>
      <x:c r="I52" s="23">
        <x:v>13164</x:v>
      </x:c>
      <x:c r="J52" s="23">
        <x:v>2417</x:v>
      </x:c>
      <x:c r="K52" s="23">
        <x:v>6662</x:v>
      </x:c>
      <x:c r="L52" s="23" t="s">
        <x:v>223</x:v>
      </x:c>
      <x:c r="M52" s="23">
        <x:f t="shared" si="0"/>
        <x:v>555</x:v>
      </x:c>
      <x:c r="N52" s="24" t="str">
        <x:f t="array" ref="N52">INDEX('MATCH INFO'!O:O, INT((ROW()-2)/10)+2 + 29)</x:f>
        <x:v>260612_O2_ZETA_S3</x:v>
      </x:c>
    </x:row>
    <x:row r="53">
      <x:c r="A53" s="23" t="s">
        <x:v>47</x:v>
      </x:c>
      <x:c r="B53" s="23" t="s">
        <x:v>51</x:v>
      </x:c>
      <x:c r="C53" s="23" t="s">
        <x:v>11</x:v>
      </x:c>
      <x:c r="D53" s="23" t="s">
        <x:v>113</x:v>
      </x:c>
      <x:c r="E53" s="23" t="s">
        <x:v>188</x:v>
      </x:c>
      <x:c r="F53" s="23">
        <x:v>30</x:v>
      </x:c>
      <x:c r="G53" s="23">
        <x:v>4</x:v>
      </x:c>
      <x:c r="H53" s="23">
        <x:v>0</x:v>
      </x:c>
      <x:c r="I53" s="23">
        <x:v>9443</x:v>
      </x:c>
      <x:c r="J53" s="23">
        <x:v>0</x:v>
      </x:c>
      <x:c r="K53" s="23">
        <x:v>0</x:v>
      </x:c>
      <x:c r="L53" s="23" t="s">
        <x:v>223</x:v>
      </x:c>
      <x:c r="M53" s="23">
        <x:f t="shared" si="0"/>
        <x:v>555</x:v>
      </x:c>
      <x:c r="N53" s="24" t="str">
        <x:f t="array" ref="N53">INDEX('MATCH INFO'!O:O, INT((ROW()-2)/10)+2 + 29)</x:f>
        <x:v>260612_O2_ZETA_S3</x:v>
      </x:c>
    </x:row>
    <x:row r="54">
      <x:c r="A54" s="23" t="s">
        <x:v>47</x:v>
      </x:c>
      <x:c r="B54" s="23" t="s">
        <x:v>50</x:v>
      </x:c>
      <x:c r="C54" s="23" t="s">
        <x:v>11</x:v>
      </x:c>
      <x:c r="D54" s="23" t="s">
        <x:v>113</x:v>
      </x:c>
      <x:c r="E54" s="23" t="s">
        <x:v>188</x:v>
      </x:c>
      <x:c r="F54" s="23">
        <x:v>19</x:v>
      </x:c>
      <x:c r="G54" s="23">
        <x:v>6</x:v>
      </x:c>
      <x:c r="H54" s="23">
        <x:v>3</x:v>
      </x:c>
      <x:c r="I54" s="23">
        <x:v>10654</x:v>
      </x:c>
      <x:c r="J54" s="23">
        <x:v>0</x:v>
      </x:c>
      <x:c r="K54" s="23">
        <x:v>443</x:v>
      </x:c>
      <x:c r="L54" s="23" t="s">
        <x:v>223</x:v>
      </x:c>
      <x:c r="M54" s="23">
        <x:f t="shared" si="0"/>
        <x:v>555</x:v>
      </x:c>
      <x:c r="N54" s="24" t="str">
        <x:f t="array" ref="N54">INDEX('MATCH INFO'!O:O, INT((ROW()-2)/10)+2 + 29)</x:f>
        <x:v>260612_O2_ZETA_S3</x:v>
      </x:c>
    </x:row>
    <x:row r="55">
      <x:c r="A55" s="23" t="s">
        <x:v>47</x:v>
      </x:c>
      <x:c r="B55" s="23" t="s">
        <x:v>53</x:v>
      </x:c>
      <x:c r="C55" s="23" t="s">
        <x:v>16</x:v>
      </x:c>
      <x:c r="D55" s="23" t="s">
        <x:v>113</x:v>
      </x:c>
      <x:c r="E55" s="23" t="s">
        <x:v>188</x:v>
      </x:c>
      <x:c r="F55" s="23">
        <x:v>22</x:v>
      </x:c>
      <x:c r="G55" s="23">
        <x:v>0</x:v>
      </x:c>
      <x:c r="H55" s="23">
        <x:v>34</x:v>
      </x:c>
      <x:c r="I55" s="23">
        <x:v>5253</x:v>
      </x:c>
      <x:c r="J55" s="23">
        <x:v>14276</x:v>
      </x:c>
      <x:c r="K55" s="23">
        <x:v>0</x:v>
      </x:c>
      <x:c r="L55" s="23" t="s">
        <x:v>223</x:v>
      </x:c>
      <x:c r="M55" s="23">
        <x:f t="shared" si="0"/>
        <x:v>555</x:v>
      </x:c>
      <x:c r="N55" s="24" t="str">
        <x:f t="array" ref="N55">INDEX('MATCH INFO'!O:O, INT((ROW()-2)/10)+2 + 29)</x:f>
        <x:v>260612_O2_ZETA_S3</x:v>
      </x:c>
    </x:row>
    <x:row r="56">
      <x:c r="A56" s="23" t="s">
        <x:v>47</x:v>
      </x:c>
      <x:c r="B56" s="23" t="s">
        <x:v>52</x:v>
      </x:c>
      <x:c r="C56" s="23" t="s">
        <x:v>16</x:v>
      </x:c>
      <x:c r="D56" s="23" t="s">
        <x:v>113</x:v>
      </x:c>
      <x:c r="E56" s="23" t="s">
        <x:v>188</x:v>
      </x:c>
      <x:c r="F56" s="23">
        <x:v>27</x:v>
      </x:c>
      <x:c r="G56" s="23">
        <x:v>1</x:v>
      </x:c>
      <x:c r="H56" s="23">
        <x:v>22</x:v>
      </x:c>
      <x:c r="I56" s="23">
        <x:v>4472</x:v>
      </x:c>
      <x:c r="J56" s="23">
        <x:v>5784</x:v>
      </x:c>
      <x:c r="K56" s="23">
        <x:v>1100</x:v>
      </x:c>
      <x:c r="L56" s="23" t="s">
        <x:v>223</x:v>
      </x:c>
      <x:c r="M56" s="23">
        <x:f t="shared" si="0"/>
        <x:v>555</x:v>
      </x:c>
      <x:c r="N56" s="24" t="str">
        <x:f t="array" ref="N56">INDEX('MATCH INFO'!O:O, INT((ROW()-2)/10)+2 + 29)</x:f>
        <x:v>260612_O2_ZETA_S3</x:v>
      </x:c>
    </x:row>
    <x:row r="57">
      <x:c r="A57" s="23" t="s">
        <x:v>6</x:v>
      </x:c>
      <x:c r="B57" s="23" t="s">
        <x:v>15</x:v>
      </x:c>
      <x:c r="C57" s="23" t="s">
        <x:v>16</x:v>
      </x:c>
      <x:c r="D57" s="23" t="s">
        <x:v>113</x:v>
      </x:c>
      <x:c r="E57" s="23" t="s">
        <x:v>188</x:v>
      </x:c>
      <x:c r="F57" s="23">
        <x:v>6</x:v>
      </x:c>
      <x:c r="G57" s="23">
        <x:v>8</x:v>
      </x:c>
      <x:c r="H57" s="23">
        <x:v>9</x:v>
      </x:c>
      <x:c r="I57" s="23">
        <x:v>4017</x:v>
      </x:c>
      <x:c r="J57" s="23">
        <x:v>6199</x:v>
      </x:c>
      <x:c r="K57" s="23">
        <x:v>1179</x:v>
      </x:c>
      <x:c r="L57" s="23" t="s">
        <x:v>223</x:v>
      </x:c>
      <x:c r="M57" s="23">
        <x:f t="shared" si="0"/>
        <x:v>555</x:v>
      </x:c>
      <x:c r="N57" s="24" t="str">
        <x:f t="array" ref="N57">INDEX('MATCH INFO'!O:O, INT((ROW()-2)/10)+2 + 29)</x:f>
        <x:v>260612_O2_ZETA_S3</x:v>
      </x:c>
    </x:row>
    <x:row r="58">
      <x:c r="A58" s="23" t="s">
        <x:v>6</x:v>
      </x:c>
      <x:c r="B58" s="23" t="s">
        <x:v>7</x:v>
      </x:c>
      <x:c r="C58" s="23" t="s">
        <x:v>8</x:v>
      </x:c>
      <x:c r="D58" s="23" t="s">
        <x:v>113</x:v>
      </x:c>
      <x:c r="E58" s="23" t="s">
        <x:v>188</x:v>
      </x:c>
      <x:c r="F58" s="23">
        <x:v>10</x:v>
      </x:c>
      <x:c r="G58" s="23">
        <x:v>9</x:v>
      </x:c>
      <x:c r="H58" s="23">
        <x:v>4</x:v>
      </x:c>
      <x:c r="I58" s="23">
        <x:v>10870</x:v>
      </x:c>
      <x:c r="J58" s="23">
        <x:v>2418</x:v>
      </x:c>
      <x:c r="K58" s="23">
        <x:v>8258</x:v>
      </x:c>
      <x:c r="L58" s="23" t="s">
        <x:v>223</x:v>
      </x:c>
      <x:c r="M58" s="23">
        <x:f t="shared" si="0"/>
        <x:v>555</x:v>
      </x:c>
      <x:c r="N58" s="24" t="str">
        <x:f t="array" ref="N58">INDEX('MATCH INFO'!O:O, INT((ROW()-2)/10)+2 + 29)</x:f>
        <x:v>260612_O2_ZETA_S3</x:v>
      </x:c>
    </x:row>
    <x:row r="59">
      <x:c r="A59" s="23" t="s">
        <x:v>6</x:v>
      </x:c>
      <x:c r="B59" s="23" t="s">
        <x:v>18</x:v>
      </x:c>
      <x:c r="C59" s="23" t="s">
        <x:v>16</x:v>
      </x:c>
      <x:c r="D59" s="23" t="s">
        <x:v>113</x:v>
      </x:c>
      <x:c r="E59" s="23" t="s">
        <x:v>188</x:v>
      </x:c>
      <x:c r="F59" s="23">
        <x:v>8</x:v>
      </x:c>
      <x:c r="G59" s="23">
        <x:v>8</x:v>
      </x:c>
      <x:c r="H59" s="23">
        <x:v>7</x:v>
      </x:c>
      <x:c r="I59" s="23">
        <x:v>3600</x:v>
      </x:c>
      <x:c r="J59" s="23">
        <x:v>11676</x:v>
      </x:c>
      <x:c r="K59" s="23">
        <x:v>0</x:v>
      </x:c>
      <x:c r="L59" s="23" t="s">
        <x:v>223</x:v>
      </x:c>
      <x:c r="M59" s="23">
        <x:f t="shared" si="0"/>
        <x:v>555</x:v>
      </x:c>
      <x:c r="N59" s="24" t="str">
        <x:f t="array" ref="N59">INDEX('MATCH INFO'!O:O, INT((ROW()-2)/10)+2 + 29)</x:f>
        <x:v>260612_O2_ZETA_S3</x:v>
      </x:c>
    </x:row>
    <x:row r="60">
      <x:c r="A60" s="23" t="s">
        <x:v>6</x:v>
      </x:c>
      <x:c r="B60" s="23" t="s">
        <x:v>13</x:v>
      </x:c>
      <x:c r="C60" s="23" t="s">
        <x:v>11</x:v>
      </x:c>
      <x:c r="D60" s="23" t="s">
        <x:v>113</x:v>
      </x:c>
      <x:c r="E60" s="23" t="s">
        <x:v>188</x:v>
      </x:c>
      <x:c r="F60" s="23">
        <x:v>12</x:v>
      </x:c>
      <x:c r="G60" s="23">
        <x:v>9</x:v>
      </x:c>
      <x:c r="H60" s="23">
        <x:v>0</x:v>
      </x:c>
      <x:c r="I60" s="23">
        <x:v>8436</x:v>
      </x:c>
      <x:c r="J60" s="23">
        <x:v>0</x:v>
      </x:c>
      <x:c r="K60" s="23">
        <x:v>0</x:v>
      </x:c>
      <x:c r="L60" s="23" t="s">
        <x:v>223</x:v>
      </x:c>
      <x:c r="M60" s="23">
        <x:f t="shared" si="0"/>
        <x:v>555</x:v>
      </x:c>
      <x:c r="N60" s="24" t="str">
        <x:f t="array" ref="N60">INDEX('MATCH INFO'!O:O, INT((ROW()-2)/10)+2 + 29)</x:f>
        <x:v>260612_O2_ZETA_S3</x:v>
      </x:c>
    </x:row>
    <x:row r="61">
      <x:c r="A61" s="23" t="s">
        <x:v>6</x:v>
      </x:c>
      <x:c r="B61" s="23" t="s">
        <x:v>10</x:v>
      </x:c>
      <x:c r="C61" s="23" t="s">
        <x:v>11</x:v>
      </x:c>
      <x:c r="D61" s="23" t="s">
        <x:v>113</x:v>
      </x:c>
      <x:c r="E61" s="23" t="s">
        <x:v>188</x:v>
      </x:c>
      <x:c r="F61" s="23">
        <x:v>9</x:v>
      </x:c>
      <x:c r="G61" s="23">
        <x:v>7</x:v>
      </x:c>
      <x:c r="H61" s="23">
        <x:v>0</x:v>
      </x:c>
      <x:c r="I61" s="23">
        <x:v>9083</x:v>
      </x:c>
      <x:c r="J61" s="23">
        <x:v>1301</x:v>
      </x:c>
      <x:c r="K61" s="23">
        <x:v>0</x:v>
      </x:c>
      <x:c r="L61" s="23" t="s">
        <x:v>223</x:v>
      </x:c>
      <x:c r="M61" s="23">
        <x:f t="shared" si="0"/>
        <x:v>555</x:v>
      </x:c>
      <x:c r="N61" s="24" t="str">
        <x:f t="array" ref="N61">INDEX('MATCH INFO'!O:O, INT((ROW()-2)/10)+2 + 29)</x:f>
        <x:v>260612_O2_ZETA_S3</x:v>
      </x:c>
    </x:row>
    <x:row r="62">
      <x:c r="A62" s="23" t="s">
        <x:v>55</x:v>
      </x:c>
      <x:c r="B62" s="23" t="s">
        <x:v>61</x:v>
      </x:c>
      <x:c r="C62" s="23" t="s">
        <x:v>16</x:v>
      </x:c>
      <x:c r="D62" s="23" t="s">
        <x:v>116</x:v>
      </x:c>
      <x:c r="E62" s="23" t="s">
        <x:v>184</x:v>
      </x:c>
      <x:c r="F62" s="23">
        <x:v>18</x:v>
      </x:c>
      <x:c r="G62" s="23">
        <x:v>1</x:v>
      </x:c>
      <x:c r="H62" s="23">
        <x:v>21</x:v>
      </x:c>
      <x:c r="I62" s="23">
        <x:v>1983</x:v>
      </x:c>
      <x:c r="J62" s="23">
        <x:v>6709</x:v>
      </x:c>
      <x:c r="K62" s="23">
        <x:v>0</x:v>
      </x:c>
      <x:c r="L62" s="23" t="s">
        <x:v>224</x:v>
      </x:c>
      <x:c r="M62" s="23">
        <x:f t="shared" si="0"/>
        <x:v>391</x:v>
      </x:c>
      <x:c r="N62" s="24" t="str">
        <x:f t="array" ref="N62">INDEX('MATCH INFO'!O:O, INT((ROW()-2)/10)+2 + 29)</x:f>
        <x:v>260612_CR_ROZE_S1</x:v>
      </x:c>
    </x:row>
    <x:row r="63">
      <x:c r="A63" s="23" t="s">
        <x:v>55</x:v>
      </x:c>
      <x:c r="B63" s="23" t="s">
        <x:v>58</x:v>
      </x:c>
      <x:c r="C63" s="23" t="s">
        <x:v>11</x:v>
      </x:c>
      <x:c r="D63" s="23" t="s">
        <x:v>116</x:v>
      </x:c>
      <x:c r="E63" s="23" t="s">
        <x:v>184</x:v>
      </x:c>
      <x:c r="F63" s="23">
        <x:v>23</x:v>
      </x:c>
      <x:c r="G63" s="23">
        <x:v>1</x:v>
      </x:c>
      <x:c r="H63" s="23">
        <x:v>3</x:v>
      </x:c>
      <x:c r="I63" s="23">
        <x:v>7801</x:v>
      </x:c>
      <x:c r="J63" s="23">
        <x:v>515</x:v>
      </x:c>
      <x:c r="K63" s="23">
        <x:v>0</x:v>
      </x:c>
      <x:c r="L63" s="23" t="s">
        <x:v>224</x:v>
      </x:c>
      <x:c r="M63" s="23">
        <x:f t="shared" si="0"/>
        <x:v>391</x:v>
      </x:c>
      <x:c r="N63" s="24" t="str">
        <x:f t="array" ref="N63">INDEX('MATCH INFO'!O:O, INT((ROW()-2)/10)+2 + 29)</x:f>
        <x:v>260612_CR_ROZE_S1</x:v>
      </x:c>
    </x:row>
    <x:row r="64">
      <x:c r="A64" s="23" t="s">
        <x:v>55</x:v>
      </x:c>
      <x:c r="B64" s="23" t="s">
        <x:v>59</x:v>
      </x:c>
      <x:c r="C64" s="23" t="s">
        <x:v>11</x:v>
      </x:c>
      <x:c r="D64" s="23" t="s">
        <x:v>116</x:v>
      </x:c>
      <x:c r="E64" s="23" t="s">
        <x:v>184</x:v>
      </x:c>
      <x:c r="F64" s="23">
        <x:v>22</x:v>
      </x:c>
      <x:c r="G64" s="23">
        <x:v>2</x:v>
      </x:c>
      <x:c r="H64" s="23">
        <x:v>3</x:v>
      </x:c>
      <x:c r="I64" s="23">
        <x:v>10496</x:v>
      </x:c>
      <x:c r="J64" s="23">
        <x:v>353</x:v>
      </x:c>
      <x:c r="K64" s="23">
        <x:v>697</x:v>
      </x:c>
      <x:c r="L64" s="23" t="s">
        <x:v>224</x:v>
      </x:c>
      <x:c r="M64" s="23">
        <x:f t="shared" si="0"/>
        <x:v>391</x:v>
      </x:c>
      <x:c r="N64" s="24" t="str">
        <x:f t="array" ref="N64">INDEX('MATCH INFO'!O:O, INT((ROW()-2)/10)+2 + 29)</x:f>
        <x:v>260612_CR_ROZE_S1</x:v>
      </x:c>
    </x:row>
    <x:row r="65">
      <x:c r="A65" s="23" t="s">
        <x:v>55</x:v>
      </x:c>
      <x:c r="B65" s="23" t="s">
        <x:v>57</x:v>
      </x:c>
      <x:c r="C65" s="23" t="s">
        <x:v>8</x:v>
      </x:c>
      <x:c r="D65" s="23" t="s">
        <x:v>116</x:v>
      </x:c>
      <x:c r="E65" s="23" t="s">
        <x:v>184</x:v>
      </x:c>
      <x:c r="F65" s="23">
        <x:v>27</x:v>
      </x:c>
      <x:c r="G65" s="23">
        <x:v>0</x:v>
      </x:c>
      <x:c r="H65" s="23">
        <x:v>13</x:v>
      </x:c>
      <x:c r="I65" s="23">
        <x:v>8965</x:v>
      </x:c>
      <x:c r="J65" s="23">
        <x:v>1982</x:v>
      </x:c>
      <x:c r="K65" s="23">
        <x:v>3074</x:v>
      </x:c>
      <x:c r="L65" s="23" t="s">
        <x:v>224</x:v>
      </x:c>
      <x:c r="M65" s="23">
        <x:f t="shared" si="0"/>
        <x:v>391</x:v>
      </x:c>
      <x:c r="N65" s="24" t="str">
        <x:f t="array" ref="N65">INDEX('MATCH INFO'!O:O, INT((ROW()-2)/10)+2 + 29)</x:f>
        <x:v>260612_CR_ROZE_S1</x:v>
      </x:c>
    </x:row>
    <x:row r="66">
      <x:c r="A66" s="23" t="s">
        <x:v>55</x:v>
      </x:c>
      <x:c r="B66" s="23" t="s">
        <x:v>62</x:v>
      </x:c>
      <x:c r="C66" s="23" t="s">
        <x:v>16</x:v>
      </x:c>
      <x:c r="D66" s="23" t="s">
        <x:v>116</x:v>
      </x:c>
      <x:c r="E66" s="23" t="s">
        <x:v>184</x:v>
      </x:c>
      <x:c r="F66" s="23">
        <x:v>16</x:v>
      </x:c>
      <x:c r="G66" s="23">
        <x:v>1</x:v>
      </x:c>
      <x:c r="H66" s="23">
        <x:v>21</x:v>
      </x:c>
      <x:c r="I66" s="23">
        <x:v>2750</x:v>
      </x:c>
      <x:c r="J66" s="23">
        <x:v>7395</x:v>
      </x:c>
      <x:c r="K66" s="23">
        <x:v>0</x:v>
      </x:c>
      <x:c r="L66" s="23" t="s">
        <x:v>224</x:v>
      </x:c>
      <x:c r="M66" s="23" t="e">
        <x:f t="shared" ref="M66:M129" si="1">L66*86400</x:f>
        <x:v>#VALUE!</x:v>
      </x:c>
      <x:c r="N66" s="24" t="str">
        <x:f t="array" ref="N66">INDEX('MATCH INFO'!O:O, INT((ROW()-2)/10)+2 + 29)</x:f>
        <x:v>260612_CR_ROZE_S1</x:v>
      </x:c>
    </x:row>
    <x:row r="67">
      <x:c r="A67" s="23" t="s">
        <x:v>22</x:v>
      </x:c>
      <x:c r="B67" s="23" t="s">
        <x:v>25</x:v>
      </x:c>
      <x:c r="C67" s="23" t="s">
        <x:v>11</x:v>
      </x:c>
      <x:c r="D67" s="23" t="s">
        <x:v>116</x:v>
      </x:c>
      <x:c r="E67" s="23" t="s">
        <x:v>184</x:v>
      </x:c>
      <x:c r="F67" s="23">
        <x:v>3</x:v>
      </x:c>
      <x:c r="G67" s="23">
        <x:v>5</x:v>
      </x:c>
      <x:c r="H67" s="23">
        <x:v>0</x:v>
      </x:c>
      <x:c r="I67" s="23">
        <x:v>4322</x:v>
      </x:c>
      <x:c r="J67" s="23">
        <x:v>193</x:v>
      </x:c>
      <x:c r="K67" s="23">
        <x:v>0</x:v>
      </x:c>
      <x:c r="L67" s="23" t="s">
        <x:v>224</x:v>
      </x:c>
      <x:c r="M67" s="23">
        <x:f t="shared" si="1"/>
        <x:v>391</x:v>
      </x:c>
      <x:c r="N67" s="24" t="str">
        <x:f t="array" ref="N67">INDEX('MATCH INFO'!O:O, INT((ROW()-2)/10)+2 + 29)</x:f>
        <x:v>260612_CR_ROZE_S1</x:v>
      </x:c>
    </x:row>
    <x:row r="68">
      <x:c r="A68" s="23" t="s">
        <x:v>22</x:v>
      </x:c>
      <x:c r="B68" s="23" t="s">
        <x:v>24</x:v>
      </x:c>
      <x:c r="C68" s="23" t="s">
        <x:v>8</x:v>
      </x:c>
      <x:c r="D68" s="23" t="s">
        <x:v>116</x:v>
      </x:c>
      <x:c r="E68" s="23" t="s">
        <x:v>184</x:v>
      </x:c>
      <x:c r="F68" s="23">
        <x:v>3</x:v>
      </x:c>
      <x:c r="G68" s="23">
        <x:v>8</x:v>
      </x:c>
      <x:c r="H68" s="23">
        <x:v>4</x:v>
      </x:c>
      <x:c r="I68" s="23">
        <x:v>8773</x:v>
      </x:c>
      <x:c r="J68" s="23">
        <x:v>2086</x:v>
      </x:c>
      <x:c r="K68" s="23">
        <x:v>3337</x:v>
      </x:c>
      <x:c r="L68" s="23" t="s">
        <x:v>224</x:v>
      </x:c>
      <x:c r="M68" s="23">
        <x:f t="shared" si="1"/>
        <x:v>391</x:v>
      </x:c>
      <x:c r="N68" s="24" t="str">
        <x:f t="array" ref="N68">INDEX('MATCH INFO'!O:O, INT((ROW()-2)/10)+2 + 29)</x:f>
        <x:v>260612_CR_ROZE_S1</x:v>
      </x:c>
    </x:row>
    <x:row r="69">
      <x:c r="A69" s="23" t="s">
        <x:v>22</x:v>
      </x:c>
      <x:c r="B69" s="23" t="s">
        <x:v>29</x:v>
      </x:c>
      <x:c r="C69" s="23" t="s">
        <x:v>16</x:v>
      </x:c>
      <x:c r="D69" s="23" t="s">
        <x:v>116</x:v>
      </x:c>
      <x:c r="E69" s="23" t="s">
        <x:v>184</x:v>
      </x:c>
      <x:c r="F69" s="23">
        <x:v>3</x:v>
      </x:c>
      <x:c r="G69" s="23">
        <x:v>8</x:v>
      </x:c>
      <x:c r="H69" s="23">
        <x:v>4</x:v>
      </x:c>
      <x:c r="I69" s="23">
        <x:v>2695</x:v>
      </x:c>
      <x:c r="J69" s="23">
        <x:v>7383</x:v>
      </x:c>
      <x:c r="K69" s="23">
        <x:v>0</x:v>
      </x:c>
      <x:c r="L69" s="23" t="s">
        <x:v>224</x:v>
      </x:c>
      <x:c r="M69" s="23">
        <x:f t="shared" si="1"/>
        <x:v>391</x:v>
      </x:c>
      <x:c r="N69" s="24" t="str">
        <x:f t="array" ref="N69">INDEX('MATCH INFO'!O:O, INT((ROW()-2)/10)+2 + 29)</x:f>
        <x:v>260612_CR_ROZE_S1</x:v>
      </x:c>
    </x:row>
    <x:row r="70">
      <x:c r="A70" s="23" t="s">
        <x:v>22</x:v>
      </x:c>
      <x:c r="B70" s="23" t="s">
        <x:v>26</x:v>
      </x:c>
      <x:c r="C70" s="23" t="s">
        <x:v>11</x:v>
      </x:c>
      <x:c r="D70" s="23" t="s">
        <x:v>116</x:v>
      </x:c>
      <x:c r="E70" s="23" t="s">
        <x:v>184</x:v>
      </x:c>
      <x:c r="F70" s="23">
        <x:v>4</x:v>
      </x:c>
      <x:c r="G70" s="23">
        <x:v>8</x:v>
      </x:c>
      <x:c r="H70" s="23">
        <x:v>0</x:v>
      </x:c>
      <x:c r="I70" s="23">
        <x:v>7266</x:v>
      </x:c>
      <x:c r="J70" s="23">
        <x:v>0</x:v>
      </x:c>
      <x:c r="K70" s="23">
        <x:v>128</x:v>
      </x:c>
      <x:c r="L70" s="23" t="s">
        <x:v>224</x:v>
      </x:c>
      <x:c r="M70" s="23">
        <x:f t="shared" si="1"/>
        <x:v>391</x:v>
      </x:c>
      <x:c r="N70" s="24" t="str">
        <x:f t="array" ref="N70">INDEX('MATCH INFO'!O:O, INT((ROW()-2)/10)+2 + 29)</x:f>
        <x:v>260612_CR_ROZE_S1</x:v>
      </x:c>
    </x:row>
    <x:row r="71">
      <x:c r="A71" s="23" t="s">
        <x:v>22</x:v>
      </x:c>
      <x:c r="B71" s="23" t="s">
        <x:v>28</x:v>
      </x:c>
      <x:c r="C71" s="23" t="s">
        <x:v>16</x:v>
      </x:c>
      <x:c r="D71" s="23" t="s">
        <x:v>116</x:v>
      </x:c>
      <x:c r="E71" s="23" t="s">
        <x:v>184</x:v>
      </x:c>
      <x:c r="F71" s="23">
        <x:v>1</x:v>
      </x:c>
      <x:c r="G71" s="23">
        <x:v>9</x:v>
      </x:c>
      <x:c r="H71" s="23">
        <x:v>3</x:v>
      </x:c>
      <x:c r="I71" s="23">
        <x:v>1519</x:v>
      </x:c>
      <x:c r="J71" s="23">
        <x:v>3634</x:v>
      </x:c>
      <x:c r="K71" s="23">
        <x:v>0</x:v>
      </x:c>
      <x:c r="L71" s="23" t="s">
        <x:v>224</x:v>
      </x:c>
      <x:c r="M71" s="23">
        <x:f t="shared" si="1"/>
        <x:v>391</x:v>
      </x:c>
      <x:c r="N71" s="24" t="str">
        <x:f t="array" ref="N71">INDEX('MATCH INFO'!O:O, INT((ROW()-2)/10)+2 + 29)</x:f>
        <x:v>260612_CR_ROZE_S1</x:v>
      </x:c>
    </x:row>
    <x:row r="72">
      <x:c r="A72" s="23" t="s">
        <x:v>55</x:v>
      </x:c>
      <x:c r="B72" s="23" t="s">
        <x:v>61</x:v>
      </x:c>
      <x:c r="C72" s="23" t="s">
        <x:v>16</x:v>
      </x:c>
      <x:c r="D72" s="23" t="s">
        <x:v>138</x:v>
      </x:c>
      <x:c r="E72" s="23" t="s">
        <x:v>191</x:v>
      </x:c>
      <x:c r="F72" s="23">
        <x:v>16</x:v>
      </x:c>
      <x:c r="G72" s="23">
        <x:v>2</x:v>
      </x:c>
      <x:c r="H72" s="23">
        <x:v>20</x:v>
      </x:c>
      <x:c r="I72" s="23">
        <x:v>2434</x:v>
      </x:c>
      <x:c r="J72" s="23">
        <x:v>2636</x:v>
      </x:c>
      <x:c r="K72" s="23">
        <x:v>1173</x:v>
      </x:c>
      <x:c r="L72" s="23" t="s">
        <x:v>225</x:v>
      </x:c>
      <x:c r="M72" s="23">
        <x:f t="shared" si="1"/>
        <x:v>279</x:v>
      </x:c>
      <x:c r="N72" s="24" t="str">
        <x:f t="array" ref="N72">INDEX('MATCH INFO'!O:O, INT((ROW()-2)/10)+2 + 29)</x:f>
        <x:v>260612_CR_ROZE_S2</x:v>
      </x:c>
    </x:row>
    <x:row r="73">
      <x:c r="A73" s="23" t="s">
        <x:v>55</x:v>
      </x:c>
      <x:c r="B73" s="23" t="s">
        <x:v>58</x:v>
      </x:c>
      <x:c r="C73" s="23" t="s">
        <x:v>11</x:v>
      </x:c>
      <x:c r="D73" s="23" t="s">
        <x:v>138</x:v>
      </x:c>
      <x:c r="E73" s="23" t="s">
        <x:v>191</x:v>
      </x:c>
      <x:c r="F73" s="23">
        <x:v>18</x:v>
      </x:c>
      <x:c r="G73" s="23">
        <x:v>0</x:v>
      </x:c>
      <x:c r="H73" s="23">
        <x:v>2</x:v>
      </x:c>
      <x:c r="I73" s="23">
        <x:v>4138</x:v>
      </x:c>
      <x:c r="J73" s="23">
        <x:v>90</x:v>
      </x:c>
      <x:c r="K73" s="23">
        <x:v>2494</x:v>
      </x:c>
      <x:c r="L73" s="23" t="s">
        <x:v>225</x:v>
      </x:c>
      <x:c r="M73" s="23">
        <x:f t="shared" si="1"/>
        <x:v>279</x:v>
      </x:c>
      <x:c r="N73" s="24" t="str">
        <x:f t="array" ref="N73">INDEX('MATCH INFO'!O:O, INT((ROW()-2)/10)+2 + 29)</x:f>
        <x:v>260612_CR_ROZE_S2</x:v>
      </x:c>
    </x:row>
    <x:row r="74">
      <x:c r="A74" s="23" t="s">
        <x:v>55</x:v>
      </x:c>
      <x:c r="B74" s="23" t="s">
        <x:v>59</x:v>
      </x:c>
      <x:c r="C74" s="23" t="s">
        <x:v>11</x:v>
      </x:c>
      <x:c r="D74" s="23" t="s">
        <x:v>138</x:v>
      </x:c>
      <x:c r="E74" s="23" t="s">
        <x:v>191</x:v>
      </x:c>
      <x:c r="F74" s="23">
        <x:v>15</x:v>
      </x:c>
      <x:c r="G74" s="23">
        <x:v>1</x:v>
      </x:c>
      <x:c r="H74" s="23">
        <x:v>4</x:v>
      </x:c>
      <x:c r="I74" s="23">
        <x:v>6550</x:v>
      </x:c>
      <x:c r="J74" s="23">
        <x:v>0</x:v>
      </x:c>
      <x:c r="K74" s="23">
        <x:v>0</x:v>
      </x:c>
      <x:c r="L74" s="23" t="s">
        <x:v>225</x:v>
      </x:c>
      <x:c r="M74" s="23">
        <x:f t="shared" si="1"/>
        <x:v>279</x:v>
      </x:c>
      <x:c r="N74" s="24" t="str">
        <x:f t="array" ref="N74">INDEX('MATCH INFO'!O:O, INT((ROW()-2)/10)+2 + 29)</x:f>
        <x:v>260612_CR_ROZE_S2</x:v>
      </x:c>
    </x:row>
    <x:row r="75">
      <x:c r="A75" s="23" t="s">
        <x:v>55</x:v>
      </x:c>
      <x:c r="B75" s="23" t="s">
        <x:v>57</x:v>
      </x:c>
      <x:c r="C75" s="23" t="s">
        <x:v>8</x:v>
      </x:c>
      <x:c r="D75" s="23" t="s">
        <x:v>138</x:v>
      </x:c>
      <x:c r="E75" s="23" t="s">
        <x:v>191</x:v>
      </x:c>
      <x:c r="F75" s="23">
        <x:v>20</x:v>
      </x:c>
      <x:c r="G75" s="23">
        <x:v>0</x:v>
      </x:c>
      <x:c r="H75" s="23">
        <x:v>3</x:v>
      </x:c>
      <x:c r="I75" s="23">
        <x:v>6805</x:v>
      </x:c>
      <x:c r="J75" s="23">
        <x:v>0</x:v>
      </x:c>
      <x:c r="K75" s="23">
        <x:v>8447</x:v>
      </x:c>
      <x:c r="L75" s="23" t="s">
        <x:v>225</x:v>
      </x:c>
      <x:c r="M75" s="23">
        <x:f t="shared" si="1"/>
        <x:v>279</x:v>
      </x:c>
      <x:c r="N75" s="24" t="str">
        <x:f t="array" ref="N75">INDEX('MATCH INFO'!O:O, INT((ROW()-2)/10)+2 + 29)</x:f>
        <x:v>260612_CR_ROZE_S2</x:v>
      </x:c>
    </x:row>
    <x:row r="76">
      <x:c r="A76" s="23" t="s">
        <x:v>55</x:v>
      </x:c>
      <x:c r="B76" s="23" t="s">
        <x:v>62</x:v>
      </x:c>
      <x:c r="C76" s="23" t="s">
        <x:v>16</x:v>
      </x:c>
      <x:c r="D76" s="23" t="s">
        <x:v>138</x:v>
      </x:c>
      <x:c r="E76" s="23" t="s">
        <x:v>191</x:v>
      </x:c>
      <x:c r="F76" s="23">
        <x:v>18</x:v>
      </x:c>
      <x:c r="G76" s="23">
        <x:v>0</x:v>
      </x:c>
      <x:c r="H76" s="23">
        <x:v>21</x:v>
      </x:c>
      <x:c r="I76" s="23">
        <x:v>1907</x:v>
      </x:c>
      <x:c r="J76" s="23">
        <x:v>6851</x:v>
      </x:c>
      <x:c r="K76" s="23">
        <x:v>59</x:v>
      </x:c>
      <x:c r="L76" s="23" t="s">
        <x:v>225</x:v>
      </x:c>
      <x:c r="M76" s="23">
        <x:f t="shared" si="1"/>
        <x:v>279</x:v>
      </x:c>
      <x:c r="N76" s="24" t="str">
        <x:f t="array" ref="N76">INDEX('MATCH INFO'!O:O, INT((ROW()-2)/10)+2 + 29)</x:f>
        <x:v>260612_CR_ROZE_S2</x:v>
      </x:c>
    </x:row>
    <x:row r="77">
      <x:c r="A77" s="23" t="s">
        <x:v>22</x:v>
      </x:c>
      <x:c r="B77" s="23" t="s">
        <x:v>25</x:v>
      </x:c>
      <x:c r="C77" s="23" t="s">
        <x:v>11</x:v>
      </x:c>
      <x:c r="D77" s="23" t="s">
        <x:v>138</x:v>
      </x:c>
      <x:c r="E77" s="23" t="s">
        <x:v>191</x:v>
      </x:c>
      <x:c r="F77" s="23">
        <x:v>1</x:v>
      </x:c>
      <x:c r="G77" s="23">
        <x:v>6</x:v>
      </x:c>
      <x:c r="H77" s="23">
        <x:v>1</x:v>
      </x:c>
      <x:c r="I77" s="23">
        <x:v>2669</x:v>
      </x:c>
      <x:c r="J77" s="23">
        <x:v>194</x:v>
      </x:c>
      <x:c r="K77" s="23">
        <x:v>588</x:v>
      </x:c>
      <x:c r="L77" s="23" t="s">
        <x:v>225</x:v>
      </x:c>
      <x:c r="M77" s="23">
        <x:f t="shared" si="1"/>
        <x:v>279</x:v>
      </x:c>
      <x:c r="N77" s="24" t="str">
        <x:f t="array" ref="N77">INDEX('MATCH INFO'!O:O, INT((ROW()-2)/10)+2 + 29)</x:f>
        <x:v>260612_CR_ROZE_S2</x:v>
      </x:c>
    </x:row>
    <x:row r="78">
      <x:c r="A78" s="23" t="s">
        <x:v>22</x:v>
      </x:c>
      <x:c r="B78" s="23" t="s">
        <x:v>29</x:v>
      </x:c>
      <x:c r="C78" s="23" t="s">
        <x:v>16</x:v>
      </x:c>
      <x:c r="D78" s="23" t="s">
        <x:v>138</x:v>
      </x:c>
      <x:c r="E78" s="23" t="s">
        <x:v>191</x:v>
      </x:c>
      <x:c r="F78" s="23">
        <x:v>1</x:v>
      </x:c>
      <x:c r="G78" s="23">
        <x:v>6</x:v>
      </x:c>
      <x:c r="H78" s="23">
        <x:v>2</x:v>
      </x:c>
      <x:c r="I78" s="23">
        <x:v>1562</x:v>
      </x:c>
      <x:c r="J78" s="23">
        <x:v>5626</x:v>
      </x:c>
      <x:c r="K78" s="23">
        <x:v>0</x:v>
      </x:c>
      <x:c r="L78" s="23" t="s">
        <x:v>225</x:v>
      </x:c>
      <x:c r="M78" s="23">
        <x:f t="shared" si="1"/>
        <x:v>279</x:v>
      </x:c>
      <x:c r="N78" s="24" t="str">
        <x:f t="array" ref="N78">INDEX('MATCH INFO'!O:O, INT((ROW()-2)/10)+2 + 29)</x:f>
        <x:v>260612_CR_ROZE_S2</x:v>
      </x:c>
    </x:row>
    <x:row r="79">
      <x:c r="A79" s="23" t="s">
        <x:v>22</x:v>
      </x:c>
      <x:c r="B79" s="23" t="s">
        <x:v>26</x:v>
      </x:c>
      <x:c r="C79" s="23" t="s">
        <x:v>11</x:v>
      </x:c>
      <x:c r="D79" s="23" t="s">
        <x:v>138</x:v>
      </x:c>
      <x:c r="E79" s="23" t="s">
        <x:v>191</x:v>
      </x:c>
      <x:c r="F79" s="23">
        <x:v>3</x:v>
      </x:c>
      <x:c r="G79" s="23">
        <x:v>5</x:v>
      </x:c>
      <x:c r="H79" s="23">
        <x:v>1</x:v>
      </x:c>
      <x:c r="I79" s="23">
        <x:v>3648</x:v>
      </x:c>
      <x:c r="J79" s="23">
        <x:v>0</x:v>
      </x:c>
      <x:c r="K79" s="23">
        <x:v>175</x:v>
      </x:c>
      <x:c r="L79" s="23" t="s">
        <x:v>225</x:v>
      </x:c>
      <x:c r="M79" s="23">
        <x:f t="shared" si="1"/>
        <x:v>279</x:v>
      </x:c>
      <x:c r="N79" s="24" t="str">
        <x:f t="array" ref="N79">INDEX('MATCH INFO'!O:O, INT((ROW()-2)/10)+2 + 29)</x:f>
        <x:v>260612_CR_ROZE_S2</x:v>
      </x:c>
    </x:row>
    <x:row r="80">
      <x:c r="A80" s="23" t="s">
        <x:v>22</x:v>
      </x:c>
      <x:c r="B80" s="23" t="s">
        <x:v>28</x:v>
      </x:c>
      <x:c r="C80" s="23" t="s">
        <x:v>16</x:v>
      </x:c>
      <x:c r="D80" s="23" t="s">
        <x:v>138</x:v>
      </x:c>
      <x:c r="E80" s="23" t="s">
        <x:v>191</x:v>
      </x:c>
      <x:c r="F80" s="23">
        <x:v>2</x:v>
      </x:c>
      <x:c r="G80" s="23">
        <x:v>6</x:v>
      </x:c>
      <x:c r="H80" s="23">
        <x:v>1</x:v>
      </x:c>
      <x:c r="I80" s="23">
        <x:v>1030</x:v>
      </x:c>
      <x:c r="J80" s="23">
        <x:v>4337</x:v>
      </x:c>
      <x:c r="K80" s="23">
        <x:v>1010</x:v>
      </x:c>
      <x:c r="L80" s="23" t="s">
        <x:v>225</x:v>
      </x:c>
      <x:c r="M80" s="23">
        <x:f t="shared" si="1"/>
        <x:v>279</x:v>
      </x:c>
      <x:c r="N80" s="24" t="str">
        <x:f t="array" ref="N80">INDEX('MATCH INFO'!O:O, INT((ROW()-2)/10)+2 + 29)</x:f>
        <x:v>260612_CR_ROZE_S2</x:v>
      </x:c>
    </x:row>
    <x:row r="81">
      <x:c r="A81" s="23" t="s">
        <x:v>22</x:v>
      </x:c>
      <x:c r="B81" s="23" t="s">
        <x:v>23</x:v>
      </x:c>
      <x:c r="C81" s="23" t="s">
        <x:v>8</x:v>
      </x:c>
      <x:c r="D81" s="23" t="s">
        <x:v>138</x:v>
      </x:c>
      <x:c r="E81" s="23" t="s">
        <x:v>191</x:v>
      </x:c>
      <x:c r="F81" s="23">
        <x:v>1</x:v>
      </x:c>
      <x:c r="G81" s="23">
        <x:v>5</x:v>
      </x:c>
      <x:c r="H81" s="23">
        <x:v>1</x:v>
      </x:c>
      <x:c r="I81" s="23">
        <x:v>4168</x:v>
      </x:c>
      <x:c r="J81" s="23">
        <x:v>350</x:v>
      </x:c>
      <x:c r="K81" s="23">
        <x:v>5985</x:v>
      </x:c>
      <x:c r="L81" s="23" t="s">
        <x:v>225</x:v>
      </x:c>
      <x:c r="M81" s="23">
        <x:f t="shared" si="1"/>
        <x:v>279</x:v>
      </x:c>
      <x:c r="N81" s="24" t="str">
        <x:f t="array" ref="N81">INDEX('MATCH INFO'!O:O, INT((ROW()-2)/10)+2 + 29)</x:f>
        <x:v>260612_CR_ROZE_S2</x:v>
      </x:c>
    </x:row>
    <x:row r="82">
      <x:c r="A82" s="23" t="s">
        <x:v>22</x:v>
      </x:c>
      <x:c r="B82" s="23" t="s">
        <x:v>25</x:v>
      </x:c>
      <x:c r="C82" s="23" t="s">
        <x:v>11</x:v>
      </x:c>
      <x:c r="D82" s="23" t="s">
        <x:v>113</x:v>
      </x:c>
      <x:c r="E82" s="23" t="s">
        <x:v>188</x:v>
      </x:c>
      <x:c r="F82" s="23">
        <x:v>10</x:v>
      </x:c>
      <x:c r="G82" s="23">
        <x:v>8</x:v>
      </x:c>
      <x:c r="H82" s="23">
        <x:v>3</x:v>
      </x:c>
      <x:c r="I82" s="23">
        <x:v>4467</x:v>
      </x:c>
      <x:c r="J82" s="23">
        <x:v>51</x:v>
      </x:c>
      <x:c r="K82" s="23">
        <x:v>4358</x:v>
      </x:c>
      <x:c r="L82" s="23" t="s">
        <x:v>207</x:v>
      </x:c>
      <x:c r="M82" s="23">
        <x:f t="shared" si="1"/>
        <x:v>614</x:v>
      </x:c>
      <x:c r="N82" s="24" t="str">
        <x:f t="array" ref="N82">INDEX('MATCH INFO'!O:O, INT((ROW()-2)/10)+2 + 29)</x:f>
        <x:v>260612_CR_ROZE_S3</x:v>
      </x:c>
    </x:row>
    <x:row r="83">
      <x:c r="A83" s="23" t="s">
        <x:v>22</x:v>
      </x:c>
      <x:c r="B83" s="23" t="s">
        <x:v>24</x:v>
      </x:c>
      <x:c r="C83" s="23" t="s">
        <x:v>8</x:v>
      </x:c>
      <x:c r="D83" s="23" t="s">
        <x:v>113</x:v>
      </x:c>
      <x:c r="E83" s="23" t="s">
        <x:v>188</x:v>
      </x:c>
      <x:c r="F83" s="23">
        <x:v>15</x:v>
      </x:c>
      <x:c r="G83" s="23">
        <x:v>7</x:v>
      </x:c>
      <x:c r="H83" s="23">
        <x:v>0</x:v>
      </x:c>
      <x:c r="I83" s="23">
        <x:v>7518</x:v>
      </x:c>
      <x:c r="J83" s="23">
        <x:v>829</x:v>
      </x:c>
      <x:c r="K83" s="23">
        <x:v>16461</x:v>
      </x:c>
      <x:c r="L83" s="23" t="s">
        <x:v>207</x:v>
      </x:c>
      <x:c r="M83" s="23">
        <x:f t="shared" si="1"/>
        <x:v>614</x:v>
      </x:c>
      <x:c r="N83" s="24" t="str">
        <x:f t="array" ref="N83">INDEX('MATCH INFO'!O:O, INT((ROW()-2)/10)+2 + 29)</x:f>
        <x:v>260612_CR_ROZE_S3</x:v>
      </x:c>
    </x:row>
    <x:row r="84">
      <x:c r="A84" s="23" t="s">
        <x:v>22</x:v>
      </x:c>
      <x:c r="B84" s="23" t="s">
        <x:v>29</x:v>
      </x:c>
      <x:c r="C84" s="23" t="s">
        <x:v>16</x:v>
      </x:c>
      <x:c r="D84" s="23" t="s">
        <x:v>113</x:v>
      </x:c>
      <x:c r="E84" s="23" t="s">
        <x:v>188</x:v>
      </x:c>
      <x:c r="F84" s="23">
        <x:v>4</x:v>
      </x:c>
      <x:c r="G84" s="23">
        <x:v>8</x:v>
      </x:c>
      <x:c r="H84" s="23">
        <x:v>15</x:v>
      </x:c>
      <x:c r="I84" s="23">
        <x:v>2676</x:v>
      </x:c>
      <x:c r="J84" s="23">
        <x:v>16162</x:v>
      </x:c>
      <x:c r="K84" s="23">
        <x:v>308</x:v>
      </x:c>
      <x:c r="L84" s="23" t="s">
        <x:v>207</x:v>
      </x:c>
      <x:c r="M84" s="23">
        <x:f t="shared" si="1"/>
        <x:v>614</x:v>
      </x:c>
      <x:c r="N84" s="24" t="str">
        <x:f t="array" ref="N84">INDEX('MATCH INFO'!O:O, INT((ROW()-2)/10)+2 + 29)</x:f>
        <x:v>260612_CR_ROZE_S3</x:v>
      </x:c>
    </x:row>
    <x:row r="85">
      <x:c r="A85" s="23" t="s">
        <x:v>22</x:v>
      </x:c>
      <x:c r="B85" s="23" t="s">
        <x:v>26</x:v>
      </x:c>
      <x:c r="C85" s="23" t="s">
        <x:v>11</x:v>
      </x:c>
      <x:c r="D85" s="23" t="s">
        <x:v>113</x:v>
      </x:c>
      <x:c r="E85" s="23" t="s">
        <x:v>188</x:v>
      </x:c>
      <x:c r="F85" s="23">
        <x:v>12</x:v>
      </x:c>
      <x:c r="G85" s="23">
        <x:v>9</x:v>
      </x:c>
      <x:c r="H85" s="23">
        <x:v>1</x:v>
      </x:c>
      <x:c r="I85" s="23">
        <x:v>9529</x:v>
      </x:c>
      <x:c r="J85" s="23">
        <x:v>0</x:v>
      </x:c>
      <x:c r="K85" s="23">
        <x:v>337</x:v>
      </x:c>
      <x:c r="L85" s="23" t="s">
        <x:v>207</x:v>
      </x:c>
      <x:c r="M85" s="23">
        <x:f t="shared" si="1"/>
        <x:v>614</x:v>
      </x:c>
      <x:c r="N85" s="24" t="str">
        <x:f t="array" ref="N85">INDEX('MATCH INFO'!O:O, INT((ROW()-2)/10)+2 + 29)</x:f>
        <x:v>260612_CR_ROZE_S3</x:v>
      </x:c>
    </x:row>
    <x:row r="86">
      <x:c r="A86" s="23" t="s">
        <x:v>22</x:v>
      </x:c>
      <x:c r="B86" s="23" t="s">
        <x:v>28</x:v>
      </x:c>
      <x:c r="C86" s="23" t="s">
        <x:v>16</x:v>
      </x:c>
      <x:c r="D86" s="23" t="s">
        <x:v>113</x:v>
      </x:c>
      <x:c r="E86" s="23" t="s">
        <x:v>188</x:v>
      </x:c>
      <x:c r="F86" s="23">
        <x:v>7</x:v>
      </x:c>
      <x:c r="G86" s="23">
        <x:v>8</x:v>
      </x:c>
      <x:c r="H86" s="23">
        <x:v>10</x:v>
      </x:c>
      <x:c r="I86" s="23">
        <x:v>2520</x:v>
      </x:c>
      <x:c r="J86" s="23">
        <x:v>7045</x:v>
      </x:c>
      <x:c r="K86" s="23">
        <x:v>2203</x:v>
      </x:c>
      <x:c r="L86" s="23" t="s">
        <x:v>207</x:v>
      </x:c>
      <x:c r="M86" s="23">
        <x:f t="shared" si="1"/>
        <x:v>614</x:v>
      </x:c>
      <x:c r="N86" s="24" t="str">
        <x:f t="array" ref="N86">INDEX('MATCH INFO'!O:O, INT((ROW()-2)/10)+2 + 29)</x:f>
        <x:v>260612_CR_ROZE_S3</x:v>
      </x:c>
    </x:row>
    <x:row r="87">
      <x:c r="A87" s="23" t="s">
        <x:v>55</x:v>
      </x:c>
      <x:c r="B87" s="23" t="s">
        <x:v>61</x:v>
      </x:c>
      <x:c r="C87" s="23" t="s">
        <x:v>16</x:v>
      </x:c>
      <x:c r="D87" s="23" t="s">
        <x:v>113</x:v>
      </x:c>
      <x:c r="E87" s="23" t="s">
        <x:v>188</x:v>
      </x:c>
      <x:c r="F87" s="23">
        <x:v>21</x:v>
      </x:c>
      <x:c r="G87" s="23">
        <x:v>4</x:v>
      </x:c>
      <x:c r="H87" s="23">
        <x:v>20</x:v>
      </x:c>
      <x:c r="I87" s="23">
        <x:v>5396</x:v>
      </x:c>
      <x:c r="J87" s="23">
        <x:v>6367</x:v>
      </x:c>
      <x:c r="K87" s="23">
        <x:v>2093</x:v>
      </x:c>
      <x:c r="L87" s="23" t="s">
        <x:v>207</x:v>
      </x:c>
      <x:c r="M87" s="23">
        <x:f t="shared" si="1"/>
        <x:v>614</x:v>
      </x:c>
      <x:c r="N87" s="24" t="str">
        <x:f t="array" ref="N87">INDEX('MATCH INFO'!O:O, INT((ROW()-2)/10)+2 + 29)</x:f>
        <x:v>260612_CR_ROZE_S3</x:v>
      </x:c>
    </x:row>
    <x:row r="88">
      <x:c r="A88" s="23" t="s">
        <x:v>55</x:v>
      </x:c>
      <x:c r="B88" s="23" t="s">
        <x:v>58</x:v>
      </x:c>
      <x:c r="C88" s="23" t="s">
        <x:v>11</x:v>
      </x:c>
      <x:c r="D88" s="23" t="s">
        <x:v>113</x:v>
      </x:c>
      <x:c r="E88" s="23" t="s">
        <x:v>188</x:v>
      </x:c>
      <x:c r="F88" s="23">
        <x:v>32</x:v>
      </x:c>
      <x:c r="G88" s="23">
        <x:v>2</x:v>
      </x:c>
      <x:c r="H88" s="23">
        <x:v>11</x:v>
      </x:c>
      <x:c r="I88" s="23">
        <x:v>13536</x:v>
      </x:c>
      <x:c r="J88" s="23">
        <x:v>0</x:v>
      </x:c>
      <x:c r="K88" s="23">
        <x:v>0</x:v>
      </x:c>
      <x:c r="L88" s="23" t="s">
        <x:v>207</x:v>
      </x:c>
      <x:c r="M88" s="23">
        <x:f t="shared" si="1"/>
        <x:v>614</x:v>
      </x:c>
      <x:c r="N88" s="24" t="str">
        <x:f t="array" ref="N88">INDEX('MATCH INFO'!O:O, INT((ROW()-2)/10)+2 + 29)</x:f>
        <x:v>260612_CR_ROZE_S3</x:v>
      </x:c>
    </x:row>
    <x:row r="89">
      <x:c r="A89" s="23" t="s">
        <x:v>55</x:v>
      </x:c>
      <x:c r="B89" s="23" t="s">
        <x:v>59</x:v>
      </x:c>
      <x:c r="C89" s="23" t="s">
        <x:v>11</x:v>
      </x:c>
      <x:c r="D89" s="23" t="s">
        <x:v>113</x:v>
      </x:c>
      <x:c r="E89" s="23" t="s">
        <x:v>188</x:v>
      </x:c>
      <x:c r="F89" s="23">
        <x:v>19</x:v>
      </x:c>
      <x:c r="G89" s="23">
        <x:v>8</x:v>
      </x:c>
      <x:c r="H89" s="23">
        <x:v>0</x:v>
      </x:c>
      <x:c r="I89" s="23">
        <x:v>7110</x:v>
      </x:c>
      <x:c r="J89" s="23">
        <x:v>0</x:v>
      </x:c>
      <x:c r="K89" s="23">
        <x:v>73</x:v>
      </x:c>
      <x:c r="L89" s="23" t="s">
        <x:v>207</x:v>
      </x:c>
      <x:c r="M89" s="23">
        <x:f t="shared" si="1"/>
        <x:v>614</x:v>
      </x:c>
      <x:c r="N89" s="24" t="str">
        <x:f t="array" ref="N89">INDEX('MATCH INFO'!O:O, INT((ROW()-2)/10)+2 + 29)</x:f>
        <x:v>260612_CR_ROZE_S3</x:v>
      </x:c>
    </x:row>
    <x:row r="90">
      <x:c r="A90" s="23" t="s">
        <x:v>55</x:v>
      </x:c>
      <x:c r="B90" s="23" t="s">
        <x:v>57</x:v>
      </x:c>
      <x:c r="C90" s="23" t="s">
        <x:v>8</x:v>
      </x:c>
      <x:c r="D90" s="23" t="s">
        <x:v>113</x:v>
      </x:c>
      <x:c r="E90" s="23" t="s">
        <x:v>188</x:v>
      </x:c>
      <x:c r="F90" s="23">
        <x:v>27</x:v>
      </x:c>
      <x:c r="G90" s="23">
        <x:v>3</x:v>
      </x:c>
      <x:c r="H90" s="23">
        <x:v>14</x:v>
      </x:c>
      <x:c r="I90" s="23">
        <x:v>10743</x:v>
      </x:c>
      <x:c r="J90" s="23">
        <x:v>0</x:v>
      </x:c>
      <x:c r="K90" s="23">
        <x:v>7285</x:v>
      </x:c>
      <x:c r="L90" s="23" t="s">
        <x:v>207</x:v>
      </x:c>
      <x:c r="M90" s="23">
        <x:f t="shared" si="1"/>
        <x:v>614</x:v>
      </x:c>
      <x:c r="N90" s="24" t="str">
        <x:f t="array" ref="N90">INDEX('MATCH INFO'!O:O, INT((ROW()-2)/10)+2 + 29)</x:f>
        <x:v>260612_CR_ROZE_S3</x:v>
      </x:c>
    </x:row>
    <x:row r="91">
      <x:c r="A91" s="23" t="s">
        <x:v>55</x:v>
      </x:c>
      <x:c r="B91" s="23" t="s">
        <x:v>62</x:v>
      </x:c>
      <x:c r="C91" s="23" t="s">
        <x:v>16</x:v>
      </x:c>
      <x:c r="D91" s="23" t="s">
        <x:v>113</x:v>
      </x:c>
      <x:c r="E91" s="23" t="s">
        <x:v>188</x:v>
      </x:c>
      <x:c r="F91" s="23">
        <x:v>15</x:v>
      </x:c>
      <x:c r="G91" s="23">
        <x:v>3</x:v>
      </x:c>
      <x:c r="H91" s="23">
        <x:v>21</x:v>
      </x:c>
      <x:c r="I91" s="23">
        <x:v>4771</x:v>
      </x:c>
      <x:c r="J91" s="23">
        <x:v>10389</x:v>
      </x:c>
      <x:c r="K91" s="23">
        <x:v>0</x:v>
      </x:c>
      <x:c r="L91" s="23" t="s">
        <x:v>207</x:v>
      </x:c>
      <x:c r="M91" s="23">
        <x:f t="shared" si="1"/>
        <x:v>614</x:v>
      </x:c>
      <x:c r="N91" s="24" t="str">
        <x:f t="array" ref="N91">INDEX('MATCH INFO'!O:O, INT((ROW()-2)/10)+2 + 29)</x:f>
        <x:v>260612_CR_ROZE_S3</x:v>
      </x:c>
    </x:row>
    <x:row r="92">
      <x:c r="A92" s="23" t="s">
        <x:v>39</x:v>
      </x:c>
      <x:c r="B92" s="23" t="s">
        <x:v>45</x:v>
      </x:c>
      <x:c r="C92" s="23" t="s">
        <x:v>16</x:v>
      </x:c>
      <x:c r="D92" s="23" t="s">
        <x:v>107</x:v>
      </x:c>
      <x:c r="E92" s="23" t="s">
        <x:v>184</x:v>
      </x:c>
      <x:c r="F92" s="23">
        <x:v>0</x:v>
      </x:c>
      <x:c r="G92" s="23">
        <x:v>3</x:v>
      </x:c>
      <x:c r="H92" s="23">
        <x:v>2</x:v>
      </x:c>
      <x:c r="I92" s="23">
        <x:v>2743</x:v>
      </x:c>
      <x:c r="J92" s="23">
        <x:v>6236</x:v>
      </x:c>
      <x:c r="K92" s="23">
        <x:v>0</x:v>
      </x:c>
      <x:c r="L92" s="23" t="s">
        <x:v>226</x:v>
      </x:c>
      <x:c r="M92" s="23">
        <x:f t="shared" si="1"/>
        <x:v>370</x:v>
      </x:c>
      <x:c r="N92" s="24" t="str">
        <x:f t="array" ref="N92">INDEX('MATCH INFO'!O:O, INT((ROW()-2)/10)+2 + 29)</x:f>
        <x:v>260613_PF_FLC_S1</x:v>
      </x:c>
    </x:row>
    <x:row r="93">
      <x:c r="A93" s="23" t="s">
        <x:v>39</x:v>
      </x:c>
      <x:c r="B93" s="23" t="s">
        <x:v>42</x:v>
      </x:c>
      <x:c r="C93" s="23" t="s">
        <x:v>11</x:v>
      </x:c>
      <x:c r="D93" s="23" t="s">
        <x:v>107</x:v>
      </x:c>
      <x:c r="E93" s="23" t="s">
        <x:v>184</x:v>
      </x:c>
      <x:c r="F93" s="23">
        <x:v>3</x:v>
      </x:c>
      <x:c r="G93" s="23">
        <x:v>7</x:v>
      </x:c>
      <x:c r="H93" s="23">
        <x:v>0</x:v>
      </x:c>
      <x:c r="I93" s="23">
        <x:v>4298</x:v>
      </x:c>
      <x:c r="J93" s="23">
        <x:v>604</x:v>
      </x:c>
      <x:c r="K93" s="23">
        <x:v>0</x:v>
      </x:c>
      <x:c r="L93" s="23" t="s">
        <x:v>226</x:v>
      </x:c>
      <x:c r="M93" s="23">
        <x:f t="shared" si="1"/>
        <x:v>370</x:v>
      </x:c>
      <x:c r="N93" s="24" t="str">
        <x:f t="array" ref="N93">INDEX('MATCH INFO'!O:O, INT((ROW()-2)/10)+2 + 29)</x:f>
        <x:v>260613_PF_FLC_S1</x:v>
      </x:c>
    </x:row>
    <x:row r="94">
      <x:c r="A94" s="23" t="s">
        <x:v>39</x:v>
      </x:c>
      <x:c r="B94" s="23" t="s">
        <x:v>40</x:v>
      </x:c>
      <x:c r="C94" s="23" t="s">
        <x:v>8</x:v>
      </x:c>
      <x:c r="D94" s="23" t="s">
        <x:v>107</x:v>
      </x:c>
      <x:c r="E94" s="23" t="s">
        <x:v>184</x:v>
      </x:c>
      <x:c r="F94" s="23">
        <x:v>3</x:v>
      </x:c>
      <x:c r="G94" s="23">
        <x:v>3</x:v>
      </x:c>
      <x:c r="H94" s="23">
        <x:v>0</x:v>
      </x:c>
      <x:c r="I94" s="23">
        <x:v>5674</x:v>
      </x:c>
      <x:c r="J94" s="23">
        <x:v>1373</x:v>
      </x:c>
      <x:c r="K94" s="23">
        <x:v>3456</x:v>
      </x:c>
      <x:c r="L94" s="23" t="s">
        <x:v>226</x:v>
      </x:c>
      <x:c r="M94" s="23">
        <x:f t="shared" si="1"/>
        <x:v>370</x:v>
      </x:c>
      <x:c r="N94" s="24" t="str">
        <x:f t="array" ref="N94">INDEX('MATCH INFO'!O:O, INT((ROW()-2)/10)+2 + 29)</x:f>
        <x:v>260613_PF_FLC_S1</x:v>
      </x:c>
    </x:row>
    <x:row r="95">
      <x:c r="A95" s="23" t="s">
        <x:v>39</x:v>
      </x:c>
      <x:c r="B95" s="23" t="s">
        <x:v>43</x:v>
      </x:c>
      <x:c r="C95" s="23" t="s">
        <x:v>11</x:v>
      </x:c>
      <x:c r="D95" s="23" t="s">
        <x:v>107</x:v>
      </x:c>
      <x:c r="E95" s="23" t="s">
        <x:v>184</x:v>
      </x:c>
      <x:c r="F95" s="23">
        <x:v>2</x:v>
      </x:c>
      <x:c r="G95" s="23">
        <x:v>5</x:v>
      </x:c>
      <x:c r="H95" s="23">
        <x:v>0</x:v>
      </x:c>
      <x:c r="I95" s="23">
        <x:v>9862</x:v>
      </x:c>
      <x:c r="J95" s="23">
        <x:v>161</x:v>
      </x:c>
      <x:c r="K95" s="23">
        <x:v>1702</x:v>
      </x:c>
      <x:c r="L95" s="23" t="s">
        <x:v>226</x:v>
      </x:c>
      <x:c r="M95" s="23">
        <x:f t="shared" si="1"/>
        <x:v>370</x:v>
      </x:c>
      <x:c r="N95" s="24" t="str">
        <x:f t="array" ref="N95">INDEX('MATCH INFO'!O:O, INT((ROW()-2)/10)+2 + 29)</x:f>
        <x:v>260613_PF_FLC_S1</x:v>
      </x:c>
    </x:row>
    <x:row r="96">
      <x:c r="A96" s="23" t="s">
        <x:v>39</x:v>
      </x:c>
      <x:c r="B96" s="23" t="s">
        <x:v>44</x:v>
      </x:c>
      <x:c r="C96" s="23" t="s">
        <x:v>16</x:v>
      </x:c>
      <x:c r="D96" s="23" t="s">
        <x:v>107</x:v>
      </x:c>
      <x:c r="E96" s="23" t="s">
        <x:v>184</x:v>
      </x:c>
      <x:c r="F96" s="23">
        <x:v>1</x:v>
      </x:c>
      <x:c r="G96" s="23">
        <x:v>2</x:v>
      </x:c>
      <x:c r="H96" s="23">
        <x:v>1</x:v>
      </x:c>
      <x:c r="I96" s="23">
        <x:v>911</x:v>
      </x:c>
      <x:c r="J96" s="23">
        <x:v>5646</x:v>
      </x:c>
      <x:c r="K96" s="23">
        <x:v>0</x:v>
      </x:c>
      <x:c r="L96" s="23" t="s">
        <x:v>226</x:v>
      </x:c>
      <x:c r="M96" s="23">
        <x:f t="shared" si="1"/>
        <x:v>370</x:v>
      </x:c>
      <x:c r="N96" s="24" t="str">
        <x:f t="array" ref="N96">INDEX('MATCH INFO'!O:O, INT((ROW()-2)/10)+2 + 29)</x:f>
        <x:v>260613_PF_FLC_S1</x:v>
      </x:c>
    </x:row>
    <x:row r="97">
      <x:c r="A97" s="23" t="s">
        <x:v>72</x:v>
      </x:c>
      <x:c r="B97" s="23" t="s">
        <x:v>78</x:v>
      </x:c>
      <x:c r="C97" s="23" t="s">
        <x:v>16</x:v>
      </x:c>
      <x:c r="D97" s="23" t="s">
        <x:v>107</x:v>
      </x:c>
      <x:c r="E97" s="23" t="s">
        <x:v>184</x:v>
      </x:c>
      <x:c r="F97" s="23">
        <x:v>9</x:v>
      </x:c>
      <x:c r="G97" s="23">
        <x:v>0</x:v>
      </x:c>
      <x:c r="H97" s="23">
        <x:v>6</x:v>
      </x:c>
      <x:c r="I97" s="23">
        <x:v>1795</x:v>
      </x:c>
      <x:c r="J97" s="23">
        <x:v>6943</x:v>
      </x:c>
      <x:c r="K97" s="23">
        <x:v>0</x:v>
      </x:c>
      <x:c r="L97" s="23" t="s">
        <x:v>226</x:v>
      </x:c>
      <x:c r="M97" s="23">
        <x:f t="shared" si="1"/>
        <x:v>370</x:v>
      </x:c>
      <x:c r="N97" s="24" t="str">
        <x:f t="array" ref="N97">INDEX('MATCH INFO'!O:O, INT((ROW()-2)/10)+2 + 29)</x:f>
        <x:v>260613_PF_FLC_S1</x:v>
      </x:c>
    </x:row>
    <x:row r="98">
      <x:c r="A98" s="23" t="s">
        <x:v>72</x:v>
      </x:c>
      <x:c r="B98" s="23" t="s">
        <x:v>79</x:v>
      </x:c>
      <x:c r="C98" s="23" t="s">
        <x:v>16</x:v>
      </x:c>
      <x:c r="D98" s="23" t="s">
        <x:v>107</x:v>
      </x:c>
      <x:c r="E98" s="23" t="s">
        <x:v>184</x:v>
      </x:c>
      <x:c r="F98" s="23">
        <x:v>9</x:v>
      </x:c>
      <x:c r="G98" s="23">
        <x:v>2</x:v>
      </x:c>
      <x:c r="H98" s="23">
        <x:v>14</x:v>
      </x:c>
      <x:c r="I98" s="23">
        <x:v>2857</x:v>
      </x:c>
      <x:c r="J98" s="23">
        <x:v>7829</x:v>
      </x:c>
      <x:c r="K98" s="23">
        <x:v>0</x:v>
      </x:c>
      <x:c r="L98" s="23" t="s">
        <x:v>226</x:v>
      </x:c>
      <x:c r="M98" s="23">
        <x:f t="shared" si="1"/>
        <x:v>370</x:v>
      </x:c>
      <x:c r="N98" s="24" t="str">
        <x:f t="array" ref="N98">INDEX('MATCH INFO'!O:O, INT((ROW()-2)/10)+2 + 29)</x:f>
        <x:v>260613_PF_FLC_S1</x:v>
      </x:c>
    </x:row>
    <x:row r="99">
      <x:c r="A99" s="23" t="s">
        <x:v>72</x:v>
      </x:c>
      <x:c r="B99" s="23" t="s">
        <x:v>74</x:v>
      </x:c>
      <x:c r="C99" s="23" t="s">
        <x:v>8</x:v>
      </x:c>
      <x:c r="D99" s="23" t="s">
        <x:v>107</x:v>
      </x:c>
      <x:c r="E99" s="23" t="s">
        <x:v>184</x:v>
      </x:c>
      <x:c r="F99" s="23">
        <x:v>11</x:v>
      </x:c>
      <x:c r="G99" s="23">
        <x:v>1</x:v>
      </x:c>
      <x:c r="H99" s="23">
        <x:v>6</x:v>
      </x:c>
      <x:c r="I99" s="23">
        <x:v>8022</x:v>
      </x:c>
      <x:c r="J99" s="23">
        <x:v>1402</x:v>
      </x:c>
      <x:c r="K99" s="23">
        <x:v>2463</x:v>
      </x:c>
      <x:c r="L99" s="23" t="s">
        <x:v>226</x:v>
      </x:c>
      <x:c r="M99" s="23">
        <x:f t="shared" si="1"/>
        <x:v>370</x:v>
      </x:c>
      <x:c r="N99" s="24" t="str">
        <x:f t="array" ref="N99">INDEX('MATCH INFO'!O:O, INT((ROW()-2)/10)+2 + 29)</x:f>
        <x:v>260613_PF_FLC_S1</x:v>
      </x:c>
    </x:row>
    <x:row r="100">
      <x:c r="A100" s="23" t="s">
        <x:v>72</x:v>
      </x:c>
      <x:c r="B100" s="23" t="s">
        <x:v>77</x:v>
      </x:c>
      <x:c r="C100" s="23" t="s">
        <x:v>11</x:v>
      </x:c>
      <x:c r="D100" s="23" t="s">
        <x:v>107</x:v>
      </x:c>
      <x:c r="E100" s="23" t="s">
        <x:v>184</x:v>
      </x:c>
      <x:c r="F100" s="23">
        <x:v>12</x:v>
      </x:c>
      <x:c r="G100" s="23">
        <x:v>0</x:v>
      </x:c>
      <x:c r="H100" s="23">
        <x:v>2</x:v>
      </x:c>
      <x:c r="I100" s="23">
        <x:v>11624</x:v>
      </x:c>
      <x:c r="J100" s="23">
        <x:v>510</x:v>
      </x:c>
      <x:c r="K100" s="23">
        <x:v>1508</x:v>
      </x:c>
      <x:c r="L100" s="23" t="s">
        <x:v>226</x:v>
      </x:c>
      <x:c r="M100" s="23">
        <x:f t="shared" si="1"/>
        <x:v>370</x:v>
      </x:c>
      <x:c r="N100" s="24" t="str">
        <x:f t="array" ref="N100">INDEX('MATCH INFO'!O:O, INT((ROW()-2)/10)+2 + 29)</x:f>
        <x:v>260613_PF_FLC_S1</x:v>
      </x:c>
    </x:row>
    <x:row r="101">
      <x:c r="A101" s="23" t="s">
        <x:v>72</x:v>
      </x:c>
      <x:c r="B101" s="23" t="s">
        <x:v>75</x:v>
      </x:c>
      <x:c r="C101" s="23" t="s">
        <x:v>11</x:v>
      </x:c>
      <x:c r="D101" s="23" t="s">
        <x:v>107</x:v>
      </x:c>
      <x:c r="E101" s="23" t="s">
        <x:v>184</x:v>
      </x:c>
      <x:c r="F101" s="23">
        <x:v>12</x:v>
      </x:c>
      <x:c r="G101" s="23">
        <x:v>1</x:v>
      </x:c>
      <x:c r="H101" s="23">
        <x:v>0</x:v>
      </x:c>
      <x:c r="I101" s="23">
        <x:v>5092</x:v>
      </x:c>
      <x:c r="J101" s="23">
        <x:v>812</x:v>
      </x:c>
      <x:c r="K101" s="23">
        <x:v>0</x:v>
      </x:c>
      <x:c r="L101" s="23" t="s">
        <x:v>226</x:v>
      </x:c>
      <x:c r="M101" s="23">
        <x:f t="shared" si="1"/>
        <x:v>370</x:v>
      </x:c>
      <x:c r="N101" s="24" t="str">
        <x:f t="array" ref="N101">INDEX('MATCH INFO'!O:O, INT((ROW()-2)/10)+2 + 29)</x:f>
        <x:v>260613_PF_FLC_S1</x:v>
      </x:c>
    </x:row>
    <x:row r="102">
      <x:c r="A102" s="23" t="s">
        <x:v>39</x:v>
      </x:c>
      <x:c r="B102" s="23" t="s">
        <x:v>45</x:v>
      </x:c>
      <x:c r="C102" s="23" t="s">
        <x:v>16</x:v>
      </x:c>
      <x:c r="D102" s="23" t="s">
        <x:v>110</x:v>
      </x:c>
      <x:c r="E102" s="23" t="s">
        <x:v>186</x:v>
      </x:c>
      <x:c r="F102" s="23">
        <x:v>8</x:v>
      </x:c>
      <x:c r="G102" s="23">
        <x:v>5</x:v>
      </x:c>
      <x:c r="H102" s="23">
        <x:v>14</x:v>
      </x:c>
      <x:c r="I102" s="23">
        <x:v>2624</x:v>
      </x:c>
      <x:c r="J102" s="23">
        <x:v>9780</x:v>
      </x:c>
      <x:c r="K102" s="23">
        <x:v>0</x:v>
      </x:c>
      <x:c r="L102" s="23" t="s">
        <x:v>227</x:v>
      </x:c>
      <x:c r="M102" s="23">
        <x:f t="shared" si="1"/>
        <x:v>536</x:v>
      </x:c>
      <x:c r="N102" s="24" t="str">
        <x:f t="array" ref="N102">INDEX('MATCH INFO'!O:O, INT((ROW()-2)/10)+2 + 29)</x:f>
        <x:v>260613_PF_FLC_S2</x:v>
      </x:c>
    </x:row>
    <x:row r="103">
      <x:c r="A103" s="23" t="s">
        <x:v>39</x:v>
      </x:c>
      <x:c r="B103" s="23" t="s">
        <x:v>42</x:v>
      </x:c>
      <x:c r="C103" s="23" t="s">
        <x:v>11</x:v>
      </x:c>
      <x:c r="D103" s="23" t="s">
        <x:v>110</x:v>
      </x:c>
      <x:c r="E103" s="23" t="s">
        <x:v>186</x:v>
      </x:c>
      <x:c r="F103" s="23">
        <x:v>14</x:v>
      </x:c>
      <x:c r="G103" s="23">
        <x:v>6</x:v>
      </x:c>
      <x:c r="H103" s="23">
        <x:v>0</x:v>
      </x:c>
      <x:c r="I103" s="23">
        <x:v>6012</x:v>
      </x:c>
      <x:c r="J103" s="23">
        <x:v>212</x:v>
      </x:c>
      <x:c r="K103" s="23">
        <x:v>836</x:v>
      </x:c>
      <x:c r="L103" s="23" t="s">
        <x:v>227</x:v>
      </x:c>
      <x:c r="M103" s="23">
        <x:f t="shared" si="1"/>
        <x:v>536</x:v>
      </x:c>
      <x:c r="N103" s="24" t="str">
        <x:f t="array" ref="N103">INDEX('MATCH INFO'!O:O, INT((ROW()-2)/10)+2 + 29)</x:f>
        <x:v>260613_PF_FLC_S2</x:v>
      </x:c>
    </x:row>
    <x:row r="104">
      <x:c r="A104" s="23" t="s">
        <x:v>39</x:v>
      </x:c>
      <x:c r="B104" s="23" t="s">
        <x:v>40</x:v>
      </x:c>
      <x:c r="C104" s="23" t="s">
        <x:v>8</x:v>
      </x:c>
      <x:c r="D104" s="23" t="s">
        <x:v>110</x:v>
      </x:c>
      <x:c r="E104" s="23" t="s">
        <x:v>186</x:v>
      </x:c>
      <x:c r="F104" s="23">
        <x:v>16</x:v>
      </x:c>
      <x:c r="G104" s="23">
        <x:v>6</x:v>
      </x:c>
      <x:c r="H104" s="23">
        <x:v>6</x:v>
      </x:c>
      <x:c r="I104" s="23">
        <x:v>8094</x:v>
      </x:c>
      <x:c r="J104" s="23">
        <x:v>2067</x:v>
      </x:c>
      <x:c r="K104" s="23">
        <x:v>5030</x:v>
      </x:c>
      <x:c r="L104" s="23" t="s">
        <x:v>227</x:v>
      </x:c>
      <x:c r="M104" s="23">
        <x:f t="shared" si="1"/>
        <x:v>536</x:v>
      </x:c>
      <x:c r="N104" s="24" t="str">
        <x:f t="array" ref="N104">INDEX('MATCH INFO'!O:O, INT((ROW()-2)/10)+2 + 29)</x:f>
        <x:v>260613_PF_FLC_S2</x:v>
      </x:c>
    </x:row>
    <x:row r="105">
      <x:c r="A105" s="23" t="s">
        <x:v>39</x:v>
      </x:c>
      <x:c r="B105" s="23" t="s">
        <x:v>43</x:v>
      </x:c>
      <x:c r="C105" s="23" t="s">
        <x:v>11</x:v>
      </x:c>
      <x:c r="D105" s="23" t="s">
        <x:v>110</x:v>
      </x:c>
      <x:c r="E105" s="23" t="s">
        <x:v>186</x:v>
      </x:c>
      <x:c r="F105" s="23">
        <x:v>11</x:v>
      </x:c>
      <x:c r="G105" s="23">
        <x:v>4</x:v>
      </x:c>
      <x:c r="H105" s="23">
        <x:v>0</x:v>
      </x:c>
      <x:c r="I105" s="23">
        <x:v>10978</x:v>
      </x:c>
      <x:c r="J105" s="23">
        <x:v>0</x:v>
      </x:c>
      <x:c r="K105" s="23">
        <x:v>0</x:v>
      </x:c>
      <x:c r="L105" s="23" t="s">
        <x:v>227</x:v>
      </x:c>
      <x:c r="M105" s="23">
        <x:f t="shared" si="1"/>
        <x:v>536</x:v>
      </x:c>
      <x:c r="N105" s="24" t="str">
        <x:f t="array" ref="N105">INDEX('MATCH INFO'!O:O, INT((ROW()-2)/10)+2 + 29)</x:f>
        <x:v>260613_PF_FLC_S2</x:v>
      </x:c>
    </x:row>
    <x:row r="106">
      <x:c r="A106" s="23" t="s">
        <x:v>39</x:v>
      </x:c>
      <x:c r="B106" s="23" t="s">
        <x:v>44</x:v>
      </x:c>
      <x:c r="C106" s="23" t="s">
        <x:v>16</x:v>
      </x:c>
      <x:c r="D106" s="23" t="s">
        <x:v>110</x:v>
      </x:c>
      <x:c r="E106" s="23" t="s">
        <x:v>186</x:v>
      </x:c>
      <x:c r="F106" s="23">
        <x:v>7</x:v>
      </x:c>
      <x:c r="G106" s="23">
        <x:v>5</x:v>
      </x:c>
      <x:c r="H106" s="23">
        <x:v>11</x:v>
      </x:c>
      <x:c r="I106" s="23">
        <x:v>3070</x:v>
      </x:c>
      <x:c r="J106" s="23">
        <x:v>6229</x:v>
      </x:c>
      <x:c r="K106" s="23">
        <x:v>1408</x:v>
      </x:c>
      <x:c r="L106" s="23" t="s">
        <x:v>227</x:v>
      </x:c>
      <x:c r="M106" s="23">
        <x:f t="shared" si="1"/>
        <x:v>536</x:v>
      </x:c>
      <x:c r="N106" s="24" t="str">
        <x:f t="array" ref="N106">INDEX('MATCH INFO'!O:O, INT((ROW()-2)/10)+2 + 29)</x:f>
        <x:v>260613_PF_FLC_S2</x:v>
      </x:c>
    </x:row>
    <x:row r="107">
      <x:c r="A107" s="23" t="s">
        <x:v>72</x:v>
      </x:c>
      <x:c r="B107" s="23" t="s">
        <x:v>78</x:v>
      </x:c>
      <x:c r="C107" s="23" t="s">
        <x:v>16</x:v>
      </x:c>
      <x:c r="D107" s="23" t="s">
        <x:v>110</x:v>
      </x:c>
      <x:c r="E107" s="23" t="s">
        <x:v>186</x:v>
      </x:c>
      <x:c r="F107" s="23">
        <x:v>10</x:v>
      </x:c>
      <x:c r="G107" s="23">
        <x:v>3</x:v>
      </x:c>
      <x:c r="H107" s="23">
        <x:v>16</x:v>
      </x:c>
      <x:c r="I107" s="23">
        <x:v>3017</x:v>
      </x:c>
      <x:c r="J107" s="23">
        <x:v>9378</x:v>
      </x:c>
      <x:c r="K107" s="23">
        <x:v>0</x:v>
      </x:c>
      <x:c r="L107" s="23" t="s">
        <x:v>227</x:v>
      </x:c>
      <x:c r="M107" s="23">
        <x:f t="shared" si="1"/>
        <x:v>536</x:v>
      </x:c>
      <x:c r="N107" s="24" t="str">
        <x:f t="array" ref="N107">INDEX('MATCH INFO'!O:O, INT((ROW()-2)/10)+2 + 29)</x:f>
        <x:v>260613_PF_FLC_S2</x:v>
      </x:c>
    </x:row>
    <x:row r="108">
      <x:c r="A108" s="23" t="s">
        <x:v>72</x:v>
      </x:c>
      <x:c r="B108" s="23" t="s">
        <x:v>79</x:v>
      </x:c>
      <x:c r="C108" s="23" t="s">
        <x:v>16</x:v>
      </x:c>
      <x:c r="D108" s="23" t="s">
        <x:v>110</x:v>
      </x:c>
      <x:c r="E108" s="23" t="s">
        <x:v>186</x:v>
      </x:c>
      <x:c r="F108" s="23">
        <x:v>10</x:v>
      </x:c>
      <x:c r="G108" s="23">
        <x:v>5</x:v>
      </x:c>
      <x:c r="H108" s="23">
        <x:v>8</x:v>
      </x:c>
      <x:c r="I108" s="23">
        <x:v>3431</x:v>
      </x:c>
      <x:c r="J108" s="23">
        <x:v>6700</x:v>
      </x:c>
      <x:c r="K108" s="23">
        <x:v>1248</x:v>
      </x:c>
      <x:c r="L108" s="23" t="s">
        <x:v>227</x:v>
      </x:c>
      <x:c r="M108" s="23">
        <x:f t="shared" si="1"/>
        <x:v>536</x:v>
      </x:c>
      <x:c r="N108" s="24" t="str">
        <x:f t="array" ref="N108">INDEX('MATCH INFO'!O:O, INT((ROW()-2)/10)+2 + 29)</x:f>
        <x:v>260613_PF_FLC_S2</x:v>
      </x:c>
    </x:row>
    <x:row r="109">
      <x:c r="A109" s="23" t="s">
        <x:v>72</x:v>
      </x:c>
      <x:c r="B109" s="23" t="s">
        <x:v>74</x:v>
      </x:c>
      <x:c r="C109" s="23" t="s">
        <x:v>8</x:v>
      </x:c>
      <x:c r="D109" s="23" t="s">
        <x:v>110</x:v>
      </x:c>
      <x:c r="E109" s="23" t="s">
        <x:v>186</x:v>
      </x:c>
      <x:c r="F109" s="23">
        <x:v>19</x:v>
      </x:c>
      <x:c r="G109" s="23">
        <x:v>4</x:v>
      </x:c>
      <x:c r="H109" s="23">
        <x:v>11</x:v>
      </x:c>
      <x:c r="I109" s="23">
        <x:v>8831</x:v>
      </x:c>
      <x:c r="J109" s="23">
        <x:v>2118</x:v>
      </x:c>
      <x:c r="K109" s="23">
        <x:v>4654</x:v>
      </x:c>
      <x:c r="L109" s="23" t="s">
        <x:v>227</x:v>
      </x:c>
      <x:c r="M109" s="23">
        <x:f t="shared" si="1"/>
        <x:v>536</x:v>
      </x:c>
      <x:c r="N109" s="24" t="str">
        <x:f t="array" ref="N109">INDEX('MATCH INFO'!O:O, INT((ROW()-2)/10)+2 + 29)</x:f>
        <x:v>260613_PF_FLC_S2</x:v>
      </x:c>
    </x:row>
    <x:row r="110">
      <x:c r="A110" s="23" t="s">
        <x:v>72</x:v>
      </x:c>
      <x:c r="B110" s="23" t="s">
        <x:v>77</x:v>
      </x:c>
      <x:c r="C110" s="23" t="s">
        <x:v>11</x:v>
      </x:c>
      <x:c r="D110" s="23" t="s">
        <x:v>110</x:v>
      </x:c>
      <x:c r="E110" s="23" t="s">
        <x:v>186</x:v>
      </x:c>
      <x:c r="F110" s="23">
        <x:v>10</x:v>
      </x:c>
      <x:c r="G110" s="23">
        <x:v>4</x:v>
      </x:c>
      <x:c r="H110" s="23">
        <x:v>0</x:v>
      </x:c>
      <x:c r="I110" s="23">
        <x:v>8835</x:v>
      </x:c>
      <x:c r="J110" s="23">
        <x:v>0</x:v>
      </x:c>
      <x:c r="K110" s="23">
        <x:v>81</x:v>
      </x:c>
      <x:c r="L110" s="23" t="s">
        <x:v>227</x:v>
      </x:c>
      <x:c r="M110" s="23">
        <x:f t="shared" si="1"/>
        <x:v>536</x:v>
      </x:c>
      <x:c r="N110" s="24" t="str">
        <x:f t="array" ref="N110">INDEX('MATCH INFO'!O:O, INT((ROW()-2)/10)+2 + 29)</x:f>
        <x:v>260613_PF_FLC_S2</x:v>
      </x:c>
    </x:row>
    <x:row r="111">
      <x:c r="A111" s="23" t="s">
        <x:v>72</x:v>
      </x:c>
      <x:c r="B111" s="23" t="s">
        <x:v>75</x:v>
      </x:c>
      <x:c r="C111" s="23" t="s">
        <x:v>11</x:v>
      </x:c>
      <x:c r="D111" s="23" t="s">
        <x:v>110</x:v>
      </x:c>
      <x:c r="E111" s="23" t="s">
        <x:v>186</x:v>
      </x:c>
      <x:c r="F111" s="23">
        <x:v>16</x:v>
      </x:c>
      <x:c r="G111" s="23">
        <x:v>5</x:v>
      </x:c>
      <x:c r="H111" s="23">
        <x:v>0</x:v>
      </x:c>
      <x:c r="I111" s="23">
        <x:v>6924</x:v>
      </x:c>
      <x:c r="J111" s="23">
        <x:v>400</x:v>
      </x:c>
      <x:c r="K111" s="23">
        <x:v>0</x:v>
      </x:c>
      <x:c r="L111" s="23" t="s">
        <x:v>227</x:v>
      </x:c>
      <x:c r="M111" s="23">
        <x:f t="shared" si="1"/>
        <x:v>536</x:v>
      </x:c>
      <x:c r="N111" s="24" t="str">
        <x:f t="array" ref="N111">INDEX('MATCH INFO'!O:O, INT((ROW()-2)/10)+2 + 29)</x:f>
        <x:v>260613_PF_FLC_S2</x:v>
      </x:c>
    </x:row>
    <x:row r="112">
      <x:c r="A112" s="23" t="s">
        <x:v>39</x:v>
      </x:c>
      <x:c r="B112" s="23" t="s">
        <x:v>45</x:v>
      </x:c>
      <x:c r="C112" s="23" t="s">
        <x:v>16</x:v>
      </x:c>
      <x:c r="D112" s="23" t="s">
        <x:v>113</x:v>
      </x:c>
      <x:c r="E112" s="23" t="s">
        <x:v>188</x:v>
      </x:c>
      <x:c r="F112" s="23">
        <x:v>3</x:v>
      </x:c>
      <x:c r="G112" s="23">
        <x:v>4</x:v>
      </x:c>
      <x:c r="H112" s="23">
        <x:v>9</x:v>
      </x:c>
      <x:c r="I112" s="23">
        <x:v>1920</x:v>
      </x:c>
      <x:c r="J112" s="23">
        <x:v>4482</x:v>
      </x:c>
      <x:c r="K112" s="23">
        <x:v>0</x:v>
      </x:c>
      <x:c r="L112" s="23" t="s">
        <x:v>228</x:v>
      </x:c>
      <x:c r="M112" s="23">
        <x:f t="shared" si="1"/>
        <x:v>400</x:v>
      </x:c>
      <x:c r="N112" s="24" t="str">
        <x:f t="array" ref="N112">INDEX('MATCH INFO'!O:O, INT((ROW()-2)/10)+2 + 29)</x:f>
        <x:v>260613_PF_FLC_S3</x:v>
      </x:c>
    </x:row>
    <x:row r="113">
      <x:c r="A113" s="23" t="s">
        <x:v>39</x:v>
      </x:c>
      <x:c r="B113" s="23" t="s">
        <x:v>42</x:v>
      </x:c>
      <x:c r="C113" s="23" t="s">
        <x:v>11</x:v>
      </x:c>
      <x:c r="D113" s="23" t="s">
        <x:v>113</x:v>
      </x:c>
      <x:c r="E113" s="23" t="s">
        <x:v>188</x:v>
      </x:c>
      <x:c r="F113" s="23">
        <x:v>8</x:v>
      </x:c>
      <x:c r="G113" s="23">
        <x:v>6</x:v>
      </x:c>
      <x:c r="H113" s="23">
        <x:v>0</x:v>
      </x:c>
      <x:c r="I113" s="23">
        <x:v>3612</x:v>
      </x:c>
      <x:c r="J113" s="23">
        <x:v>23</x:v>
      </x:c>
      <x:c r="K113" s="23">
        <x:v>1685</x:v>
      </x:c>
      <x:c r="L113" s="23" t="s">
        <x:v>228</x:v>
      </x:c>
      <x:c r="M113" s="23">
        <x:f t="shared" si="1"/>
        <x:v>400</x:v>
      </x:c>
      <x:c r="N113" s="24" t="str">
        <x:f t="array" ref="N113">INDEX('MATCH INFO'!O:O, INT((ROW()-2)/10)+2 + 29)</x:f>
        <x:v>260613_PF_FLC_S3</x:v>
      </x:c>
    </x:row>
    <x:row r="114">
      <x:c r="A114" s="23" t="s">
        <x:v>39</x:v>
      </x:c>
      <x:c r="B114" s="23" t="s">
        <x:v>40</x:v>
      </x:c>
      <x:c r="C114" s="23" t="s">
        <x:v>8</x:v>
      </x:c>
      <x:c r="D114" s="23" t="s">
        <x:v>113</x:v>
      </x:c>
      <x:c r="E114" s="23" t="s">
        <x:v>188</x:v>
      </x:c>
      <x:c r="F114" s="23">
        <x:v>7</x:v>
      </x:c>
      <x:c r="G114" s="23">
        <x:v>9</x:v>
      </x:c>
      <x:c r="H114" s="23">
        <x:v>0</x:v>
      </x:c>
      <x:c r="I114" s="23">
        <x:v>6895</x:v>
      </x:c>
      <x:c r="J114" s="23">
        <x:v>866</x:v>
      </x:c>
      <x:c r="K114" s="23">
        <x:v>4027</x:v>
      </x:c>
      <x:c r="L114" s="23" t="s">
        <x:v>228</x:v>
      </x:c>
      <x:c r="M114" s="23">
        <x:f t="shared" si="1"/>
        <x:v>400</x:v>
      </x:c>
      <x:c r="N114" s="24" t="str">
        <x:f t="array" ref="N114">INDEX('MATCH INFO'!O:O, INT((ROW()-2)/10)+2 + 29)</x:f>
        <x:v>260613_PF_FLC_S3</x:v>
      </x:c>
    </x:row>
    <x:row r="115">
      <x:c r="A115" s="23" t="s">
        <x:v>39</x:v>
      </x:c>
      <x:c r="B115" s="23" t="s">
        <x:v>43</x:v>
      </x:c>
      <x:c r="C115" s="23" t="s">
        <x:v>11</x:v>
      </x:c>
      <x:c r="D115" s="23" t="s">
        <x:v>113</x:v>
      </x:c>
      <x:c r="E115" s="23" t="s">
        <x:v>188</x:v>
      </x:c>
      <x:c r="F115" s="23">
        <x:v>6</x:v>
      </x:c>
      <x:c r="G115" s="23">
        <x:v>7</x:v>
      </x:c>
      <x:c r="H115" s="23">
        <x:v>0</x:v>
      </x:c>
      <x:c r="I115" s="23">
        <x:v>6263</x:v>
      </x:c>
      <x:c r="J115" s="23">
        <x:v>0</x:v>
      </x:c>
      <x:c r="K115" s="23">
        <x:v>0</x:v>
      </x:c>
      <x:c r="L115" s="23" t="s">
        <x:v>228</x:v>
      </x:c>
      <x:c r="M115" s="23">
        <x:f t="shared" si="1"/>
        <x:v>400</x:v>
      </x:c>
      <x:c r="N115" s="24" t="str">
        <x:f t="array" ref="N115">INDEX('MATCH INFO'!O:O, INT((ROW()-2)/10)+2 + 29)</x:f>
        <x:v>260613_PF_FLC_S3</x:v>
      </x:c>
    </x:row>
    <x:row r="116">
      <x:c r="A116" s="23" t="s">
        <x:v>39</x:v>
      </x:c>
      <x:c r="B116" s="23" t="s">
        <x:v>44</x:v>
      </x:c>
      <x:c r="C116" s="23" t="s">
        <x:v>16</x:v>
      </x:c>
      <x:c r="D116" s="23" t="s">
        <x:v>113</x:v>
      </x:c>
      <x:c r="E116" s="23" t="s">
        <x:v>188</x:v>
      </x:c>
      <x:c r="F116" s="23">
        <x:v>5</x:v>
      </x:c>
      <x:c r="G116" s="23">
        <x:v>6</x:v>
      </x:c>
      <x:c r="H116" s="23">
        <x:v>7</x:v>
      </x:c>
      <x:c r="I116" s="23">
        <x:v>2313</x:v>
      </x:c>
      <x:c r="J116" s="23">
        <x:v>3373</x:v>
      </x:c>
      <x:c r="K116" s="23">
        <x:v>2502</x:v>
      </x:c>
      <x:c r="L116" s="23" t="s">
        <x:v>228</x:v>
      </x:c>
      <x:c r="M116" s="23">
        <x:f t="shared" si="1"/>
        <x:v>400</x:v>
      </x:c>
      <x:c r="N116" s="24" t="str">
        <x:f t="array" ref="N116">INDEX('MATCH INFO'!O:O, INT((ROW()-2)/10)+2 + 29)</x:f>
        <x:v>260613_PF_FLC_S3</x:v>
      </x:c>
    </x:row>
    <x:row r="117">
      <x:c r="A117" s="23" t="s">
        <x:v>72</x:v>
      </x:c>
      <x:c r="B117" s="23" t="s">
        <x:v>78</x:v>
      </x:c>
      <x:c r="C117" s="23" t="s">
        <x:v>16</x:v>
      </x:c>
      <x:c r="D117" s="23" t="s">
        <x:v>113</x:v>
      </x:c>
      <x:c r="E117" s="23" t="s">
        <x:v>188</x:v>
      </x:c>
      <x:c r="F117" s="23">
        <x:v>17</x:v>
      </x:c>
      <x:c r="G117" s="23">
        <x:v>1</x:v>
      </x:c>
      <x:c r="H117" s="23">
        <x:v>17</x:v>
      </x:c>
      <x:c r="I117" s="23">
        <x:v>3134</x:v>
      </x:c>
      <x:c r="J117" s="23">
        <x:v>6601</x:v>
      </x:c>
      <x:c r="K117" s="23">
        <x:v>0</x:v>
      </x:c>
      <x:c r="L117" s="23" t="s">
        <x:v>228</x:v>
      </x:c>
      <x:c r="M117" s="23">
        <x:f t="shared" si="1"/>
        <x:v>400</x:v>
      </x:c>
      <x:c r="N117" s="24" t="str">
        <x:f t="array" ref="N117">INDEX('MATCH INFO'!O:O, INT((ROW()-2)/10)+2 + 29)</x:f>
        <x:v>260613_PF_FLC_S3</x:v>
      </x:c>
    </x:row>
    <x:row r="118">
      <x:c r="A118" s="23" t="s">
        <x:v>72</x:v>
      </x:c>
      <x:c r="B118" s="23" t="s">
        <x:v>79</x:v>
      </x:c>
      <x:c r="C118" s="23" t="s">
        <x:v>16</x:v>
      </x:c>
      <x:c r="D118" s="23" t="s">
        <x:v>113</x:v>
      </x:c>
      <x:c r="E118" s="23" t="s">
        <x:v>188</x:v>
      </x:c>
      <x:c r="F118" s="23">
        <x:v>14</x:v>
      </x:c>
      <x:c r="G118" s="23">
        <x:v>2</x:v>
      </x:c>
      <x:c r="H118" s="23">
        <x:v>19</x:v>
      </x:c>
      <x:c r="I118" s="23">
        <x:v>3337</x:v>
      </x:c>
      <x:c r="J118" s="23">
        <x:v>5088</x:v>
      </x:c>
      <x:c r="K118" s="23">
        <x:v>1217</x:v>
      </x:c>
      <x:c r="L118" s="23" t="s">
        <x:v>228</x:v>
      </x:c>
      <x:c r="M118" s="23">
        <x:f t="shared" si="1"/>
        <x:v>400</x:v>
      </x:c>
      <x:c r="N118" s="24" t="str">
        <x:f t="array" ref="N118">INDEX('MATCH INFO'!O:O, INT((ROW()-2)/10)+2 + 29)</x:f>
        <x:v>260613_PF_FLC_S3</x:v>
      </x:c>
    </x:row>
    <x:row r="119">
      <x:c r="A119" s="23" t="s">
        <x:v>72</x:v>
      </x:c>
      <x:c r="B119" s="23" t="s">
        <x:v>74</x:v>
      </x:c>
      <x:c r="C119" s="23" t="s">
        <x:v>8</x:v>
      </x:c>
      <x:c r="D119" s="23" t="s">
        <x:v>113</x:v>
      </x:c>
      <x:c r="E119" s="23" t="s">
        <x:v>188</x:v>
      </x:c>
      <x:c r="F119" s="23">
        <x:v>20</x:v>
      </x:c>
      <x:c r="G119" s="23">
        <x:v>3</x:v>
      </x:c>
      <x:c r="H119" s="23">
        <x:v>14</x:v>
      </x:c>
      <x:c r="I119" s="23">
        <x:v>6316</x:v>
      </x:c>
      <x:c r="J119" s="23">
        <x:v>1772</x:v>
      </x:c>
      <x:c r="K119" s="23">
        <x:v>2435</x:v>
      </x:c>
      <x:c r="L119" s="23" t="s">
        <x:v>228</x:v>
      </x:c>
      <x:c r="M119" s="23">
        <x:f t="shared" si="1"/>
        <x:v>400</x:v>
      </x:c>
      <x:c r="N119" s="24" t="str">
        <x:f t="array" ref="N119">INDEX('MATCH INFO'!O:O, INT((ROW()-2)/10)+2 + 29)</x:f>
        <x:v>260613_PF_FLC_S3</x:v>
      </x:c>
    </x:row>
    <x:row r="120">
      <x:c r="A120" s="23" t="s">
        <x:v>72</x:v>
      </x:c>
      <x:c r="B120" s="23" t="s">
        <x:v>77</x:v>
      </x:c>
      <x:c r="C120" s="23" t="s">
        <x:v>11</x:v>
      </x:c>
      <x:c r="D120" s="23" t="s">
        <x:v>113</x:v>
      </x:c>
      <x:c r="E120" s="23" t="s">
        <x:v>188</x:v>
      </x:c>
      <x:c r="F120" s="23">
        <x:v>18</x:v>
      </x:c>
      <x:c r="G120" s="23">
        <x:v>5</x:v>
      </x:c>
      <x:c r="H120" s="23">
        <x:v>0</x:v>
      </x:c>
      <x:c r="I120" s="23">
        <x:v>4019</x:v>
      </x:c>
      <x:c r="J120" s="23">
        <x:v>0</x:v>
      </x:c>
      <x:c r="K120" s="23">
        <x:v>91</x:v>
      </x:c>
      <x:c r="L120" s="23" t="s">
        <x:v>228</x:v>
      </x:c>
      <x:c r="M120" s="23">
        <x:f t="shared" si="1"/>
        <x:v>400</x:v>
      </x:c>
      <x:c r="N120" s="24" t="str">
        <x:f t="array" ref="N120">INDEX('MATCH INFO'!O:O, INT((ROW()-2)/10)+2 + 29)</x:f>
        <x:v>260613_PF_FLC_S3</x:v>
      </x:c>
    </x:row>
    <x:row r="121">
      <x:c r="A121" s="23" t="s">
        <x:v>72</x:v>
      </x:c>
      <x:c r="B121" s="23" t="s">
        <x:v>75</x:v>
      </x:c>
      <x:c r="C121" s="23" t="s">
        <x:v>11</x:v>
      </x:c>
      <x:c r="D121" s="23" t="s">
        <x:v>113</x:v>
      </x:c>
      <x:c r="E121" s="23" t="s">
        <x:v>188</x:v>
      </x:c>
      <x:c r="F121" s="23">
        <x:v>24</x:v>
      </x:c>
      <x:c r="G121" s="23">
        <x:v>1</x:v>
      </x:c>
      <x:c r="H121" s="23">
        <x:v>0</x:v>
      </x:c>
      <x:c r="I121" s="23">
        <x:v>4874</x:v>
      </x:c>
      <x:c r="J121" s="23">
        <x:v>60</x:v>
      </x:c>
      <x:c r="K121" s="23">
        <x:v>1776</x:v>
      </x:c>
      <x:c r="L121" s="23" t="s">
        <x:v>228</x:v>
      </x:c>
      <x:c r="M121" s="23">
        <x:f t="shared" si="1"/>
        <x:v>400</x:v>
      </x:c>
      <x:c r="N121" s="24" t="str">
        <x:f t="array" ref="N121">INDEX('MATCH INFO'!O:O, INT((ROW()-2)/10)+2 + 29)</x:f>
        <x:v>260613_PF_FLC_S3</x:v>
      </x:c>
    </x:row>
    <x:row r="122">
      <x:c r="A122" s="23" t="s">
        <x:v>63</x:v>
      </x:c>
      <x:c r="B122" s="23" t="s">
        <x:v>69</x:v>
      </x:c>
      <x:c r="C122" s="23" t="s">
        <x:v>16</x:v>
      </x:c>
      <x:c r="D122" s="23" t="s">
        <x:v>107</x:v>
      </x:c>
      <x:c r="E122" s="23" t="s">
        <x:v>184</x:v>
      </x:c>
      <x:c r="F122" s="23">
        <x:v>11</x:v>
      </x:c>
      <x:c r="G122" s="23">
        <x:v>0</x:v>
      </x:c>
      <x:c r="H122" s="23">
        <x:v>9</x:v>
      </x:c>
      <x:c r="I122" s="23">
        <x:v>2126</x:v>
      </x:c>
      <x:c r="J122" s="23">
        <x:v>3043</x:v>
      </x:c>
      <x:c r="K122" s="23">
        <x:v>0</x:v>
      </x:c>
      <x:c r="L122" s="23" t="s">
        <x:v>229</x:v>
      </x:c>
      <x:c r="M122" s="23">
        <x:f t="shared" si="1"/>
        <x:v>385.00000000000006</x:v>
      </x:c>
      <x:c r="N122" s="24" t="str">
        <x:f t="array" ref="N122">INDEX('MATCH INFO'!O:O, INT((ROW()-2)/10)+2 + 29)</x:f>
        <x:v>260613_T1_O2_S1</x:v>
      </x:c>
    </x:row>
    <x:row r="123">
      <x:c r="A123" s="23" t="s">
        <x:v>63</x:v>
      </x:c>
      <x:c r="B123" s="23" t="s">
        <x:v>64</x:v>
      </x:c>
      <x:c r="C123" s="23" t="s">
        <x:v>8</x:v>
      </x:c>
      <x:c r="D123" s="23" t="s">
        <x:v>107</x:v>
      </x:c>
      <x:c r="E123" s="23" t="s">
        <x:v>184</x:v>
      </x:c>
      <x:c r="F123" s="23">
        <x:v>14</x:v>
      </x:c>
      <x:c r="G123" s="23">
        <x:v>0</x:v>
      </x:c>
      <x:c r="H123" s="23">
        <x:v>3</x:v>
      </x:c>
      <x:c r="I123" s="23">
        <x:v>5845</x:v>
      </x:c>
      <x:c r="J123" s="23">
        <x:v>1469</x:v>
      </x:c>
      <x:c r="K123" s="23">
        <x:v>3050</x:v>
      </x:c>
      <x:c r="L123" s="23" t="s">
        <x:v>229</x:v>
      </x:c>
      <x:c r="M123" s="23">
        <x:f t="shared" si="1"/>
        <x:v>385.00000000000006</x:v>
      </x:c>
      <x:c r="N123" s="24" t="str">
        <x:f t="array" ref="N123">INDEX('MATCH INFO'!O:O, INT((ROW()-2)/10)+2 + 29)</x:f>
        <x:v>260613_T1_O2_S1</x:v>
      </x:c>
    </x:row>
    <x:row r="124">
      <x:c r="A124" s="23" t="s">
        <x:v>63</x:v>
      </x:c>
      <x:c r="B124" s="23" t="s">
        <x:v>67</x:v>
      </x:c>
      <x:c r="C124" s="23" t="s">
        <x:v>11</x:v>
      </x:c>
      <x:c r="D124" s="23" t="s">
        <x:v>107</x:v>
      </x:c>
      <x:c r="E124" s="23" t="s">
        <x:v>184</x:v>
      </x:c>
      <x:c r="F124" s="23">
        <x:v>10</x:v>
      </x:c>
      <x:c r="G124" s="23">
        <x:v>3</x:v>
      </x:c>
      <x:c r="H124" s="23">
        <x:v>4</x:v>
      </x:c>
      <x:c r="I124" s="23">
        <x:v>4199</x:v>
      </x:c>
      <x:c r="J124" s="23">
        <x:v>0</x:v>
      </x:c>
      <x:c r="K124" s="23">
        <x:v>0</x:v>
      </x:c>
      <x:c r="L124" s="23" t="s">
        <x:v>229</x:v>
      </x:c>
      <x:c r="M124" s="23">
        <x:f t="shared" si="1"/>
        <x:v>385.00000000000006</x:v>
      </x:c>
      <x:c r="N124" s="24" t="str">
        <x:f t="array" ref="N124">INDEX('MATCH INFO'!O:O, INT((ROW()-2)/10)+2 + 29)</x:f>
        <x:v>260613_T1_O2_S1</x:v>
      </x:c>
    </x:row>
    <x:row r="125">
      <x:c r="A125" s="23" t="s">
        <x:v>63</x:v>
      </x:c>
      <x:c r="B125" s="23" t="s">
        <x:v>70</x:v>
      </x:c>
      <x:c r="C125" s="23" t="s">
        <x:v>16</x:v>
      </x:c>
      <x:c r="D125" s="23" t="s">
        <x:v>107</x:v>
      </x:c>
      <x:c r="E125" s="23" t="s">
        <x:v>184</x:v>
      </x:c>
      <x:c r="F125" s="23">
        <x:v>12</x:v>
      </x:c>
      <x:c r="G125" s="23">
        <x:v>0</x:v>
      </x:c>
      <x:c r="H125" s="23">
        <x:v>10</x:v>
      </x:c>
      <x:c r="I125" s="23">
        <x:v>5909</x:v>
      </x:c>
      <x:c r="J125" s="23">
        <x:v>2881</x:v>
      </x:c>
      <x:c r="K125" s="23">
        <x:v>0</x:v>
      </x:c>
      <x:c r="L125" s="23" t="s">
        <x:v>229</x:v>
      </x:c>
      <x:c r="M125" s="23">
        <x:f t="shared" si="1"/>
        <x:v>385.00000000000006</x:v>
      </x:c>
      <x:c r="N125" s="24" t="str">
        <x:f t="array" ref="N125">INDEX('MATCH INFO'!O:O, INT((ROW()-2)/10)+2 + 29)</x:f>
        <x:v>260613_T1_O2_S1</x:v>
      </x:c>
    </x:row>
    <x:row r="126">
      <x:c r="A126" s="23" t="s">
        <x:v>63</x:v>
      </x:c>
      <x:c r="B126" s="23" t="s">
        <x:v>66</x:v>
      </x:c>
      <x:c r="C126" s="23" t="s">
        <x:v>11</x:v>
      </x:c>
      <x:c r="D126" s="23" t="s">
        <x:v>107</x:v>
      </x:c>
      <x:c r="E126" s="23" t="s">
        <x:v>184</x:v>
      </x:c>
      <x:c r="F126" s="23">
        <x:v>13</x:v>
      </x:c>
      <x:c r="G126" s="23">
        <x:v>3</x:v>
      </x:c>
      <x:c r="H126" s="23">
        <x:v>0</x:v>
      </x:c>
      <x:c r="I126" s="23">
        <x:v>6956</x:v>
      </x:c>
      <x:c r="J126" s="23">
        <x:v>95</x:v>
      </x:c>
      <x:c r="K126" s="23">
        <x:v>0</x:v>
      </x:c>
      <x:c r="L126" s="23" t="s">
        <x:v>229</x:v>
      </x:c>
      <x:c r="M126" s="23">
        <x:f t="shared" si="1"/>
        <x:v>385.00000000000006</x:v>
      </x:c>
      <x:c r="N126" s="24" t="str">
        <x:f t="array" ref="N126">INDEX('MATCH INFO'!O:O, INT((ROW()-2)/10)+2 + 29)</x:f>
        <x:v>260613_T1_O2_S1</x:v>
      </x:c>
    </x:row>
    <x:row r="127">
      <x:c r="A127" s="23" t="s">
        <x:v>6</x:v>
      </x:c>
      <x:c r="B127" s="23" t="s">
        <x:v>15</x:v>
      </x:c>
      <x:c r="C127" s="23" t="s">
        <x:v>16</x:v>
      </x:c>
      <x:c r="D127" s="23" t="s">
        <x:v>107</x:v>
      </x:c>
      <x:c r="E127" s="23" t="s">
        <x:v>184</x:v>
      </x:c>
      <x:c r="F127" s="23">
        <x:v>1</x:v>
      </x:c>
      <x:c r="G127" s="23">
        <x:v>4</x:v>
      </x:c>
      <x:c r="H127" s="23">
        <x:v>1</x:v>
      </x:c>
      <x:c r="I127" s="23">
        <x:v>1280</x:v>
      </x:c>
      <x:c r="J127" s="23">
        <x:v>2131</x:v>
      </x:c>
      <x:c r="K127" s="23">
        <x:v>0</x:v>
      </x:c>
      <x:c r="L127" s="23" t="s">
        <x:v>229</x:v>
      </x:c>
      <x:c r="M127" s="23">
        <x:f t="shared" si="1"/>
        <x:v>385.00000000000006</x:v>
      </x:c>
      <x:c r="N127" s="24" t="str">
        <x:f t="array" ref="N127">INDEX('MATCH INFO'!O:O, INT((ROW()-2)/10)+2 + 29)</x:f>
        <x:v>260613_T1_O2_S1</x:v>
      </x:c>
    </x:row>
    <x:row r="128">
      <x:c r="A128" s="23" t="s">
        <x:v>6</x:v>
      </x:c>
      <x:c r="B128" s="23" t="s">
        <x:v>7</x:v>
      </x:c>
      <x:c r="C128" s="23" t="s">
        <x:v>8</x:v>
      </x:c>
      <x:c r="D128" s="23" t="s">
        <x:v>107</x:v>
      </x:c>
      <x:c r="E128" s="23" t="s">
        <x:v>184</x:v>
      </x:c>
      <x:c r="F128" s="23">
        <x:v>3</x:v>
      </x:c>
      <x:c r="G128" s="23">
        <x:v>4</x:v>
      </x:c>
      <x:c r="H128" s="23">
        <x:v>0</x:v>
      </x:c>
      <x:c r="I128" s="23">
        <x:v>4946</x:v>
      </x:c>
      <x:c r="J128" s="23">
        <x:v>1886</x:v>
      </x:c>
      <x:c r="K128" s="23">
        <x:v>2765</x:v>
      </x:c>
      <x:c r="L128" s="23" t="s">
        <x:v>229</x:v>
      </x:c>
      <x:c r="M128" s="23">
        <x:f t="shared" si="1"/>
        <x:v>385.00000000000006</x:v>
      </x:c>
      <x:c r="N128" s="24" t="str">
        <x:f t="array" ref="N128">INDEX('MATCH INFO'!O:O, INT((ROW()-2)/10)+2 + 29)</x:f>
        <x:v>260613_T1_O2_S1</x:v>
      </x:c>
    </x:row>
    <x:row r="129">
      <x:c r="A129" s="23" t="s">
        <x:v>6</x:v>
      </x:c>
      <x:c r="B129" s="23" t="s">
        <x:v>18</x:v>
      </x:c>
      <x:c r="C129" s="23" t="s">
        <x:v>16</x:v>
      </x:c>
      <x:c r="D129" s="23" t="s">
        <x:v>107</x:v>
      </x:c>
      <x:c r="E129" s="23" t="s">
        <x:v>184</x:v>
      </x:c>
      <x:c r="F129" s="23">
        <x:v>3</x:v>
      </x:c>
      <x:c r="G129" s="23">
        <x:v>6</x:v>
      </x:c>
      <x:c r="H129" s="23">
        <x:v>0</x:v>
      </x:c>
      <x:c r="I129" s="23">
        <x:v>2760</x:v>
      </x:c>
      <x:c r="J129" s="23">
        <x:v>4817</x:v>
      </x:c>
      <x:c r="K129" s="23">
        <x:v>0</x:v>
      </x:c>
      <x:c r="L129" s="23" t="s">
        <x:v>229</x:v>
      </x:c>
      <x:c r="M129" s="23">
        <x:f t="shared" si="1"/>
        <x:v>385.00000000000006</x:v>
      </x:c>
      <x:c r="N129" s="24" t="str">
        <x:f t="array" ref="N129">INDEX('MATCH INFO'!O:O, INT((ROW()-2)/10)+2 + 29)</x:f>
        <x:v>260613_T1_O2_S1</x:v>
      </x:c>
    </x:row>
    <x:row r="130">
      <x:c r="A130" s="23" t="s">
        <x:v>6</x:v>
      </x:c>
      <x:c r="B130" s="23" t="s">
        <x:v>13</x:v>
      </x:c>
      <x:c r="C130" s="23" t="s">
        <x:v>11</x:v>
      </x:c>
      <x:c r="D130" s="23" t="s">
        <x:v>107</x:v>
      </x:c>
      <x:c r="E130" s="23" t="s">
        <x:v>184</x:v>
      </x:c>
      <x:c r="F130" s="23">
        <x:v>0</x:v>
      </x:c>
      <x:c r="G130" s="23">
        <x:v>6</x:v>
      </x:c>
      <x:c r="H130" s="23">
        <x:v>0</x:v>
      </x:c>
      <x:c r="I130" s="23">
        <x:v>2391</x:v>
      </x:c>
      <x:c r="J130" s="23">
        <x:v>0</x:v>
      </x:c>
      <x:c r="K130" s="23">
        <x:v>29</x:v>
      </x:c>
      <x:c r="L130" s="23" t="s">
        <x:v>229</x:v>
      </x:c>
      <x:c r="M130" s="23" t="e">
        <x:f t="shared" ref="M130:M193" si="2">L130*86400</x:f>
        <x:v>#VALUE!</x:v>
      </x:c>
      <x:c r="N130" s="24" t="str">
        <x:f t="array" ref="N130">INDEX('MATCH INFO'!O:O, INT((ROW()-2)/10)+2 + 29)</x:f>
        <x:v>260613_T1_O2_S1</x:v>
      </x:c>
    </x:row>
    <x:row r="131">
      <x:c r="A131" s="23" t="s">
        <x:v>6</x:v>
      </x:c>
      <x:c r="B131" s="23" t="s">
        <x:v>10</x:v>
      </x:c>
      <x:c r="C131" s="23" t="s">
        <x:v>11</x:v>
      </x:c>
      <x:c r="D131" s="23" t="s">
        <x:v>107</x:v>
      </x:c>
      <x:c r="E131" s="23" t="s">
        <x:v>184</x:v>
      </x:c>
      <x:c r="F131" s="23">
        <x:v>4</x:v>
      </x:c>
      <x:c r="G131" s="23">
        <x:v>6</x:v>
      </x:c>
      <x:c r="H131" s="23">
        <x:v>0</x:v>
      </x:c>
      <x:c r="I131" s="23">
        <x:v>4873</x:v>
      </x:c>
      <x:c r="J131" s="23">
        <x:v>126</x:v>
      </x:c>
      <x:c r="K131" s="23">
        <x:v>0</x:v>
      </x:c>
      <x:c r="L131" s="23" t="s">
        <x:v>229</x:v>
      </x:c>
      <x:c r="M131" s="23">
        <x:f t="shared" si="2"/>
        <x:v>385.00000000000006</x:v>
      </x:c>
      <x:c r="N131" s="24" t="str">
        <x:f t="array" ref="N131">INDEX('MATCH INFO'!O:O, INT((ROW()-2)/10)+2 + 29)</x:f>
        <x:v>260613_T1_O2_S1</x:v>
      </x:c>
    </x:row>
    <x:row r="132">
      <x:c r="A132" s="23" t="s">
        <x:v>63</x:v>
      </x:c>
      <x:c r="B132" s="23" t="s">
        <x:v>69</x:v>
      </x:c>
      <x:c r="C132" s="23" t="s">
        <x:v>16</x:v>
      </x:c>
      <x:c r="D132" s="23" t="s">
        <x:v>145</x:v>
      </x:c>
      <x:c r="E132" s="23" t="s">
        <x:v>195</x:v>
      </x:c>
      <x:c r="F132" s="23">
        <x:v>8</x:v>
      </x:c>
      <x:c r="G132" s="23">
        <x:v>1</x:v>
      </x:c>
      <x:c r="H132" s="23">
        <x:v>11</x:v>
      </x:c>
      <x:c r="I132" s="23">
        <x:v>1088</x:v>
      </x:c>
      <x:c r="J132" s="23">
        <x:v>5193</x:v>
      </x:c>
      <x:c r="K132" s="23">
        <x:v>0</x:v>
      </x:c>
      <x:c r="L132" s="23" t="s">
        <x:v>230</x:v>
      </x:c>
      <x:c r="M132" s="23">
        <x:f t="shared" si="2"/>
        <x:v>303</x:v>
      </x:c>
      <x:c r="N132" s="24" t="str">
        <x:f t="array" ref="N132">INDEX('MATCH INFO'!O:O, INT((ROW()-2)/10)+2 + 29)</x:f>
        <x:v>260613_T1_O2_S2</x:v>
      </x:c>
    </x:row>
    <x:row r="133">
      <x:c r="A133" s="23" t="s">
        <x:v>63</x:v>
      </x:c>
      <x:c r="B133" s="23" t="s">
        <x:v>65</x:v>
      </x:c>
      <x:c r="C133" s="23" t="s">
        <x:v>8</x:v>
      </x:c>
      <x:c r="D133" s="23" t="s">
        <x:v>145</x:v>
      </x:c>
      <x:c r="E133" s="23" t="s">
        <x:v>195</x:v>
      </x:c>
      <x:c r="F133" s="23">
        <x:v>8</x:v>
      </x:c>
      <x:c r="G133" s="23">
        <x:v>0</x:v>
      </x:c>
      <x:c r="H133" s="23">
        <x:v>1</x:v>
      </x:c>
      <x:c r="I133" s="23">
        <x:v>5135</x:v>
      </x:c>
      <x:c r="J133" s="23">
        <x:v>0</x:v>
      </x:c>
      <x:c r="K133" s="23">
        <x:v>8503</x:v>
      </x:c>
      <x:c r="L133" s="23" t="s">
        <x:v>230</x:v>
      </x:c>
      <x:c r="M133" s="23">
        <x:f t="shared" si="2"/>
        <x:v>303</x:v>
      </x:c>
      <x:c r="N133" s="24" t="str">
        <x:f t="array" ref="N133">INDEX('MATCH INFO'!O:O, INT((ROW()-2)/10)+2 + 29)</x:f>
        <x:v>260613_T1_O2_S2</x:v>
      </x:c>
    </x:row>
    <x:row r="134">
      <x:c r="A134" s="23" t="s">
        <x:v>63</x:v>
      </x:c>
      <x:c r="B134" s="23" t="s">
        <x:v>67</x:v>
      </x:c>
      <x:c r="C134" s="23" t="s">
        <x:v>11</x:v>
      </x:c>
      <x:c r="D134" s="23" t="s">
        <x:v>145</x:v>
      </x:c>
      <x:c r="E134" s="23" t="s">
        <x:v>195</x:v>
      </x:c>
      <x:c r="F134" s="23">
        <x:v>11</x:v>
      </x:c>
      <x:c r="G134" s="23">
        <x:v>1</x:v>
      </x:c>
      <x:c r="H134" s="23">
        <x:v>1</x:v>
      </x:c>
      <x:c r="I134" s="23">
        <x:v>3868</x:v>
      </x:c>
      <x:c r="J134" s="23">
        <x:v>0</x:v>
      </x:c>
      <x:c r="K134" s="23">
        <x:v>0</x:v>
      </x:c>
      <x:c r="L134" s="23" t="s">
        <x:v>230</x:v>
      </x:c>
      <x:c r="M134" s="23">
        <x:f t="shared" si="2"/>
        <x:v>303</x:v>
      </x:c>
      <x:c r="N134" s="24" t="str">
        <x:f t="array" ref="N134">INDEX('MATCH INFO'!O:O, INT((ROW()-2)/10)+2 + 29)</x:f>
        <x:v>260613_T1_O2_S2</x:v>
      </x:c>
    </x:row>
    <x:row r="135">
      <x:c r="A135" s="23" t="s">
        <x:v>63</x:v>
      </x:c>
      <x:c r="B135" s="23" t="s">
        <x:v>70</x:v>
      </x:c>
      <x:c r="C135" s="23" t="s">
        <x:v>16</x:v>
      </x:c>
      <x:c r="D135" s="23" t="s">
        <x:v>145</x:v>
      </x:c>
      <x:c r="E135" s="23" t="s">
        <x:v>195</x:v>
      </x:c>
      <x:c r="F135" s="23">
        <x:v>8</x:v>
      </x:c>
      <x:c r="G135" s="23">
        <x:v>1</x:v>
      </x:c>
      <x:c r="H135" s="23">
        <x:v>7</x:v>
      </x:c>
      <x:c r="I135" s="23">
        <x:v>2651</x:v>
      </x:c>
      <x:c r="J135" s="23">
        <x:v>4322</x:v>
      </x:c>
      <x:c r="K135" s="23">
        <x:v>0</x:v>
      </x:c>
      <x:c r="L135" s="23" t="s">
        <x:v>230</x:v>
      </x:c>
      <x:c r="M135" s="23">
        <x:f t="shared" si="2"/>
        <x:v>303</x:v>
      </x:c>
      <x:c r="N135" s="24" t="str">
        <x:f t="array" ref="N135">INDEX('MATCH INFO'!O:O, INT((ROW()-2)/10)+2 + 29)</x:f>
        <x:v>260613_T1_O2_S2</x:v>
      </x:c>
    </x:row>
    <x:row r="136">
      <x:c r="A136" s="23" t="s">
        <x:v>63</x:v>
      </x:c>
      <x:c r="B136" s="23" t="s">
        <x:v>66</x:v>
      </x:c>
      <x:c r="C136" s="23" t="s">
        <x:v>11</x:v>
      </x:c>
      <x:c r="D136" s="23" t="s">
        <x:v>145</x:v>
      </x:c>
      <x:c r="E136" s="23" t="s">
        <x:v>195</x:v>
      </x:c>
      <x:c r="F136" s="23">
        <x:v>11</x:v>
      </x:c>
      <x:c r="G136" s="23">
        <x:v>1</x:v>
      </x:c>
      <x:c r="H136" s="23">
        <x:v>1</x:v>
      </x:c>
      <x:c r="I136" s="23">
        <x:v>4660</x:v>
      </x:c>
      <x:c r="J136" s="23">
        <x:v>0</x:v>
      </x:c>
      <x:c r="K136" s="23">
        <x:v>0</x:v>
      </x:c>
      <x:c r="L136" s="23" t="s">
        <x:v>230</x:v>
      </x:c>
      <x:c r="M136" s="23">
        <x:f t="shared" si="2"/>
        <x:v>303</x:v>
      </x:c>
      <x:c r="N136" s="24" t="str">
        <x:f t="array" ref="N136">INDEX('MATCH INFO'!O:O, INT((ROW()-2)/10)+2 + 29)</x:f>
        <x:v>260613_T1_O2_S2</x:v>
      </x:c>
    </x:row>
    <x:row r="137">
      <x:c r="A137" s="23" t="s">
        <x:v>6</x:v>
      </x:c>
      <x:c r="B137" s="23" t="s">
        <x:v>15</x:v>
      </x:c>
      <x:c r="C137" s="23" t="s">
        <x:v>16</x:v>
      </x:c>
      <x:c r="D137" s="23" t="s">
        <x:v>145</x:v>
      </x:c>
      <x:c r="E137" s="23" t="s">
        <x:v>195</x:v>
      </x:c>
      <x:c r="F137" s="23">
        <x:v>1</x:v>
      </x:c>
      <x:c r="G137" s="23">
        <x:v>1</x:v>
      </x:c>
      <x:c r="H137" s="23">
        <x:v>0</x:v>
      </x:c>
      <x:c r="I137" s="23">
        <x:v>327</x:v>
      </x:c>
      <x:c r="J137" s="23">
        <x:v>3514</x:v>
      </x:c>
      <x:c r="K137" s="23">
        <x:v>201</x:v>
      </x:c>
      <x:c r="L137" s="23" t="s">
        <x:v>230</x:v>
      </x:c>
      <x:c r="M137" s="23">
        <x:f t="shared" si="2"/>
        <x:v>303</x:v>
      </x:c>
      <x:c r="N137" s="24" t="str">
        <x:f t="array" ref="N137">INDEX('MATCH INFO'!O:O, INT((ROW()-2)/10)+2 + 29)</x:f>
        <x:v>260613_T1_O2_S2</x:v>
      </x:c>
    </x:row>
    <x:row r="138">
      <x:c r="A138" s="23" t="s">
        <x:v>6</x:v>
      </x:c>
      <x:c r="B138" s="23" t="s">
        <x:v>18</x:v>
      </x:c>
      <x:c r="C138" s="23" t="s">
        <x:v>16</x:v>
      </x:c>
      <x:c r="D138" s="23" t="s">
        <x:v>145</x:v>
      </x:c>
      <x:c r="E138" s="23" t="s">
        <x:v>195</x:v>
      </x:c>
      <x:c r="F138" s="23">
        <x:v>1</x:v>
      </x:c>
      <x:c r="G138" s="23">
        <x:v>5</x:v>
      </x:c>
      <x:c r="H138" s="23">
        <x:v>0</x:v>
      </x:c>
      <x:c r="I138" s="23">
        <x:v>1386</x:v>
      </x:c>
      <x:c r="J138" s="23">
        <x:v>4632</x:v>
      </x:c>
      <x:c r="K138" s="23">
        <x:v>247</x:v>
      </x:c>
      <x:c r="L138" s="23" t="s">
        <x:v>230</x:v>
      </x:c>
      <x:c r="M138" s="23">
        <x:f t="shared" si="2"/>
        <x:v>303</x:v>
      </x:c>
      <x:c r="N138" s="24" t="str">
        <x:f t="array" ref="N138">INDEX('MATCH INFO'!O:O, INT((ROW()-2)/10)+2 + 29)</x:f>
        <x:v>260613_T1_O2_S2</x:v>
      </x:c>
    </x:row>
    <x:row r="139">
      <x:c r="A139" s="23" t="s">
        <x:v>6</x:v>
      </x:c>
      <x:c r="B139" s="23" t="s">
        <x:v>13</x:v>
      </x:c>
      <x:c r="C139" s="23" t="s">
        <x:v>11</x:v>
      </x:c>
      <x:c r="D139" s="23" t="s">
        <x:v>145</x:v>
      </x:c>
      <x:c r="E139" s="23" t="s">
        <x:v>195</x:v>
      </x:c>
      <x:c r="F139" s="23">
        <x:v>1</x:v>
      </x:c>
      <x:c r="G139" s="23">
        <x:v>3</x:v>
      </x:c>
      <x:c r="H139" s="23">
        <x:v>0</x:v>
      </x:c>
      <x:c r="I139" s="23">
        <x:v>4101</x:v>
      </x:c>
      <x:c r="J139" s="23">
        <x:v>0</x:v>
      </x:c>
      <x:c r="K139" s="23">
        <x:v>735</x:v>
      </x:c>
      <x:c r="L139" s="23" t="s">
        <x:v>230</x:v>
      </x:c>
      <x:c r="M139" s="23">
        <x:f t="shared" si="2"/>
        <x:v>303</x:v>
      </x:c>
      <x:c r="N139" s="24" t="str">
        <x:f t="array" ref="N139">INDEX('MATCH INFO'!O:O, INT((ROW()-2)/10)+2 + 29)</x:f>
        <x:v>260613_T1_O2_S2</x:v>
      </x:c>
    </x:row>
    <x:row r="140">
      <x:c r="A140" s="23" t="s">
        <x:v>6</x:v>
      </x:c>
      <x:c r="B140" s="23" t="s">
        <x:v>9</x:v>
      </x:c>
      <x:c r="C140" s="23" t="s">
        <x:v>8</x:v>
      </x:c>
      <x:c r="D140" s="23" t="s">
        <x:v>145</x:v>
      </x:c>
      <x:c r="E140" s="23" t="s">
        <x:v>195</x:v>
      </x:c>
      <x:c r="F140" s="23">
        <x:v>2</x:v>
      </x:c>
      <x:c r="G140" s="23">
        <x:v>3</x:v>
      </x:c>
      <x:c r="H140" s="23">
        <x:v>0</x:v>
      </x:c>
      <x:c r="I140" s="23">
        <x:v>3047</x:v>
      </x:c>
      <x:c r="J140" s="23">
        <x:v>0</x:v>
      </x:c>
      <x:c r="K140" s="23">
        <x:v>10772</x:v>
      </x:c>
      <x:c r="L140" s="23" t="s">
        <x:v>230</x:v>
      </x:c>
      <x:c r="M140" s="23">
        <x:f t="shared" si="2"/>
        <x:v>303</x:v>
      </x:c>
      <x:c r="N140" s="24" t="str">
        <x:f t="array" ref="N140">INDEX('MATCH INFO'!O:O, INT((ROW()-2)/10)+2 + 29)</x:f>
        <x:v>260613_T1_O2_S2</x:v>
      </x:c>
    </x:row>
    <x:row r="141">
      <x:c r="A141" s="23" t="s">
        <x:v>6</x:v>
      </x:c>
      <x:c r="B141" s="23" t="s">
        <x:v>10</x:v>
      </x:c>
      <x:c r="C141" s="23" t="s">
        <x:v>11</x:v>
      </x:c>
      <x:c r="D141" s="23" t="s">
        <x:v>145</x:v>
      </x:c>
      <x:c r="E141" s="23" t="s">
        <x:v>195</x:v>
      </x:c>
      <x:c r="F141" s="23">
        <x:v>2</x:v>
      </x:c>
      <x:c r="G141" s="23">
        <x:v>6</x:v>
      </x:c>
      <x:c r="H141" s="23">
        <x:v>0</x:v>
      </x:c>
      <x:c r="I141" s="23">
        <x:v>3465</x:v>
      </x:c>
      <x:c r="J141" s="23">
        <x:v>0</x:v>
      </x:c>
      <x:c r="K141" s="23">
        <x:v>345</x:v>
      </x:c>
      <x:c r="L141" s="23" t="s">
        <x:v>230</x:v>
      </x:c>
      <x:c r="M141" s="23">
        <x:f t="shared" si="2"/>
        <x:v>303</x:v>
      </x:c>
      <x:c r="N141" s="24" t="str">
        <x:f t="array" ref="N141">INDEX('MATCH INFO'!O:O, INT((ROW()-2)/10)+2 + 29)</x:f>
        <x:v>260613_T1_O2_S2</x:v>
      </x:c>
    </x:row>
    <x:row r="142">
      <x:c r="A142" s="23" t="s">
        <x:v>63</x:v>
      </x:c>
      <x:c r="B142" s="23" t="s">
        <x:v>69</x:v>
      </x:c>
      <x:c r="C142" s="23" t="s">
        <x:v>16</x:v>
      </x:c>
      <x:c r="D142" s="23" t="s">
        <x:v>119</x:v>
      </x:c>
      <x:c r="E142" s="23" t="s">
        <x:v>191</x:v>
      </x:c>
      <x:c r="F142" s="23">
        <x:v>27</x:v>
      </x:c>
      <x:c r="G142" s="23">
        <x:v>6</x:v>
      </x:c>
      <x:c r="H142" s="23">
        <x:v>18</x:v>
      </x:c>
      <x:c r="I142" s="23">
        <x:v>9264</x:v>
      </x:c>
      <x:c r="J142" s="23">
        <x:v>6792</x:v>
      </x:c>
      <x:c r="K142" s="23">
        <x:v>1395</x:v>
      </x:c>
      <x:c r="L142" s="23" t="s">
        <x:v>231</x:v>
      </x:c>
      <x:c r="M142" s="23">
        <x:f t="shared" si="2"/>
        <x:v>796</x:v>
      </x:c>
      <x:c r="N142" s="24" t="str">
        <x:f t="array" ref="N142">INDEX('MATCH INFO'!O:O, INT((ROW()-2)/10)+2 + 29)</x:f>
        <x:v>260613_T1_O2_S3</x:v>
      </x:c>
    </x:row>
    <x:row r="143">
      <x:c r="A143" s="23" t="s">
        <x:v>63</x:v>
      </x:c>
      <x:c r="B143" s="23" t="s">
        <x:v>65</x:v>
      </x:c>
      <x:c r="C143" s="23" t="s">
        <x:v>8</x:v>
      </x:c>
      <x:c r="D143" s="23" t="s">
        <x:v>119</x:v>
      </x:c>
      <x:c r="E143" s="23" t="s">
        <x:v>191</x:v>
      </x:c>
      <x:c r="F143" s="23">
        <x:v>28</x:v>
      </x:c>
      <x:c r="G143" s="23">
        <x:v>5</x:v>
      </x:c>
      <x:c r="H143" s="23">
        <x:v>5</x:v>
      </x:c>
      <x:c r="I143" s="23">
        <x:v>14079</x:v>
      </x:c>
      <x:c r="J143" s="23">
        <x:v>100</x:v>
      </x:c>
      <x:c r="K143" s="23">
        <x:v>26659</x:v>
      </x:c>
      <x:c r="L143" s="23" t="s">
        <x:v>231</x:v>
      </x:c>
      <x:c r="M143" s="23">
        <x:f t="shared" si="2"/>
        <x:v>796</x:v>
      </x:c>
      <x:c r="N143" s="24" t="str">
        <x:f t="array" ref="N143">INDEX('MATCH INFO'!O:O, INT((ROW()-2)/10)+2 + 29)</x:f>
        <x:v>260613_T1_O2_S3</x:v>
      </x:c>
    </x:row>
    <x:row r="144">
      <x:c r="A144" s="23" t="s">
        <x:v>63</x:v>
      </x:c>
      <x:c r="B144" s="23" t="s">
        <x:v>67</x:v>
      </x:c>
      <x:c r="C144" s="23" t="s">
        <x:v>11</x:v>
      </x:c>
      <x:c r="D144" s="23" t="s">
        <x:v>119</x:v>
      </x:c>
      <x:c r="E144" s="23" t="s">
        <x:v>191</x:v>
      </x:c>
      <x:c r="F144" s="23">
        <x:v>25</x:v>
      </x:c>
      <x:c r="G144" s="23">
        <x:v>6</x:v>
      </x:c>
      <x:c r="H144" s="23">
        <x:v>0</x:v>
      </x:c>
      <x:c r="I144" s="23">
        <x:v>13053</x:v>
      </x:c>
      <x:c r="J144" s="23">
        <x:v>0</x:v>
      </x:c>
      <x:c r="K144" s="23">
        <x:v>0</x:v>
      </x:c>
      <x:c r="L144" s="23" t="s">
        <x:v>231</x:v>
      </x:c>
      <x:c r="M144" s="23">
        <x:f t="shared" si="2"/>
        <x:v>796</x:v>
      </x:c>
      <x:c r="N144" s="24" t="str">
        <x:f t="array" ref="N144">INDEX('MATCH INFO'!O:O, INT((ROW()-2)/10)+2 + 29)</x:f>
        <x:v>260613_T1_O2_S3</x:v>
      </x:c>
    </x:row>
    <x:row r="145">
      <x:c r="A145" s="23" t="s">
        <x:v>63</x:v>
      </x:c>
      <x:c r="B145" s="23" t="s">
        <x:v>70</x:v>
      </x:c>
      <x:c r="C145" s="23" t="s">
        <x:v>16</x:v>
      </x:c>
      <x:c r="D145" s="23" t="s">
        <x:v>119</x:v>
      </x:c>
      <x:c r="E145" s="23" t="s">
        <x:v>191</x:v>
      </x:c>
      <x:c r="F145" s="23">
        <x:v>19</x:v>
      </x:c>
      <x:c r="G145" s="23">
        <x:v>8</x:v>
      </x:c>
      <x:c r="H145" s="23">
        <x:v>21</x:v>
      </x:c>
      <x:c r="I145" s="23">
        <x:v>5096</x:v>
      </x:c>
      <x:c r="J145" s="23">
        <x:v>13737</x:v>
      </x:c>
      <x:c r="K145" s="23">
        <x:v>0</x:v>
      </x:c>
      <x:c r="L145" s="23" t="s">
        <x:v>231</x:v>
      </x:c>
      <x:c r="M145" s="23">
        <x:f t="shared" si="2"/>
        <x:v>796</x:v>
      </x:c>
      <x:c r="N145" s="24" t="str">
        <x:f t="array" ref="N145">INDEX('MATCH INFO'!O:O, INT((ROW()-2)/10)+2 + 29)</x:f>
        <x:v>260613_T1_O2_S3</x:v>
      </x:c>
    </x:row>
    <x:row r="146">
      <x:c r="A146" s="23" t="s">
        <x:v>63</x:v>
      </x:c>
      <x:c r="B146" s="23" t="s">
        <x:v>66</x:v>
      </x:c>
      <x:c r="C146" s="23" t="s">
        <x:v>11</x:v>
      </x:c>
      <x:c r="D146" s="23" t="s">
        <x:v>119</x:v>
      </x:c>
      <x:c r="E146" s="23" t="s">
        <x:v>191</x:v>
      </x:c>
      <x:c r="F146" s="23">
        <x:v>23</x:v>
      </x:c>
      <x:c r="G146" s="23">
        <x:v>8</x:v>
      </x:c>
      <x:c r="H146" s="23">
        <x:v>5</x:v>
      </x:c>
      <x:c r="I146" s="23">
        <x:v>13740</x:v>
      </x:c>
      <x:c r="J146" s="23">
        <x:v>0</x:v>
      </x:c>
      <x:c r="K146" s="23">
        <x:v>0</x:v>
      </x:c>
      <x:c r="L146" s="23" t="s">
        <x:v>231</x:v>
      </x:c>
      <x:c r="M146" s="23">
        <x:f t="shared" si="2"/>
        <x:v>796</x:v>
      </x:c>
      <x:c r="N146" s="24" t="str">
        <x:f t="array" ref="N146">INDEX('MATCH INFO'!O:O, INT((ROW()-2)/10)+2 + 29)</x:f>
        <x:v>260613_T1_O2_S3</x:v>
      </x:c>
    </x:row>
    <x:row r="147">
      <x:c r="A147" s="23" t="s">
        <x:v>6</x:v>
      </x:c>
      <x:c r="B147" s="23" t="s">
        <x:v>15</x:v>
      </x:c>
      <x:c r="C147" s="23" t="s">
        <x:v>16</x:v>
      </x:c>
      <x:c r="D147" s="23" t="s">
        <x:v>119</x:v>
      </x:c>
      <x:c r="E147" s="23" t="s">
        <x:v>191</x:v>
      </x:c>
      <x:c r="F147" s="23">
        <x:v>8</x:v>
      </x:c>
      <x:c r="G147" s="23">
        <x:v>8</x:v>
      </x:c>
      <x:c r="H147" s="23">
        <x:v>10</x:v>
      </x:c>
      <x:c r="I147" s="23">
        <x:v>5653</x:v>
      </x:c>
      <x:c r="J147" s="23">
        <x:v>12408</x:v>
      </x:c>
      <x:c r="K147" s="23">
        <x:v>1098</x:v>
      </x:c>
      <x:c r="L147" s="23" t="s">
        <x:v>231</x:v>
      </x:c>
      <x:c r="M147" s="23">
        <x:f t="shared" si="2"/>
        <x:v>796</x:v>
      </x:c>
      <x:c r="N147" s="24" t="str">
        <x:f t="array" ref="N147">INDEX('MATCH INFO'!O:O, INT((ROW()-2)/10)+2 + 29)</x:f>
        <x:v>260613_T1_O2_S3</x:v>
      </x:c>
    </x:row>
    <x:row r="148">
      <x:c r="A148" s="23" t="s">
        <x:v>6</x:v>
      </x:c>
      <x:c r="B148" s="23" t="s">
        <x:v>18</x:v>
      </x:c>
      <x:c r="C148" s="23" t="s">
        <x:v>16</x:v>
      </x:c>
      <x:c r="D148" s="23" t="s">
        <x:v>119</x:v>
      </x:c>
      <x:c r="E148" s="23" t="s">
        <x:v>191</x:v>
      </x:c>
      <x:c r="F148" s="23">
        <x:v>15</x:v>
      </x:c>
      <x:c r="G148" s="23">
        <x:v>9</x:v>
      </x:c>
      <x:c r="H148" s="23">
        <x:v>14</x:v>
      </x:c>
      <x:c r="I148" s="23">
        <x:v>4418</x:v>
      </x:c>
      <x:c r="J148" s="23">
        <x:v>17881</x:v>
      </x:c>
      <x:c r="K148" s="23">
        <x:v>0</x:v>
      </x:c>
      <x:c r="L148" s="23" t="s">
        <x:v>231</x:v>
      </x:c>
      <x:c r="M148" s="23">
        <x:f t="shared" si="2"/>
        <x:v>796</x:v>
      </x:c>
      <x:c r="N148" s="24" t="str">
        <x:f t="array" ref="N148">INDEX('MATCH INFO'!O:O, INT((ROW()-2)/10)+2 + 29)</x:f>
        <x:v>260613_T1_O2_S3</x:v>
      </x:c>
    </x:row>
    <x:row r="149">
      <x:c r="A149" s="23" t="s">
        <x:v>6</x:v>
      </x:c>
      <x:c r="B149" s="23" t="s">
        <x:v>13</x:v>
      </x:c>
      <x:c r="C149" s="23" t="s">
        <x:v>11</x:v>
      </x:c>
      <x:c r="D149" s="23" t="s">
        <x:v>119</x:v>
      </x:c>
      <x:c r="E149" s="23" t="s">
        <x:v>191</x:v>
      </x:c>
      <x:c r="F149" s="23">
        <x:v>20</x:v>
      </x:c>
      <x:c r="G149" s="23">
        <x:v>9</x:v>
      </x:c>
      <x:c r="H149" s="23">
        <x:v>5</x:v>
      </x:c>
      <x:c r="I149" s="23">
        <x:v>8727</x:v>
      </x:c>
      <x:c r="J149" s="23">
        <x:v>0</x:v>
      </x:c>
      <x:c r="K149" s="23">
        <x:v>193</x:v>
      </x:c>
      <x:c r="L149" s="23" t="s">
        <x:v>231</x:v>
      </x:c>
      <x:c r="M149" s="23">
        <x:f t="shared" si="2"/>
        <x:v>796</x:v>
      </x:c>
      <x:c r="N149" s="24" t="str">
        <x:f t="array" ref="N149">INDEX('MATCH INFO'!O:O, INT((ROW()-2)/10)+2 + 29)</x:f>
        <x:v>260613_T1_O2_S3</x:v>
      </x:c>
    </x:row>
    <x:row r="150">
      <x:c r="A150" s="23" t="s">
        <x:v>6</x:v>
      </x:c>
      <x:c r="B150" s="23" t="s">
        <x:v>9</x:v>
      </x:c>
      <x:c r="C150" s="23" t="s">
        <x:v>8</x:v>
      </x:c>
      <x:c r="D150" s="23" t="s">
        <x:v>119</x:v>
      </x:c>
      <x:c r="E150" s="23" t="s">
        <x:v>191</x:v>
      </x:c>
      <x:c r="F150" s="23">
        <x:v>18</x:v>
      </x:c>
      <x:c r="G150" s="23">
        <x:v>9</x:v>
      </x:c>
      <x:c r="H150" s="23">
        <x:v>3</x:v>
      </x:c>
      <x:c r="I150" s="23">
        <x:v>12228</x:v>
      </x:c>
      <x:c r="J150" s="23">
        <x:v>0</x:v>
      </x:c>
      <x:c r="K150" s="23">
        <x:v>32692</x:v>
      </x:c>
      <x:c r="L150" s="23" t="s">
        <x:v>231</x:v>
      </x:c>
      <x:c r="M150" s="23">
        <x:f t="shared" si="2"/>
        <x:v>796</x:v>
      </x:c>
      <x:c r="N150" s="24" t="str">
        <x:f t="array" ref="N150">INDEX('MATCH INFO'!O:O, INT((ROW()-2)/10)+2 + 29)</x:f>
        <x:v>260613_T1_O2_S3</x:v>
      </x:c>
    </x:row>
    <x:row r="151">
      <x:c r="A151" s="23" t="s">
        <x:v>6</x:v>
      </x:c>
      <x:c r="B151" s="23" t="s">
        <x:v>10</x:v>
      </x:c>
      <x:c r="C151" s="23" t="s">
        <x:v>11</x:v>
      </x:c>
      <x:c r="D151" s="23" t="s">
        <x:v>119</x:v>
      </x:c>
      <x:c r="E151" s="23" t="s">
        <x:v>191</x:v>
      </x:c>
      <x:c r="F151" s="23">
        <x:v>13</x:v>
      </x:c>
      <x:c r="G151" s="23">
        <x:v>9</x:v>
      </x:c>
      <x:c r="H151" s="23">
        <x:v>2</x:v>
      </x:c>
      <x:c r="I151" s="23">
        <x:v>7236</x:v>
      </x:c>
      <x:c r="J151" s="23">
        <x:v>1917</x:v>
      </x:c>
      <x:c r="K151" s="23">
        <x:v>4144</x:v>
      </x:c>
      <x:c r="L151" s="23" t="s">
        <x:v>231</x:v>
      </x:c>
      <x:c r="M151" s="23">
        <x:f t="shared" si="2"/>
        <x:v>796</x:v>
      </x:c>
      <x:c r="N151" s="24" t="str">
        <x:f t="array" ref="N151">INDEX('MATCH INFO'!O:O, INT((ROW()-2)/10)+2 + 29)</x:f>
        <x:v>260613_T1_O2_S3</x:v>
      </x:c>
    </x:row>
    <x:row r="152">
      <x:c r="A152" s="23" t="s">
        <x:v>81</x:v>
      </x:c>
      <x:c r="B152" s="23" t="s">
        <x:v>87</x:v>
      </x:c>
      <x:c r="C152" s="23" t="s">
        <x:v>16</x:v>
      </x:c>
      <x:c r="D152" s="23" t="s">
        <x:v>116</x:v>
      </x:c>
      <x:c r="E152" s="23" t="s">
        <x:v>184</x:v>
      </x:c>
      <x:c r="F152" s="23">
        <x:v>0</x:v>
      </x:c>
      <x:c r="G152" s="23">
        <x:v>6</x:v>
      </x:c>
      <x:c r="H152" s="23">
        <x:v>3</x:v>
      </x:c>
      <x:c r="I152" s="23">
        <x:v>2439</x:v>
      </x:c>
      <x:c r="J152" s="23">
        <x:v>5719</x:v>
      </x:c>
      <x:c r="K152" s="23">
        <x:v>0</x:v>
      </x:c>
      <x:c r="L152" s="23" t="s">
        <x:v>232</x:v>
      </x:c>
      <x:c r="M152" s="23">
        <x:f t="shared" si="2"/>
        <x:v>404.00000000000006</x:v>
      </x:c>
      <x:c r="N152" s="24" t="str">
        <x:f t="array" ref="N152">INDEX('MATCH INFO'!O:O, INT((ROW()-2)/10)+2 + 29)</x:f>
        <x:v>260613_SB_ZETA_S1</x:v>
      </x:c>
    </x:row>
    <x:row r="153">
      <x:c r="A153" s="23" t="s">
        <x:v>81</x:v>
      </x:c>
      <x:c r="B153" s="23" t="s">
        <x:v>83</x:v>
      </x:c>
      <x:c r="C153" s="23" t="s">
        <x:v>8</x:v>
      </x:c>
      <x:c r="D153" s="23" t="s">
        <x:v>116</x:v>
      </x:c>
      <x:c r="E153" s="23" t="s">
        <x:v>184</x:v>
      </x:c>
      <x:c r="F153" s="23">
        <x:v>2</x:v>
      </x:c>
      <x:c r="G153" s="23">
        <x:v>5</x:v>
      </x:c>
      <x:c r="H153" s="23">
        <x:v>0</x:v>
      </x:c>
      <x:c r="I153" s="23">
        <x:v>4431</x:v>
      </x:c>
      <x:c r="J153" s="23">
        <x:v>537</x:v>
      </x:c>
      <x:c r="K153" s="23">
        <x:v>14071</x:v>
      </x:c>
      <x:c r="L153" s="23" t="s">
        <x:v>232</x:v>
      </x:c>
      <x:c r="M153" s="23">
        <x:f t="shared" si="2"/>
        <x:v>404.00000000000006</x:v>
      </x:c>
      <x:c r="N153" s="24" t="str">
        <x:f t="array" ref="N153">INDEX('MATCH INFO'!O:O, INT((ROW()-2)/10)+2 + 29)</x:f>
        <x:v>260613_SB_ZETA_S1</x:v>
      </x:c>
    </x:row>
    <x:row r="154">
      <x:c r="A154" s="23" t="s">
        <x:v>81</x:v>
      </x:c>
      <x:c r="B154" s="53" t="s">
        <x:v>86</x:v>
      </x:c>
      <x:c r="C154" s="23" t="s">
        <x:v>11</x:v>
      </x:c>
      <x:c r="D154" s="23" t="s">
        <x:v>116</x:v>
      </x:c>
      <x:c r="E154" s="23" t="s">
        <x:v>184</x:v>
      </x:c>
      <x:c r="F154" s="23">
        <x:v>2</x:v>
      </x:c>
      <x:c r="G154" s="23">
        <x:v>7</x:v>
      </x:c>
      <x:c r="H154" s="23">
        <x:v>0</x:v>
      </x:c>
      <x:c r="I154" s="23">
        <x:v>2593</x:v>
      </x:c>
      <x:c r="J154" s="23">
        <x:v>590</x:v>
      </x:c>
      <x:c r="K154" s="23">
        <x:v>1073</x:v>
      </x:c>
      <x:c r="L154" s="23" t="s">
        <x:v>232</x:v>
      </x:c>
      <x:c r="M154" s="23">
        <x:f t="shared" si="2"/>
        <x:v>404.00000000000006</x:v>
      </x:c>
      <x:c r="N154" s="24" t="str">
        <x:f t="array" ref="N154">INDEX('MATCH INFO'!O:O, INT((ROW()-2)/10)+2 + 29)</x:f>
        <x:v>260613_SB_ZETA_S1</x:v>
      </x:c>
    </x:row>
    <x:row r="155">
      <x:c r="A155" s="23" t="s">
        <x:v>81</x:v>
      </x:c>
      <x:c r="B155" s="23" t="s">
        <x:v>85</x:v>
      </x:c>
      <x:c r="C155" s="23" t="s">
        <x:v>11</x:v>
      </x:c>
      <x:c r="D155" s="23" t="s">
        <x:v>116</x:v>
      </x:c>
      <x:c r="E155" s="23" t="s">
        <x:v>184</x:v>
      </x:c>
      <x:c r="F155" s="23">
        <x:v>2</x:v>
      </x:c>
      <x:c r="G155" s="23">
        <x:v>7</x:v>
      </x:c>
      <x:c r="H155" s="23">
        <x:v>0</x:v>
      </x:c>
      <x:c r="I155" s="23">
        <x:v>6121</x:v>
      </x:c>
      <x:c r="J155" s="23">
        <x:v>0</x:v>
      </x:c>
      <x:c r="K155" s="23">
        <x:v>747</x:v>
      </x:c>
      <x:c r="L155" s="23" t="s">
        <x:v>232</x:v>
      </x:c>
      <x:c r="M155" s="23">
        <x:f t="shared" si="2"/>
        <x:v>404.00000000000006</x:v>
      </x:c>
      <x:c r="N155" s="24" t="str">
        <x:f t="array" ref="N155">INDEX('MATCH INFO'!O:O, INT((ROW()-2)/10)+2 + 29)</x:f>
        <x:v>260613_SB_ZETA_S1</x:v>
      </x:c>
    </x:row>
    <x:row r="156">
      <x:c r="A156" s="23" t="s">
        <x:v>81</x:v>
      </x:c>
      <x:c r="B156" s="23" t="s">
        <x:v>88</x:v>
      </x:c>
      <x:c r="C156" s="23" t="s">
        <x:v>16</x:v>
      </x:c>
      <x:c r="D156" s="23" t="s">
        <x:v>116</x:v>
      </x:c>
      <x:c r="E156" s="23" t="s">
        <x:v>184</x:v>
      </x:c>
      <x:c r="F156" s="23">
        <x:v>1</x:v>
      </x:c>
      <x:c r="G156" s="23">
        <x:v>6</x:v>
      </x:c>
      <x:c r="H156" s="23">
        <x:v>1</x:v>
      </x:c>
      <x:c r="I156" s="23">
        <x:v>591</x:v>
      </x:c>
      <x:c r="J156" s="23">
        <x:v>5352</x:v>
      </x:c>
      <x:c r="K156" s="23">
        <x:v>248</x:v>
      </x:c>
      <x:c r="L156" s="23" t="s">
        <x:v>232</x:v>
      </x:c>
      <x:c r="M156" s="23">
        <x:f t="shared" si="2"/>
        <x:v>404.00000000000006</x:v>
      </x:c>
      <x:c r="N156" s="24" t="str">
        <x:f t="array" ref="N156">INDEX('MATCH INFO'!O:O, INT((ROW()-2)/10)+2 + 29)</x:f>
        <x:v>260613_SB_ZETA_S1</x:v>
      </x:c>
    </x:row>
    <x:row r="157">
      <x:c r="A157" s="23" t="s">
        <x:v>47</x:v>
      </x:c>
      <x:c r="B157" s="23" t="s">
        <x:v>49</x:v>
      </x:c>
      <x:c r="C157" s="23" t="s">
        <x:v>8</x:v>
      </x:c>
      <x:c r="D157" s="23" t="s">
        <x:v>116</x:v>
      </x:c>
      <x:c r="E157" s="23" t="s">
        <x:v>184</x:v>
      </x:c>
      <x:c r="F157" s="23">
        <x:v>24</x:v>
      </x:c>
      <x:c r="G157" s="23">
        <x:v>0</x:v>
      </x:c>
      <x:c r="H157" s="23">
        <x:v>9</x:v>
      </x:c>
      <x:c r="I157" s="23">
        <x:v>6325</x:v>
      </x:c>
      <x:c r="J157" s="23">
        <x:v>645</x:v>
      </x:c>
      <x:c r="K157" s="23">
        <x:v>6930</x:v>
      </x:c>
      <x:c r="L157" s="23" t="s">
        <x:v>232</x:v>
      </x:c>
      <x:c r="M157" s="23">
        <x:f t="shared" si="2"/>
        <x:v>404.00000000000006</x:v>
      </x:c>
      <x:c r="N157" s="24" t="str">
        <x:f t="array" ref="N157">INDEX('MATCH INFO'!O:O, INT((ROW()-2)/10)+2 + 29)</x:f>
        <x:v>260613_SB_ZETA_S1</x:v>
      </x:c>
    </x:row>
    <x:row r="158">
      <x:c r="A158" s="23" t="s">
        <x:v>47</x:v>
      </x:c>
      <x:c r="B158" s="23" t="s">
        <x:v>51</x:v>
      </x:c>
      <x:c r="C158" s="23" t="s">
        <x:v>11</x:v>
      </x:c>
      <x:c r="D158" s="23" t="s">
        <x:v>116</x:v>
      </x:c>
      <x:c r="E158" s="23" t="s">
        <x:v>184</x:v>
      </x:c>
      <x:c r="F158" s="23">
        <x:v>19</x:v>
      </x:c>
      <x:c r="G158" s="23">
        <x:v>1</x:v>
      </x:c>
      <x:c r="H158" s="23">
        <x:v>3</x:v>
      </x:c>
      <x:c r="I158" s="23">
        <x:v>8603</x:v>
      </x:c>
      <x:c r="J158" s="23">
        <x:v>454</x:v>
      </x:c>
      <x:c r="K158" s="23">
        <x:v>735</x:v>
      </x:c>
      <x:c r="L158" s="23" t="s">
        <x:v>232</x:v>
      </x:c>
      <x:c r="M158" s="23">
        <x:f t="shared" si="2"/>
        <x:v>404.00000000000006</x:v>
      </x:c>
      <x:c r="N158" s="24" t="str">
        <x:f t="array" ref="N158">INDEX('MATCH INFO'!O:O, INT((ROW()-2)/10)+2 + 29)</x:f>
        <x:v>260613_SB_ZETA_S1</x:v>
      </x:c>
    </x:row>
    <x:row r="159">
      <x:c r="A159" s="23" t="s">
        <x:v>47</x:v>
      </x:c>
      <x:c r="B159" s="23" t="s">
        <x:v>50</x:v>
      </x:c>
      <x:c r="C159" s="23" t="s">
        <x:v>11</x:v>
      </x:c>
      <x:c r="D159" s="23" t="s">
        <x:v>116</x:v>
      </x:c>
      <x:c r="E159" s="23" t="s">
        <x:v>184</x:v>
      </x:c>
      <x:c r="F159" s="23">
        <x:v>20</x:v>
      </x:c>
      <x:c r="G159" s="23">
        <x:v>0</x:v>
      </x:c>
      <x:c r="H159" s="23">
        <x:v>6</x:v>
      </x:c>
      <x:c r="I159" s="23">
        <x:v>6701</x:v>
      </x:c>
      <x:c r="J159" s="23">
        <x:v>0</x:v>
      </x:c>
      <x:c r="K159" s="23">
        <x:v>0</x:v>
      </x:c>
      <x:c r="L159" s="23" t="s">
        <x:v>232</x:v>
      </x:c>
      <x:c r="M159" s="23">
        <x:f t="shared" si="2"/>
        <x:v>404.00000000000006</x:v>
      </x:c>
      <x:c r="N159" s="24" t="str">
        <x:f t="array" ref="N159">INDEX('MATCH INFO'!O:O, INT((ROW()-2)/10)+2 + 29)</x:f>
        <x:v>260613_SB_ZETA_S1</x:v>
      </x:c>
    </x:row>
    <x:row r="160">
      <x:c r="A160" s="23" t="s">
        <x:v>47</x:v>
      </x:c>
      <x:c r="B160" s="23" t="s">
        <x:v>53</x:v>
      </x:c>
      <x:c r="C160" s="23" t="s">
        <x:v>16</x:v>
      </x:c>
      <x:c r="D160" s="23" t="s">
        <x:v>116</x:v>
      </x:c>
      <x:c r="E160" s="23" t="s">
        <x:v>184</x:v>
      </x:c>
      <x:c r="F160" s="23">
        <x:v>10</x:v>
      </x:c>
      <x:c r="G160" s="23">
        <x:v>2</x:v>
      </x:c>
      <x:c r="H160" s="23">
        <x:v>9</x:v>
      </x:c>
      <x:c r="I160" s="23">
        <x:v>2104</x:v>
      </x:c>
      <x:c r="J160" s="23">
        <x:v>5104</x:v>
      </x:c>
      <x:c r="K160" s="23">
        <x:v>0</x:v>
      </x:c>
      <x:c r="L160" s="23" t="s">
        <x:v>232</x:v>
      </x:c>
      <x:c r="M160" s="23">
        <x:f t="shared" si="2"/>
        <x:v>404.00000000000006</x:v>
      </x:c>
      <x:c r="N160" s="24" t="str">
        <x:f t="array" ref="N160">INDEX('MATCH INFO'!O:O, INT((ROW()-2)/10)+2 + 29)</x:f>
        <x:v>260613_SB_ZETA_S1</x:v>
      </x:c>
    </x:row>
    <x:row r="161">
      <x:c r="A161" s="23" t="s">
        <x:v>47</x:v>
      </x:c>
      <x:c r="B161" s="23" t="s">
        <x:v>52</x:v>
      </x:c>
      <x:c r="C161" s="23" t="s">
        <x:v>16</x:v>
      </x:c>
      <x:c r="D161" s="23" t="s">
        <x:v>116</x:v>
      </x:c>
      <x:c r="E161" s="23" t="s">
        <x:v>184</x:v>
      </x:c>
      <x:c r="F161" s="23">
        <x:v>14</x:v>
      </x:c>
      <x:c r="G161" s="23">
        <x:v>0</x:v>
      </x:c>
      <x:c r="H161" s="23">
        <x:v>17</x:v>
      </x:c>
      <x:c r="I161" s="23">
        <x:v>2012</x:v>
      </x:c>
      <x:c r="J161" s="23">
        <x:v>5984</x:v>
      </x:c>
      <x:c r="K161" s="23">
        <x:v>0</x:v>
      </x:c>
      <x:c r="L161" s="23" t="s">
        <x:v>232</x:v>
      </x:c>
      <x:c r="M161" s="23">
        <x:f t="shared" si="2"/>
        <x:v>404.00000000000006</x:v>
      </x:c>
      <x:c r="N161" s="24" t="str">
        <x:f t="array" ref="N161">INDEX('MATCH INFO'!O:O, INT((ROW()-2)/10)+2 + 29)</x:f>
        <x:v>260613_SB_ZETA_S1</x:v>
      </x:c>
    </x:row>
    <x:row r="162">
      <x:c r="A162" s="23" t="s">
        <x:v>81</x:v>
      </x:c>
      <x:c r="B162" s="23" t="s">
        <x:v>87</x:v>
      </x:c>
      <x:c r="C162" s="23" t="s">
        <x:v>16</x:v>
      </x:c>
      <x:c r="D162" s="23" t="s">
        <x:v>124</x:v>
      </x:c>
      <x:c r="E162" s="23" t="s">
        <x:v>186</x:v>
      </x:c>
      <x:c r="F162" s="23">
        <x:v>8</x:v>
      </x:c>
      <x:c r="G162" s="23">
        <x:v>6</x:v>
      </x:c>
      <x:c r="H162" s="23">
        <x:v>11</x:v>
      </x:c>
      <x:c r="I162" s="23">
        <x:v>3769</x:v>
      </x:c>
      <x:c r="J162" s="23">
        <x:v>4762</x:v>
      </x:c>
      <x:c r="K162" s="23">
        <x:v>1327</x:v>
      </x:c>
      <x:c r="L162" s="23" t="s">
        <x:v>233</x:v>
      </x:c>
      <x:c r="M162" s="23">
        <x:f t="shared" si="2"/>
        <x:v>471.00000000000006</x:v>
      </x:c>
      <x:c r="N162" s="24" t="str">
        <x:f t="array" ref="N162">INDEX('MATCH INFO'!O:O, INT((ROW()-2)/10)+2 + 29)</x:f>
        <x:v>260613_SB_ZETA_S2</x:v>
      </x:c>
    </x:row>
    <x:row r="163">
      <x:c r="A163" s="23" t="s">
        <x:v>81</x:v>
      </x:c>
      <x:c r="B163" s="23" t="s">
        <x:v>83</x:v>
      </x:c>
      <x:c r="C163" s="23" t="s">
        <x:v>8</x:v>
      </x:c>
      <x:c r="D163" s="23" t="s">
        <x:v>124</x:v>
      </x:c>
      <x:c r="E163" s="23" t="s">
        <x:v>186</x:v>
      </x:c>
      <x:c r="F163" s="23">
        <x:v>14</x:v>
      </x:c>
      <x:c r="G163" s="23">
        <x:v>5</x:v>
      </x:c>
      <x:c r="H163" s="23">
        <x:v>6</x:v>
      </x:c>
      <x:c r="I163" s="23">
        <x:v>9840</x:v>
      </x:c>
      <x:c r="J163" s="23">
        <x:v>2589</x:v>
      </x:c>
      <x:c r="K163" s="23">
        <x:v>5533</x:v>
      </x:c>
      <x:c r="L163" s="23" t="s">
        <x:v>233</x:v>
      </x:c>
      <x:c r="M163" s="23">
        <x:f t="shared" si="2"/>
        <x:v>471.00000000000006</x:v>
      </x:c>
      <x:c r="N163" s="24" t="str">
        <x:f t="array" ref="N163">INDEX('MATCH INFO'!O:O, INT((ROW()-2)/10)+2 + 29)</x:f>
        <x:v>260613_SB_ZETA_S2</x:v>
      </x:c>
    </x:row>
    <x:row r="164">
      <x:c r="A164" s="23" t="s">
        <x:v>81</x:v>
      </x:c>
      <x:c r="B164" s="23" t="s">
        <x:v>86</x:v>
      </x:c>
      <x:c r="C164" s="23" t="s">
        <x:v>16</x:v>
      </x:c>
      <x:c r="D164" s="23" t="s">
        <x:v>124</x:v>
      </x:c>
      <x:c r="E164" s="23" t="s">
        <x:v>186</x:v>
      </x:c>
      <x:c r="F164" s="23">
        <x:v>9</x:v>
      </x:c>
      <x:c r="G164" s="23">
        <x:v>6</x:v>
      </x:c>
      <x:c r="H164" s="23">
        <x:v>0</x:v>
      </x:c>
      <x:c r="I164" s="23">
        <x:v>4714</x:v>
      </x:c>
      <x:c r="J164" s="23">
        <x:v>765</x:v>
      </x:c>
      <x:c r="K164" s="23">
        <x:v>0</x:v>
      </x:c>
      <x:c r="L164" s="23" t="s">
        <x:v>233</x:v>
      </x:c>
      <x:c r="M164" s="23">
        <x:f t="shared" si="2"/>
        <x:v>471.00000000000006</x:v>
      </x:c>
      <x:c r="N164" s="24" t="str">
        <x:f t="array" ref="N164">INDEX('MATCH INFO'!O:O, INT((ROW()-2)/10)+2 + 29)</x:f>
        <x:v>260613_SB_ZETA_S2</x:v>
      </x:c>
    </x:row>
    <x:row r="165">
      <x:c r="A165" s="23" t="s">
        <x:v>81</x:v>
      </x:c>
      <x:c r="B165" s="23" t="s">
        <x:v>85</x:v>
      </x:c>
      <x:c r="C165" s="23" t="s">
        <x:v>11</x:v>
      </x:c>
      <x:c r="D165" s="23" t="s">
        <x:v>124</x:v>
      </x:c>
      <x:c r="E165" s="23" t="s">
        <x:v>186</x:v>
      </x:c>
      <x:c r="F165" s="23">
        <x:v>15</x:v>
      </x:c>
      <x:c r="G165" s="23">
        <x:v>9</x:v>
      </x:c>
      <x:c r="H165" s="23">
        <x:v>0</x:v>
      </x:c>
      <x:c r="I165" s="23">
        <x:v>6833</x:v>
      </x:c>
      <x:c r="J165" s="23">
        <x:v>0</x:v>
      </x:c>
      <x:c r="K165" s="23">
        <x:v>0</x:v>
      </x:c>
      <x:c r="L165" s="23" t="s">
        <x:v>233</x:v>
      </x:c>
      <x:c r="M165" s="23">
        <x:f t="shared" si="2"/>
        <x:v>471.00000000000006</x:v>
      </x:c>
      <x:c r="N165" s="24" t="str">
        <x:f t="array" ref="N165">INDEX('MATCH INFO'!O:O, INT((ROW()-2)/10)+2 + 29)</x:f>
        <x:v>260613_SB_ZETA_S2</x:v>
      </x:c>
    </x:row>
    <x:row r="166">
      <x:c r="A166" s="23" t="s">
        <x:v>81</x:v>
      </x:c>
      <x:c r="B166" s="23" t="s">
        <x:v>88</x:v>
      </x:c>
      <x:c r="C166" s="23" t="s">
        <x:v>16</x:v>
      </x:c>
      <x:c r="D166" s="23" t="s">
        <x:v>124</x:v>
      </x:c>
      <x:c r="E166" s="23" t="s">
        <x:v>186</x:v>
      </x:c>
      <x:c r="F166" s="23">
        <x:v>5</x:v>
      </x:c>
      <x:c r="G166" s="23">
        <x:v>9</x:v>
      </x:c>
      <x:c r="H166" s="23">
        <x:v>12</x:v>
      </x:c>
      <x:c r="I166" s="23">
        <x:v>2599</x:v>
      </x:c>
      <x:c r="J166" s="23">
        <x:v>8910</x:v>
      </x:c>
      <x:c r="K166" s="23">
        <x:v>0</x:v>
      </x:c>
      <x:c r="L166" s="23" t="s">
        <x:v>233</x:v>
      </x:c>
      <x:c r="M166" s="23">
        <x:f t="shared" si="2"/>
        <x:v>471.00000000000006</x:v>
      </x:c>
      <x:c r="N166" s="24" t="str">
        <x:f t="array" ref="N166">INDEX('MATCH INFO'!O:O, INT((ROW()-2)/10)+2 + 29)</x:f>
        <x:v>260613_SB_ZETA_S2</x:v>
      </x:c>
    </x:row>
    <x:row r="167">
      <x:c r="A167" s="23" t="s">
        <x:v>47</x:v>
      </x:c>
      <x:c r="B167" s="23" t="s">
        <x:v>51</x:v>
      </x:c>
      <x:c r="C167" s="23" t="s">
        <x:v>11</x:v>
      </x:c>
      <x:c r="D167" s="23" t="s">
        <x:v>124</x:v>
      </x:c>
      <x:c r="E167" s="23" t="s">
        <x:v>186</x:v>
      </x:c>
      <x:c r="F167" s="23">
        <x:v>27</x:v>
      </x:c>
      <x:c r="G167" s="23">
        <x:v>5</x:v>
      </x:c>
      <x:c r="H167" s="23">
        <x:v>0</x:v>
      </x:c>
      <x:c r="I167" s="23">
        <x:v>7288</x:v>
      </x:c>
      <x:c r="J167" s="23">
        <x:v>0</x:v>
      </x:c>
      <x:c r="K167" s="23">
        <x:v>0</x:v>
      </x:c>
      <x:c r="L167" s="23" t="s">
        <x:v>233</x:v>
      </x:c>
      <x:c r="M167" s="23">
        <x:f t="shared" si="2"/>
        <x:v>471.00000000000006</x:v>
      </x:c>
      <x:c r="N167" s="24" t="str">
        <x:f t="array" ref="N167">INDEX('MATCH INFO'!O:O, INT((ROW()-2)/10)+2 + 29)</x:f>
        <x:v>260613_SB_ZETA_S2</x:v>
      </x:c>
    </x:row>
    <x:row r="168">
      <x:c r="A168" s="23" t="s">
        <x:v>47</x:v>
      </x:c>
      <x:c r="B168" s="23" t="s">
        <x:v>48</x:v>
      </x:c>
      <x:c r="C168" s="23" t="s">
        <x:v>8</x:v>
      </x:c>
      <x:c r="D168" s="23" t="s">
        <x:v>124</x:v>
      </x:c>
      <x:c r="E168" s="23" t="s">
        <x:v>186</x:v>
      </x:c>
      <x:c r="F168" s="23">
        <x:v>23</x:v>
      </x:c>
      <x:c r="G168" s="23">
        <x:v>4</x:v>
      </x:c>
      <x:c r="H168" s="23">
        <x:v>16</x:v>
      </x:c>
      <x:c r="I168" s="23">
        <x:v>9622</x:v>
      </x:c>
      <x:c r="J168" s="23">
        <x:v>2409</x:v>
      </x:c>
      <x:c r="K168" s="23">
        <x:v>4409</x:v>
      </x:c>
      <x:c r="L168" s="23" t="s">
        <x:v>233</x:v>
      </x:c>
      <x:c r="M168" s="23">
        <x:f t="shared" si="2"/>
        <x:v>471.00000000000006</x:v>
      </x:c>
      <x:c r="N168" s="24" t="str">
        <x:f t="array" ref="N168">INDEX('MATCH INFO'!O:O, INT((ROW()-2)/10)+2 + 29)</x:f>
        <x:v>260613_SB_ZETA_S2</x:v>
      </x:c>
    </x:row>
    <x:row r="169">
      <x:c r="A169" s="23" t="s">
        <x:v>47</x:v>
      </x:c>
      <x:c r="B169" s="23" t="s">
        <x:v>50</x:v>
      </x:c>
      <x:c r="C169" s="23" t="s">
        <x:v>11</x:v>
      </x:c>
      <x:c r="D169" s="23" t="s">
        <x:v>124</x:v>
      </x:c>
      <x:c r="E169" s="23" t="s">
        <x:v>186</x:v>
      </x:c>
      <x:c r="F169" s="23">
        <x:v>25</x:v>
      </x:c>
      <x:c r="G169" s="23">
        <x:v>2</x:v>
      </x:c>
      <x:c r="H169" s="23">
        <x:v>0</x:v>
      </x:c>
      <x:c r="I169" s="23">
        <x:v>8910</x:v>
      </x:c>
      <x:c r="J169" s="23">
        <x:v>548</x:v>
      </x:c>
      <x:c r="K169" s="23">
        <x:v>0</x:v>
      </x:c>
      <x:c r="L169" s="23" t="s">
        <x:v>233</x:v>
      </x:c>
      <x:c r="M169" s="23">
        <x:f t="shared" si="2"/>
        <x:v>471.00000000000006</x:v>
      </x:c>
      <x:c r="N169" s="24" t="str">
        <x:f t="array" ref="N169">INDEX('MATCH INFO'!O:O, INT((ROW()-2)/10)+2 + 29)</x:f>
        <x:v>260613_SB_ZETA_S2</x:v>
      </x:c>
    </x:row>
    <x:row r="170">
      <x:c r="A170" s="23" t="s">
        <x:v>47</x:v>
      </x:c>
      <x:c r="B170" s="23" t="s">
        <x:v>53</x:v>
      </x:c>
      <x:c r="C170" s="23" t="s">
        <x:v>16</x:v>
      </x:c>
      <x:c r="D170" s="23" t="s">
        <x:v>124</x:v>
      </x:c>
      <x:c r="E170" s="23" t="s">
        <x:v>186</x:v>
      </x:c>
      <x:c r="F170" s="23">
        <x:v>10</x:v>
      </x:c>
      <x:c r="G170" s="23">
        <x:v>5</x:v>
      </x:c>
      <x:c r="H170" s="23">
        <x:v>23</x:v>
      </x:c>
      <x:c r="I170" s="23">
        <x:v>3582</x:v>
      </x:c>
      <x:c r="J170" s="23">
        <x:v>7286</x:v>
      </x:c>
      <x:c r="K170" s="23">
        <x:v>0</x:v>
      </x:c>
      <x:c r="L170" s="23" t="s">
        <x:v>233</x:v>
      </x:c>
      <x:c r="M170" s="23">
        <x:f t="shared" si="2"/>
        <x:v>471.00000000000006</x:v>
      </x:c>
      <x:c r="N170" s="24" t="str">
        <x:f t="array" ref="N170">INDEX('MATCH INFO'!O:O, INT((ROW()-2)/10)+2 + 29)</x:f>
        <x:v>260613_SB_ZETA_S2</x:v>
      </x:c>
    </x:row>
    <x:row r="171">
      <x:c r="A171" s="23" t="s">
        <x:v>47</x:v>
      </x:c>
      <x:c r="B171" s="23" t="s">
        <x:v>52</x:v>
      </x:c>
      <x:c r="C171" s="23" t="s">
        <x:v>16</x:v>
      </x:c>
      <x:c r="D171" s="23" t="s">
        <x:v>124</x:v>
      </x:c>
      <x:c r="E171" s="23" t="s">
        <x:v>186</x:v>
      </x:c>
      <x:c r="F171" s="23">
        <x:v>23</x:v>
      </x:c>
      <x:c r="G171" s="23">
        <x:v>3</x:v>
      </x:c>
      <x:c r="H171" s="23">
        <x:v>20</x:v>
      </x:c>
      <x:c r="I171" s="23">
        <x:v>4712</x:v>
      </x:c>
      <x:c r="J171" s="23">
        <x:v>4655</x:v>
      </x:c>
      <x:c r="K171" s="23">
        <x:v>1502</x:v>
      </x:c>
      <x:c r="L171" s="23" t="s">
        <x:v>233</x:v>
      </x:c>
      <x:c r="M171" s="23">
        <x:f t="shared" si="2"/>
        <x:v>471.00000000000006</x:v>
      </x:c>
      <x:c r="N171" s="24" t="str">
        <x:f t="array" ref="N171">INDEX('MATCH INFO'!O:O, INT((ROW()-2)/10)+2 + 29)</x:f>
        <x:v>260613_SB_ZETA_S2</x:v>
      </x:c>
    </x:row>
    <x:row r="172">
      <x:c r="A172" s="23" t="s">
        <x:v>81</x:v>
      </x:c>
      <x:c r="B172" s="23" t="s">
        <x:v>87</x:v>
      </x:c>
      <x:c r="C172" s="23" t="s">
        <x:v>16</x:v>
      </x:c>
      <x:c r="D172" s="23" t="s">
        <x:v>119</x:v>
      </x:c>
      <x:c r="E172" s="23" t="s">
        <x:v>191</x:v>
      </x:c>
      <x:c r="F172" s="23">
        <x:v>14</x:v>
      </x:c>
      <x:c r="G172" s="23">
        <x:v>10</x:v>
      </x:c>
      <x:c r="H172" s="23">
        <x:v>22</x:v>
      </x:c>
      <x:c r="I172" s="23">
        <x:v>6029</x:v>
      </x:c>
      <x:c r="J172" s="23">
        <x:v>16907</x:v>
      </x:c>
      <x:c r="K172" s="23">
        <x:v>1000</x:v>
      </x:c>
      <x:c r="L172" s="23" t="s">
        <x:v>234</x:v>
      </x:c>
      <x:c r="M172" s="23">
        <x:f t="shared" si="2"/>
        <x:v>951.99999999999989</x:v>
      </x:c>
      <x:c r="N172" s="24" t="str">
        <x:f t="array" ref="N172">INDEX('MATCH INFO'!O:O, INT((ROW()-2)/10)+2 + 29)</x:f>
        <x:v>260613_SB_ZETA_S3</x:v>
      </x:c>
    </x:row>
    <x:row r="173">
      <x:c r="A173" s="23" t="s">
        <x:v>81</x:v>
      </x:c>
      <x:c r="B173" s="23" t="s">
        <x:v>83</x:v>
      </x:c>
      <x:c r="C173" s="23" t="s">
        <x:v>8</x:v>
      </x:c>
      <x:c r="D173" s="23" t="s">
        <x:v>119</x:v>
      </x:c>
      <x:c r="E173" s="23" t="s">
        <x:v>191</x:v>
      </x:c>
      <x:c r="F173" s="23">
        <x:v>21</x:v>
      </x:c>
      <x:c r="G173" s="23">
        <x:v>11</x:v>
      </x:c>
      <x:c r="H173" s="23">
        <x:v>3</x:v>
      </x:c>
      <x:c r="I173" s="23">
        <x:v>13656</x:v>
      </x:c>
      <x:c r="J173" s="23">
        <x:v>511</x:v>
      </x:c>
      <x:c r="K173" s="23">
        <x:v>32696</x:v>
      </x:c>
      <x:c r="L173" s="23" t="s">
        <x:v>234</x:v>
      </x:c>
      <x:c r="M173" s="23">
        <x:f t="shared" si="2"/>
        <x:v>951.99999999999989</x:v>
      </x:c>
      <x:c r="N173" s="24" t="str">
        <x:f t="array" ref="N173">INDEX('MATCH INFO'!O:O, INT((ROW()-2)/10)+2 + 29)</x:f>
        <x:v>260613_SB_ZETA_S3</x:v>
      </x:c>
    </x:row>
    <x:row r="174">
      <x:c r="A174" s="23" t="s">
        <x:v>81</x:v>
      </x:c>
      <x:c r="B174" s="23" t="s">
        <x:v>86</x:v>
      </x:c>
      <x:c r="C174" s="23" t="s">
        <x:v>16</x:v>
      </x:c>
      <x:c r="D174" s="23" t="s">
        <x:v>119</x:v>
      </x:c>
      <x:c r="E174" s="23" t="s">
        <x:v>191</x:v>
      </x:c>
      <x:c r="F174" s="23">
        <x:v>14</x:v>
      </x:c>
      <x:c r="G174" s="23">
        <x:v>16</x:v>
      </x:c>
      <x:c r="H174" s="23">
        <x:v>4</x:v>
      </x:c>
      <x:c r="I174" s="23">
        <x:v>10138</x:v>
      </x:c>
      <x:c r="J174" s="23">
        <x:v>1052</x:v>
      </x:c>
      <x:c r="K174" s="23">
        <x:v>3370</x:v>
      </x:c>
      <x:c r="L174" s="23" t="s">
        <x:v>234</x:v>
      </x:c>
      <x:c r="M174" s="23">
        <x:f t="shared" si="2"/>
        <x:v>951.99999999999989</x:v>
      </x:c>
      <x:c r="N174" s="24" t="str">
        <x:f t="array" ref="N174">INDEX('MATCH INFO'!O:O, INT((ROW()-2)/10)+2 + 29)</x:f>
        <x:v>260613_SB_ZETA_S3</x:v>
      </x:c>
    </x:row>
    <x:row r="175">
      <x:c r="A175" s="23" t="s">
        <x:v>81</x:v>
      </x:c>
      <x:c r="B175" s="23" t="s">
        <x:v>85</x:v>
      </x:c>
      <x:c r="C175" s="23" t="s">
        <x:v>11</x:v>
      </x:c>
      <x:c r="D175" s="23" t="s">
        <x:v>119</x:v>
      </x:c>
      <x:c r="E175" s="23" t="s">
        <x:v>191</x:v>
      </x:c>
      <x:c r="F175" s="23">
        <x:v>19</x:v>
      </x:c>
      <x:c r="G175" s="23">
        <x:v>14</x:v>
      </x:c>
      <x:c r="H175" s="23">
        <x:v>1</x:v>
      </x:c>
      <x:c r="I175" s="23">
        <x:v>12086</x:v>
      </x:c>
      <x:c r="J175" s="23">
        <x:v>0</x:v>
      </x:c>
      <x:c r="K175" s="23">
        <x:v>300</x:v>
      </x:c>
      <x:c r="L175" s="23" t="s">
        <x:v>234</x:v>
      </x:c>
      <x:c r="M175" s="23">
        <x:f t="shared" si="2"/>
        <x:v>951.99999999999989</x:v>
      </x:c>
      <x:c r="N175" s="24" t="str">
        <x:f t="array" ref="N175">INDEX('MATCH INFO'!O:O, INT((ROW()-2)/10)+2 + 29)</x:f>
        <x:v>260613_SB_ZETA_S3</x:v>
      </x:c>
    </x:row>
    <x:row r="176">
      <x:c r="A176" s="23" t="s">
        <x:v>81</x:v>
      </x:c>
      <x:c r="B176" s="23" t="s">
        <x:v>88</x:v>
      </x:c>
      <x:c r="C176" s="23" t="s">
        <x:v>16</x:v>
      </x:c>
      <x:c r="D176" s="23" t="s">
        <x:v>119</x:v>
      </x:c>
      <x:c r="E176" s="23" t="s">
        <x:v>191</x:v>
      </x:c>
      <x:c r="F176" s="23">
        <x:v>13</x:v>
      </x:c>
      <x:c r="G176" s="23">
        <x:v>10</x:v>
      </x:c>
      <x:c r="H176" s="23">
        <x:v>24</x:v>
      </x:c>
      <x:c r="I176" s="23">
        <x:v>5307</x:v>
      </x:c>
      <x:c r="J176" s="23">
        <x:v>18146</x:v>
      </x:c>
      <x:c r="K176" s="23">
        <x:v>2671</x:v>
      </x:c>
      <x:c r="L176" s="23" t="s">
        <x:v>234</x:v>
      </x:c>
      <x:c r="M176" s="23">
        <x:f t="shared" si="2"/>
        <x:v>951.99999999999989</x:v>
      </x:c>
      <x:c r="N176" s="24" t="str">
        <x:f t="array" ref="N176">INDEX('MATCH INFO'!O:O, INT((ROW()-2)/10)+2 + 29)</x:f>
        <x:v>260613_SB_ZETA_S3</x:v>
      </x:c>
    </x:row>
    <x:row r="177">
      <x:c r="A177" s="23" t="s">
        <x:v>47</x:v>
      </x:c>
      <x:c r="B177" s="23" t="s">
        <x:v>49</x:v>
      </x:c>
      <x:c r="C177" s="23" t="s">
        <x:v>8</x:v>
      </x:c>
      <x:c r="D177" s="23" t="s">
        <x:v>119</x:v>
      </x:c>
      <x:c r="E177" s="23" t="s">
        <x:v>191</x:v>
      </x:c>
      <x:c r="F177" s="23">
        <x:v>23</x:v>
      </x:c>
      <x:c r="G177" s="23">
        <x:v>8</x:v>
      </x:c>
      <x:c r="H177" s="23">
        <x:v>3</x:v>
      </x:c>
      <x:c r="I177" s="23">
        <x:v>16278</x:v>
      </x:c>
      <x:c r="J177" s="23">
        <x:v>20</x:v>
      </x:c>
      <x:c r="K177" s="23">
        <x:v>29020</x:v>
      </x:c>
      <x:c r="L177" s="23" t="s">
        <x:v>234</x:v>
      </x:c>
      <x:c r="M177" s="23">
        <x:f t="shared" si="2"/>
        <x:v>951.99999999999989</x:v>
      </x:c>
      <x:c r="N177" s="24" t="str">
        <x:f t="array" ref="N177">INDEX('MATCH INFO'!O:O, INT((ROW()-2)/10)+2 + 29)</x:f>
        <x:v>260613_SB_ZETA_S3</x:v>
      </x:c>
    </x:row>
    <x:row r="178">
      <x:c r="A178" s="23" t="s">
        <x:v>47</x:v>
      </x:c>
      <x:c r="B178" s="23" t="s">
        <x:v>51</x:v>
      </x:c>
      <x:c r="C178" s="23" t="s">
        <x:v>11</x:v>
      </x:c>
      <x:c r="D178" s="23" t="s">
        <x:v>119</x:v>
      </x:c>
      <x:c r="E178" s="23" t="s">
        <x:v>191</x:v>
      </x:c>
      <x:c r="F178" s="23">
        <x:v>32</x:v>
      </x:c>
      <x:c r="G178" s="23">
        <x:v>9</x:v>
      </x:c>
      <x:c r="H178" s="23">
        <x:v>3</x:v>
      </x:c>
      <x:c r="I178" s="23">
        <x:v>13933</x:v>
      </x:c>
      <x:c r="J178" s="23">
        <x:v>0</x:v>
      </x:c>
      <x:c r="K178" s="23">
        <x:v>247</x:v>
      </x:c>
      <x:c r="L178" s="23" t="s">
        <x:v>234</x:v>
      </x:c>
      <x:c r="M178" s="23">
        <x:f t="shared" si="2"/>
        <x:v>951.99999999999989</x:v>
      </x:c>
      <x:c r="N178" s="24" t="str">
        <x:f t="array" ref="N178">INDEX('MATCH INFO'!O:O, INT((ROW()-2)/10)+2 + 29)</x:f>
        <x:v>260613_SB_ZETA_S3</x:v>
      </x:c>
    </x:row>
    <x:row r="179">
      <x:c r="A179" s="23" t="s">
        <x:v>47</x:v>
      </x:c>
      <x:c r="B179" s="23" t="s">
        <x:v>50</x:v>
      </x:c>
      <x:c r="C179" s="23" t="s">
        <x:v>11</x:v>
      </x:c>
      <x:c r="D179" s="23" t="s">
        <x:v>119</x:v>
      </x:c>
      <x:c r="E179" s="23" t="s">
        <x:v>191</x:v>
      </x:c>
      <x:c r="F179" s="23">
        <x:v>33</x:v>
      </x:c>
      <x:c r="G179" s="23">
        <x:v>5</x:v>
      </x:c>
      <x:c r="H179" s="23">
        <x:v>10</x:v>
      </x:c>
      <x:c r="I179" s="23">
        <x:v>14232</x:v>
      </x:c>
      <x:c r="J179" s="23">
        <x:v>54</x:v>
      </x:c>
      <x:c r="K179" s="23">
        <x:v>2463</x:v>
      </x:c>
      <x:c r="L179" s="23" t="s">
        <x:v>234</x:v>
      </x:c>
      <x:c r="M179" s="23">
        <x:f t="shared" si="2"/>
        <x:v>951.99999999999989</x:v>
      </x:c>
      <x:c r="N179" s="24" t="str">
        <x:f t="array" ref="N179">INDEX('MATCH INFO'!O:O, INT((ROW()-2)/10)+2 + 29)</x:f>
        <x:v>260613_SB_ZETA_S3</x:v>
      </x:c>
    </x:row>
    <x:row r="180">
      <x:c r="A180" s="23" t="s">
        <x:v>47</x:v>
      </x:c>
      <x:c r="B180" s="23" t="s">
        <x:v>53</x:v>
      </x:c>
      <x:c r="C180" s="23" t="s">
        <x:v>16</x:v>
      </x:c>
      <x:c r="D180" s="23" t="s">
        <x:v>119</x:v>
      </x:c>
      <x:c r="E180" s="23" t="s">
        <x:v>191</x:v>
      </x:c>
      <x:c r="F180" s="23">
        <x:v>22</x:v>
      </x:c>
      <x:c r="G180" s="23">
        <x:v>6</x:v>
      </x:c>
      <x:c r="H180" s="23">
        <x:v>24</x:v>
      </x:c>
      <x:c r="I180" s="23">
        <x:v>7767</x:v>
      </x:c>
      <x:c r="J180" s="23">
        <x:v>13635</x:v>
      </x:c>
      <x:c r="K180" s="23">
        <x:v>1215</x:v>
      </x:c>
      <x:c r="L180" s="23" t="s">
        <x:v>234</x:v>
      </x:c>
      <x:c r="M180" s="23">
        <x:f t="shared" si="2"/>
        <x:v>951.99999999999989</x:v>
      </x:c>
      <x:c r="N180" s="24" t="str">
        <x:f t="array" ref="N180">INDEX('MATCH INFO'!O:O, INT((ROW()-2)/10)+2 + 29)</x:f>
        <x:v>260613_SB_ZETA_S3</x:v>
      </x:c>
    </x:row>
    <x:row r="181">
      <x:c r="A181" s="23" t="s">
        <x:v>47</x:v>
      </x:c>
      <x:c r="B181" s="23" t="s">
        <x:v>52</x:v>
      </x:c>
      <x:c r="C181" s="23" t="s">
        <x:v>16</x:v>
      </x:c>
      <x:c r="D181" s="23" t="s">
        <x:v>119</x:v>
      </x:c>
      <x:c r="E181" s="23" t="s">
        <x:v>191</x:v>
      </x:c>
      <x:c r="F181" s="23">
        <x:v>34</x:v>
      </x:c>
      <x:c r="G181" s="23">
        <x:v>8</x:v>
      </x:c>
      <x:c r="H181" s="23">
        <x:v>36</x:v>
      </x:c>
      <x:c r="I181" s="23">
        <x:v>13978</x:v>
      </x:c>
      <x:c r="J181" s="23">
        <x:v>8957</x:v>
      </x:c>
      <x:c r="K181" s="23">
        <x:v>1072</x:v>
      </x:c>
      <x:c r="L181" s="23" t="s">
        <x:v>234</x:v>
      </x:c>
      <x:c r="M181" s="23">
        <x:f t="shared" si="2"/>
        <x:v>951.99999999999989</x:v>
      </x:c>
      <x:c r="N181" s="24" t="str">
        <x:f t="array" ref="N181">INDEX('MATCH INFO'!O:O, INT((ROW()-2)/10)+2 + 29)</x:f>
        <x:v>260613_SB_ZETA_S3</x:v>
      </x:c>
    </x:row>
    <x:row r="182">
      <x:c r="A182" s="23" t="s">
        <x:v>22</x:v>
      </x:c>
      <x:c r="B182" s="23" t="s">
        <x:v>25</x:v>
      </x:c>
      <x:c r="C182" s="23" t="s">
        <x:v>11</x:v>
      </x:c>
      <x:c r="D182" s="23" t="s">
        <x:v>131</x:v>
      </x:c>
      <x:c r="E182" s="23" t="s">
        <x:v>184</x:v>
      </x:c>
      <x:c r="F182" s="23">
        <x:v>11</x:v>
      </x:c>
      <x:c r="G182" s="23">
        <x:v>4</x:v>
      </x:c>
      <x:c r="H182" s="23">
        <x:v>2</x:v>
      </x:c>
      <x:c r="I182" s="23">
        <x:v>5138</x:v>
      </x:c>
      <x:c r="J182" s="23">
        <x:v>0</x:v>
      </x:c>
      <x:c r="K182" s="23">
        <x:v>0</x:v>
      </x:c>
      <x:c r="L182" s="23" t="s">
        <x:v>235</x:v>
      </x:c>
      <x:c r="M182" s="23">
        <x:f t="shared" si="2"/>
        <x:v>361</x:v>
      </x:c>
      <x:c r="N182" s="24" t="str">
        <x:f t="array" ref="N182">INDEX('MATCH INFO'!O:O, INT((ROW()-2)/10)+2 + 29)</x:f>
        <x:v>260614_ROZE_PF_S1</x:v>
      </x:c>
    </x:row>
    <x:row r="183">
      <x:c r="A183" s="23" t="s">
        <x:v>22</x:v>
      </x:c>
      <x:c r="B183" s="23" t="s">
        <x:v>29</x:v>
      </x:c>
      <x:c r="C183" s="23" t="s">
        <x:v>16</x:v>
      </x:c>
      <x:c r="D183" s="23" t="s">
        <x:v>131</x:v>
      </x:c>
      <x:c r="E183" s="23" t="s">
        <x:v>184</x:v>
      </x:c>
      <x:c r="F183" s="23">
        <x:v>5</x:v>
      </x:c>
      <x:c r="G183" s="23">
        <x:v>0</x:v>
      </x:c>
      <x:c r="H183" s="23">
        <x:v>10</x:v>
      </x:c>
      <x:c r="I183" s="23">
        <x:v>1348</x:v>
      </x:c>
      <x:c r="J183" s="23">
        <x:v>6774</x:v>
      </x:c>
      <x:c r="K183" s="23">
        <x:v>0</x:v>
      </x:c>
      <x:c r="L183" s="23" t="s">
        <x:v>235</x:v>
      </x:c>
      <x:c r="M183" s="23">
        <x:f t="shared" si="2"/>
        <x:v>361</x:v>
      </x:c>
      <x:c r="N183" s="24" t="str">
        <x:f t="array" ref="N183">INDEX('MATCH INFO'!O:O, INT((ROW()-2)/10)+2 + 29)</x:f>
        <x:v>260614_ROZE_PF_S1</x:v>
      </x:c>
    </x:row>
    <x:row r="184">
      <x:c r="A184" s="23" t="s">
        <x:v>22</x:v>
      </x:c>
      <x:c r="B184" s="23" t="s">
        <x:v>26</x:v>
      </x:c>
      <x:c r="C184" s="23" t="s">
        <x:v>11</x:v>
      </x:c>
      <x:c r="D184" s="23" t="s">
        <x:v>131</x:v>
      </x:c>
      <x:c r="E184" s="23" t="s">
        <x:v>184</x:v>
      </x:c>
      <x:c r="F184" s="23">
        <x:v>14</x:v>
      </x:c>
      <x:c r="G184" s="23">
        <x:v>2</x:v>
      </x:c>
      <x:c r="H184" s="23">
        <x:v>0</x:v>
      </x:c>
      <x:c r="I184" s="23">
        <x:v>5628</x:v>
      </x:c>
      <x:c r="J184" s="23">
        <x:v>0</x:v>
      </x:c>
      <x:c r="K184" s="23">
        <x:v>0</x:v>
      </x:c>
      <x:c r="L184" s="23" t="s">
        <x:v>235</x:v>
      </x:c>
      <x:c r="M184" s="23">
        <x:f t="shared" si="2"/>
        <x:v>361</x:v>
      </x:c>
      <x:c r="N184" s="24" t="str">
        <x:f t="array" ref="N184">INDEX('MATCH INFO'!O:O, INT((ROW()-2)/10)+2 + 29)</x:f>
        <x:v>260614_ROZE_PF_S1</x:v>
      </x:c>
    </x:row>
    <x:row r="185">
      <x:c r="A185" s="23" t="s">
        <x:v>22</x:v>
      </x:c>
      <x:c r="B185" s="23" t="s">
        <x:v>28</x:v>
      </x:c>
      <x:c r="C185" s="23" t="s">
        <x:v>16</x:v>
      </x:c>
      <x:c r="D185" s="23" t="s">
        <x:v>131</x:v>
      </x:c>
      <x:c r="E185" s="23" t="s">
        <x:v>184</x:v>
      </x:c>
      <x:c r="F185" s="23">
        <x:v>9</x:v>
      </x:c>
      <x:c r="G185" s="23">
        <x:v>1</x:v>
      </x:c>
      <x:c r="H185" s="23">
        <x:v>11</x:v>
      </x:c>
      <x:c r="I185" s="23">
        <x:v>2640</x:v>
      </x:c>
      <x:c r="J185" s="23">
        <x:v>4835</x:v>
      </x:c>
      <x:c r="K185" s="23">
        <x:v>518</x:v>
      </x:c>
      <x:c r="L185" s="23" t="s">
        <x:v>235</x:v>
      </x:c>
      <x:c r="M185" s="23">
        <x:f t="shared" si="2"/>
        <x:v>361</x:v>
      </x:c>
      <x:c r="N185" s="24" t="str">
        <x:f t="array" ref="N185">INDEX('MATCH INFO'!O:O, INT((ROW()-2)/10)+2 + 29)</x:f>
        <x:v>260614_ROZE_PF_S1</x:v>
      </x:c>
    </x:row>
    <x:row r="186">
      <x:c r="A186" s="23" t="s">
        <x:v>22</x:v>
      </x:c>
      <x:c r="B186" s="23" t="s">
        <x:v>23</x:v>
      </x:c>
      <x:c r="C186" s="23" t="s">
        <x:v>8</x:v>
      </x:c>
      <x:c r="D186" s="23" t="s">
        <x:v>131</x:v>
      </x:c>
      <x:c r="E186" s="23" t="s">
        <x:v>184</x:v>
      </x:c>
      <x:c r="F186" s="23">
        <x:v>11</x:v>
      </x:c>
      <x:c r="G186" s="23">
        <x:v>0</x:v>
      </x:c>
      <x:c r="H186" s="23">
        <x:v>1</x:v>
      </x:c>
      <x:c r="I186" s="23">
        <x:v>6900</x:v>
      </x:c>
      <x:c r="J186" s="23">
        <x:v>0</x:v>
      </x:c>
      <x:c r="K186" s="23">
        <x:v>7164</x:v>
      </x:c>
      <x:c r="L186" s="23" t="s">
        <x:v>235</x:v>
      </x:c>
      <x:c r="M186" s="23">
        <x:f t="shared" si="2"/>
        <x:v>361</x:v>
      </x:c>
      <x:c r="N186" s="24" t="str">
        <x:f t="array" ref="N186">INDEX('MATCH INFO'!O:O, INT((ROW()-2)/10)+2 + 29)</x:f>
        <x:v>260614_ROZE_PF_S1</x:v>
      </x:c>
    </x:row>
    <x:row r="187">
      <x:c r="A187" s="23" t="s">
        <x:v>39</x:v>
      </x:c>
      <x:c r="B187" s="23" t="s">
        <x:v>45</x:v>
      </x:c>
      <x:c r="C187" s="23" t="s">
        <x:v>16</x:v>
      </x:c>
      <x:c r="D187" s="23" t="s">
        <x:v>131</x:v>
      </x:c>
      <x:c r="E187" s="23" t="s">
        <x:v>184</x:v>
      </x:c>
      <x:c r="F187" s="23">
        <x:v>1</x:v>
      </x:c>
      <x:c r="G187" s="23">
        <x:v>4</x:v>
      </x:c>
      <x:c r="H187" s="23">
        <x:v>3</x:v>
      </x:c>
      <x:c r="I187" s="23">
        <x:v>1160</x:v>
      </x:c>
      <x:c r="J187" s="23">
        <x:v>7421</x:v>
      </x:c>
      <x:c r="K187" s="23">
        <x:v>0</x:v>
      </x:c>
      <x:c r="L187" s="23" t="s">
        <x:v>235</x:v>
      </x:c>
      <x:c r="M187" s="23">
        <x:f t="shared" si="2"/>
        <x:v>361</x:v>
      </x:c>
      <x:c r="N187" s="24" t="str">
        <x:f t="array" ref="N187">INDEX('MATCH INFO'!O:O, INT((ROW()-2)/10)+2 + 29)</x:f>
        <x:v>260614_ROZE_PF_S1</x:v>
      </x:c>
    </x:row>
    <x:row r="188">
      <x:c r="A188" s="23" t="s">
        <x:v>39</x:v>
      </x:c>
      <x:c r="B188" s="23" t="s">
        <x:v>42</x:v>
      </x:c>
      <x:c r="C188" s="23" t="s">
        <x:v>11</x:v>
      </x:c>
      <x:c r="D188" s="23" t="s">
        <x:v>131</x:v>
      </x:c>
      <x:c r="E188" s="23" t="s">
        <x:v>184</x:v>
      </x:c>
      <x:c r="F188" s="23">
        <x:v>3</x:v>
      </x:c>
      <x:c r="G188" s="23">
        <x:v>5</x:v>
      </x:c>
      <x:c r="H188" s="23">
        <x:v>0</x:v>
      </x:c>
      <x:c r="I188" s="23">
        <x:v>3781</x:v>
      </x:c>
      <x:c r="J188" s="23">
        <x:v>22</x:v>
      </x:c>
      <x:c r="K188" s="23">
        <x:v>649</x:v>
      </x:c>
      <x:c r="L188" s="23" t="s">
        <x:v>235</x:v>
      </x:c>
      <x:c r="M188" s="23">
        <x:f t="shared" si="2"/>
        <x:v>361</x:v>
      </x:c>
      <x:c r="N188" s="24" t="str">
        <x:f t="array" ref="N188">INDEX('MATCH INFO'!O:O, INT((ROW()-2)/10)+2 + 29)</x:f>
        <x:v>260614_ROZE_PF_S1</x:v>
      </x:c>
    </x:row>
    <x:row r="189">
      <x:c r="A189" s="23" t="s">
        <x:v>39</x:v>
      </x:c>
      <x:c r="B189" s="23" t="s">
        <x:v>40</x:v>
      </x:c>
      <x:c r="C189" s="23" t="s">
        <x:v>8</x:v>
      </x:c>
      <x:c r="D189" s="23" t="s">
        <x:v>131</x:v>
      </x:c>
      <x:c r="E189" s="23" t="s">
        <x:v>184</x:v>
      </x:c>
      <x:c r="F189" s="23">
        <x:v>2</x:v>
      </x:c>
      <x:c r="G189" s="23">
        <x:v>5</x:v>
      </x:c>
      <x:c r="H189" s="23">
        <x:v>0</x:v>
      </x:c>
      <x:c r="I189" s="23">
        <x:v>2909</x:v>
      </x:c>
      <x:c r="J189" s="23">
        <x:v>1094</x:v>
      </x:c>
      <x:c r="K189" s="23">
        <x:v>3737</x:v>
      </x:c>
      <x:c r="L189" s="23" t="s">
        <x:v>235</x:v>
      </x:c>
      <x:c r="M189" s="23">
        <x:f t="shared" si="2"/>
        <x:v>361</x:v>
      </x:c>
      <x:c r="N189" s="24" t="str">
        <x:f t="array" ref="N189">INDEX('MATCH INFO'!O:O, INT((ROW()-2)/10)+2 + 29)</x:f>
        <x:v>260614_ROZE_PF_S1</x:v>
      </x:c>
    </x:row>
    <x:row r="190">
      <x:c r="A190" s="23" t="s">
        <x:v>39</x:v>
      </x:c>
      <x:c r="B190" s="23" t="s">
        <x:v>43</x:v>
      </x:c>
      <x:c r="C190" s="23" t="s">
        <x:v>11</x:v>
      </x:c>
      <x:c r="D190" s="23" t="s">
        <x:v>131</x:v>
      </x:c>
      <x:c r="E190" s="23" t="s">
        <x:v>184</x:v>
      </x:c>
      <x:c r="F190" s="23">
        <x:v>6</x:v>
      </x:c>
      <x:c r="G190" s="23">
        <x:v>4</x:v>
      </x:c>
      <x:c r="H190" s="23">
        <x:v>0</x:v>
      </x:c>
      <x:c r="I190" s="23">
        <x:v>4861</x:v>
      </x:c>
      <x:c r="J190" s="23">
        <x:v>0</x:v>
      </x:c>
      <x:c r="K190" s="23">
        <x:v>0</x:v>
      </x:c>
      <x:c r="L190" s="23" t="s">
        <x:v>235</x:v>
      </x:c>
      <x:c r="M190" s="23">
        <x:f t="shared" si="2"/>
        <x:v>361</x:v>
      </x:c>
      <x:c r="N190" s="24" t="str">
        <x:f t="array" ref="N190">INDEX('MATCH INFO'!O:O, INT((ROW()-2)/10)+2 + 29)</x:f>
        <x:v>260614_ROZE_PF_S1</x:v>
      </x:c>
    </x:row>
    <x:row r="191">
      <x:c r="A191" s="23" t="s">
        <x:v>39</x:v>
      </x:c>
      <x:c r="B191" s="23" t="s">
        <x:v>44</x:v>
      </x:c>
      <x:c r="C191" s="23" t="s">
        <x:v>16</x:v>
      </x:c>
      <x:c r="D191" s="23" t="s">
        <x:v>131</x:v>
      </x:c>
      <x:c r="E191" s="23" t="s">
        <x:v>184</x:v>
      </x:c>
      <x:c r="F191" s="23">
        <x:v>3</x:v>
      </x:c>
      <x:c r="G191" s="23">
        <x:v>4</x:v>
      </x:c>
      <x:c r="H191" s="23">
        <x:v>4</x:v>
      </x:c>
      <x:c r="I191" s="23">
        <x:v>2209</x:v>
      </x:c>
      <x:c r="J191" s="23">
        <x:v>2474</x:v>
      </x:c>
      <x:c r="K191" s="23">
        <x:v>339</x:v>
      </x:c>
      <x:c r="L191" s="23" t="s">
        <x:v>235</x:v>
      </x:c>
      <x:c r="M191" s="23">
        <x:f t="shared" si="2"/>
        <x:v>361</x:v>
      </x:c>
      <x:c r="N191" s="24" t="str">
        <x:f t="array" ref="N191">INDEX('MATCH INFO'!O:O, INT((ROW()-2)/10)+2 + 29)</x:f>
        <x:v>260614_ROZE_PF_S1</x:v>
      </x:c>
    </x:row>
    <x:row r="192">
      <x:c r="A192" s="23" t="s">
        <x:v>72</x:v>
      </x:c>
      <x:c r="B192" s="23" t="s">
        <x:v>78</x:v>
      </x:c>
      <x:c r="C192" s="23" t="s">
        <x:v>16</x:v>
      </x:c>
      <x:c r="D192" s="23" t="s">
        <x:v>123</x:v>
      </x:c>
      <x:c r="E192" s="23" t="s">
        <x:v>195</x:v>
      </x:c>
      <x:c r="F192" s="23">
        <x:v>9</x:v>
      </x:c>
      <x:c r="G192" s="23">
        <x:v>1</x:v>
      </x:c>
      <x:c r="H192" s="23">
        <x:v>11</x:v>
      </x:c>
      <x:c r="I192" s="23">
        <x:v>1479</x:v>
      </x:c>
      <x:c r="J192" s="23">
        <x:v>5736</x:v>
      </x:c>
      <x:c r="K192" s="23">
        <x:v>0</x:v>
      </x:c>
      <x:c r="L192" s="23" t="s">
        <x:v>236</x:v>
      </x:c>
      <x:c r="M192" s="23">
        <x:f t="shared" si="2"/>
        <x:v>358</x:v>
      </x:c>
      <x:c r="N192" s="24" t="str">
        <x:f t="array" ref="N192">INDEX('MATCH INFO'!O:O, INT((ROW()-2)/10)+2 + 29)</x:f>
        <x:v>260614_ROZE_PF_S2</x:v>
      </x:c>
    </x:row>
    <x:row r="193">
      <x:c r="A193" s="23" t="s">
        <x:v>72</x:v>
      </x:c>
      <x:c r="B193" s="23" t="s">
        <x:v>79</x:v>
      </x:c>
      <x:c r="C193" s="23" t="s">
        <x:v>16</x:v>
      </x:c>
      <x:c r="D193" s="23" t="s">
        <x:v>123</x:v>
      </x:c>
      <x:c r="E193" s="23" t="s">
        <x:v>195</x:v>
      </x:c>
      <x:c r="F193" s="23">
        <x:v>8</x:v>
      </x:c>
      <x:c r="G193" s="23">
        <x:v>3</x:v>
      </x:c>
      <x:c r="H193" s="23">
        <x:v>13</x:v>
      </x:c>
      <x:c r="I193" s="23">
        <x:v>1837</x:v>
      </x:c>
      <x:c r="J193" s="23">
        <x:v>7864</x:v>
      </x:c>
      <x:c r="K193" s="23">
        <x:v>0</x:v>
      </x:c>
      <x:c r="L193" s="23" t="s">
        <x:v>236</x:v>
      </x:c>
      <x:c r="M193" s="23">
        <x:f t="shared" si="2"/>
        <x:v>358</x:v>
      </x:c>
      <x:c r="N193" s="24" t="str">
        <x:f t="array" ref="N193">INDEX('MATCH INFO'!O:O, INT((ROW()-2)/10)+2 + 29)</x:f>
        <x:v>260614_ROZE_PF_S2</x:v>
      </x:c>
    </x:row>
    <x:row r="194">
      <x:c r="A194" s="23" t="s">
        <x:v>72</x:v>
      </x:c>
      <x:c r="B194" s="23" t="s">
        <x:v>74</x:v>
      </x:c>
      <x:c r="C194" s="23" t="s">
        <x:v>8</x:v>
      </x:c>
      <x:c r="D194" s="23" t="s">
        <x:v>123</x:v>
      </x:c>
      <x:c r="E194" s="23" t="s">
        <x:v>195</x:v>
      </x:c>
      <x:c r="F194" s="23">
        <x:v>17</x:v>
      </x:c>
      <x:c r="G194" s="23">
        <x:v>1</x:v>
      </x:c>
      <x:c r="H194" s="23">
        <x:v>10</x:v>
      </x:c>
      <x:c r="I194" s="23">
        <x:v>6751</x:v>
      </x:c>
      <x:c r="J194" s="23">
        <x:v>1997</x:v>
      </x:c>
      <x:c r="K194" s="23">
        <x:v>1968</x:v>
      </x:c>
      <x:c r="L194" s="23" t="s">
        <x:v>236</x:v>
      </x:c>
      <x:c r="M194" s="23" t="e">
        <x:f t="shared" ref="M194:M257" si="3">L194*86400</x:f>
        <x:v>#VALUE!</x:v>
      </x:c>
      <x:c r="N194" s="24" t="str">
        <x:f t="array" ref="N194">INDEX('MATCH INFO'!O:O, INT((ROW()-2)/10)+2 + 29)</x:f>
        <x:v>260614_ROZE_PF_S2</x:v>
      </x:c>
    </x:row>
    <x:row r="195">
      <x:c r="A195" s="23" t="s">
        <x:v>72</x:v>
      </x:c>
      <x:c r="B195" s="23" t="s">
        <x:v>77</x:v>
      </x:c>
      <x:c r="C195" s="23" t="s">
        <x:v>11</x:v>
      </x:c>
      <x:c r="D195" s="23" t="s">
        <x:v>123</x:v>
      </x:c>
      <x:c r="E195" s="23" t="s">
        <x:v>195</x:v>
      </x:c>
      <x:c r="F195" s="23">
        <x:v>12</x:v>
      </x:c>
      <x:c r="G195" s="23">
        <x:v>3</x:v>
      </x:c>
      <x:c r="H195" s="23">
        <x:v>1</x:v>
      </x:c>
      <x:c r="I195" s="23">
        <x:v>9369</x:v>
      </x:c>
      <x:c r="J195" s="23">
        <x:v>32</x:v>
      </x:c>
      <x:c r="K195" s="23">
        <x:v>1256</x:v>
      </x:c>
      <x:c r="L195" s="23" t="s">
        <x:v>236</x:v>
      </x:c>
      <x:c r="M195" s="23">
        <x:f t="shared" si="3"/>
        <x:v>358</x:v>
      </x:c>
      <x:c r="N195" s="24" t="str">
        <x:f t="array" ref="N195">INDEX('MATCH INFO'!O:O, INT((ROW()-2)/10)+2 + 29)</x:f>
        <x:v>260614_ROZE_PF_S2</x:v>
      </x:c>
    </x:row>
    <x:row r="196">
      <x:c r="A196" s="23" t="s">
        <x:v>72</x:v>
      </x:c>
      <x:c r="B196" s="23" t="s">
        <x:v>75</x:v>
      </x:c>
      <x:c r="C196" s="23" t="s">
        <x:v>11</x:v>
      </x:c>
      <x:c r="D196" s="23" t="s">
        <x:v>123</x:v>
      </x:c>
      <x:c r="E196" s="23" t="s">
        <x:v>195</x:v>
      </x:c>
      <x:c r="F196" s="23">
        <x:v>17</x:v>
      </x:c>
      <x:c r="G196" s="23">
        <x:v>1</x:v>
      </x:c>
      <x:c r="H196" s="23">
        <x:v>1</x:v>
      </x:c>
      <x:c r="I196" s="23">
        <x:v>7710</x:v>
      </x:c>
      <x:c r="J196" s="23">
        <x:v>856</x:v>
      </x:c>
      <x:c r="K196" s="23">
        <x:v>0</x:v>
      </x:c>
      <x:c r="L196" s="23" t="s">
        <x:v>236</x:v>
      </x:c>
      <x:c r="M196" s="23">
        <x:f t="shared" si="3"/>
        <x:v>358</x:v>
      </x:c>
      <x:c r="N196" s="24" t="str">
        <x:f t="array" ref="N196">INDEX('MATCH INFO'!O:O, INT((ROW()-2)/10)+2 + 29)</x:f>
        <x:v>260614_ROZE_PF_S2</x:v>
      </x:c>
    </x:row>
    <x:row r="197">
      <x:c r="A197" s="23" t="s">
        <x:v>63</x:v>
      </x:c>
      <x:c r="B197" s="23" t="s">
        <x:v>69</x:v>
      </x:c>
      <x:c r="C197" s="23" t="s">
        <x:v>16</x:v>
      </x:c>
      <x:c r="D197" s="23" t="s">
        <x:v>123</x:v>
      </x:c>
      <x:c r="E197" s="23" t="s">
        <x:v>195</x:v>
      </x:c>
      <x:c r="F197" s="23">
        <x:v>7</x:v>
      </x:c>
      <x:c r="G197" s="23">
        <x:v>2</x:v>
      </x:c>
      <x:c r="H197" s="23">
        <x:v>6</x:v>
      </x:c>
      <x:c r="I197" s="23">
        <x:v>1581</x:v>
      </x:c>
      <x:c r="J197" s="23">
        <x:v>5530</x:v>
      </x:c>
      <x:c r="K197" s="23">
        <x:v>0</x:v>
      </x:c>
      <x:c r="L197" s="23" t="s">
        <x:v>236</x:v>
      </x:c>
      <x:c r="M197" s="23">
        <x:f t="shared" si="3"/>
        <x:v>358</x:v>
      </x:c>
      <x:c r="N197" s="24" t="str">
        <x:f t="array" ref="N197">INDEX('MATCH INFO'!O:O, INT((ROW()-2)/10)+2 + 29)</x:f>
        <x:v>260614_ROZE_PF_S2</x:v>
      </x:c>
    </x:row>
    <x:row r="198">
      <x:c r="A198" s="23" t="s">
        <x:v>63</x:v>
      </x:c>
      <x:c r="B198" s="23" t="s">
        <x:v>64</x:v>
      </x:c>
      <x:c r="C198" s="23" t="s">
        <x:v>8</x:v>
      </x:c>
      <x:c r="D198" s="23" t="s">
        <x:v>123</x:v>
      </x:c>
      <x:c r="E198" s="23" t="s">
        <x:v>195</x:v>
      </x:c>
      <x:c r="F198" s="23">
        <x:v>5</x:v>
      </x:c>
      <x:c r="G198" s="23">
        <x:v>5</x:v>
      </x:c>
      <x:c r="H198" s="23">
        <x:v>3</x:v>
      </x:c>
      <x:c r="I198" s="23">
        <x:v>7259</x:v>
      </x:c>
      <x:c r="J198" s="23">
        <x:v>1436</x:v>
      </x:c>
      <x:c r="K198" s="23">
        <x:v>5886</x:v>
      </x:c>
      <x:c r="L198" s="23" t="s">
        <x:v>236</x:v>
      </x:c>
      <x:c r="M198" s="23">
        <x:f t="shared" si="3"/>
        <x:v>358</x:v>
      </x:c>
      <x:c r="N198" s="24" t="str">
        <x:f t="array" ref="N198">INDEX('MATCH INFO'!O:O, INT((ROW()-2)/10)+2 + 29)</x:f>
        <x:v>260614_ROZE_PF_S2</x:v>
      </x:c>
    </x:row>
    <x:row r="199">
      <x:c r="A199" s="23" t="s">
        <x:v>63</x:v>
      </x:c>
      <x:c r="B199" s="23" t="s">
        <x:v>67</x:v>
      </x:c>
      <x:c r="C199" s="23" t="s">
        <x:v>11</x:v>
      </x:c>
      <x:c r="D199" s="23" t="s">
        <x:v>123</x:v>
      </x:c>
      <x:c r="E199" s="23" t="s">
        <x:v>195</x:v>
      </x:c>
      <x:c r="F199" s="23">
        <x:v>6</x:v>
      </x:c>
      <x:c r="G199" s="23">
        <x:v>5</x:v>
      </x:c>
      <x:c r="H199" s="23">
        <x:v>0</x:v>
      </x:c>
      <x:c r="I199" s="23">
        <x:v>6872</x:v>
      </x:c>
      <x:c r="J199" s="23">
        <x:v>0</x:v>
      </x:c>
      <x:c r="K199" s="23">
        <x:v>1254</x:v>
      </x:c>
      <x:c r="L199" s="23" t="s">
        <x:v>236</x:v>
      </x:c>
      <x:c r="M199" s="23">
        <x:f t="shared" si="3"/>
        <x:v>358</x:v>
      </x:c>
      <x:c r="N199" s="24" t="str">
        <x:f t="array" ref="N199">INDEX('MATCH INFO'!O:O, INT((ROW()-2)/10)+2 + 29)</x:f>
        <x:v>260614_ROZE_PF_S2</x:v>
      </x:c>
    </x:row>
    <x:row r="200">
      <x:c r="A200" s="23" t="s">
        <x:v>63</x:v>
      </x:c>
      <x:c r="B200" s="23" t="s">
        <x:v>70</x:v>
      </x:c>
      <x:c r="C200" s="23" t="s">
        <x:v>16</x:v>
      </x:c>
      <x:c r="D200" s="23" t="s">
        <x:v>123</x:v>
      </x:c>
      <x:c r="E200" s="23" t="s">
        <x:v>195</x:v>
      </x:c>
      <x:c r="F200" s="23">
        <x:v>3</x:v>
      </x:c>
      <x:c r="G200" s="23">
        <x:v>5</x:v>
      </x:c>
      <x:c r="H200" s="23">
        <x:v>6</x:v>
      </x:c>
      <x:c r="I200" s="23">
        <x:v>3706</x:v>
      </x:c>
      <x:c r="J200" s="23">
        <x:v>7216</x:v>
      </x:c>
      <x:c r="K200" s="23">
        <x:v>0</x:v>
      </x:c>
      <x:c r="L200" s="23" t="s">
        <x:v>236</x:v>
      </x:c>
      <x:c r="M200" s="23">
        <x:f t="shared" si="3"/>
        <x:v>358</x:v>
      </x:c>
      <x:c r="N200" s="24" t="str">
        <x:f t="array" ref="N200">INDEX('MATCH INFO'!O:O, INT((ROW()-2)/10)+2 + 29)</x:f>
        <x:v>260614_ROZE_PF_S2</x:v>
      </x:c>
    </x:row>
    <x:row r="201">
      <x:c r="A201" s="23" t="s">
        <x:v>63</x:v>
      </x:c>
      <x:c r="B201" s="23" t="s">
        <x:v>66</x:v>
      </x:c>
      <x:c r="C201" s="23" t="s">
        <x:v>11</x:v>
      </x:c>
      <x:c r="D201" s="23" t="s">
        <x:v>123</x:v>
      </x:c>
      <x:c r="E201" s="23" t="s">
        <x:v>195</x:v>
      </x:c>
      <x:c r="F201" s="23">
        <x:v>6</x:v>
      </x:c>
      <x:c r="G201" s="23">
        <x:v>5</x:v>
      </x:c>
      <x:c r="H201" s="23">
        <x:v>0</x:v>
      </x:c>
      <x:c r="I201" s="23">
        <x:v>4682</x:v>
      </x:c>
      <x:c r="J201" s="23">
        <x:v>518</x:v>
      </x:c>
      <x:c r="K201" s="23">
        <x:v>0</x:v>
      </x:c>
      <x:c r="L201" s="23" t="s">
        <x:v>236</x:v>
      </x:c>
      <x:c r="M201" s="23">
        <x:f t="shared" si="3"/>
        <x:v>358</x:v>
      </x:c>
      <x:c r="N201" s="24" t="str">
        <x:f t="array" ref="N201">INDEX('MATCH INFO'!O:O, INT((ROW()-2)/10)+2 + 29)</x:f>
        <x:v>260614_ROZE_PF_S2</x:v>
      </x:c>
    </x:row>
    <x:row r="202">
      <x:c r="A202" s="23" t="s">
        <x:v>63</x:v>
      </x:c>
      <x:c r="B202" s="23" t="s">
        <x:v>69</x:v>
      </x:c>
      <x:c r="C202" s="23" t="s">
        <x:v>16</x:v>
      </x:c>
      <x:c r="D202" s="23" t="s">
        <x:v>113</x:v>
      </x:c>
      <x:c r="E202" s="23" t="s">
        <x:v>188</x:v>
      </x:c>
      <x:c r="F202" s="23">
        <x:v>5</x:v>
      </x:c>
      <x:c r="G202" s="23">
        <x:v>6</x:v>
      </x:c>
      <x:c r="H202" s="23">
        <x:v>12</x:v>
      </x:c>
      <x:c r="I202" s="23">
        <x:v>2232</x:v>
      </x:c>
      <x:c r="J202" s="23">
        <x:v>9423</x:v>
      </x:c>
      <x:c r="K202" s="23">
        <x:v>0</x:v>
      </x:c>
      <x:c r="L202" s="23" t="s">
        <x:v>237</x:v>
      </x:c>
      <x:c r="M202" s="23">
        <x:f t="shared" si="3"/>
        <x:v>632</x:v>
      </x:c>
      <x:c r="N202" s="24" t="str">
        <x:f t="array" ref="N202">INDEX('MATCH INFO'!O:O, INT((ROW()-2)/10)+2 + 29)</x:f>
        <x:v>260614_ROZE_PF_S3</x:v>
      </x:c>
    </x:row>
    <x:row r="203">
      <x:c r="A203" s="23" t="s">
        <x:v>63</x:v>
      </x:c>
      <x:c r="B203" s="23" t="s">
        <x:v>64</x:v>
      </x:c>
      <x:c r="C203" s="23" t="s">
        <x:v>8</x:v>
      </x:c>
      <x:c r="D203" s="23" t="s">
        <x:v>113</x:v>
      </x:c>
      <x:c r="E203" s="23" t="s">
        <x:v>188</x:v>
      </x:c>
      <x:c r="F203" s="23">
        <x:v>16</x:v>
      </x:c>
      <x:c r="G203" s="23">
        <x:v>6</x:v>
      </x:c>
      <x:c r="H203" s="23">
        <x:v>7</x:v>
      </x:c>
      <x:c r="I203" s="23">
        <x:v>10520</x:v>
      </x:c>
      <x:c r="J203" s="23">
        <x:v>1942</x:v>
      </x:c>
      <x:c r="K203" s="23">
        <x:v>10230</x:v>
      </x:c>
      <x:c r="L203" s="23" t="s">
        <x:v>237</x:v>
      </x:c>
      <x:c r="M203" s="23">
        <x:f t="shared" si="3"/>
        <x:v>632</x:v>
      </x:c>
      <x:c r="N203" s="24" t="str">
        <x:f t="array" ref="N203">INDEX('MATCH INFO'!O:O, INT((ROW()-2)/10)+2 + 29)</x:f>
        <x:v>260614_ROZE_PF_S3</x:v>
      </x:c>
    </x:row>
    <x:row r="204">
      <x:c r="A204" s="23" t="s">
        <x:v>63</x:v>
      </x:c>
      <x:c r="B204" s="23" t="s">
        <x:v>67</x:v>
      </x:c>
      <x:c r="C204" s="23" t="s">
        <x:v>11</x:v>
      </x:c>
      <x:c r="D204" s="23" t="s">
        <x:v>113</x:v>
      </x:c>
      <x:c r="E204" s="23" t="s">
        <x:v>188</x:v>
      </x:c>
      <x:c r="F204" s="23">
        <x:v>16</x:v>
      </x:c>
      <x:c r="G204" s="23">
        <x:v>8</x:v>
      </x:c>
      <x:c r="H204" s="23">
        <x:v>0</x:v>
      </x:c>
      <x:c r="I204" s="23">
        <x:v>9514</x:v>
      </x:c>
      <x:c r="J204" s="23">
        <x:v>0</x:v>
      </x:c>
      <x:c r="K204" s="23">
        <x:v>0</x:v>
      </x:c>
      <x:c r="L204" s="23" t="s">
        <x:v>237</x:v>
      </x:c>
      <x:c r="M204" s="23">
        <x:f t="shared" si="3"/>
        <x:v>632</x:v>
      </x:c>
      <x:c r="N204" s="24" t="str">
        <x:f t="array" ref="N204">INDEX('MATCH INFO'!O:O, INT((ROW()-2)/10)+2 + 29)</x:f>
        <x:v>260614_ROZE_PF_S3</x:v>
      </x:c>
    </x:row>
    <x:row r="205">
      <x:c r="A205" s="23" t="s">
        <x:v>63</x:v>
      </x:c>
      <x:c r="B205" s="23" t="s">
        <x:v>70</x:v>
      </x:c>
      <x:c r="C205" s="23" t="s">
        <x:v>16</x:v>
      </x:c>
      <x:c r="D205" s="23" t="s">
        <x:v>113</x:v>
      </x:c>
      <x:c r="E205" s="23" t="s">
        <x:v>188</x:v>
      </x:c>
      <x:c r="F205" s="23">
        <x:v>4</x:v>
      </x:c>
      <x:c r="G205" s="23">
        <x:v>8</x:v>
      </x:c>
      <x:c r="H205" s="23">
        <x:v>12</x:v>
      </x:c>
      <x:c r="I205" s="23">
        <x:v>4762</x:v>
      </x:c>
      <x:c r="J205" s="23">
        <x:v>9250</x:v>
      </x:c>
      <x:c r="K205" s="23">
        <x:v>2158</x:v>
      </x:c>
      <x:c r="L205" s="23" t="s">
        <x:v>237</x:v>
      </x:c>
      <x:c r="M205" s="23">
        <x:f t="shared" si="3"/>
        <x:v>632</x:v>
      </x:c>
      <x:c r="N205" s="24" t="str">
        <x:f t="array" ref="N205">INDEX('MATCH INFO'!O:O, INT((ROW()-2)/10)+2 + 29)</x:f>
        <x:v>260614_ROZE_PF_S3</x:v>
      </x:c>
    </x:row>
    <x:row r="206">
      <x:c r="A206" s="23" t="s">
        <x:v>63</x:v>
      </x:c>
      <x:c r="B206" s="23" t="s">
        <x:v>66</x:v>
      </x:c>
      <x:c r="C206" s="23" t="s">
        <x:v>11</x:v>
      </x:c>
      <x:c r="D206" s="23" t="s">
        <x:v>113</x:v>
      </x:c>
      <x:c r="E206" s="23" t="s">
        <x:v>188</x:v>
      </x:c>
      <x:c r="F206" s="23">
        <x:v>8</x:v>
      </x:c>
      <x:c r="G206" s="23">
        <x:v>7</x:v>
      </x:c>
      <x:c r="H206" s="23">
        <x:v>3</x:v>
      </x:c>
      <x:c r="I206" s="23">
        <x:v>8185</x:v>
      </x:c>
      <x:c r="J206" s="23">
        <x:v>171</x:v>
      </x:c>
      <x:c r="K206" s="23">
        <x:v>1014</x:v>
      </x:c>
      <x:c r="L206" s="23" t="s">
        <x:v>237</x:v>
      </x:c>
      <x:c r="M206" s="23">
        <x:f t="shared" si="3"/>
        <x:v>632</x:v>
      </x:c>
      <x:c r="N206" s="24" t="str">
        <x:f t="array" ref="N206">INDEX('MATCH INFO'!O:O, INT((ROW()-2)/10)+2 + 29)</x:f>
        <x:v>260614_ROZE_PF_S3</x:v>
      </x:c>
    </x:row>
    <x:row r="207">
      <x:c r="A207" s="23" t="s">
        <x:v>72</x:v>
      </x:c>
      <x:c r="B207" s="23" t="s">
        <x:v>78</x:v>
      </x:c>
      <x:c r="C207" s="23" t="s">
        <x:v>16</x:v>
      </x:c>
      <x:c r="D207" s="23" t="s">
        <x:v>113</x:v>
      </x:c>
      <x:c r="E207" s="23" t="s">
        <x:v>188</x:v>
      </x:c>
      <x:c r="F207" s="23">
        <x:v>17</x:v>
      </x:c>
      <x:c r="G207" s="23">
        <x:v>5</x:v>
      </x:c>
      <x:c r="H207" s="23">
        <x:v>19</x:v>
      </x:c>
      <x:c r="I207" s="23">
        <x:v>3809</x:v>
      </x:c>
      <x:c r="J207" s="23">
        <x:v>10847</x:v>
      </x:c>
      <x:c r="K207" s="23">
        <x:v>0</x:v>
      </x:c>
      <x:c r="L207" s="23" t="s">
        <x:v>237</x:v>
      </x:c>
      <x:c r="M207" s="23">
        <x:f t="shared" si="3"/>
        <x:v>632</x:v>
      </x:c>
      <x:c r="N207" s="24" t="str">
        <x:f t="array" ref="N207">INDEX('MATCH INFO'!O:O, INT((ROW()-2)/10)+2 + 29)</x:f>
        <x:v>260614_ROZE_PF_S3</x:v>
      </x:c>
    </x:row>
    <x:row r="208">
      <x:c r="A208" s="23" t="s">
        <x:v>72</x:v>
      </x:c>
      <x:c r="B208" s="23" t="s">
        <x:v>79</x:v>
      </x:c>
      <x:c r="C208" s="23" t="s">
        <x:v>16</x:v>
      </x:c>
      <x:c r="D208" s="23" t="s">
        <x:v>113</x:v>
      </x:c>
      <x:c r="E208" s="23" t="s">
        <x:v>188</x:v>
      </x:c>
      <x:c r="F208" s="23">
        <x:v>14</x:v>
      </x:c>
      <x:c r="G208" s="23">
        <x:v>6</x:v>
      </x:c>
      <x:c r="H208" s="23">
        <x:v>21</x:v>
      </x:c>
      <x:c r="I208" s="23">
        <x:v>5125</x:v>
      </x:c>
      <x:c r="J208" s="23">
        <x:v>9338</x:v>
      </x:c>
      <x:c r="K208" s="23">
        <x:v>705</x:v>
      </x:c>
      <x:c r="L208" s="23" t="s">
        <x:v>237</x:v>
      </x:c>
      <x:c r="M208" s="23">
        <x:f t="shared" si="3"/>
        <x:v>632</x:v>
      </x:c>
      <x:c r="N208" s="24" t="str">
        <x:f t="array" ref="N208">INDEX('MATCH INFO'!O:O, INT((ROW()-2)/10)+2 + 29)</x:f>
        <x:v>260614_ROZE_PF_S3</x:v>
      </x:c>
    </x:row>
    <x:row r="209">
      <x:c r="A209" s="23" t="s">
        <x:v>72</x:v>
      </x:c>
      <x:c r="B209" s="23" t="s">
        <x:v>74</x:v>
      </x:c>
      <x:c r="C209" s="23" t="s">
        <x:v>8</x:v>
      </x:c>
      <x:c r="D209" s="23" t="s">
        <x:v>113</x:v>
      </x:c>
      <x:c r="E209" s="23" t="s">
        <x:v>188</x:v>
      </x:c>
      <x:c r="F209" s="23">
        <x:v>25</x:v>
      </x:c>
      <x:c r="G209" s="23">
        <x:v>3</x:v>
      </x:c>
      <x:c r="H209" s="23">
        <x:v>18</x:v>
      </x:c>
      <x:c r="I209" s="23">
        <x:v>9109</x:v>
      </x:c>
      <x:c r="J209" s="23">
        <x:v>2599</x:v>
      </x:c>
      <x:c r="K209" s="23">
        <x:v>20660</x:v>
      </x:c>
      <x:c r="L209" s="23" t="s">
        <x:v>237</x:v>
      </x:c>
      <x:c r="M209" s="23">
        <x:f t="shared" si="3"/>
        <x:v>632</x:v>
      </x:c>
      <x:c r="N209" s="24" t="str">
        <x:f t="array" ref="N209">INDEX('MATCH INFO'!O:O, INT((ROW()-2)/10)+2 + 29)</x:f>
        <x:v>260614_ROZE_PF_S3</x:v>
      </x:c>
    </x:row>
    <x:row r="210">
      <x:c r="A210" s="23" t="s">
        <x:v>72</x:v>
      </x:c>
      <x:c r="B210" s="23" t="s">
        <x:v>77</x:v>
      </x:c>
      <x:c r="C210" s="23" t="s">
        <x:v>11</x:v>
      </x:c>
      <x:c r="D210" s="23" t="s">
        <x:v>113</x:v>
      </x:c>
      <x:c r="E210" s="23" t="s">
        <x:v>188</x:v>
      </x:c>
      <x:c r="F210" s="23">
        <x:v>19</x:v>
      </x:c>
      <x:c r="G210" s="23">
        <x:v>5</x:v>
      </x:c>
      <x:c r="H210" s="23">
        <x:v>0</x:v>
      </x:c>
      <x:c r="I210" s="23">
        <x:v>10098</x:v>
      </x:c>
      <x:c r="J210" s="23">
        <x:v>0</x:v>
      </x:c>
      <x:c r="K210" s="23">
        <x:v>0</x:v>
      </x:c>
      <x:c r="L210" s="23" t="s">
        <x:v>237</x:v>
      </x:c>
      <x:c r="M210" s="23">
        <x:f t="shared" si="3"/>
        <x:v>632</x:v>
      </x:c>
      <x:c r="N210" s="24" t="str">
        <x:f t="array" ref="N210">INDEX('MATCH INFO'!O:O, INT((ROW()-2)/10)+2 + 29)</x:f>
        <x:v>260614_ROZE_PF_S3</x:v>
      </x:c>
    </x:row>
    <x:row r="211">
      <x:c r="A211" s="23" t="s">
        <x:v>72</x:v>
      </x:c>
      <x:c r="B211" s="23" t="s">
        <x:v>75</x:v>
      </x:c>
      <x:c r="C211" s="23" t="s">
        <x:v>11</x:v>
      </x:c>
      <x:c r="D211" s="23" t="s">
        <x:v>113</x:v>
      </x:c>
      <x:c r="E211" s="23" t="s">
        <x:v>188</x:v>
      </x:c>
      <x:c r="F211" s="23">
        <x:v>21</x:v>
      </x:c>
      <x:c r="G211" s="23">
        <x:v>2</x:v>
      </x:c>
      <x:c r="H211" s="23">
        <x:v>0</x:v>
      </x:c>
      <x:c r="I211" s="23">
        <x:v>9728</x:v>
      </x:c>
      <x:c r="J211" s="23">
        <x:v>31</x:v>
      </x:c>
      <x:c r="K211" s="23">
        <x:v>0</x:v>
      </x:c>
      <x:c r="L211" s="23" t="s">
        <x:v>237</x:v>
      </x:c>
      <x:c r="M211" s="23">
        <x:f t="shared" si="3"/>
        <x:v>632</x:v>
      </x:c>
      <x:c r="N211" s="24" t="str">
        <x:f t="array" ref="N211">INDEX('MATCH INFO'!O:O, INT((ROW()-2)/10)+2 + 29)</x:f>
        <x:v>260614_ROZE_PF_S3</x:v>
      </x:c>
    </x:row>
    <x:row r="212">
      <x:c r="A212" s="23" t="s">
        <x:v>39</x:v>
      </x:c>
      <x:c r="B212" s="23" t="s">
        <x:v>45</x:v>
      </x:c>
      <x:c r="C212" s="23" t="s">
        <x:v>16</x:v>
      </x:c>
      <x:c r="D212" s="23" t="s">
        <x:v>110</x:v>
      </x:c>
      <x:c r="E212" s="23" t="s">
        <x:v>186</x:v>
      </x:c>
      <x:c r="F212" s="23">
        <x:v>6</x:v>
      </x:c>
      <x:c r="G212" s="23">
        <x:v>5</x:v>
      </x:c>
      <x:c r="H212" s="23">
        <x:v>25</x:v>
      </x:c>
      <x:c r="I212" s="23">
        <x:v>2511</x:v>
      </x:c>
      <x:c r="J212" s="23">
        <x:v>15740</x:v>
      </x:c>
      <x:c r="K212" s="23">
        <x:v>0</x:v>
      </x:c>
      <x:c r="L212" s="23" t="s">
        <x:v>238</x:v>
      </x:c>
      <x:c r="M212" s="23">
        <x:f t="shared" si="3"/>
        <x:v>676</x:v>
      </x:c>
      <x:c r="N212" s="24" t="str">
        <x:f t="array" ref="N212">INDEX('MATCH INFO'!O:O, INT((ROW()-2)/10)+2 + 29)</x:f>
        <x:v>260614_CR_CB_S1</x:v>
      </x:c>
    </x:row>
    <x:row r="213">
      <x:c r="A213" s="23" t="s">
        <x:v>39</x:v>
      </x:c>
      <x:c r="B213" s="23" t="s">
        <x:v>42</x:v>
      </x:c>
      <x:c r="C213" s="23" t="s">
        <x:v>11</x:v>
      </x:c>
      <x:c r="D213" s="23" t="s">
        <x:v>110</x:v>
      </x:c>
      <x:c r="E213" s="23" t="s">
        <x:v>186</x:v>
      </x:c>
      <x:c r="F213" s="23">
        <x:v>16</x:v>
      </x:c>
      <x:c r="G213" s="23">
        <x:v>6</x:v>
      </x:c>
      <x:c r="H213" s="23">
        <x:v>0</x:v>
      </x:c>
      <x:c r="I213" s="23">
        <x:v>5528</x:v>
      </x:c>
      <x:c r="J213" s="23">
        <x:v>230</x:v>
      </x:c>
      <x:c r="K213" s="23">
        <x:v>2095</x:v>
      </x:c>
      <x:c r="L213" s="23" t="s">
        <x:v>238</x:v>
      </x:c>
      <x:c r="M213" s="23">
        <x:f t="shared" si="3"/>
        <x:v>676</x:v>
      </x:c>
      <x:c r="N213" s="24" t="str">
        <x:f t="array" ref="N213">INDEX('MATCH INFO'!O:O, INT((ROW()-2)/10)+2 + 29)</x:f>
        <x:v>260614_CR_CB_S1</x:v>
      </x:c>
    </x:row>
    <x:row r="214">
      <x:c r="A214" s="23" t="s">
        <x:v>39</x:v>
      </x:c>
      <x:c r="B214" s="23" t="s">
        <x:v>40</x:v>
      </x:c>
      <x:c r="C214" s="23" t="s">
        <x:v>8</x:v>
      </x:c>
      <x:c r="D214" s="23" t="s">
        <x:v>110</x:v>
      </x:c>
      <x:c r="E214" s="23" t="s">
        <x:v>186</x:v>
      </x:c>
      <x:c r="F214" s="23">
        <x:v>17</x:v>
      </x:c>
      <x:c r="G214" s="23">
        <x:v>4</x:v>
      </x:c>
      <x:c r="H214" s="23">
        <x:v>3</x:v>
      </x:c>
      <x:c r="I214" s="23">
        <x:v>11392</x:v>
      </x:c>
      <x:c r="J214" s="23">
        <x:v>550</x:v>
      </x:c>
      <x:c r="K214" s="23">
        <x:v>22697</x:v>
      </x:c>
      <x:c r="L214" s="23" t="s">
        <x:v>238</x:v>
      </x:c>
      <x:c r="M214" s="23">
        <x:f t="shared" si="3"/>
        <x:v>676</x:v>
      </x:c>
      <x:c r="N214" s="24" t="str">
        <x:f t="array" ref="N214">INDEX('MATCH INFO'!O:O, INT((ROW()-2)/10)+2 + 29)</x:f>
        <x:v>260614_CR_CB_S1</x:v>
      </x:c>
    </x:row>
    <x:row r="215">
      <x:c r="A215" s="23" t="s">
        <x:v>39</x:v>
      </x:c>
      <x:c r="B215" s="23" t="s">
        <x:v>43</x:v>
      </x:c>
      <x:c r="C215" s="23" t="s">
        <x:v>11</x:v>
      </x:c>
      <x:c r="D215" s="23" t="s">
        <x:v>110</x:v>
      </x:c>
      <x:c r="E215" s="23" t="s">
        <x:v>186</x:v>
      </x:c>
      <x:c r="F215" s="23">
        <x:v>22</x:v>
      </x:c>
      <x:c r="G215" s="23">
        <x:v>3</x:v>
      </x:c>
      <x:c r="H215" s="23">
        <x:v>0</x:v>
      </x:c>
      <x:c r="I215" s="23">
        <x:v>11903</x:v>
      </x:c>
      <x:c r="J215" s="23">
        <x:v>0</x:v>
      </x:c>
      <x:c r="K215" s="23">
        <x:v>0</x:v>
      </x:c>
      <x:c r="L215" s="23" t="s">
        <x:v>238</x:v>
      </x:c>
      <x:c r="M215" s="23">
        <x:f t="shared" si="3"/>
        <x:v>676</x:v>
      </x:c>
      <x:c r="N215" s="24" t="str">
        <x:f t="array" ref="N215">INDEX('MATCH INFO'!O:O, INT((ROW()-2)/10)+2 + 29)</x:f>
        <x:v>260614_CR_CB_S1</x:v>
      </x:c>
    </x:row>
    <x:row r="216">
      <x:c r="A216" s="23" t="s">
        <x:v>39</x:v>
      </x:c>
      <x:c r="B216" s="23" t="s">
        <x:v>44</x:v>
      </x:c>
      <x:c r="C216" s="23" t="s">
        <x:v>16</x:v>
      </x:c>
      <x:c r="D216" s="23" t="s">
        <x:v>110</x:v>
      </x:c>
      <x:c r="E216" s="23" t="s">
        <x:v>186</x:v>
      </x:c>
      <x:c r="F216" s="23">
        <x:v>10</x:v>
      </x:c>
      <x:c r="G216" s="23">
        <x:v>6</x:v>
      </x:c>
      <x:c r="H216" s="23">
        <x:v>16</x:v>
      </x:c>
      <x:c r="I216" s="23">
        <x:v>3279</x:v>
      </x:c>
      <x:c r="J216" s="23">
        <x:v>5329</x:v>
      </x:c>
      <x:c r="K216" s="23">
        <x:v>1792</x:v>
      </x:c>
      <x:c r="L216" s="23" t="s">
        <x:v>238</x:v>
      </x:c>
      <x:c r="M216" s="23">
        <x:f t="shared" si="3"/>
        <x:v>676</x:v>
      </x:c>
      <x:c r="N216" s="24" t="str">
        <x:f t="array" ref="N216">INDEX('MATCH INFO'!O:O, INT((ROW()-2)/10)+2 + 29)</x:f>
        <x:v>260614_CR_CB_S1</x:v>
      </x:c>
    </x:row>
    <x:row r="217">
      <x:c r="A217" s="23" t="s">
        <x:v>22</x:v>
      </x:c>
      <x:c r="B217" s="23" t="s">
        <x:v>25</x:v>
      </x:c>
      <x:c r="C217" s="23" t="s">
        <x:v>11</x:v>
      </x:c>
      <x:c r="D217" s="23" t="s">
        <x:v>110</x:v>
      </x:c>
      <x:c r="E217" s="23" t="s">
        <x:v>186</x:v>
      </x:c>
      <x:c r="F217" s="23">
        <x:v>21</x:v>
      </x:c>
      <x:c r="G217" s="23">
        <x:v>6</x:v>
      </x:c>
      <x:c r="H217" s="23">
        <x:v>7</x:v>
      </x:c>
      <x:c r="I217" s="23">
        <x:v>10940</x:v>
      </x:c>
      <x:c r="J217" s="23">
        <x:v>0</x:v>
      </x:c>
      <x:c r="K217" s="23">
        <x:v>0</x:v>
      </x:c>
      <x:c r="L217" s="23" t="s">
        <x:v>238</x:v>
      </x:c>
      <x:c r="M217" s="23">
        <x:f t="shared" si="3"/>
        <x:v>676</x:v>
      </x:c>
      <x:c r="N217" s="24" t="str">
        <x:f t="array" ref="N217">INDEX('MATCH INFO'!O:O, INT((ROW()-2)/10)+2 + 29)</x:f>
        <x:v>260614_CR_CB_S1</x:v>
      </x:c>
    </x:row>
    <x:row r="218">
      <x:c r="A218" s="23" t="s">
        <x:v>22</x:v>
      </x:c>
      <x:c r="B218" s="23" t="s">
        <x:v>29</x:v>
      </x:c>
      <x:c r="C218" s="23" t="s">
        <x:v>16</x:v>
      </x:c>
      <x:c r="D218" s="23" t="s">
        <x:v>110</x:v>
      </x:c>
      <x:c r="E218" s="23" t="s">
        <x:v>186</x:v>
      </x:c>
      <x:c r="F218" s="23">
        <x:v>8</x:v>
      </x:c>
      <x:c r="G218" s="23">
        <x:v>4</x:v>
      </x:c>
      <x:c r="H218" s="23">
        <x:v>13</x:v>
      </x:c>
      <x:c r="I218" s="23">
        <x:v>3554</x:v>
      </x:c>
      <x:c r="J218" s="23">
        <x:v>12902</x:v>
      </x:c>
      <x:c r="K218" s="23">
        <x:v>0</x:v>
      </x:c>
      <x:c r="L218" s="23" t="s">
        <x:v>238</x:v>
      </x:c>
      <x:c r="M218" s="23">
        <x:f t="shared" si="3"/>
        <x:v>676</x:v>
      </x:c>
      <x:c r="N218" s="24" t="str">
        <x:f t="array" ref="N218">INDEX('MATCH INFO'!O:O, INT((ROW()-2)/10)+2 + 29)</x:f>
        <x:v>260614_CR_CB_S1</x:v>
      </x:c>
    </x:row>
    <x:row r="219">
      <x:c r="A219" s="23" t="s">
        <x:v>22</x:v>
      </x:c>
      <x:c r="B219" s="23" t="s">
        <x:v>26</x:v>
      </x:c>
      <x:c r="C219" s="23" t="s">
        <x:v>11</x:v>
      </x:c>
      <x:c r="D219" s="23" t="s">
        <x:v>110</x:v>
      </x:c>
      <x:c r="E219" s="23" t="s">
        <x:v>186</x:v>
      </x:c>
      <x:c r="F219" s="23">
        <x:v>11</x:v>
      </x:c>
      <x:c r="G219" s="23">
        <x:v>5</x:v>
      </x:c>
      <x:c r="H219" s="23">
        <x:v>0</x:v>
      </x:c>
      <x:c r="I219" s="23">
        <x:v>10181</x:v>
      </x:c>
      <x:c r="J219" s="23">
        <x:v>0</x:v>
      </x:c>
      <x:c r="K219" s="23">
        <x:v>0</x:v>
      </x:c>
      <x:c r="L219" s="23" t="s">
        <x:v>238</x:v>
      </x:c>
      <x:c r="M219" s="23">
        <x:f t="shared" si="3"/>
        <x:v>676</x:v>
      </x:c>
      <x:c r="N219" s="24" t="str">
        <x:f t="array" ref="N219">INDEX('MATCH INFO'!O:O, INT((ROW()-2)/10)+2 + 29)</x:f>
        <x:v>260614_CR_CB_S1</x:v>
      </x:c>
    </x:row>
    <x:row r="220">
      <x:c r="A220" s="23" t="s">
        <x:v>22</x:v>
      </x:c>
      <x:c r="B220" s="23" t="s">
        <x:v>28</x:v>
      </x:c>
      <x:c r="C220" s="23" t="s">
        <x:v>16</x:v>
      </x:c>
      <x:c r="D220" s="23" t="s">
        <x:v>110</x:v>
      </x:c>
      <x:c r="E220" s="23" t="s">
        <x:v>186</x:v>
      </x:c>
      <x:c r="F220" s="23">
        <x:v>9</x:v>
      </x:c>
      <x:c r="G220" s="23">
        <x:v>7</x:v>
      </x:c>
      <x:c r="H220" s="23">
        <x:v>12</x:v>
      </x:c>
      <x:c r="I220" s="23">
        <x:v>3735</x:v>
      </x:c>
      <x:c r="J220" s="23">
        <x:v>7862</x:v>
      </x:c>
      <x:c r="K220" s="23">
        <x:v>1020</x:v>
      </x:c>
      <x:c r="L220" s="23" t="s">
        <x:v>238</x:v>
      </x:c>
      <x:c r="M220" s="23">
        <x:f t="shared" si="3"/>
        <x:v>676</x:v>
      </x:c>
      <x:c r="N220" s="24" t="str">
        <x:f t="array" ref="N220">INDEX('MATCH INFO'!O:O, INT((ROW()-2)/10)+2 + 29)</x:f>
        <x:v>260614_CR_CB_S1</x:v>
      </x:c>
    </x:row>
    <x:row r="221">
      <x:c r="A221" s="23" t="s">
        <x:v>22</x:v>
      </x:c>
      <x:c r="B221" s="23" t="s">
        <x:v>23</x:v>
      </x:c>
      <x:c r="C221" s="23" t="s">
        <x:v>8</x:v>
      </x:c>
      <x:c r="D221" s="23" t="s">
        <x:v>110</x:v>
      </x:c>
      <x:c r="E221" s="23" t="s">
        <x:v>186</x:v>
      </x:c>
      <x:c r="F221" s="23">
        <x:v>12</x:v>
      </x:c>
      <x:c r="G221" s="23">
        <x:v>6</x:v>
      </x:c>
      <x:c r="H221" s="23">
        <x:v>5</x:v>
      </x:c>
      <x:c r="I221" s="23">
        <x:v>10281</x:v>
      </x:c>
      <x:c r="J221" s="23">
        <x:v>472</x:v>
      </x:c>
      <x:c r="K221" s="23">
        <x:v>16017</x:v>
      </x:c>
      <x:c r="L221" s="23" t="s">
        <x:v>238</x:v>
      </x:c>
      <x:c r="M221" s="23">
        <x:f t="shared" si="3"/>
        <x:v>676</x:v>
      </x:c>
      <x:c r="N221" s="24" t="str">
        <x:f t="array" ref="N221">INDEX('MATCH INFO'!O:O, INT((ROW()-2)/10)+2 + 29)</x:f>
        <x:v>260614_CR_CB_S1</x:v>
      </x:c>
    </x:row>
    <x:row r="222">
      <x:c r="A222" s="23" t="s">
        <x:v>39</x:v>
      </x:c>
      <x:c r="B222" s="23" t="s">
        <x:v>45</x:v>
      </x:c>
      <x:c r="C222" s="23" t="s">
        <x:v>16</x:v>
      </x:c>
      <x:c r="D222" s="23" t="s">
        <x:v>113</x:v>
      </x:c>
      <x:c r="E222" s="23" t="s">
        <x:v>188</x:v>
      </x:c>
      <x:c r="F222" s="23">
        <x:v>1</x:v>
      </x:c>
      <x:c r="G222" s="23">
        <x:v>6</x:v>
      </x:c>
      <x:c r="H222" s="23">
        <x:v>0</x:v>
      </x:c>
      <x:c r="I222" s="23">
        <x:v>1403</x:v>
      </x:c>
      <x:c r="J222" s="23">
        <x:v>6159</x:v>
      </x:c>
      <x:c r="K222" s="23">
        <x:v>0</x:v>
      </x:c>
      <x:c r="L222" s="23" t="s">
        <x:v>239</x:v>
      </x:c>
      <x:c r="M222" s="23">
        <x:f t="shared" si="3"/>
        <x:v>322</x:v>
      </x:c>
      <x:c r="N222" s="24" t="str">
        <x:f t="array" ref="N222">INDEX('MATCH INFO'!O:O, INT((ROW()-2)/10)+2 + 29)</x:f>
        <x:v>260614_CR_CB_S2</x:v>
      </x:c>
    </x:row>
    <x:row r="223">
      <x:c r="A223" s="23" t="s">
        <x:v>39</x:v>
      </x:c>
      <x:c r="B223" s="23" t="s">
        <x:v>42</x:v>
      </x:c>
      <x:c r="C223" s="23" t="s">
        <x:v>11</x:v>
      </x:c>
      <x:c r="D223" s="23" t="s">
        <x:v>113</x:v>
      </x:c>
      <x:c r="E223" s="23" t="s">
        <x:v>188</x:v>
      </x:c>
      <x:c r="F223" s="23">
        <x:v>2</x:v>
      </x:c>
      <x:c r="G223" s="23">
        <x:v>3</x:v>
      </x:c>
      <x:c r="H223" s="23">
        <x:v>0</x:v>
      </x:c>
      <x:c r="I223" s="23">
        <x:v>3118</x:v>
      </x:c>
      <x:c r="J223" s="23">
        <x:v>1058</x:v>
      </x:c>
      <x:c r="K223" s="23">
        <x:v>3452</x:v>
      </x:c>
      <x:c r="L223" s="23" t="s">
        <x:v>239</x:v>
      </x:c>
      <x:c r="M223" s="23">
        <x:f t="shared" si="3"/>
        <x:v>322</x:v>
      </x:c>
      <x:c r="N223" s="24" t="str">
        <x:f t="array" ref="N223">INDEX('MATCH INFO'!O:O, INT((ROW()-2)/10)+2 + 29)</x:f>
        <x:v>260614_CR_CB_S2</x:v>
      </x:c>
    </x:row>
    <x:row r="224">
      <x:c r="A224" s="23" t="s">
        <x:v>39</x:v>
      </x:c>
      <x:c r="B224" s="23" t="s">
        <x:v>40</x:v>
      </x:c>
      <x:c r="C224" s="23" t="s">
        <x:v>8</x:v>
      </x:c>
      <x:c r="D224" s="23" t="s">
        <x:v>113</x:v>
      </x:c>
      <x:c r="E224" s="23" t="s">
        <x:v>188</x:v>
      </x:c>
      <x:c r="F224" s="23">
        <x:v>1</x:v>
      </x:c>
      <x:c r="G224" s="23">
        <x:v>5</x:v>
      </x:c>
      <x:c r="H224" s="23">
        <x:v>0</x:v>
      </x:c>
      <x:c r="I224" s="23">
        <x:v>6252</x:v>
      </x:c>
      <x:c r="J224" s="23">
        <x:v>275</x:v>
      </x:c>
      <x:c r="K224" s="23">
        <x:v>10236</x:v>
      </x:c>
      <x:c r="L224" s="23" t="s">
        <x:v>239</x:v>
      </x:c>
      <x:c r="M224" s="23">
        <x:f t="shared" si="3"/>
        <x:v>322</x:v>
      </x:c>
      <x:c r="N224" s="24" t="str">
        <x:f t="array" ref="N224">INDEX('MATCH INFO'!O:O, INT((ROW()-2)/10)+2 + 29)</x:f>
        <x:v>260614_CR_CB_S2</x:v>
      </x:c>
    </x:row>
    <x:row r="225">
      <x:c r="A225" s="23" t="s">
        <x:v>39</x:v>
      </x:c>
      <x:c r="B225" s="23" t="s">
        <x:v>43</x:v>
      </x:c>
      <x:c r="C225" s="23" t="s">
        <x:v>11</x:v>
      </x:c>
      <x:c r="D225" s="23" t="s">
        <x:v>113</x:v>
      </x:c>
      <x:c r="E225" s="23" t="s">
        <x:v>188</x:v>
      </x:c>
      <x:c r="F225" s="23">
        <x:v>5</x:v>
      </x:c>
      <x:c r="G225" s="23">
        <x:v>4</x:v>
      </x:c>
      <x:c r="H225" s="23">
        <x:v>0</x:v>
      </x:c>
      <x:c r="I225" s="23">
        <x:v>5235</x:v>
      </x:c>
      <x:c r="J225" s="23">
        <x:v>0</x:v>
      </x:c>
      <x:c r="K225" s="23">
        <x:v>0</x:v>
      </x:c>
      <x:c r="L225" s="23" t="s">
        <x:v>239</x:v>
      </x:c>
      <x:c r="M225" s="23">
        <x:f t="shared" si="3"/>
        <x:v>322</x:v>
      </x:c>
      <x:c r="N225" s="24" t="str">
        <x:f t="array" ref="N225">INDEX('MATCH INFO'!O:O, INT((ROW()-2)/10)+2 + 29)</x:f>
        <x:v>260614_CR_CB_S2</x:v>
      </x:c>
    </x:row>
    <x:row r="226">
      <x:c r="A226" s="23" t="s">
        <x:v>39</x:v>
      </x:c>
      <x:c r="B226" s="23" t="s">
        <x:v>44</x:v>
      </x:c>
      <x:c r="C226" s="23" t="s">
        <x:v>16</x:v>
      </x:c>
      <x:c r="D226" s="23" t="s">
        <x:v>113</x:v>
      </x:c>
      <x:c r="E226" s="23" t="s">
        <x:v>188</x:v>
      </x:c>
      <x:c r="F226" s="23">
        <x:v>3</x:v>
      </x:c>
      <x:c r="G226" s="23">
        <x:v>4</x:v>
      </x:c>
      <x:c r="H226" s="23">
        <x:v>2</x:v>
      </x:c>
      <x:c r="I226" s="23">
        <x:v>1603</x:v>
      </x:c>
      <x:c r="J226" s="23">
        <x:v>5845</x:v>
      </x:c>
      <x:c r="K226" s="23">
        <x:v>0</x:v>
      </x:c>
      <x:c r="L226" s="23" t="s">
        <x:v>239</x:v>
      </x:c>
      <x:c r="M226" s="23">
        <x:f t="shared" si="3"/>
        <x:v>322</x:v>
      </x:c>
      <x:c r="N226" s="24" t="str">
        <x:f t="array" ref="N226">INDEX('MATCH INFO'!O:O, INT((ROW()-2)/10)+2 + 29)</x:f>
        <x:v>260614_CR_CB_S2</x:v>
      </x:c>
    </x:row>
    <x:row r="227">
      <x:c r="A227" s="23" t="s">
        <x:v>22</x:v>
      </x:c>
      <x:c r="B227" s="23" t="s">
        <x:v>25</x:v>
      </x:c>
      <x:c r="C227" s="23" t="s">
        <x:v>11</x:v>
      </x:c>
      <x:c r="D227" s="23" t="s">
        <x:v>113</x:v>
      </x:c>
      <x:c r="E227" s="23" t="s">
        <x:v>188</x:v>
      </x:c>
      <x:c r="F227" s="23">
        <x:v>12</x:v>
      </x:c>
      <x:c r="G227" s="23">
        <x:v>2</x:v>
      </x:c>
      <x:c r="H227" s="23">
        <x:v>0</x:v>
      </x:c>
      <x:c r="I227" s="23">
        <x:v>4233</x:v>
      </x:c>
      <x:c r="J227" s="23">
        <x:v>64</x:v>
      </x:c>
      <x:c r="K227" s="23">
        <x:v>521</x:v>
      </x:c>
      <x:c r="L227" s="23" t="s">
        <x:v>239</x:v>
      </x:c>
      <x:c r="M227" s="23">
        <x:f t="shared" si="3"/>
        <x:v>322</x:v>
      </x:c>
      <x:c r="N227" s="24" t="str">
        <x:f t="array" ref="N227">INDEX('MATCH INFO'!O:O, INT((ROW()-2)/10)+2 + 29)</x:f>
        <x:v>260614_CR_CB_S2</x:v>
      </x:c>
    </x:row>
    <x:row r="228">
      <x:c r="A228" s="23" t="s">
        <x:v>22</x:v>
      </x:c>
      <x:c r="B228" s="23" t="s">
        <x:v>29</x:v>
      </x:c>
      <x:c r="C228" s="23" t="s">
        <x:v>16</x:v>
      </x:c>
      <x:c r="D228" s="23" t="s">
        <x:v>113</x:v>
      </x:c>
      <x:c r="E228" s="23" t="s">
        <x:v>188</x:v>
      </x:c>
      <x:c r="F228" s="23">
        <x:v>9</x:v>
      </x:c>
      <x:c r="G228" s="23">
        <x:v>1</x:v>
      </x:c>
      <x:c r="H228" s="23">
        <x:v>10</x:v>
      </x:c>
      <x:c r="I228" s="23">
        <x:v>2316</x:v>
      </x:c>
      <x:c r="J228" s="23">
        <x:v>7039</x:v>
      </x:c>
      <x:c r="K228" s="23">
        <x:v>0</x:v>
      </x:c>
      <x:c r="L228" s="23" t="s">
        <x:v>239</x:v>
      </x:c>
      <x:c r="M228" s="23">
        <x:f t="shared" si="3"/>
        <x:v>322</x:v>
      </x:c>
      <x:c r="N228" s="24" t="str">
        <x:f t="array" ref="N228">INDEX('MATCH INFO'!O:O, INT((ROW()-2)/10)+2 + 29)</x:f>
        <x:v>260614_CR_CB_S2</x:v>
      </x:c>
    </x:row>
    <x:row r="229">
      <x:c r="A229" s="23" t="s">
        <x:v>22</x:v>
      </x:c>
      <x:c r="B229" s="23" t="s">
        <x:v>26</x:v>
      </x:c>
      <x:c r="C229" s="23" t="s">
        <x:v>11</x:v>
      </x:c>
      <x:c r="D229" s="23" t="s">
        <x:v>113</x:v>
      </x:c>
      <x:c r="E229" s="23" t="s">
        <x:v>188</x:v>
      </x:c>
      <x:c r="F229" s="23">
        <x:v>16</x:v>
      </x:c>
      <x:c r="G229" s="23">
        <x:v>1</x:v>
      </x:c>
      <x:c r="H229" s="23">
        <x:v>0</x:v>
      </x:c>
      <x:c r="I229" s="23">
        <x:v>6690</x:v>
      </x:c>
      <x:c r="J229" s="23">
        <x:v>0</x:v>
      </x:c>
      <x:c r="K229" s="23">
        <x:v>0</x:v>
      </x:c>
      <x:c r="L229" s="23" t="s">
        <x:v>239</x:v>
      </x:c>
      <x:c r="M229" s="23">
        <x:f t="shared" si="3"/>
        <x:v>322</x:v>
      </x:c>
      <x:c r="N229" s="24" t="str">
        <x:f t="array" ref="N229">INDEX('MATCH INFO'!O:O, INT((ROW()-2)/10)+2 + 29)</x:f>
        <x:v>260614_CR_CB_S2</x:v>
      </x:c>
    </x:row>
    <x:row r="230">
      <x:c r="A230" s="23" t="s">
        <x:v>22</x:v>
      </x:c>
      <x:c r="B230" s="23" t="s">
        <x:v>28</x:v>
      </x:c>
      <x:c r="C230" s="23" t="s">
        <x:v>16</x:v>
      </x:c>
      <x:c r="D230" s="23" t="s">
        <x:v>113</x:v>
      </x:c>
      <x:c r="E230" s="23" t="s">
        <x:v>188</x:v>
      </x:c>
      <x:c r="F230" s="23">
        <x:v>11</x:v>
      </x:c>
      <x:c r="G230" s="23">
        <x:v>0</x:v>
      </x:c>
      <x:c r="H230" s="23">
        <x:v>14</x:v>
      </x:c>
      <x:c r="I230" s="23">
        <x:v>3281</x:v>
      </x:c>
      <x:c r="J230" s="23">
        <x:v>6322</x:v>
      </x:c>
      <x:c r="K230" s="23">
        <x:v>450</x:v>
      </x:c>
      <x:c r="L230" s="23" t="s">
        <x:v>239</x:v>
      </x:c>
      <x:c r="M230" s="23">
        <x:f t="shared" si="3"/>
        <x:v>322</x:v>
      </x:c>
      <x:c r="N230" s="24" t="str">
        <x:f t="array" ref="N230">INDEX('MATCH INFO'!O:O, INT((ROW()-2)/10)+2 + 29)</x:f>
        <x:v>260614_CR_CB_S2</x:v>
      </x:c>
    </x:row>
    <x:row r="231">
      <x:c r="A231" s="23" t="s">
        <x:v>22</x:v>
      </x:c>
      <x:c r="B231" s="23" t="s">
        <x:v>23</x:v>
      </x:c>
      <x:c r="C231" s="23" t="s">
        <x:v>8</x:v>
      </x:c>
      <x:c r="D231" s="23" t="s">
        <x:v>113</x:v>
      </x:c>
      <x:c r="E231" s="23" t="s">
        <x:v>188</x:v>
      </x:c>
      <x:c r="F231" s="23">
        <x:v>12</x:v>
      </x:c>
      <x:c r="G231" s="23">
        <x:v>1</x:v>
      </x:c>
      <x:c r="H231" s="23">
        <x:v>0</x:v>
      </x:c>
      <x:c r="I231" s="23">
        <x:v>7397</x:v>
      </x:c>
      <x:c r="J231" s="23">
        <x:v>0</x:v>
      </x:c>
      <x:c r="K231" s="23">
        <x:v>7671</x:v>
      </x:c>
      <x:c r="L231" s="23" t="s">
        <x:v>239</x:v>
      </x:c>
      <x:c r="M231" s="23">
        <x:f t="shared" si="3"/>
        <x:v>322</x:v>
      </x:c>
      <x:c r="N231" s="24" t="str">
        <x:f t="array" ref="N231">INDEX('MATCH INFO'!O:O, INT((ROW()-2)/10)+2 + 29)</x:f>
        <x:v>260614_CR_CB_S2</x:v>
      </x:c>
    </x:row>
    <x:row r="232">
      <x:c r="A232" s="23" t="s">
        <x:v>55</x:v>
      </x:c>
      <x:c r="B232" s="23" t="s">
        <x:v>61</x:v>
      </x:c>
      <x:c r="C232" s="23" t="s">
        <x:v>16</x:v>
      </x:c>
      <x:c r="D232" s="23" t="s">
        <x:v>131</x:v>
      </x:c>
      <x:c r="E232" s="23" t="s">
        <x:v>184</x:v>
      </x:c>
      <x:c r="F232" s="23">
        <x:v>20</x:v>
      </x:c>
      <x:c r="G232" s="23">
        <x:v>3</x:v>
      </x:c>
      <x:c r="H232" s="23">
        <x:v>12</x:v>
      </x:c>
      <x:c r="I232" s="23">
        <x:v>5820</x:v>
      </x:c>
      <x:c r="J232" s="23">
        <x:v>8113</x:v>
      </x:c>
      <x:c r="K232" s="23">
        <x:v>1695</x:v>
      </x:c>
      <x:c r="L232" s="23" t="s">
        <x:v>240</x:v>
      </x:c>
      <x:c r="M232" s="23">
        <x:f t="shared" si="3"/>
        <x:v>494</x:v>
      </x:c>
      <x:c r="N232" s="24" t="str">
        <x:f t="array" ref="N232">INDEX('MATCH INFO'!O:O, INT((ROW()-2)/10)+2 + 29)</x:f>
        <x:v>260614_CR_CB_S3</x:v>
      </x:c>
    </x:row>
    <x:row r="233">
      <x:c r="A233" s="23" t="s">
        <x:v>55</x:v>
      </x:c>
      <x:c r="B233" s="23" t="s">
        <x:v>59</x:v>
      </x:c>
      <x:c r="C233" s="23" t="s">
        <x:v>11</x:v>
      </x:c>
      <x:c r="D233" s="23" t="s">
        <x:v>131</x:v>
      </x:c>
      <x:c r="E233" s="23" t="s">
        <x:v>184</x:v>
      </x:c>
      <x:c r="F233" s="23">
        <x:v>20</x:v>
      </x:c>
      <x:c r="G233" s="23">
        <x:v>6</x:v>
      </x:c>
      <x:c r="H233" s="23">
        <x:v>2</x:v>
      </x:c>
      <x:c r="I233" s="23">
        <x:v>9372</x:v>
      </x:c>
      <x:c r="J233" s="23">
        <x:v>345</x:v>
      </x:c>
      <x:c r="K233" s="23">
        <x:v>76</x:v>
      </x:c>
      <x:c r="L233" s="23" t="s">
        <x:v>240</x:v>
      </x:c>
      <x:c r="M233" s="23">
        <x:f t="shared" si="3"/>
        <x:v>494</x:v>
      </x:c>
      <x:c r="N233" s="24" t="str">
        <x:f t="array" ref="N233">INDEX('MATCH INFO'!O:O, INT((ROW()-2)/10)+2 + 29)</x:f>
        <x:v>260614_CR_CB_S3</x:v>
      </x:c>
    </x:row>
    <x:row r="234">
      <x:c r="A234" s="23" t="s">
        <x:v>55</x:v>
      </x:c>
      <x:c r="B234" s="23" t="s">
        <x:v>57</x:v>
      </x:c>
      <x:c r="C234" s="23" t="s">
        <x:v>8</x:v>
      </x:c>
      <x:c r="D234" s="23" t="s">
        <x:v>131</x:v>
      </x:c>
      <x:c r="E234" s="23" t="s">
        <x:v>184</x:v>
      </x:c>
      <x:c r="F234" s="23">
        <x:v>23</x:v>
      </x:c>
      <x:c r="G234" s="23">
        <x:v>2</x:v>
      </x:c>
      <x:c r="H234" s="23">
        <x:v>13</x:v>
      </x:c>
      <x:c r="I234" s="23">
        <x:v>10391</x:v>
      </x:c>
      <x:c r="J234" s="23">
        <x:v>1154</x:v>
      </x:c>
      <x:c r="K234" s="23">
        <x:v>10003</x:v>
      </x:c>
      <x:c r="L234" s="23" t="s">
        <x:v>240</x:v>
      </x:c>
      <x:c r="M234" s="23">
        <x:f t="shared" si="3"/>
        <x:v>494</x:v>
      </x:c>
      <x:c r="N234" s="24" t="str">
        <x:f t="array" ref="N234">INDEX('MATCH INFO'!O:O, INT((ROW()-2)/10)+2 + 29)</x:f>
        <x:v>260614_CR_CB_S3</x:v>
      </x:c>
    </x:row>
    <x:row r="235">
      <x:c r="A235" s="23" t="s">
        <x:v>55</x:v>
      </x:c>
      <x:c r="B235" s="23" t="s">
        <x:v>60</x:v>
      </x:c>
      <x:c r="C235" s="23" t="s">
        <x:v>11</x:v>
      </x:c>
      <x:c r="D235" s="23" t="s">
        <x:v>131</x:v>
      </x:c>
      <x:c r="E235" s="23" t="s">
        <x:v>184</x:v>
      </x:c>
      <x:c r="F235" s="23">
        <x:v>23</x:v>
      </x:c>
      <x:c r="G235" s="23">
        <x:v>3</x:v>
      </x:c>
      <x:c r="H235" s="23">
        <x:v>5</x:v>
      </x:c>
      <x:c r="I235" s="23">
        <x:v>9360</x:v>
      </x:c>
      <x:c r="J235" s="23">
        <x:v>78</x:v>
      </x:c>
      <x:c r="K235" s="23">
        <x:v>1819</x:v>
      </x:c>
      <x:c r="L235" s="23" t="s">
        <x:v>240</x:v>
      </x:c>
      <x:c r="M235" s="23">
        <x:f t="shared" si="3"/>
        <x:v>494</x:v>
      </x:c>
      <x:c r="N235" s="24" t="str">
        <x:f t="array" ref="N235">INDEX('MATCH INFO'!O:O, INT((ROW()-2)/10)+2 + 29)</x:f>
        <x:v>260614_CR_CB_S3</x:v>
      </x:c>
    </x:row>
    <x:row r="236">
      <x:c r="A236" s="23" t="s">
        <x:v>55</x:v>
      </x:c>
      <x:c r="B236" s="23" t="s">
        <x:v>62</x:v>
      </x:c>
      <x:c r="C236" s="23" t="s">
        <x:v>16</x:v>
      </x:c>
      <x:c r="D236" s="23" t="s">
        <x:v>131</x:v>
      </x:c>
      <x:c r="E236" s="23" t="s">
        <x:v>184</x:v>
      </x:c>
      <x:c r="F236" s="23">
        <x:v>16</x:v>
      </x:c>
      <x:c r="G236" s="23">
        <x:v>3</x:v>
      </x:c>
      <x:c r="H236" s="23">
        <x:v>20</x:v>
      </x:c>
      <x:c r="I236" s="23">
        <x:v>5125</x:v>
      </x:c>
      <x:c r="J236" s="23">
        <x:v>14633</x:v>
      </x:c>
      <x:c r="K236" s="23">
        <x:v>0</x:v>
      </x:c>
      <x:c r="L236" s="23" t="s">
        <x:v>240</x:v>
      </x:c>
      <x:c r="M236" s="23">
        <x:f t="shared" si="3"/>
        <x:v>494</x:v>
      </x:c>
      <x:c r="N236" s="24" t="str">
        <x:f t="array" ref="N236">INDEX('MATCH INFO'!O:O, INT((ROW()-2)/10)+2 + 29)</x:f>
        <x:v>260614_CR_CB_S3</x:v>
      </x:c>
    </x:row>
    <x:row r="237">
      <x:c r="A237" s="23" t="s">
        <x:v>31</x:v>
      </x:c>
      <x:c r="B237" s="23" t="s">
        <x:v>34</x:v>
      </x:c>
      <x:c r="C237" s="23" t="s">
        <x:v>11</x:v>
      </x:c>
      <x:c r="D237" s="23" t="s">
        <x:v>131</x:v>
      </x:c>
      <x:c r="E237" s="23" t="s">
        <x:v>184</x:v>
      </x:c>
      <x:c r="F237" s="23">
        <x:v>12</x:v>
      </x:c>
      <x:c r="G237" s="23">
        <x:v>7</x:v>
      </x:c>
      <x:c r="H237" s="23">
        <x:v>2</x:v>
      </x:c>
      <x:c r="I237" s="23">
        <x:v>7517</x:v>
      </x:c>
      <x:c r="J237" s="23">
        <x:v>537</x:v>
      </x:c>
      <x:c r="K237" s="23">
        <x:v>4197</x:v>
      </x:c>
      <x:c r="L237" s="23" t="s">
        <x:v>240</x:v>
      </x:c>
      <x:c r="M237" s="23">
        <x:f t="shared" si="3"/>
        <x:v>494</x:v>
      </x:c>
      <x:c r="N237" s="24" t="str">
        <x:f t="array" ref="N237">INDEX('MATCH INFO'!O:O, INT((ROW()-2)/10)+2 + 29)</x:f>
        <x:v>260614_CR_CB_S3</x:v>
      </x:c>
    </x:row>
    <x:row r="238">
      <x:c r="A238" s="23" t="s">
        <x:v>31</x:v>
      </x:c>
      <x:c r="B238" s="23" t="s">
        <x:v>33</x:v>
      </x:c>
      <x:c r="C238" s="23" t="s">
        <x:v>8</x:v>
      </x:c>
      <x:c r="D238" s="23" t="s">
        <x:v>131</x:v>
      </x:c>
      <x:c r="E238" s="23" t="s">
        <x:v>184</x:v>
      </x:c>
      <x:c r="F238" s="23">
        <x:v>8</x:v>
      </x:c>
      <x:c r="G238" s="23">
        <x:v>8</x:v>
      </x:c>
      <x:c r="H238" s="23">
        <x:v>3</x:v>
      </x:c>
      <x:c r="I238" s="23">
        <x:v>11756</x:v>
      </x:c>
      <x:c r="J238" s="23">
        <x:v>291</x:v>
      </x:c>
      <x:c r="K238" s="23">
        <x:v>17346</x:v>
      </x:c>
      <x:c r="L238" s="23" t="s">
        <x:v>240</x:v>
      </x:c>
      <x:c r="M238" s="23">
        <x:f t="shared" si="3"/>
        <x:v>494</x:v>
      </x:c>
      <x:c r="N238" s="24" t="str">
        <x:f t="array" ref="N238">INDEX('MATCH INFO'!O:O, INT((ROW()-2)/10)+2 + 29)</x:f>
        <x:v>260614_CR_CB_S3</x:v>
      </x:c>
    </x:row>
    <x:row r="239">
      <x:c r="A239" s="23" t="s">
        <x:v>31</x:v>
      </x:c>
      <x:c r="B239" s="23" t="s">
        <x:v>35</x:v>
      </x:c>
      <x:c r="C239" s="23" t="s">
        <x:v>11</x:v>
      </x:c>
      <x:c r="D239" s="23" t="s">
        <x:v>131</x:v>
      </x:c>
      <x:c r="E239" s="23" t="s">
        <x:v>184</x:v>
      </x:c>
      <x:c r="F239" s="23">
        <x:v>9</x:v>
      </x:c>
      <x:c r="G239" s="23">
        <x:v>9</x:v>
      </x:c>
      <x:c r="H239" s="23">
        <x:v>0</x:v>
      </x:c>
      <x:c r="I239" s="23">
        <x:v>8123</x:v>
      </x:c>
      <x:c r="J239" s="23">
        <x:v>0</x:v>
      </x:c>
      <x:c r="K239" s="23">
        <x:v>0</x:v>
      </x:c>
      <x:c r="L239" s="23" t="s">
        <x:v>240</x:v>
      </x:c>
      <x:c r="M239" s="23">
        <x:f t="shared" si="3"/>
        <x:v>494</x:v>
      </x:c>
      <x:c r="N239" s="24" t="str">
        <x:f t="array" ref="N239">INDEX('MATCH INFO'!O:O, INT((ROW()-2)/10)+2 + 29)</x:f>
        <x:v>260614_CR_CB_S3</x:v>
      </x:c>
    </x:row>
    <x:row r="240">
      <x:c r="A240" s="23" t="s">
        <x:v>31</x:v>
      </x:c>
      <x:c r="B240" s="23" t="s">
        <x:v>36</x:v>
      </x:c>
      <x:c r="C240" s="23" t="s">
        <x:v>16</x:v>
      </x:c>
      <x:c r="D240" s="23" t="s">
        <x:v>131</x:v>
      </x:c>
      <x:c r="E240" s="23" t="s">
        <x:v>184</x:v>
      </x:c>
      <x:c r="F240" s="23">
        <x:v>7</x:v>
      </x:c>
      <x:c r="G240" s="23">
        <x:v>6</x:v>
      </x:c>
      <x:c r="H240" s="23">
        <x:v>10</x:v>
      </x:c>
      <x:c r="I240" s="23">
        <x:v>5047</x:v>
      </x:c>
      <x:c r="J240" s="23">
        <x:v>10605</x:v>
      </x:c>
      <x:c r="K240" s="23">
        <x:v>1815</x:v>
      </x:c>
      <x:c r="L240" s="23" t="s">
        <x:v>240</x:v>
      </x:c>
      <x:c r="M240" s="23">
        <x:f t="shared" si="3"/>
        <x:v>494</x:v>
      </x:c>
      <x:c r="N240" s="24" t="str">
        <x:f t="array" ref="N240">INDEX('MATCH INFO'!O:O, INT((ROW()-2)/10)+2 + 29)</x:f>
        <x:v>260614_CR_CB_S3</x:v>
      </x:c>
    </x:row>
    <x:row r="241">
      <x:c r="A241" s="23" t="s">
        <x:v>31</x:v>
      </x:c>
      <x:c r="B241" s="23" t="s">
        <x:v>37</x:v>
      </x:c>
      <x:c r="C241" s="23" t="s">
        <x:v>16</x:v>
      </x:c>
      <x:c r="D241" s="23" t="s">
        <x:v>131</x:v>
      </x:c>
      <x:c r="E241" s="23" t="s">
        <x:v>184</x:v>
      </x:c>
      <x:c r="F241" s="23">
        <x:v>7</x:v>
      </x:c>
      <x:c r="G241" s="23">
        <x:v>6</x:v>
      </x:c>
      <x:c r="H241" s="23">
        <x:v>13</x:v>
      </x:c>
      <x:c r="I241" s="23">
        <x:v>3258</x:v>
      </x:c>
      <x:c r="J241" s="23">
        <x:v>13580</x:v>
      </x:c>
      <x:c r="K241" s="23">
        <x:v>0</x:v>
      </x:c>
      <x:c r="L241" s="23" t="s">
        <x:v>240</x:v>
      </x:c>
      <x:c r="M241" s="23">
        <x:f t="shared" si="3"/>
        <x:v>494</x:v>
      </x:c>
      <x:c r="N241" s="24" t="str">
        <x:f t="array" ref="N241">INDEX('MATCH INFO'!O:O, INT((ROW()-2)/10)+2 + 29)</x:f>
        <x:v>260614_CR_CB_S3</x:v>
      </x:c>
    </x:row>
    <x:row r="242">
      <x:c r="A242" s="23" t="s">
        <x:v>31</x:v>
      </x:c>
      <x:c r="B242" s="23" t="s">
        <x:v>34</x:v>
      </x:c>
      <x:c r="C242" s="23" t="s">
        <x:v>11</x:v>
      </x:c>
      <x:c r="D242" s="23" t="s">
        <x:v>113</x:v>
      </x:c>
      <x:c r="E242" s="23" t="s">
        <x:v>188</x:v>
      </x:c>
      <x:c r="F242" s="23">
        <x:v>6</x:v>
      </x:c>
      <x:c r="G242" s="23">
        <x:v>4</x:v>
      </x:c>
      <x:c r="H242" s="23">
        <x:v>0</x:v>
      </x:c>
      <x:c r="I242" s="23">
        <x:v>3749</x:v>
      </x:c>
      <x:c r="J242" s="23">
        <x:v>550</x:v>
      </x:c>
      <x:c r="K242" s="23">
        <x:v>0</x:v>
      </x:c>
      <x:c r="L242" s="23" t="s">
        <x:v>241</x:v>
      </x:c>
      <x:c r="M242" s="23">
        <x:f t="shared" si="3"/>
        <x:v>281</x:v>
      </x:c>
      <x:c r="N242" s="24" t="str">
        <x:f t="array" ref="N242">INDEX('MATCH INFO'!O:O, INT((ROW()-2)/10)+2 + 29)</x:f>
        <x:v>260614_FLC_T1_S1</x:v>
      </x:c>
    </x:row>
    <x:row r="243">
      <x:c r="A243" s="23" t="s">
        <x:v>31</x:v>
      </x:c>
      <x:c r="B243" s="23" t="s">
        <x:v>33</x:v>
      </x:c>
      <x:c r="C243" s="23" t="s">
        <x:v>8</x:v>
      </x:c>
      <x:c r="D243" s="23" t="s">
        <x:v>113</x:v>
      </x:c>
      <x:c r="E243" s="23" t="s">
        <x:v>188</x:v>
      </x:c>
      <x:c r="F243" s="23">
        <x:v>3</x:v>
      </x:c>
      <x:c r="G243" s="23">
        <x:v>5</x:v>
      </x:c>
      <x:c r="H243" s="23">
        <x:v>1</x:v>
      </x:c>
      <x:c r="I243" s="23">
        <x:v>3919</x:v>
      </x:c>
      <x:c r="J243" s="23">
        <x:v>0</x:v>
      </x:c>
      <x:c r="K243" s="23">
        <x:v>7319</x:v>
      </x:c>
      <x:c r="L243" s="23" t="s">
        <x:v>241</x:v>
      </x:c>
      <x:c r="M243" s="23">
        <x:f t="shared" si="3"/>
        <x:v>281</x:v>
      </x:c>
      <x:c r="N243" s="24" t="str">
        <x:f t="array" ref="N243">INDEX('MATCH INFO'!O:O, INT((ROW()-2)/10)+2 + 29)</x:f>
        <x:v>260614_FLC_T1_S1</x:v>
      </x:c>
    </x:row>
    <x:row r="244">
      <x:c r="A244" s="23" t="s">
        <x:v>31</x:v>
      </x:c>
      <x:c r="B244" s="23" t="s">
        <x:v>35</x:v>
      </x:c>
      <x:c r="C244" s="23" t="s">
        <x:v>11</x:v>
      </x:c>
      <x:c r="D244" s="23" t="s">
        <x:v>113</x:v>
      </x:c>
      <x:c r="E244" s="23" t="s">
        <x:v>188</x:v>
      </x:c>
      <x:c r="F244" s="23">
        <x:v>6</x:v>
      </x:c>
      <x:c r="G244" s="23">
        <x:v>5</x:v>
      </x:c>
      <x:c r="H244" s="23">
        <x:v>0</x:v>
      </x:c>
      <x:c r="I244" s="23">
        <x:v>4971</x:v>
      </x:c>
      <x:c r="J244" s="23">
        <x:v>0</x:v>
      </x:c>
      <x:c r="K244" s="23">
        <x:v>381</x:v>
      </x:c>
      <x:c r="L244" s="23" t="s">
        <x:v>241</x:v>
      </x:c>
      <x:c r="M244" s="23">
        <x:f t="shared" si="3"/>
        <x:v>281</x:v>
      </x:c>
      <x:c r="N244" s="24" t="str">
        <x:f t="array" ref="N244">INDEX('MATCH INFO'!O:O, INT((ROW()-2)/10)+2 + 29)</x:f>
        <x:v>260614_FLC_T1_S1</x:v>
      </x:c>
    </x:row>
    <x:row r="245">
      <x:c r="A245" s="23" t="s">
        <x:v>31</x:v>
      </x:c>
      <x:c r="B245" s="23" t="s">
        <x:v>36</x:v>
      </x:c>
      <x:c r="C245" s="23" t="s">
        <x:v>16</x:v>
      </x:c>
      <x:c r="D245" s="23" t="s">
        <x:v>113</x:v>
      </x:c>
      <x:c r="E245" s="23" t="s">
        <x:v>188</x:v>
      </x:c>
      <x:c r="F245" s="23">
        <x:v>1</x:v>
      </x:c>
      <x:c r="G245" s="23">
        <x:v>3</x:v>
      </x:c>
      <x:c r="H245" s="23">
        <x:v>4</x:v>
      </x:c>
      <x:c r="I245" s="23">
        <x:v>665</x:v>
      </x:c>
      <x:c r="J245" s="23">
        <x:v>4037</x:v>
      </x:c>
      <x:c r="K245" s="23">
        <x:v>0</x:v>
      </x:c>
      <x:c r="L245" s="23" t="s">
        <x:v>241</x:v>
      </x:c>
      <x:c r="M245" s="23">
        <x:f t="shared" si="3"/>
        <x:v>281</x:v>
      </x:c>
      <x:c r="N245" s="24" t="str">
        <x:f t="array" ref="N245">INDEX('MATCH INFO'!O:O, INT((ROW()-2)/10)+2 + 29)</x:f>
        <x:v>260614_FLC_T1_S1</x:v>
      </x:c>
    </x:row>
    <x:row r="246">
      <x:c r="A246" s="23" t="s">
        <x:v>31</x:v>
      </x:c>
      <x:c r="B246" s="23" t="s">
        <x:v>37</x:v>
      </x:c>
      <x:c r="C246" s="23" t="s">
        <x:v>16</x:v>
      </x:c>
      <x:c r="D246" s="23" t="s">
        <x:v>113</x:v>
      </x:c>
      <x:c r="E246" s="23" t="s">
        <x:v>188</x:v>
      </x:c>
      <x:c r="F246" s="23">
        <x:v>4</x:v>
      </x:c>
      <x:c r="G246" s="23">
        <x:v>4</x:v>
      </x:c>
      <x:c r="H246" s="23">
        <x:v>6</x:v>
      </x:c>
      <x:c r="I246" s="23">
        <x:v>1663</x:v>
      </x:c>
      <x:c r="J246" s="23">
        <x:v>5825</x:v>
      </x:c>
      <x:c r="K246" s="23">
        <x:v>0</x:v>
      </x:c>
      <x:c r="L246" s="23" t="s">
        <x:v>241</x:v>
      </x:c>
      <x:c r="M246" s="23">
        <x:f t="shared" si="3"/>
        <x:v>281</x:v>
      </x:c>
      <x:c r="N246" s="24" t="str">
        <x:f t="array" ref="N246">INDEX('MATCH INFO'!O:O, INT((ROW()-2)/10)+2 + 29)</x:f>
        <x:v>260614_FLC_T1_S1</x:v>
      </x:c>
    </x:row>
    <x:row r="247">
      <x:c r="A247" s="23" t="s">
        <x:v>55</x:v>
      </x:c>
      <x:c r="B247" s="23" t="s">
        <x:v>61</x:v>
      </x:c>
      <x:c r="C247" s="23" t="s">
        <x:v>16</x:v>
      </x:c>
      <x:c r="D247" s="23" t="s">
        <x:v>113</x:v>
      </x:c>
      <x:c r="E247" s="23" t="s">
        <x:v>188</x:v>
      </x:c>
      <x:c r="F247" s="23">
        <x:v>13</x:v>
      </x:c>
      <x:c r="G247" s="23">
        <x:v>1</x:v>
      </x:c>
      <x:c r="H247" s="23">
        <x:v>15</x:v>
      </x:c>
      <x:c r="I247" s="23">
        <x:v>2501</x:v>
      </x:c>
      <x:c r="J247" s="23">
        <x:v>2826</x:v>
      </x:c>
      <x:c r="K247" s="23">
        <x:v>346</x:v>
      </x:c>
      <x:c r="L247" s="23" t="s">
        <x:v>241</x:v>
      </x:c>
      <x:c r="M247" s="23">
        <x:f t="shared" si="3"/>
        <x:v>281</x:v>
      </x:c>
      <x:c r="N247" s="24" t="str">
        <x:f t="array" ref="N247">INDEX('MATCH INFO'!O:O, INT((ROW()-2)/10)+2 + 29)</x:f>
        <x:v>260614_FLC_T1_S1</x:v>
      </x:c>
    </x:row>
    <x:row r="248">
      <x:c r="A248" s="23" t="s">
        <x:v>55</x:v>
      </x:c>
      <x:c r="B248" s="23" t="s">
        <x:v>59</x:v>
      </x:c>
      <x:c r="C248" s="23" t="s">
        <x:v>11</x:v>
      </x:c>
      <x:c r="D248" s="23" t="s">
        <x:v>113</x:v>
      </x:c>
      <x:c r="E248" s="23" t="s">
        <x:v>188</x:v>
      </x:c>
      <x:c r="F248" s="23">
        <x:v>10</x:v>
      </x:c>
      <x:c r="G248" s="23">
        <x:v>3</x:v>
      </x:c>
      <x:c r="H248" s="23">
        <x:v>1</x:v>
      </x:c>
      <x:c r="I248" s="23">
        <x:v>4485</x:v>
      </x:c>
      <x:c r="J248" s="23">
        <x:v>212</x:v>
      </x:c>
      <x:c r="K248" s="23">
        <x:v>201</x:v>
      </x:c>
      <x:c r="L248" s="23" t="s">
        <x:v>241</x:v>
      </x:c>
      <x:c r="M248" s="23">
        <x:f t="shared" si="3"/>
        <x:v>281</x:v>
      </x:c>
      <x:c r="N248" s="24" t="str">
        <x:f t="array" ref="N248">INDEX('MATCH INFO'!O:O, INT((ROW()-2)/10)+2 + 29)</x:f>
        <x:v>260614_FLC_T1_S1</x:v>
      </x:c>
    </x:row>
    <x:row r="249">
      <x:c r="A249" s="23" t="s">
        <x:v>55</x:v>
      </x:c>
      <x:c r="B249" s="23" t="s">
        <x:v>57</x:v>
      </x:c>
      <x:c r="C249" s="23" t="s">
        <x:v>8</x:v>
      </x:c>
      <x:c r="D249" s="23" t="s">
        <x:v>113</x:v>
      </x:c>
      <x:c r="E249" s="23" t="s">
        <x:v>188</x:v>
      </x:c>
      <x:c r="F249" s="23">
        <x:v>13</x:v>
      </x:c>
      <x:c r="G249" s="23">
        <x:v>2</x:v>
      </x:c>
      <x:c r="H249" s="23">
        <x:v>3</x:v>
      </x:c>
      <x:c r="I249" s="23">
        <x:v>5009</x:v>
      </x:c>
      <x:c r="J249" s="23">
        <x:v>819</x:v>
      </x:c>
      <x:c r="K249" s="23">
        <x:v>6623</x:v>
      </x:c>
      <x:c r="L249" s="23" t="s">
        <x:v>241</x:v>
      </x:c>
      <x:c r="M249" s="23">
        <x:f t="shared" si="3"/>
        <x:v>281</x:v>
      </x:c>
      <x:c r="N249" s="24" t="str">
        <x:f t="array" ref="N249">INDEX('MATCH INFO'!O:O, INT((ROW()-2)/10)+2 + 29)</x:f>
        <x:v>260614_FLC_T1_S1</x:v>
      </x:c>
    </x:row>
    <x:row r="250">
      <x:c r="A250" s="23" t="s">
        <x:v>55</x:v>
      </x:c>
      <x:c r="B250" s="23" t="s">
        <x:v>60</x:v>
      </x:c>
      <x:c r="C250" s="23" t="s">
        <x:v>11</x:v>
      </x:c>
      <x:c r="D250" s="23" t="s">
        <x:v>113</x:v>
      </x:c>
      <x:c r="E250" s="23" t="s">
        <x:v>188</x:v>
      </x:c>
      <x:c r="F250" s="23">
        <x:v>15</x:v>
      </x:c>
      <x:c r="G250" s="23">
        <x:v>1</x:v>
      </x:c>
      <x:c r="H250" s="23">
        <x:v>4</x:v>
      </x:c>
      <x:c r="I250" s="23">
        <x:v>5399</x:v>
      </x:c>
      <x:c r="J250" s="23">
        <x:v>171</x:v>
      </x:c>
      <x:c r="K250" s="23">
        <x:v>1126</x:v>
      </x:c>
      <x:c r="L250" s="23" t="s">
        <x:v>241</x:v>
      </x:c>
      <x:c r="M250" s="23">
        <x:f t="shared" si="3"/>
        <x:v>281</x:v>
      </x:c>
      <x:c r="N250" s="24" t="str">
        <x:f t="array" ref="N250">INDEX('MATCH INFO'!O:O, INT((ROW()-2)/10)+2 + 29)</x:f>
        <x:v>260614_FLC_T1_S1</x:v>
      </x:c>
    </x:row>
    <x:row r="251">
      <x:c r="A251" s="23" t="s">
        <x:v>55</x:v>
      </x:c>
      <x:c r="B251" s="23" t="s">
        <x:v>62</x:v>
      </x:c>
      <x:c r="C251" s="23" t="s">
        <x:v>16</x:v>
      </x:c>
      <x:c r="D251" s="23" t="s">
        <x:v>113</x:v>
      </x:c>
      <x:c r="E251" s="23" t="s">
        <x:v>188</x:v>
      </x:c>
      <x:c r="F251" s="23">
        <x:v>10</x:v>
      </x:c>
      <x:c r="G251" s="23">
        <x:v>1</x:v>
      </x:c>
      <x:c r="H251" s="23">
        <x:v>16</x:v>
      </x:c>
      <x:c r="I251" s="23">
        <x:v>2840</x:v>
      </x:c>
      <x:c r="J251" s="23">
        <x:v>5774</x:v>
      </x:c>
      <x:c r="K251" s="23">
        <x:v>0</x:v>
      </x:c>
      <x:c r="L251" s="23" t="s">
        <x:v>241</x:v>
      </x:c>
      <x:c r="M251" s="23">
        <x:f t="shared" si="3"/>
        <x:v>281</x:v>
      </x:c>
      <x:c r="N251" s="24" t="str">
        <x:f t="array" ref="N251">INDEX('MATCH INFO'!O:O, INT((ROW()-2)/10)+2 + 29)</x:f>
        <x:v>260614_FLC_T1_S1</x:v>
      </x:c>
    </x:row>
    <x:row r="252">
      <x:c r="A252" s="23" t="s">
        <x:v>31</x:v>
      </x:c>
      <x:c r="B252" s="23" t="s">
        <x:v>34</x:v>
      </x:c>
      <x:c r="C252" s="23" t="s">
        <x:v>11</x:v>
      </x:c>
      <x:c r="D252" s="23" t="s">
        <x:v>110</x:v>
      </x:c>
      <x:c r="E252" s="23" t="s">
        <x:v>186</x:v>
      </x:c>
      <x:c r="F252" s="23">
        <x:v>17</x:v>
      </x:c>
      <x:c r="G252" s="23">
        <x:v>9</x:v>
      </x:c>
      <x:c r="H252" s="23">
        <x:v>0</x:v>
      </x:c>
      <x:c r="I252" s="23">
        <x:v>10164</x:v>
      </x:c>
      <x:c r="J252" s="23">
        <x:v>500</x:v>
      </x:c>
      <x:c r="K252" s="23">
        <x:v>0</x:v>
      </x:c>
      <x:c r="L252" s="23" t="s">
        <x:v>242</x:v>
      </x:c>
      <x:c r="M252" s="23">
        <x:f t="shared" si="3"/>
        <x:v>700</x:v>
      </x:c>
      <x:c r="N252" s="24" t="str">
        <x:f t="array" ref="N252">INDEX('MATCH INFO'!O:O, INT((ROW()-2)/10)+2 + 29)</x:f>
        <x:v>260614_FLC_T1_S2</x:v>
      </x:c>
    </x:row>
    <x:row r="253">
      <x:c r="A253" s="23" t="s">
        <x:v>31</x:v>
      </x:c>
      <x:c r="B253" s="23" t="s">
        <x:v>32</x:v>
      </x:c>
      <x:c r="C253" s="23" t="s">
        <x:v>8</x:v>
      </x:c>
      <x:c r="D253" s="23" t="s">
        <x:v>110</x:v>
      </x:c>
      <x:c r="E253" s="23" t="s">
        <x:v>186</x:v>
      </x:c>
      <x:c r="F253" s="23">
        <x:v>17</x:v>
      </x:c>
      <x:c r="G253" s="23">
        <x:v>7</x:v>
      </x:c>
      <x:c r="H253" s="23">
        <x:v>11</x:v>
      </x:c>
      <x:c r="I253" s="23">
        <x:v>14120</x:v>
      </x:c>
      <x:c r="J253" s="23">
        <x:v>4164</x:v>
      </x:c>
      <x:c r="K253" s="23">
        <x:v>7870</x:v>
      </x:c>
      <x:c r="L253" s="23" t="s">
        <x:v>242</x:v>
      </x:c>
      <x:c r="M253" s="23">
        <x:f t="shared" si="3"/>
        <x:v>700</x:v>
      </x:c>
      <x:c r="N253" s="24" t="str">
        <x:f t="array" ref="N253">INDEX('MATCH INFO'!O:O, INT((ROW()-2)/10)+2 + 29)</x:f>
        <x:v>260614_FLC_T1_S2</x:v>
      </x:c>
    </x:row>
    <x:row r="254">
      <x:c r="A254" s="23" t="s">
        <x:v>31</x:v>
      </x:c>
      <x:c r="B254" s="23" t="s">
        <x:v>35</x:v>
      </x:c>
      <x:c r="C254" s="23" t="s">
        <x:v>11</x:v>
      </x:c>
      <x:c r="D254" s="23" t="s">
        <x:v>110</x:v>
      </x:c>
      <x:c r="E254" s="23" t="s">
        <x:v>186</x:v>
      </x:c>
      <x:c r="F254" s="23">
        <x:v>21</x:v>
      </x:c>
      <x:c r="G254" s="23">
        <x:v>7</x:v>
      </x:c>
      <x:c r="H254" s="23">
        <x:v>0</x:v>
      </x:c>
      <x:c r="I254" s="23">
        <x:v>16950</x:v>
      </x:c>
      <x:c r="J254" s="23">
        <x:v>514</x:v>
      </x:c>
      <x:c r="K254" s="23">
        <x:v>1594</x:v>
      </x:c>
      <x:c r="L254" s="23" t="s">
        <x:v>242</x:v>
      </x:c>
      <x:c r="M254" s="23">
        <x:f t="shared" si="3"/>
        <x:v>700</x:v>
      </x:c>
      <x:c r="N254" s="24" t="str">
        <x:f t="array" ref="N254">INDEX('MATCH INFO'!O:O, INT((ROW()-2)/10)+2 + 29)</x:f>
        <x:v>260614_FLC_T1_S2</x:v>
      </x:c>
    </x:row>
    <x:row r="255">
      <x:c r="A255" s="23" t="s">
        <x:v>31</x:v>
      </x:c>
      <x:c r="B255" s="23" t="s">
        <x:v>36</x:v>
      </x:c>
      <x:c r="C255" s="23" t="s">
        <x:v>16</x:v>
      </x:c>
      <x:c r="D255" s="23" t="s">
        <x:v>110</x:v>
      </x:c>
      <x:c r="E255" s="23" t="s">
        <x:v>186</x:v>
      </x:c>
      <x:c r="F255" s="23">
        <x:v>17</x:v>
      </x:c>
      <x:c r="G255" s="23">
        <x:v>7</x:v>
      </x:c>
      <x:c r="H255" s="23">
        <x:v>10</x:v>
      </x:c>
      <x:c r="I255" s="23">
        <x:v>3238</x:v>
      </x:c>
      <x:c r="J255" s="23">
        <x:v>9568</x:v>
      </x:c>
      <x:c r="K255" s="23">
        <x:v>0</x:v>
      </x:c>
      <x:c r="L255" s="23" t="s">
        <x:v>242</x:v>
      </x:c>
      <x:c r="M255" s="23">
        <x:f t="shared" si="3"/>
        <x:v>700</x:v>
      </x:c>
      <x:c r="N255" s="24" t="str">
        <x:f t="array" ref="N255">INDEX('MATCH INFO'!O:O, INT((ROW()-2)/10)+2 + 29)</x:f>
        <x:v>260614_FLC_T1_S2</x:v>
      </x:c>
    </x:row>
    <x:row r="256">
      <x:c r="A256" s="23" t="s">
        <x:v>31</x:v>
      </x:c>
      <x:c r="B256" s="23" t="s">
        <x:v>37</x:v>
      </x:c>
      <x:c r="C256" s="23" t="s">
        <x:v>16</x:v>
      </x:c>
      <x:c r="D256" s="23" t="s">
        <x:v>110</x:v>
      </x:c>
      <x:c r="E256" s="23" t="s">
        <x:v>186</x:v>
      </x:c>
      <x:c r="F256" s="23">
        <x:v>9</x:v>
      </x:c>
      <x:c r="G256" s="23">
        <x:v>9</x:v>
      </x:c>
      <x:c r="H256" s="23">
        <x:v>21</x:v>
      </x:c>
      <x:c r="I256" s="23">
        <x:v>5306</x:v>
      </x:c>
      <x:c r="J256" s="23">
        <x:v>16101</x:v>
      </x:c>
      <x:c r="K256" s="23">
        <x:v>0</x:v>
      </x:c>
      <x:c r="L256" s="23" t="s">
        <x:v>242</x:v>
      </x:c>
      <x:c r="M256" s="23">
        <x:f t="shared" si="3"/>
        <x:v>700</x:v>
      </x:c>
      <x:c r="N256" s="24" t="str">
        <x:f t="array" ref="N256">INDEX('MATCH INFO'!O:O, INT((ROW()-2)/10)+2 + 29)</x:f>
        <x:v>260614_FLC_T1_S2</x:v>
      </x:c>
    </x:row>
    <x:row r="257">
      <x:c r="A257" s="23" t="s">
        <x:v>55</x:v>
      </x:c>
      <x:c r="B257" s="23" t="s">
        <x:v>61</x:v>
      </x:c>
      <x:c r="C257" s="23" t="s">
        <x:v>16</x:v>
      </x:c>
      <x:c r="D257" s="23" t="s">
        <x:v>110</x:v>
      </x:c>
      <x:c r="E257" s="23" t="s">
        <x:v>186</x:v>
      </x:c>
      <x:c r="F257" s="23">
        <x:v>20</x:v>
      </x:c>
      <x:c r="G257" s="23">
        <x:v>7</x:v>
      </x:c>
      <x:c r="H257" s="23">
        <x:v>17</x:v>
      </x:c>
      <x:c r="I257" s="23">
        <x:v>4803</x:v>
      </x:c>
      <x:c r="J257" s="23">
        <x:v>9193</x:v>
      </x:c>
      <x:c r="K257" s="23">
        <x:v>1013</x:v>
      </x:c>
      <x:c r="L257" s="23" t="s">
        <x:v>242</x:v>
      </x:c>
      <x:c r="M257" s="23">
        <x:f t="shared" si="3"/>
        <x:v>700</x:v>
      </x:c>
      <x:c r="N257" s="24" t="str">
        <x:f t="array" ref="N257">INDEX('MATCH INFO'!O:O, INT((ROW()-2)/10)+2 + 29)</x:f>
        <x:v>260614_FLC_T1_S2</x:v>
      </x:c>
    </x:row>
    <x:row r="258">
      <x:c r="A258" s="23" t="s">
        <x:v>55</x:v>
      </x:c>
      <x:c r="B258" s="23" t="s">
        <x:v>59</x:v>
      </x:c>
      <x:c r="C258" s="23" t="s">
        <x:v>11</x:v>
      </x:c>
      <x:c r="D258" s="23" t="s">
        <x:v>110</x:v>
      </x:c>
      <x:c r="E258" s="23" t="s">
        <x:v>186</x:v>
      </x:c>
      <x:c r="F258" s="23">
        <x:v>25</x:v>
      </x:c>
      <x:c r="G258" s="23">
        <x:v>8</x:v>
      </x:c>
      <x:c r="H258" s="23">
        <x:v>3</x:v>
      </x:c>
      <x:c r="I258" s="23">
        <x:v>16976</x:v>
      </x:c>
      <x:c r="J258" s="23">
        <x:v>103</x:v>
      </x:c>
      <x:c r="K258" s="23">
        <x:v>1703</x:v>
      </x:c>
      <x:c r="L258" s="23" t="s">
        <x:v>242</x:v>
      </x:c>
      <x:c r="M258" s="23" t="e">
        <x:f t="shared" ref="M258:M291" si="4">L258*86400</x:f>
        <x:v>#VALUE!</x:v>
      </x:c>
      <x:c r="N258" s="24" t="str">
        <x:f t="array" ref="N258">INDEX('MATCH INFO'!O:O, INT((ROW()-2)/10)+2 + 29)</x:f>
        <x:v>260614_FLC_T1_S2</x:v>
      </x:c>
    </x:row>
    <x:row r="259">
      <x:c r="A259" s="23" t="s">
        <x:v>55</x:v>
      </x:c>
      <x:c r="B259" s="23" t="s">
        <x:v>57</x:v>
      </x:c>
      <x:c r="C259" s="23" t="s">
        <x:v>8</x:v>
      </x:c>
      <x:c r="D259" s="23" t="s">
        <x:v>110</x:v>
      </x:c>
      <x:c r="E259" s="23" t="s">
        <x:v>186</x:v>
      </x:c>
      <x:c r="F259" s="23">
        <x:v>25</x:v>
      </x:c>
      <x:c r="G259" s="23">
        <x:v>7</x:v>
      </x:c>
      <x:c r="H259" s="23">
        <x:v>15</x:v>
      </x:c>
      <x:c r="I259" s="23">
        <x:v>13585</x:v>
      </x:c>
      <x:c r="J259" s="23">
        <x:v>2274</x:v>
      </x:c>
      <x:c r="K259" s="23">
        <x:v>13468</x:v>
      </x:c>
      <x:c r="L259" s="23" t="s">
        <x:v>242</x:v>
      </x:c>
      <x:c r="M259" s="23">
        <x:f t="shared" si="4"/>
        <x:v>700</x:v>
      </x:c>
      <x:c r="N259" s="24" t="str">
        <x:f t="array" ref="N259">INDEX('MATCH INFO'!O:O, INT((ROW()-2)/10)+2 + 29)</x:f>
        <x:v>260614_FLC_T1_S2</x:v>
      </x:c>
    </x:row>
    <x:row r="260">
      <x:c r="A260" s="23" t="s">
        <x:v>55</x:v>
      </x:c>
      <x:c r="B260" s="23" t="s">
        <x:v>60</x:v>
      </x:c>
      <x:c r="C260" s="23" t="s">
        <x:v>11</x:v>
      </x:c>
      <x:c r="D260" s="23" t="s">
        <x:v>110</x:v>
      </x:c>
      <x:c r="E260" s="23" t="s">
        <x:v>186</x:v>
      </x:c>
      <x:c r="F260" s="23">
        <x:v>23</x:v>
      </x:c>
      <x:c r="G260" s="23">
        <x:v>4</x:v>
      </x:c>
      <x:c r="H260" s="23">
        <x:v>0</x:v>
      </x:c>
      <x:c r="I260" s="23">
        <x:v>9627</x:v>
      </x:c>
      <x:c r="J260" s="23">
        <x:v>592</x:v>
      </x:c>
      <x:c r="K260" s="23">
        <x:v>1845</x:v>
      </x:c>
      <x:c r="L260" s="23" t="s">
        <x:v>242</x:v>
      </x:c>
      <x:c r="M260" s="23">
        <x:f t="shared" si="4"/>
        <x:v>700</x:v>
      </x:c>
      <x:c r="N260" s="24" t="str">
        <x:f t="array" ref="N260">INDEX('MATCH INFO'!O:O, INT((ROW()-2)/10)+2 + 29)</x:f>
        <x:v>260614_FLC_T1_S2</x:v>
      </x:c>
    </x:row>
    <x:row r="261">
      <x:c r="A261" s="23" t="s">
        <x:v>55</x:v>
      </x:c>
      <x:c r="B261" s="23" t="s">
        <x:v>62</x:v>
      </x:c>
      <x:c r="C261" s="23" t="s">
        <x:v>16</x:v>
      </x:c>
      <x:c r="D261" s="23" t="s">
        <x:v>110</x:v>
      </x:c>
      <x:c r="E261" s="23" t="s">
        <x:v>186</x:v>
      </x:c>
      <x:c r="F261" s="23">
        <x:v>16</x:v>
      </x:c>
      <x:c r="G261" s="23">
        <x:v>4</x:v>
      </x:c>
      <x:c r="H261" s="23">
        <x:v>26</x:v>
      </x:c>
      <x:c r="I261" s="23">
        <x:v>6928</x:v>
      </x:c>
      <x:c r="J261" s="23">
        <x:v>17628</x:v>
      </x:c>
      <x:c r="K261" s="23">
        <x:v>0</x:v>
      </x:c>
      <x:c r="L261" s="23" t="s">
        <x:v>242</x:v>
      </x:c>
      <x:c r="M261" s="23">
        <x:f t="shared" si="4"/>
        <x:v>700</x:v>
      </x:c>
      <x:c r="N261" s="24" t="str">
        <x:f t="array" ref="N261">INDEX('MATCH INFO'!O:O, INT((ROW()-2)/10)+2 + 29)</x:f>
        <x:v>260614_FLC_T1_S2</x:v>
      </x:c>
    </x:row>
    <x:row r="262">
      <x:c r="A262" s="23" t="s">
        <x:v>72</x:v>
      </x:c>
      <x:c r="B262" s="23" t="s">
        <x:v>76</x:v>
      </x:c>
      <x:c r="C262" s="23" t="s">
        <x:v>11</x:v>
      </x:c>
      <x:c r="D262" s="23" t="s">
        <x:v>116</x:v>
      </x:c>
      <x:c r="E262" s="23" t="s">
        <x:v>184</x:v>
      </x:c>
      <x:c r="F262" s="23">
        <x:v>28</x:v>
      </x:c>
      <x:c r="G262" s="23">
        <x:v>13</x:v>
      </x:c>
      <x:c r="H262" s="23">
        <x:v>11</x:v>
      </x:c>
      <x:c r="I262" s="23">
        <x:v>10663</x:v>
      </x:c>
      <x:c r="J262" s="23">
        <x:v>766</x:v>
      </x:c>
      <x:c r="K262" s="23">
        <x:v>4423</x:v>
      </x:c>
      <x:c r="L262" s="23" t="s">
        <x:v>243</x:v>
      </x:c>
      <x:c r="M262" s="23">
        <x:f t="shared" si="4"/>
        <x:v>913.99999999999989</x:v>
      </x:c>
      <x:c r="N262" s="24" t="str">
        <x:f t="array" ref="N262">INDEX('MATCH INFO'!O:O, INT((ROW()-2)/10)+2 + 29)</x:f>
        <x:v>260614_FLC_T1_S3</x:v>
      </x:c>
    </x:row>
    <x:row r="263">
      <x:c r="A263" s="23" t="s">
        <x:v>72</x:v>
      </x:c>
      <x:c r="B263" s="23" t="s">
        <x:v>78</x:v>
      </x:c>
      <x:c r="C263" s="23" t="s">
        <x:v>16</x:v>
      </x:c>
      <x:c r="D263" s="23" t="s">
        <x:v>116</x:v>
      </x:c>
      <x:c r="E263" s="23" t="s">
        <x:v>184</x:v>
      </x:c>
      <x:c r="F263" s="23">
        <x:v>24</x:v>
      </x:c>
      <x:c r="G263" s="23">
        <x:v>11</x:v>
      </x:c>
      <x:c r="H263" s="23">
        <x:v>34</x:v>
      </x:c>
      <x:c r="I263" s="23">
        <x:v>7845</x:v>
      </x:c>
      <x:c r="J263" s="23">
        <x:v>19712</x:v>
      </x:c>
      <x:c r="K263" s="23">
        <x:v>5374</x:v>
      </x:c>
      <x:c r="L263" s="23" t="s">
        <x:v>243</x:v>
      </x:c>
      <x:c r="M263" s="23">
        <x:f t="shared" si="4"/>
        <x:v>913.99999999999989</x:v>
      </x:c>
      <x:c r="N263" s="24" t="str">
        <x:f t="array" ref="N263">INDEX('MATCH INFO'!O:O, INT((ROW()-2)/10)+2 + 29)</x:f>
        <x:v>260614_FLC_T1_S3</x:v>
      </x:c>
    </x:row>
    <x:row r="264">
      <x:c r="A264" s="23" t="s">
        <x:v>72</x:v>
      </x:c>
      <x:c r="B264" s="23" t="s">
        <x:v>79</x:v>
      </x:c>
      <x:c r="C264" s="23" t="s">
        <x:v>16</x:v>
      </x:c>
      <x:c r="D264" s="23" t="s">
        <x:v>116</x:v>
      </x:c>
      <x:c r="E264" s="23" t="s">
        <x:v>184</x:v>
      </x:c>
      <x:c r="F264" s="23">
        <x:v>19</x:v>
      </x:c>
      <x:c r="G264" s="23">
        <x:v>11</x:v>
      </x:c>
      <x:c r="H264" s="23">
        <x:v>42</x:v>
      </x:c>
      <x:c r="I264" s="23">
        <x:v>6020</x:v>
      </x:c>
      <x:c r="J264" s="23">
        <x:v>17452</x:v>
      </x:c>
      <x:c r="K264" s="23">
        <x:v>0</x:v>
      </x:c>
      <x:c r="L264" s="23" t="s">
        <x:v>243</x:v>
      </x:c>
      <x:c r="M264" s="23">
        <x:f t="shared" si="4"/>
        <x:v>913.99999999999989</x:v>
      </x:c>
      <x:c r="N264" s="24" t="str">
        <x:f t="array" ref="N264">INDEX('MATCH INFO'!O:O, INT((ROW()-2)/10)+2 + 29)</x:f>
        <x:v>260614_FLC_T1_S3</x:v>
      </x:c>
    </x:row>
    <x:row r="265">
      <x:c r="A265" s="23" t="s">
        <x:v>72</x:v>
      </x:c>
      <x:c r="B265" s="23" t="s">
        <x:v>77</x:v>
      </x:c>
      <x:c r="C265" s="23" t="s">
        <x:v>11</x:v>
      </x:c>
      <x:c r="D265" s="23" t="s">
        <x:v>116</x:v>
      </x:c>
      <x:c r="E265" s="23" t="s">
        <x:v>184</x:v>
      </x:c>
      <x:c r="F265" s="23">
        <x:v>34</x:v>
      </x:c>
      <x:c r="G265" s="23">
        <x:v>13</x:v>
      </x:c>
      <x:c r="H265" s="23">
        <x:v>4</x:v>
      </x:c>
      <x:c r="I265" s="23">
        <x:v>17787</x:v>
      </x:c>
      <x:c r="J265" s="23">
        <x:v>1112</x:v>
      </x:c>
      <x:c r="K265" s="23">
        <x:v>2052</x:v>
      </x:c>
      <x:c r="L265" s="23" t="s">
        <x:v>243</x:v>
      </x:c>
      <x:c r="M265" s="23">
        <x:f t="shared" si="4"/>
        <x:v>913.99999999999989</x:v>
      </x:c>
      <x:c r="N265" s="24" t="str">
        <x:f t="array" ref="N265">INDEX('MATCH INFO'!O:O, INT((ROW()-2)/10)+2 + 29)</x:f>
        <x:v>260614_FLC_T1_S3</x:v>
      </x:c>
    </x:row>
    <x:row r="266">
      <x:c r="A266" s="23" t="s">
        <x:v>72</x:v>
      </x:c>
      <x:c r="B266" s="23" t="s">
        <x:v>73</x:v>
      </x:c>
      <x:c r="C266" s="23" t="s">
        <x:v>8</x:v>
      </x:c>
      <x:c r="D266" s="23" t="s">
        <x:v>116</x:v>
      </x:c>
      <x:c r="E266" s="23" t="s">
        <x:v>184</x:v>
      </x:c>
      <x:c r="F266" s="23">
        <x:v>34</x:v>
      </x:c>
      <x:c r="G266" s="23">
        <x:v>9</x:v>
      </x:c>
      <x:c r="H266" s="23">
        <x:v>8</x:v>
      </x:c>
      <x:c r="I266" s="23">
        <x:v>21862</x:v>
      </x:c>
      <x:c r="J266" s="23">
        <x:v>0</x:v>
      </x:c>
      <x:c r="K266" s="23">
        <x:v>31123</x:v>
      </x:c>
      <x:c r="L266" s="23" t="s">
        <x:v>243</x:v>
      </x:c>
      <x:c r="M266" s="23">
        <x:f t="shared" si="4"/>
        <x:v>913.99999999999989</x:v>
      </x:c>
      <x:c r="N266" s="24" t="str">
        <x:f t="array" ref="N266">INDEX('MATCH INFO'!O:O, INT((ROW()-2)/10)+2 + 29)</x:f>
        <x:v>260614_FLC_T1_S3</x:v>
      </x:c>
    </x:row>
    <x:row r="267">
      <x:c r="A267" s="23" t="s">
        <x:v>63</x:v>
      </x:c>
      <x:c r="B267" s="23" t="s">
        <x:v>69</x:v>
      </x:c>
      <x:c r="C267" s="23" t="s">
        <x:v>16</x:v>
      </x:c>
      <x:c r="D267" s="23" t="s">
        <x:v>116</x:v>
      </x:c>
      <x:c r="E267" s="23" t="s">
        <x:v>184</x:v>
      </x:c>
      <x:c r="F267" s="23">
        <x:v>30</x:v>
      </x:c>
      <x:c r="G267" s="23">
        <x:v>9</x:v>
      </x:c>
      <x:c r="H267" s="23">
        <x:v>34</x:v>
      </x:c>
      <x:c r="I267" s="23">
        <x:v>6646</x:v>
      </x:c>
      <x:c r="J267" s="23">
        <x:v>13750</x:v>
      </x:c>
      <x:c r="K267" s="23">
        <x:v>2855</x:v>
      </x:c>
      <x:c r="L267" s="23" t="s">
        <x:v>243</x:v>
      </x:c>
      <x:c r="M267" s="23">
        <x:f t="shared" si="4"/>
        <x:v>913.99999999999989</x:v>
      </x:c>
      <x:c r="N267" s="24" t="str">
        <x:f t="array" ref="N267">INDEX('MATCH INFO'!O:O, INT((ROW()-2)/10)+2 + 29)</x:f>
        <x:v>260614_FLC_T1_S3</x:v>
      </x:c>
    </x:row>
    <x:row r="268">
      <x:c r="A268" s="23" t="s">
        <x:v>63</x:v>
      </x:c>
      <x:c r="B268" s="23" t="s">
        <x:v>64</x:v>
      </x:c>
      <x:c r="C268" s="23" t="s">
        <x:v>8</x:v>
      </x:c>
      <x:c r="D268" s="23" t="s">
        <x:v>116</x:v>
      </x:c>
      <x:c r="E268" s="23" t="s">
        <x:v>184</x:v>
      </x:c>
      <x:c r="F268" s="23">
        <x:v>43</x:v>
      </x:c>
      <x:c r="G268" s="23">
        <x:v>11</x:v>
      </x:c>
      <x:c r="H268" s="23">
        <x:v>26</x:v>
      </x:c>
      <x:c r="I268" s="23">
        <x:v>15518</x:v>
      </x:c>
      <x:c r="J268" s="23">
        <x:v>3699</x:v>
      </x:c>
      <x:c r="K268" s="23">
        <x:v>8999</x:v>
      </x:c>
      <x:c r="L268" s="23" t="s">
        <x:v>243</x:v>
      </x:c>
      <x:c r="M268" s="23">
        <x:f t="shared" si="4"/>
        <x:v>913.99999999999989</x:v>
      </x:c>
      <x:c r="N268" s="24" t="str">
        <x:f t="array" ref="N268">INDEX('MATCH INFO'!O:O, INT((ROW()-2)/10)+2 + 29)</x:f>
        <x:v>260614_FLC_T1_S3</x:v>
      </x:c>
    </x:row>
    <x:row r="269">
      <x:c r="A269" s="23" t="s">
        <x:v>63</x:v>
      </x:c>
      <x:c r="B269" s="23" t="s">
        <x:v>67</x:v>
      </x:c>
      <x:c r="C269" s="23" t="s">
        <x:v>11</x:v>
      </x:c>
      <x:c r="D269" s="23" t="s">
        <x:v>116</x:v>
      </x:c>
      <x:c r="E269" s="23" t="s">
        <x:v>184</x:v>
      </x:c>
      <x:c r="F269" s="23">
        <x:v>37</x:v>
      </x:c>
      <x:c r="G269" s="23">
        <x:v>11</x:v>
      </x:c>
      <x:c r="H269" s="23">
        <x:v>0</x:v>
      </x:c>
      <x:c r="I269" s="23">
        <x:v>19533</x:v>
      </x:c>
      <x:c r="J269" s="23">
        <x:v>0</x:v>
      </x:c>
      <x:c r="K269" s="23">
        <x:v>0</x:v>
      </x:c>
      <x:c r="L269" s="23" t="s">
        <x:v>243</x:v>
      </x:c>
      <x:c r="M269" s="23">
        <x:f t="shared" si="4"/>
        <x:v>913.99999999999989</x:v>
      </x:c>
      <x:c r="N269" s="24" t="str">
        <x:f t="array" ref="N269">INDEX('MATCH INFO'!O:O, INT((ROW()-2)/10)+2 + 29)</x:f>
        <x:v>260614_FLC_T1_S3</x:v>
      </x:c>
    </x:row>
    <x:row r="270">
      <x:c r="A270" s="23" t="s">
        <x:v>63</x:v>
      </x:c>
      <x:c r="B270" s="23" t="s">
        <x:v>70</x:v>
      </x:c>
      <x:c r="C270" s="23" t="s">
        <x:v>16</x:v>
      </x:c>
      <x:c r="D270" s="23" t="s">
        <x:v>116</x:v>
      </x:c>
      <x:c r="E270" s="23" t="s">
        <x:v>184</x:v>
      </x:c>
      <x:c r="F270" s="23">
        <x:v>17</x:v>
      </x:c>
      <x:c r="G270" s="23">
        <x:v>9</x:v>
      </x:c>
      <x:c r="H270" s="23">
        <x:v>40</x:v>
      </x:c>
      <x:c r="I270" s="23">
        <x:v>5743</x:v>
      </x:c>
      <x:c r="J270" s="23">
        <x:v>19079</x:v>
      </x:c>
      <x:c r="K270" s="23">
        <x:v>0</x:v>
      </x:c>
      <x:c r="L270" s="23" t="s">
        <x:v>243</x:v>
      </x:c>
      <x:c r="M270" s="23">
        <x:f t="shared" si="4"/>
        <x:v>913.99999999999989</x:v>
      </x:c>
      <x:c r="N270" s="24" t="str">
        <x:f t="array" ref="N270">INDEX('MATCH INFO'!O:O, INT((ROW()-2)/10)+2 + 29)</x:f>
        <x:v>260614_FLC_T1_S3</x:v>
      </x:c>
    </x:row>
    <x:row r="271">
      <x:c r="A271" s="23" t="s">
        <x:v>63</x:v>
      </x:c>
      <x:c r="B271" s="23" t="s">
        <x:v>66</x:v>
      </x:c>
      <x:c r="C271" s="23" t="s">
        <x:v>11</x:v>
      </x:c>
      <x:c r="D271" s="23" t="s">
        <x:v>116</x:v>
      </x:c>
      <x:c r="E271" s="23" t="s">
        <x:v>184</x:v>
      </x:c>
      <x:c r="F271" s="23">
        <x:v>42</x:v>
      </x:c>
      <x:c r="G271" s="23">
        <x:v>11</x:v>
      </x:c>
      <x:c r="H271" s="23">
        <x:v>0</x:v>
      </x:c>
      <x:c r="I271" s="23">
        <x:v>16802</x:v>
      </x:c>
      <x:c r="J271" s="23">
        <x:v>881</x:v>
      </x:c>
      <x:c r="K271" s="23">
        <x:v>0</x:v>
      </x:c>
      <x:c r="L271" s="23" t="s">
        <x:v>243</x:v>
      </x:c>
      <x:c r="M271" s="23">
        <x:f t="shared" si="4"/>
        <x:v>913.99999999999989</x:v>
      </x:c>
      <x:c r="N271" s="24" t="str">
        <x:f t="array" ref="N271">INDEX('MATCH INFO'!O:O, INT((ROW()-2)/10)+2 + 29)</x:f>
        <x:v>260614_FLC_T1_S3</x:v>
      </x:c>
    </x:row>
    <x:row r="272">
      <x:c r="A272" s="23" t="s">
        <x:v>63</x:v>
      </x:c>
      <x:c r="B272" s="23" t="s">
        <x:v>69</x:v>
      </x:c>
      <x:c r="C272" s="23" t="s">
        <x:v>16</x:v>
      </x:c>
      <x:c r="D272" s="23" t="s">
        <x:v>138</x:v>
      </x:c>
      <x:c r="E272" s="23" t="s">
        <x:v>191</x:v>
      </x:c>
      <x:c r="F272" s="23">
        <x:v>17</x:v>
      </x:c>
      <x:c r="G272" s="23">
        <x:v>7</x:v>
      </x:c>
      <x:c r="H272" s="23">
        <x:v>15</x:v>
      </x:c>
      <x:c r="I272" s="23">
        <x:v>3869</x:v>
      </x:c>
      <x:c r="J272" s="23">
        <x:v>7977</x:v>
      </x:c>
      <x:c r="K272" s="23">
        <x:v>905</x:v>
      </x:c>
      <x:c r="L272" s="23" t="s">
        <x:v>244</x:v>
      </x:c>
      <x:c r="M272" s="23">
        <x:f t="shared" si="4"/>
        <x:v>803.99999999999989</x:v>
      </x:c>
      <x:c r="N272" s="24" t="str">
        <x:f t="array" ref="N272">INDEX('MATCH INFO'!O:O, INT((ROW()-2)/10)+2 + 29)</x:f>
        <x:v>260614_FLC_T1_S4</x:v>
      </x:c>
    </x:row>
    <x:row r="273">
      <x:c r="A273" s="23" t="s">
        <x:v>63</x:v>
      </x:c>
      <x:c r="B273" s="23" t="s">
        <x:v>64</x:v>
      </x:c>
      <x:c r="C273" s="23" t="s">
        <x:v>8</x:v>
      </x:c>
      <x:c r="D273" s="23" t="s">
        <x:v>138</x:v>
      </x:c>
      <x:c r="E273" s="23" t="s">
        <x:v>191</x:v>
      </x:c>
      <x:c r="F273" s="23">
        <x:v>27</x:v>
      </x:c>
      <x:c r="G273" s="23">
        <x:v>8</x:v>
      </x:c>
      <x:c r="H273" s="23">
        <x:v>8</x:v>
      </x:c>
      <x:c r="I273" s="23">
        <x:v>12898</x:v>
      </x:c>
      <x:c r="J273" s="23">
        <x:v>2004</x:v>
      </x:c>
      <x:c r="K273" s="23">
        <x:v>7635</x:v>
      </x:c>
      <x:c r="L273" s="23" t="s">
        <x:v>244</x:v>
      </x:c>
      <x:c r="M273" s="23">
        <x:f t="shared" si="4"/>
        <x:v>803.99999999999989</x:v>
      </x:c>
      <x:c r="N273" s="24" t="str">
        <x:f t="array" ref="N273">INDEX('MATCH INFO'!O:O, INT((ROW()-2)/10)+2 + 29)</x:f>
        <x:v>260614_FLC_T1_S4</x:v>
      </x:c>
    </x:row>
    <x:row r="274">
      <x:c r="A274" s="23" t="s">
        <x:v>63</x:v>
      </x:c>
      <x:c r="B274" s="23" t="s">
        <x:v>67</x:v>
      </x:c>
      <x:c r="C274" s="23" t="s">
        <x:v>11</x:v>
      </x:c>
      <x:c r="D274" s="23" t="s">
        <x:v>138</x:v>
      </x:c>
      <x:c r="E274" s="23" t="s">
        <x:v>191</x:v>
      </x:c>
      <x:c r="F274" s="23">
        <x:v>19</x:v>
      </x:c>
      <x:c r="G274" s="23">
        <x:v>9</x:v>
      </x:c>
      <x:c r="H274" s="23">
        <x:v>0</x:v>
      </x:c>
      <x:c r="I274" s="23">
        <x:v>12244</x:v>
      </x:c>
      <x:c r="J274" s="23">
        <x:v>28</x:v>
      </x:c>
      <x:c r="K274" s="23">
        <x:v>861</x:v>
      </x:c>
      <x:c r="L274" s="23" t="s">
        <x:v>244</x:v>
      </x:c>
      <x:c r="M274" s="23">
        <x:f t="shared" si="4"/>
        <x:v>803.99999999999989</x:v>
      </x:c>
      <x:c r="N274" s="24" t="str">
        <x:f t="array" ref="N274">INDEX('MATCH INFO'!O:O, INT((ROW()-2)/10)+2 + 29)</x:f>
        <x:v>260614_FLC_T1_S4</x:v>
      </x:c>
    </x:row>
    <x:row r="275">
      <x:c r="A275" s="23" t="s">
        <x:v>63</x:v>
      </x:c>
      <x:c r="B275" s="23" t="s">
        <x:v>70</x:v>
      </x:c>
      <x:c r="C275" s="23" t="s">
        <x:v>16</x:v>
      </x:c>
      <x:c r="D275" s="23" t="s">
        <x:v>138</x:v>
      </x:c>
      <x:c r="E275" s="23" t="s">
        <x:v>191</x:v>
      </x:c>
      <x:c r="F275" s="23">
        <x:v>16</x:v>
      </x:c>
      <x:c r="G275" s="23">
        <x:v>8</x:v>
      </x:c>
      <x:c r="H275" s="23">
        <x:v>21</x:v>
      </x:c>
      <x:c r="I275" s="23">
        <x:v>5201</x:v>
      </x:c>
      <x:c r="J275" s="23">
        <x:v>11991</x:v>
      </x:c>
      <x:c r="K275" s="23">
        <x:v>0</x:v>
      </x:c>
      <x:c r="L275" s="23" t="s">
        <x:v>244</x:v>
      </x:c>
      <x:c r="M275" s="23">
        <x:f t="shared" si="4"/>
        <x:v>803.99999999999989</x:v>
      </x:c>
      <x:c r="N275" s="24" t="str">
        <x:f t="array" ref="N275">INDEX('MATCH INFO'!O:O, INT((ROW()-2)/10)+2 + 29)</x:f>
        <x:v>260614_FLC_T1_S4</x:v>
      </x:c>
    </x:row>
    <x:row r="276">
      <x:c r="A276" s="23" t="s">
        <x:v>63</x:v>
      </x:c>
      <x:c r="B276" s="23" t="s">
        <x:v>66</x:v>
      </x:c>
      <x:c r="C276" s="23" t="s">
        <x:v>11</x:v>
      </x:c>
      <x:c r="D276" s="23" t="s">
        <x:v>138</x:v>
      </x:c>
      <x:c r="E276" s="23" t="s">
        <x:v>191</x:v>
      </x:c>
      <x:c r="F276" s="23">
        <x:v>19</x:v>
      </x:c>
      <x:c r="G276" s="23">
        <x:v>7</x:v>
      </x:c>
      <x:c r="H276" s="23">
        <x:v>7</x:v>
      </x:c>
      <x:c r="I276" s="23">
        <x:v>10065</x:v>
      </x:c>
      <x:c r="J276" s="23">
        <x:v>268</x:v>
      </x:c>
      <x:c r="K276" s="23">
        <x:v>337</x:v>
      </x:c>
      <x:c r="L276" s="23" t="s">
        <x:v>244</x:v>
      </x:c>
      <x:c r="M276" s="23">
        <x:f t="shared" si="4"/>
        <x:v>803.99999999999989</x:v>
      </x:c>
      <x:c r="N276" s="24" t="str">
        <x:f t="array" ref="N276">INDEX('MATCH INFO'!O:O, INT((ROW()-2)/10)+2 + 29)</x:f>
        <x:v>260614_FLC_T1_S4</x:v>
      </x:c>
    </x:row>
    <x:row r="277">
      <x:c r="A277" s="23" t="s">
        <x:v>72</x:v>
      </x:c>
      <x:c r="B277" s="23" t="s">
        <x:v>76</x:v>
      </x:c>
      <x:c r="C277" s="23" t="s">
        <x:v>11</x:v>
      </x:c>
      <x:c r="D277" s="23" t="s">
        <x:v>138</x:v>
      </x:c>
      <x:c r="E277" s="23" t="s">
        <x:v>191</x:v>
      </x:c>
      <x:c r="F277" s="23">
        <x:v>24</x:v>
      </x:c>
      <x:c r="G277" s="23">
        <x:v>6</x:v>
      </x:c>
      <x:c r="H277" s="23">
        <x:v>4</x:v>
      </x:c>
      <x:c r="I277" s="23">
        <x:v>7355</x:v>
      </x:c>
      <x:c r="J277" s="23">
        <x:v>73</x:v>
      </x:c>
      <x:c r="K277" s="23">
        <x:v>653</x:v>
      </x:c>
      <x:c r="L277" s="23" t="s">
        <x:v>244</x:v>
      </x:c>
      <x:c r="M277" s="23">
        <x:f t="shared" si="4"/>
        <x:v>803.99999999999989</x:v>
      </x:c>
      <x:c r="N277" s="24" t="str">
        <x:f t="array" ref="N277">INDEX('MATCH INFO'!O:O, INT((ROW()-2)/10)+2 + 29)</x:f>
        <x:v>260614_FLC_T1_S4</x:v>
      </x:c>
    </x:row>
    <x:row r="278">
      <x:c r="A278" s="23" t="s">
        <x:v>72</x:v>
      </x:c>
      <x:c r="B278" s="23" t="s">
        <x:v>78</x:v>
      </x:c>
      <x:c r="C278" s="23" t="s">
        <x:v>16</x:v>
      </x:c>
      <x:c r="D278" s="23" t="s">
        <x:v>138</x:v>
      </x:c>
      <x:c r="E278" s="23" t="s">
        <x:v>191</x:v>
      </x:c>
      <x:c r="F278" s="23">
        <x:v>11</x:v>
      </x:c>
      <x:c r="G278" s="23">
        <x:v>9</x:v>
      </x:c>
      <x:c r="H278" s="23">
        <x:v>22</x:v>
      </x:c>
      <x:c r="I278" s="23">
        <x:v>3437</x:v>
      </x:c>
      <x:c r="J278" s="23">
        <x:v>11091</x:v>
      </x:c>
      <x:c r="K278" s="23">
        <x:v>1255</x:v>
      </x:c>
      <x:c r="L278" s="23" t="s">
        <x:v>244</x:v>
      </x:c>
      <x:c r="M278" s="23">
        <x:f t="shared" si="4"/>
        <x:v>803.99999999999989</x:v>
      </x:c>
      <x:c r="N278" s="24" t="str">
        <x:f t="array" ref="N278">INDEX('MATCH INFO'!O:O, INT((ROW()-2)/10)+2 + 29)</x:f>
        <x:v>260614_FLC_T1_S4</x:v>
      </x:c>
    </x:row>
    <x:row r="279">
      <x:c r="A279" s="23" t="s">
        <x:v>72</x:v>
      </x:c>
      <x:c r="B279" s="23" t="s">
        <x:v>79</x:v>
      </x:c>
      <x:c r="C279" s="23" t="s">
        <x:v>16</x:v>
      </x:c>
      <x:c r="D279" s="23" t="s">
        <x:v>138</x:v>
      </x:c>
      <x:c r="E279" s="23" t="s">
        <x:v>191</x:v>
      </x:c>
      <x:c r="F279" s="23">
        <x:v>12</x:v>
      </x:c>
      <x:c r="G279" s="23">
        <x:v>9</x:v>
      </x:c>
      <x:c r="H279" s="23">
        <x:v>26</x:v>
      </x:c>
      <x:c r="I279" s="23">
        <x:v>5336</x:v>
      </x:c>
      <x:c r="J279" s="23">
        <x:v>13099</x:v>
      </x:c>
      <x:c r="K279" s="23">
        <x:v>0</x:v>
      </x:c>
      <x:c r="L279" s="23" t="s">
        <x:v>244</x:v>
      </x:c>
      <x:c r="M279" s="23">
        <x:f t="shared" si="4"/>
        <x:v>803.99999999999989</x:v>
      </x:c>
      <x:c r="N279" s="24" t="str">
        <x:f t="array" ref="N279">INDEX('MATCH INFO'!O:O, INT((ROW()-2)/10)+2 + 29)</x:f>
        <x:v>260614_FLC_T1_S4</x:v>
      </x:c>
    </x:row>
    <x:row r="280">
      <x:c r="A280" s="23" t="s">
        <x:v>72</x:v>
      </x:c>
      <x:c r="B280" s="23" t="s">
        <x:v>77</x:v>
      </x:c>
      <x:c r="C280" s="23" t="s">
        <x:v>11</x:v>
      </x:c>
      <x:c r="D280" s="23" t="s">
        <x:v>138</x:v>
      </x:c>
      <x:c r="E280" s="23" t="s">
        <x:v>191</x:v>
      </x:c>
      <x:c r="F280" s="23">
        <x:v>30</x:v>
      </x:c>
      <x:c r="G280" s="23">
        <x:v>7</x:v>
      </x:c>
      <x:c r="H280" s="23">
        <x:v>1</x:v>
      </x:c>
      <x:c r="I280" s="23">
        <x:v>16064</x:v>
      </x:c>
      <x:c r="J280" s="23">
        <x:v>223</x:v>
      </x:c>
      <x:c r="K280" s="23">
        <x:v>1971</x:v>
      </x:c>
      <x:c r="L280" s="23" t="s">
        <x:v>244</x:v>
      </x:c>
      <x:c r="M280" s="23">
        <x:f t="shared" si="4"/>
        <x:v>803.99999999999989</x:v>
      </x:c>
      <x:c r="N280" s="24" t="str">
        <x:f t="array" ref="N280">INDEX('MATCH INFO'!O:O, INT((ROW()-2)/10)+2 + 29)</x:f>
        <x:v>260614_FLC_T1_S4</x:v>
      </x:c>
    </x:row>
    <x:row r="281">
      <x:c r="A281" s="23" t="s">
        <x:v>72</x:v>
      </x:c>
      <x:c r="B281" s="23" t="s">
        <x:v>73</x:v>
      </x:c>
      <x:c r="C281" s="23" t="s">
        <x:v>8</x:v>
      </x:c>
      <x:c r="D281" s="23" t="s">
        <x:v>138</x:v>
      </x:c>
      <x:c r="E281" s="23" t="s">
        <x:v>191</x:v>
      </x:c>
      <x:c r="F281" s="23">
        <x:v>20</x:v>
      </x:c>
      <x:c r="G281" s="23">
        <x:v>6</x:v>
      </x:c>
      <x:c r="H281" s="23">
        <x:v>5</x:v>
      </x:c>
      <x:c r="I281" s="23">
        <x:v>12475</x:v>
      </x:c>
      <x:c r="J281" s="23">
        <x:v>623</x:v>
      </x:c>
      <x:c r="K281" s="23">
        <x:v>19741</x:v>
      </x:c>
      <x:c r="L281" s="23" t="s">
        <x:v>244</x:v>
      </x:c>
      <x:c r="M281" s="23">
        <x:f t="shared" si="4"/>
        <x:v>803.99999999999989</x:v>
      </x:c>
      <x:c r="N281" s="24" t="str">
        <x:f t="array" ref="N281">INDEX('MATCH INFO'!O:O, INT((ROW()-2)/10)+2 + 29)</x:f>
        <x:v>260614_FLC_T1_S4</x:v>
      </x:c>
    </x:row>
    <x:row r="282">
      <x:c r="A282" s="23" t="s">
        <x:v>63</x:v>
      </x:c>
      <x:c r="B282" s="23" t="s">
        <x:v>69</x:v>
      </x:c>
      <x:c r="C282" s="23" t="s">
        <x:v>16</x:v>
      </x:c>
      <x:c r="D282" s="23" t="s">
        <x:v>124</x:v>
      </x:c>
      <x:c r="E282" s="23" t="s">
        <x:v>186</x:v>
      </x:c>
      <x:c r="F282" s="23">
        <x:v>23</x:v>
      </x:c>
      <x:c r="G282" s="23">
        <x:v>1</x:v>
      </x:c>
      <x:c r="H282" s="23">
        <x:v>19</x:v>
      </x:c>
      <x:c r="I282" s="23">
        <x:v>3204</x:v>
      </x:c>
      <x:c r="J282" s="23">
        <x:v>5452</x:v>
      </x:c>
      <x:c r="K282" s="23">
        <x:v>482</x:v>
      </x:c>
      <x:c r="L282" s="23" t="s">
        <x:v>245</x:v>
      </x:c>
      <x:c r="M282" s="23">
        <x:f t="shared" si="4"/>
        <x:v>447.00000000000006</x:v>
      </x:c>
      <x:c r="N282" s="24" t="str">
        <x:f t="array" ref="N282">INDEX('MATCH INFO'!O:O, INT((ROW()-2)/10)+2 + 29)</x:f>
        <x:v>260614_FLC_T1_S5</x:v>
      </x:c>
    </x:row>
    <x:row r="283">
      <x:c r="A283" s="23" t="s">
        <x:v>63</x:v>
      </x:c>
      <x:c r="B283" s="23" t="s">
        <x:v>64</x:v>
      </x:c>
      <x:c r="C283" s="23" t="s">
        <x:v>8</x:v>
      </x:c>
      <x:c r="D283" s="23" t="s">
        <x:v>124</x:v>
      </x:c>
      <x:c r="E283" s="23" t="s">
        <x:v>186</x:v>
      </x:c>
      <x:c r="F283" s="23">
        <x:v>30</x:v>
      </x:c>
      <x:c r="G283" s="23">
        <x:v>2</x:v>
      </x:c>
      <x:c r="H283" s="23">
        <x:v>20</x:v>
      </x:c>
      <x:c r="I283" s="23">
        <x:v>9793</x:v>
      </x:c>
      <x:c r="J283" s="23">
        <x:v>2448</x:v>
      </x:c>
      <x:c r="K283" s="23">
        <x:v>5153</x:v>
      </x:c>
      <x:c r="L283" s="23" t="s">
        <x:v>245</x:v>
      </x:c>
      <x:c r="M283" s="23">
        <x:f t="shared" si="4"/>
        <x:v>447.00000000000006</x:v>
      </x:c>
      <x:c r="N283" s="24" t="str">
        <x:f t="array" ref="N283">INDEX('MATCH INFO'!O:O, INT((ROW()-2)/10)+2 + 29)</x:f>
        <x:v>260614_FLC_T1_S5</x:v>
      </x:c>
    </x:row>
    <x:row r="284">
      <x:c r="A284" s="23" t="s">
        <x:v>63</x:v>
      </x:c>
      <x:c r="B284" s="23" t="s">
        <x:v>67</x:v>
      </x:c>
      <x:c r="C284" s="23" t="s">
        <x:v>11</x:v>
      </x:c>
      <x:c r="D284" s="23" t="s">
        <x:v>124</x:v>
      </x:c>
      <x:c r="E284" s="23" t="s">
        <x:v>186</x:v>
      </x:c>
      <x:c r="F284" s="23">
        <x:v>27</x:v>
      </x:c>
      <x:c r="G284" s="23">
        <x:v>3</x:v>
      </x:c>
      <x:c r="H284" s="23">
        <x:v>0</x:v>
      </x:c>
      <x:c r="I284" s="23">
        <x:v>9284</x:v>
      </x:c>
      <x:c r="J284" s="23">
        <x:v>0</x:v>
      </x:c>
      <x:c r="K284" s="23">
        <x:v>0</x:v>
      </x:c>
      <x:c r="L284" s="23" t="s">
        <x:v>245</x:v>
      </x:c>
      <x:c r="M284" s="23">
        <x:f t="shared" si="4"/>
        <x:v>447.00000000000006</x:v>
      </x:c>
      <x:c r="N284" s="24" t="str">
        <x:f t="array" ref="N284">INDEX('MATCH INFO'!O:O, INT((ROW()-2)/10)+2 + 29)</x:f>
        <x:v>260614_FLC_T1_S5</x:v>
      </x:c>
    </x:row>
    <x:row r="285">
      <x:c r="A285" s="23" t="s">
        <x:v>63</x:v>
      </x:c>
      <x:c r="B285" s="23" t="s">
        <x:v>70</x:v>
      </x:c>
      <x:c r="C285" s="23" t="s">
        <x:v>16</x:v>
      </x:c>
      <x:c r="D285" s="23" t="s">
        <x:v>124</x:v>
      </x:c>
      <x:c r="E285" s="23" t="s">
        <x:v>186</x:v>
      </x:c>
      <x:c r="F285" s="23">
        <x:v>14</x:v>
      </x:c>
      <x:c r="G285" s="23">
        <x:v>3</x:v>
      </x:c>
      <x:c r="H285" s="23">
        <x:v>31</x:v>
      </x:c>
      <x:c r="I285" s="23">
        <x:v>3701</x:v>
      </x:c>
      <x:c r="J285" s="23">
        <x:v>7454</x:v>
      </x:c>
      <x:c r="K285" s="23">
        <x:v>0</x:v>
      </x:c>
      <x:c r="L285" s="23" t="s">
        <x:v>245</x:v>
      </x:c>
      <x:c r="M285" s="23">
        <x:f t="shared" si="4"/>
        <x:v>447.00000000000006</x:v>
      </x:c>
      <x:c r="N285" s="24" t="str">
        <x:f t="array" ref="N285">INDEX('MATCH INFO'!O:O, INT((ROW()-2)/10)+2 + 29)</x:f>
        <x:v>260614_FLC_T1_S5</x:v>
      </x:c>
    </x:row>
    <x:row r="286">
      <x:c r="A286" s="23" t="s">
        <x:v>63</x:v>
      </x:c>
      <x:c r="B286" s="23" t="s">
        <x:v>66</x:v>
      </x:c>
      <x:c r="C286" s="23" t="s">
        <x:v>11</x:v>
      </x:c>
      <x:c r="D286" s="23" t="s">
        <x:v>124</x:v>
      </x:c>
      <x:c r="E286" s="23" t="s">
        <x:v>186</x:v>
      </x:c>
      <x:c r="F286" s="23">
        <x:v>27</x:v>
      </x:c>
      <x:c r="G286" s="23">
        <x:v>4</x:v>
      </x:c>
      <x:c r="H286" s="23">
        <x:v>7</x:v>
      </x:c>
      <x:c r="I286" s="23">
        <x:v>8237</x:v>
      </x:c>
      <x:c r="J286" s="23">
        <x:v>309</x:v>
      </x:c>
      <x:c r="K286" s="23">
        <x:v>375</x:v>
      </x:c>
      <x:c r="L286" s="23" t="s">
        <x:v>245</x:v>
      </x:c>
      <x:c r="M286" s="23">
        <x:f t="shared" si="4"/>
        <x:v>447.00000000000006</x:v>
      </x:c>
      <x:c r="N286" s="24" t="str">
        <x:f t="array" ref="N286">INDEX('MATCH INFO'!O:O, INT((ROW()-2)/10)+2 + 29)</x:f>
        <x:v>260614_FLC_T1_S5</x:v>
      </x:c>
    </x:row>
    <x:row r="287">
      <x:c r="A287" s="23" t="s">
        <x:v>72</x:v>
      </x:c>
      <x:c r="B287" s="23" t="s">
        <x:v>78</x:v>
      </x:c>
      <x:c r="C287" s="23" t="s">
        <x:v>16</x:v>
      </x:c>
      <x:c r="D287" s="23" t="s">
        <x:v>124</x:v>
      </x:c>
      <x:c r="E287" s="23" t="s">
        <x:v>186</x:v>
      </x:c>
      <x:c r="F287" s="23">
        <x:v>4</x:v>
      </x:c>
      <x:c r="G287" s="23">
        <x:v>7</x:v>
      </x:c>
      <x:c r="H287" s="23">
        <x:v>6</x:v>
      </x:c>
      <x:c r="I287" s="23">
        <x:v>2661</x:v>
      </x:c>
      <x:c r="J287" s="23">
        <x:v>5198</x:v>
      </x:c>
      <x:c r="K287" s="23">
        <x:v>2173</x:v>
      </x:c>
      <x:c r="L287" s="23" t="s">
        <x:v>245</x:v>
      </x:c>
      <x:c r="M287" s="23">
        <x:f t="shared" si="4"/>
        <x:v>447.00000000000006</x:v>
      </x:c>
      <x:c r="N287" s="24" t="str">
        <x:f t="array" ref="N287">INDEX('MATCH INFO'!O:O, INT((ROW()-2)/10)+2 + 29)</x:f>
        <x:v>260614_FLC_T1_S5</x:v>
      </x:c>
    </x:row>
    <x:row r="288">
      <x:c r="A288" s="23" t="s">
        <x:v>72</x:v>
      </x:c>
      <x:c r="B288" s="23" t="s">
        <x:v>79</x:v>
      </x:c>
      <x:c r="C288" s="23" t="s">
        <x:v>16</x:v>
      </x:c>
      <x:c r="D288" s="23" t="s">
        <x:v>124</x:v>
      </x:c>
      <x:c r="E288" s="23" t="s">
        <x:v>186</x:v>
      </x:c>
      <x:c r="F288" s="23">
        <x:v>7</x:v>
      </x:c>
      <x:c r="G288" s="23">
        <x:v>7</x:v>
      </x:c>
      <x:c r="H288" s="23">
        <x:v>7</x:v>
      </x:c>
      <x:c r="I288" s="23">
        <x:v>3670</x:v>
      </x:c>
      <x:c r="J288" s="23">
        <x:v>7347</x:v>
      </x:c>
      <x:c r="K288" s="23">
        <x:v>0</x:v>
      </x:c>
      <x:c r="L288" s="23" t="s">
        <x:v>245</x:v>
      </x:c>
      <x:c r="M288" s="23">
        <x:f t="shared" si="4"/>
        <x:v>447.00000000000006</x:v>
      </x:c>
      <x:c r="N288" s="24" t="str">
        <x:f t="array" ref="N288">INDEX('MATCH INFO'!O:O, INT((ROW()-2)/10)+2 + 29)</x:f>
        <x:v>260614_FLC_T1_S5</x:v>
      </x:c>
    </x:row>
    <x:row r="289">
      <x:c r="A289" s="23" t="s">
        <x:v>72</x:v>
      </x:c>
      <x:c r="B289" s="23" t="s">
        <x:v>74</x:v>
      </x:c>
      <x:c r="C289" s="23" t="s">
        <x:v>8</x:v>
      </x:c>
      <x:c r="D289" s="23" t="s">
        <x:v>124</x:v>
      </x:c>
      <x:c r="E289" s="23" t="s">
        <x:v>186</x:v>
      </x:c>
      <x:c r="F289" s="23">
        <x:v>8</x:v>
      </x:c>
      <x:c r="G289" s="23">
        <x:v>9</x:v>
      </x:c>
      <x:c r="H289" s="23">
        <x:v>6</x:v>
      </x:c>
      <x:c r="I289" s="23">
        <x:v>5874</x:v>
      </x:c>
      <x:c r="J289" s="23">
        <x:v>2083</x:v>
      </x:c>
      <x:c r="K289" s="23">
        <x:v>4282</x:v>
      </x:c>
      <x:c r="L289" s="23" t="s">
        <x:v>245</x:v>
      </x:c>
      <x:c r="M289" s="23">
        <x:f t="shared" si="4"/>
        <x:v>447.00000000000006</x:v>
      </x:c>
      <x:c r="N289" s="24" t="str">
        <x:f t="array" ref="N289">INDEX('MATCH INFO'!O:O, INT((ROW()-2)/10)+2 + 29)</x:f>
        <x:v>260614_FLC_T1_S5</x:v>
      </x:c>
    </x:row>
    <x:row r="290">
      <x:c r="A290" s="23" t="s">
        <x:v>72</x:v>
      </x:c>
      <x:c r="B290" s="23" t="s">
        <x:v>77</x:v>
      </x:c>
      <x:c r="C290" s="23" t="s">
        <x:v>11</x:v>
      </x:c>
      <x:c r="D290" s="23" t="s">
        <x:v>124</x:v>
      </x:c>
      <x:c r="E290" s="23" t="s">
        <x:v>186</x:v>
      </x:c>
      <x:c r="F290" s="23">
        <x:v>5</x:v>
      </x:c>
      <x:c r="G290" s="23">
        <x:v>9</x:v>
      </x:c>
      <x:c r="H290" s="23">
        <x:v>0</x:v>
      </x:c>
      <x:c r="I290" s="23">
        <x:v>6360</x:v>
      </x:c>
      <x:c r="J290" s="23">
        <x:v>0</x:v>
      </x:c>
      <x:c r="K290" s="23">
        <x:v>0</x:v>
      </x:c>
      <x:c r="L290" s="23" t="s">
        <x:v>245</x:v>
      </x:c>
      <x:c r="M290" s="23">
        <x:f t="shared" si="4"/>
        <x:v>447.00000000000006</x:v>
      </x:c>
      <x:c r="N290" s="24" t="str">
        <x:f t="array" ref="N290">INDEX('MATCH INFO'!O:O, INT((ROW()-2)/10)+2 + 29)</x:f>
        <x:v>260614_FLC_T1_S5</x:v>
      </x:c>
    </x:row>
    <x:row r="291">
      <x:c r="A291" s="23" t="s">
        <x:v>72</x:v>
      </x:c>
      <x:c r="B291" s="23" t="s">
        <x:v>75</x:v>
      </x:c>
      <x:c r="C291" s="23" t="s">
        <x:v>11</x:v>
      </x:c>
      <x:c r="D291" s="23" t="s">
        <x:v>124</x:v>
      </x:c>
      <x:c r="E291" s="23" t="s">
        <x:v>186</x:v>
      </x:c>
      <x:c r="F291" s="23">
        <x:v>11</x:v>
      </x:c>
      <x:c r="G291" s="23">
        <x:v>8</x:v>
      </x:c>
      <x:c r="H291" s="23">
        <x:v>0</x:v>
      </x:c>
      <x:c r="I291" s="23">
        <x:v>5798</x:v>
      </x:c>
      <x:c r="J291" s="23">
        <x:v>615</x:v>
      </x:c>
      <x:c r="K291" s="23">
        <x:v>0</x:v>
      </x:c>
      <x:c r="L291" s="23" t="s">
        <x:v>245</x:v>
      </x:c>
      <x:c r="M291" s="23">
        <x:f t="shared" si="4"/>
        <x:v>447.00000000000006</x:v>
      </x:c>
      <x:c r="N291" s="24" t="str">
        <x:f t="array" ref="N291">INDEX('MATCH INFO'!O:O, INT((ROW()-2)/10)+2 + 29)</x:f>
        <x:v>260614_FLC_T1_S5</x:v>
      </x:c>
    </x:row>
  </x:sheetData>
  <x:conditionalFormatting sqref="A2:N291">
    <x:cfRule type="expression" dxfId="9" priority="1">
      <x:formula>MOD(ROW()-1, 10)=0</x:formula>
    </x:cfRule>
    <x:cfRule type="expression" dxfId="8" priority="2">
      <x:formula>MOD(INT((ROW()-2)/10), 2)=1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8"/>
  <x:cols>
    <x:col min="2" max="2" width="10.85546875" style="3" customWidth="1"/>
    <x:col min="3" max="3" width="8.7109375" style="3" customWidth="1"/>
    <x:col min="4" max="4" width="15.28515625" style="3" customWidth="1"/>
    <x:col min="5" max="12" width="8.7109375" style="3" customWidth="1"/>
    <x:col min="13" max="13" width="16.7109375" style="3" customWidth="1"/>
    <x:col min="14" max="14" width="22.28515625" style="3" customWidth="1"/>
  </x:cols>
  <x:sheetData>
    <x:row r="1">
      <x:c r="A1" s="22" t="s">
        <x:v>171</x:v>
      </x:c>
      <x:c r="B1" s="22" t="s">
        <x:v>172</x:v>
      </x:c>
      <x:c r="C1" s="22" t="s">
        <x:v>173</x:v>
      </x:c>
      <x:c r="D1" s="22" t="s">
        <x:v>174</x:v>
      </x:c>
      <x:c r="E1" s="22" t="s">
        <x:v>175</x:v>
      </x:c>
      <x:c r="F1" s="22" t="s">
        <x:v>176</x:v>
      </x:c>
      <x:c r="G1" s="22" t="s">
        <x:v>177</x:v>
      </x:c>
      <x:c r="H1" s="22" t="s">
        <x:v>178</x:v>
      </x:c>
      <x:c r="I1" s="22" t="s">
        <x:v>179</x:v>
      </x:c>
      <x:c r="J1" s="22" t="s">
        <x:v>180</x:v>
      </x:c>
      <x:c r="K1" s="22" t="s">
        <x:v>181</x:v>
      </x:c>
      <x:c r="L1" s="22" t="s">
        <x:v>182</x:v>
      </x:c>
      <x:c r="M1" s="4" t="s">
        <x:v>183</x:v>
      </x:c>
      <x:c r="N1" s="7" t="s">
        <x:v>103</x:v>
      </x:c>
    </x:row>
    <x:row r="2">
      <x:c r="A2" s="23" t="s">
        <x:v>22</x:v>
      </x:c>
      <x:c r="B2" s="23" t="s">
        <x:v>25</x:v>
      </x:c>
      <x:c r="C2" s="23" t="s">
        <x:v>11</x:v>
      </x:c>
      <x:c r="D2" s="23" t="s">
        <x:v>107</x:v>
      </x:c>
      <x:c r="E2" s="23" t="s">
        <x:v>184</x:v>
      </x:c>
      <x:c r="F2" s="23">
        <x:v>30</x:v>
      </x:c>
      <x:c r="G2" s="23">
        <x:v>7</x:v>
      </x:c>
      <x:c r="H2" s="23">
        <x:v>6</x:v>
      </x:c>
      <x:c r="I2" s="23">
        <x:v>14489</x:v>
      </x:c>
      <x:c r="J2" s="23">
        <x:v>455</x:v>
      </x:c>
      <x:c r="K2" s="23">
        <x:v>660</x:v>
      </x:c>
      <x:c r="L2" s="23" t="s">
        <x:v>246</x:v>
      </x:c>
      <x:c r="M2" s="23" t="e">
        <x:f t="shared" ref="M2:M65" si="0">L2*86400</x:f>
        <x:v>#VALUE!</x:v>
      </x:c>
      <x:c r="N2" s="24" t="str">
        <x:f t="array" ref="N2">INDEX('MATCH INFO'!O:O, INT((ROW()-2)/10)+2 + 29+29)</x:f>
        <x:v>260619_ROZE_CB_S1</x:v>
      </x:c>
    </x:row>
    <x:row r="3">
      <x:c r="A3" s="23" t="s">
        <x:v>22</x:v>
      </x:c>
      <x:c r="B3" s="23" t="s">
        <x:v>24</x:v>
      </x:c>
      <x:c r="C3" s="23" t="s">
        <x:v>8</x:v>
      </x:c>
      <x:c r="D3" s="23" t="s">
        <x:v>107</x:v>
      </x:c>
      <x:c r="E3" s="23" t="s">
        <x:v>184</x:v>
      </x:c>
      <x:c r="F3" s="23">
        <x:v>29</x:v>
      </x:c>
      <x:c r="G3" s="23">
        <x:v>4</x:v>
      </x:c>
      <x:c r="H3" s="23">
        <x:v>9</x:v>
      </x:c>
      <x:c r="I3" s="23">
        <x:v>10005</x:v>
      </x:c>
      <x:c r="J3" s="23">
        <x:v>1867</x:v>
      </x:c>
      <x:c r="K3" s="23">
        <x:v>7876</x:v>
      </x:c>
      <x:c r="L3" s="23" t="s">
        <x:v>246</x:v>
      </x:c>
      <x:c r="M3" s="23">
        <x:f t="shared" si="0"/>
        <x:v>832.00000000000011</x:v>
      </x:c>
      <x:c r="N3" s="24" t="str">
        <x:f t="array" ref="N3">INDEX('MATCH INFO'!O:O, INT((ROW()-2)/10)+2 + 29+29)</x:f>
        <x:v>260619_ROZE_CB_S1</x:v>
      </x:c>
    </x:row>
    <x:row r="4">
      <x:c r="A4" s="23" t="s">
        <x:v>22</x:v>
      </x:c>
      <x:c r="B4" s="23" t="s">
        <x:v>29</x:v>
      </x:c>
      <x:c r="C4" s="23" t="s">
        <x:v>16</x:v>
      </x:c>
      <x:c r="D4" s="23" t="s">
        <x:v>107</x:v>
      </x:c>
      <x:c r="E4" s="23" t="s">
        <x:v>184</x:v>
      </x:c>
      <x:c r="F4" s="23">
        <x:v>17</x:v>
      </x:c>
      <x:c r="G4" s="23">
        <x:v>7</x:v>
      </x:c>
      <x:c r="H4" s="23">
        <x:v>24</x:v>
      </x:c>
      <x:c r="I4" s="23">
        <x:v>8525</x:v>
      </x:c>
      <x:c r="J4" s="23">
        <x:v>7263</x:v>
      </x:c>
      <x:c r="K4" s="23">
        <x:v>512</x:v>
      </x:c>
      <x:c r="L4" s="23" t="s">
        <x:v>246</x:v>
      </x:c>
      <x:c r="M4" s="23">
        <x:f t="shared" si="0"/>
        <x:v>832.00000000000011</x:v>
      </x:c>
      <x:c r="N4" s="24" t="str">
        <x:f t="array" ref="N4">INDEX('MATCH INFO'!O:O, INT((ROW()-2)/10)+2 + 29+29)</x:f>
        <x:v>260619_ROZE_CB_S1</x:v>
      </x:c>
    </x:row>
    <x:row r="5">
      <x:c r="A5" s="23" t="s">
        <x:v>22</x:v>
      </x:c>
      <x:c r="B5" s="23" t="s">
        <x:v>26</x:v>
      </x:c>
      <x:c r="C5" s="23" t="s">
        <x:v>11</x:v>
      </x:c>
      <x:c r="D5" s="23" t="s">
        <x:v>107</x:v>
      </x:c>
      <x:c r="E5" s="23" t="s">
        <x:v>184</x:v>
      </x:c>
      <x:c r="F5" s="23">
        <x:v>26</x:v>
      </x:c>
      <x:c r="G5" s="23">
        <x:v>10</x:v>
      </x:c>
      <x:c r="H5" s="23">
        <x:v>3</x:v>
      </x:c>
      <x:c r="I5" s="23">
        <x:v>13794</x:v>
      </x:c>
      <x:c r="J5" s="23">
        <x:v>0</x:v>
      </x:c>
      <x:c r="K5" s="23">
        <x:v>860</x:v>
      </x:c>
      <x:c r="L5" s="23" t="s">
        <x:v>246</x:v>
      </x:c>
      <x:c r="M5" s="23">
        <x:f t="shared" si="0"/>
        <x:v>832.00000000000011</x:v>
      </x:c>
      <x:c r="N5" s="24" t="str">
        <x:f t="array" ref="N5">INDEX('MATCH INFO'!O:O, INT((ROW()-2)/10)+2 + 29+29)</x:f>
        <x:v>260619_ROZE_CB_S1</x:v>
      </x:c>
    </x:row>
    <x:row r="6">
      <x:c r="A6" s="23" t="s">
        <x:v>22</x:v>
      </x:c>
      <x:c r="B6" s="23" t="s">
        <x:v>28</x:v>
      </x:c>
      <x:c r="C6" s="23" t="s">
        <x:v>16</x:v>
      </x:c>
      <x:c r="D6" s="23" t="s">
        <x:v>107</x:v>
      </x:c>
      <x:c r="E6" s="23" t="s">
        <x:v>184</x:v>
      </x:c>
      <x:c r="F6" s="23">
        <x:v>15</x:v>
      </x:c>
      <x:c r="G6" s="23">
        <x:v>5</x:v>
      </x:c>
      <x:c r="H6" s="23">
        <x:v>20</x:v>
      </x:c>
      <x:c r="I6" s="23">
        <x:v>2695</x:v>
      </x:c>
      <x:c r="J6" s="23">
        <x:v>10386</x:v>
      </x:c>
      <x:c r="K6" s="23">
        <x:v>0</x:v>
      </x:c>
      <x:c r="L6" s="23" t="s">
        <x:v>246</x:v>
      </x:c>
      <x:c r="M6" s="23">
        <x:f t="shared" si="0"/>
        <x:v>832.00000000000011</x:v>
      </x:c>
      <x:c r="N6" s="24" t="str">
        <x:f t="array" ref="N6">INDEX('MATCH INFO'!O:O, INT((ROW()-2)/10)+2 + 29+29)</x:f>
        <x:v>260619_ROZE_CB_S1</x:v>
      </x:c>
    </x:row>
    <x:row r="7">
      <x:c r="A7" s="23" t="s">
        <x:v>31</x:v>
      </x:c>
      <x:c r="B7" s="23" t="s">
        <x:v>34</x:v>
      </x:c>
      <x:c r="C7" s="23" t="s">
        <x:v>11</x:v>
      </x:c>
      <x:c r="D7" s="23" t="s">
        <x:v>107</x:v>
      </x:c>
      <x:c r="E7" s="23" t="s">
        <x:v>184</x:v>
      </x:c>
      <x:c r="F7" s="23">
        <x:v>18</x:v>
      </x:c>
      <x:c r="G7" s="23">
        <x:v>9</x:v>
      </x:c>
      <x:c r="H7" s="23">
        <x:v>3</x:v>
      </x:c>
      <x:c r="I7" s="23">
        <x:v>12526</x:v>
      </x:c>
      <x:c r="J7" s="23">
        <x:v>0</x:v>
      </x:c>
      <x:c r="K7" s="23">
        <x:v>503</x:v>
      </x:c>
      <x:c r="L7" s="23" t="s">
        <x:v>246</x:v>
      </x:c>
      <x:c r="M7" s="23">
        <x:f t="shared" si="0"/>
        <x:v>832.00000000000011</x:v>
      </x:c>
      <x:c r="N7" s="24" t="str">
        <x:f t="array" ref="N7">INDEX('MATCH INFO'!O:O, INT((ROW()-2)/10)+2 + 29+29)</x:f>
        <x:v>260619_ROZE_CB_S1</x:v>
      </x:c>
    </x:row>
    <x:row r="8">
      <x:c r="A8" s="23" t="s">
        <x:v>31</x:v>
      </x:c>
      <x:c r="B8" s="23" t="s">
        <x:v>32</x:v>
      </x:c>
      <x:c r="C8" s="23" t="s">
        <x:v>8</x:v>
      </x:c>
      <x:c r="D8" s="23" t="s">
        <x:v>107</x:v>
      </x:c>
      <x:c r="E8" s="23" t="s">
        <x:v>184</x:v>
      </x:c>
      <x:c r="F8" s="23">
        <x:v>13</x:v>
      </x:c>
      <x:c r="G8" s="23">
        <x:v>9</x:v>
      </x:c>
      <x:c r="H8" s="23">
        <x:v>0</x:v>
      </x:c>
      <x:c r="I8" s="23">
        <x:v>9539</x:v>
      </x:c>
      <x:c r="J8" s="23">
        <x:v>5685</x:v>
      </x:c>
      <x:c r="K8" s="23">
        <x:v>2066</x:v>
      </x:c>
      <x:c r="L8" s="23" t="s">
        <x:v>246</x:v>
      </x:c>
      <x:c r="M8" s="23">
        <x:f t="shared" si="0"/>
        <x:v>832.00000000000011</x:v>
      </x:c>
      <x:c r="N8" s="24" t="str">
        <x:f t="array" ref="N8">INDEX('MATCH INFO'!O:O, INT((ROW()-2)/10)+2 + 29+29)</x:f>
        <x:v>260619_ROZE_CB_S1</x:v>
      </x:c>
    </x:row>
    <x:row r="9">
      <x:c r="A9" s="23" t="s">
        <x:v>31</x:v>
      </x:c>
      <x:c r="B9" s="23" t="s">
        <x:v>35</x:v>
      </x:c>
      <x:c r="C9" s="23" t="s">
        <x:v>11</x:v>
      </x:c>
      <x:c r="D9" s="23" t="s">
        <x:v>107</x:v>
      </x:c>
      <x:c r="E9" s="23" t="s">
        <x:v>184</x:v>
      </x:c>
      <x:c r="F9" s="23">
        <x:v>20</x:v>
      </x:c>
      <x:c r="G9" s="23">
        <x:v>12</x:v>
      </x:c>
      <x:c r="H9" s="23">
        <x:v>1</x:v>
      </x:c>
      <x:c r="I9" s="23">
        <x:v>13718</x:v>
      </x:c>
      <x:c r="J9" s="23">
        <x:v>0</x:v>
      </x:c>
      <x:c r="K9" s="23">
        <x:v>418</x:v>
      </x:c>
      <x:c r="L9" s="23" t="s">
        <x:v>246</x:v>
      </x:c>
      <x:c r="M9" s="23">
        <x:f t="shared" si="0"/>
        <x:v>832.00000000000011</x:v>
      </x:c>
      <x:c r="N9" s="24" t="str">
        <x:f t="array" ref="N9">INDEX('MATCH INFO'!O:O, INT((ROW()-2)/10)+2 + 29+29)</x:f>
        <x:v>260619_ROZE_CB_S1</x:v>
      </x:c>
    </x:row>
    <x:row r="10">
      <x:c r="A10" s="23" t="s">
        <x:v>31</x:v>
      </x:c>
      <x:c r="B10" s="23" t="s">
        <x:v>36</x:v>
      </x:c>
      <x:c r="C10" s="23" t="s">
        <x:v>16</x:v>
      </x:c>
      <x:c r="D10" s="23" t="s">
        <x:v>107</x:v>
      </x:c>
      <x:c r="E10" s="23" t="s">
        <x:v>184</x:v>
      </x:c>
      <x:c r="F10" s="23">
        <x:v>15</x:v>
      </x:c>
      <x:c r="G10" s="23">
        <x:v>8</x:v>
      </x:c>
      <x:c r="H10" s="23">
        <x:v>19</x:v>
      </x:c>
      <x:c r="I10" s="23">
        <x:v>5087</x:v>
      </x:c>
      <x:c r="J10" s="23">
        <x:v>10222</x:v>
      </x:c>
      <x:c r="K10" s="23">
        <x:v>2500</x:v>
      </x:c>
      <x:c r="L10" s="23" t="s">
        <x:v>246</x:v>
      </x:c>
      <x:c r="M10" s="23">
        <x:f t="shared" si="0"/>
        <x:v>832.00000000000011</x:v>
      </x:c>
      <x:c r="N10" s="24" t="str">
        <x:f t="array" ref="N10">INDEX('MATCH INFO'!O:O, INT((ROW()-2)/10)+2 + 29+29)</x:f>
        <x:v>260619_ROZE_CB_S1</x:v>
      </x:c>
    </x:row>
    <x:row r="11">
      <x:c r="A11" s="23" t="s">
        <x:v>31</x:v>
      </x:c>
      <x:c r="B11" s="23" t="s">
        <x:v>37</x:v>
      </x:c>
      <x:c r="C11" s="23" t="s">
        <x:v>16</x:v>
      </x:c>
      <x:c r="D11" s="23" t="s">
        <x:v>107</x:v>
      </x:c>
      <x:c r="E11" s="23" t="s">
        <x:v>184</x:v>
      </x:c>
      <x:c r="F11" s="23">
        <x:v>7</x:v>
      </x:c>
      <x:c r="G11" s="23">
        <x:v>7</x:v>
      </x:c>
      <x:c r="H11" s="23">
        <x:v>20</x:v>
      </x:c>
      <x:c r="I11" s="23">
        <x:v>4741</x:v>
      </x:c>
      <x:c r="J11" s="23">
        <x:v>11599</x:v>
      </x:c>
      <x:c r="K11" s="23">
        <x:v>0</x:v>
      </x:c>
      <x:c r="L11" s="23" t="s">
        <x:v>246</x:v>
      </x:c>
      <x:c r="M11" s="23">
        <x:f t="shared" si="0"/>
        <x:v>832.00000000000011</x:v>
      </x:c>
      <x:c r="N11" s="24" t="str">
        <x:f t="array" ref="N11">INDEX('MATCH INFO'!O:O, INT((ROW()-2)/10)+2 + 29+29)</x:f>
        <x:v>260619_ROZE_CB_S1</x:v>
      </x:c>
    </x:row>
    <x:row r="12">
      <x:c r="A12" s="23" t="s">
        <x:v>22</x:v>
      </x:c>
      <x:c r="B12" s="23" t="s">
        <x:v>25</x:v>
      </x:c>
      <x:c r="C12" s="23" t="s">
        <x:v>11</x:v>
      </x:c>
      <x:c r="D12" s="23" t="s">
        <x:v>145</x:v>
      </x:c>
      <x:c r="E12" s="23" t="s">
        <x:v>195</x:v>
      </x:c>
      <x:c r="F12" s="23">
        <x:v>21</x:v>
      </x:c>
      <x:c r="G12" s="23">
        <x:v>11</x:v>
      </x:c>
      <x:c r="H12" s="23">
        <x:v>5</x:v>
      </x:c>
      <x:c r="I12" s="23">
        <x:v>21199</x:v>
      </x:c>
      <x:c r="J12" s="23">
        <x:v>91</x:v>
      </x:c>
      <x:c r="K12" s="23">
        <x:v>198</x:v>
      </x:c>
      <x:c r="L12" s="23" t="s">
        <x:v>247</x:v>
      </x:c>
      <x:c r="M12" s="23">
        <x:f t="shared" si="0"/>
        <x:v>1133</x:v>
      </x:c>
      <x:c r="N12" s="24" t="str">
        <x:f t="array" ref="N12">INDEX('MATCH INFO'!O:O, INT((ROW()-2)/10)+2 + 29+29)</x:f>
        <x:v>260619_ROZE_CB_S2</x:v>
      </x:c>
    </x:row>
    <x:row r="13">
      <x:c r="A13" s="23" t="s">
        <x:v>22</x:v>
      </x:c>
      <x:c r="B13" s="23" t="s">
        <x:v>29</x:v>
      </x:c>
      <x:c r="C13" s="23" t="s">
        <x:v>16</x:v>
      </x:c>
      <x:c r="D13" s="23" t="s">
        <x:v>145</x:v>
      </x:c>
      <x:c r="E13" s="23" t="s">
        <x:v>195</x:v>
      </x:c>
      <x:c r="F13" s="23">
        <x:v>11</x:v>
      </x:c>
      <x:c r="G13" s="23">
        <x:v>6</x:v>
      </x:c>
      <x:c r="H13" s="23">
        <x:v>22</x:v>
      </x:c>
      <x:c r="I13" s="23">
        <x:v>5148</x:v>
      </x:c>
      <x:c r="J13" s="23">
        <x:v>29534</x:v>
      </x:c>
      <x:c r="K13" s="23">
        <x:v>0</x:v>
      </x:c>
      <x:c r="L13" s="23" t="s">
        <x:v>247</x:v>
      </x:c>
      <x:c r="M13" s="23">
        <x:f t="shared" si="0"/>
        <x:v>1133</x:v>
      </x:c>
      <x:c r="N13" s="24" t="str">
        <x:f t="array" ref="N13">INDEX('MATCH INFO'!O:O, INT((ROW()-2)/10)+2 + 29+29)</x:f>
        <x:v>260619_ROZE_CB_S2</x:v>
      </x:c>
    </x:row>
    <x:row r="14">
      <x:c r="A14" s="23" t="s">
        <x:v>22</x:v>
      </x:c>
      <x:c r="B14" s="23" t="s">
        <x:v>26</x:v>
      </x:c>
      <x:c r="C14" s="23" t="s">
        <x:v>11</x:v>
      </x:c>
      <x:c r="D14" s="23" t="s">
        <x:v>145</x:v>
      </x:c>
      <x:c r="E14" s="23" t="s">
        <x:v>195</x:v>
      </x:c>
      <x:c r="F14" s="23">
        <x:v>19</x:v>
      </x:c>
      <x:c r="G14" s="23">
        <x:v>12</x:v>
      </x:c>
      <x:c r="H14" s="23">
        <x:v>3</x:v>
      </x:c>
      <x:c r="I14" s="23">
        <x:v>20717</x:v>
      </x:c>
      <x:c r="J14" s="23">
        <x:v>186</x:v>
      </x:c>
      <x:c r="K14" s="23">
        <x:v>511</x:v>
      </x:c>
      <x:c r="L14" s="23" t="s">
        <x:v>247</x:v>
      </x:c>
      <x:c r="M14" s="23">
        <x:f t="shared" si="0"/>
        <x:v>1133</x:v>
      </x:c>
      <x:c r="N14" s="24" t="str">
        <x:f t="array" ref="N14">INDEX('MATCH INFO'!O:O, INT((ROW()-2)/10)+2 + 29+29)</x:f>
        <x:v>260619_ROZE_CB_S2</x:v>
      </x:c>
    </x:row>
    <x:row r="15">
      <x:c r="A15" s="23" t="s">
        <x:v>22</x:v>
      </x:c>
      <x:c r="B15" s="23" t="s">
        <x:v>28</x:v>
      </x:c>
      <x:c r="C15" s="23" t="s">
        <x:v>16</x:v>
      </x:c>
      <x:c r="D15" s="23" t="s">
        <x:v>145</x:v>
      </x:c>
      <x:c r="E15" s="23" t="s">
        <x:v>195</x:v>
      </x:c>
      <x:c r="F15" s="23">
        <x:v>11</x:v>
      </x:c>
      <x:c r="G15" s="23">
        <x:v>8</x:v>
      </x:c>
      <x:c r="H15" s="23">
        <x:v>14</x:v>
      </x:c>
      <x:c r="I15" s="23">
        <x:v>6032</x:v>
      </x:c>
      <x:c r="J15" s="23">
        <x:v>13426</x:v>
      </x:c>
      <x:c r="K15" s="23">
        <x:v>400</x:v>
      </x:c>
      <x:c r="L15" s="23" t="s">
        <x:v>247</x:v>
      </x:c>
      <x:c r="M15" s="23">
        <x:f t="shared" si="0"/>
        <x:v>1133</x:v>
      </x:c>
      <x:c r="N15" s="24" t="str">
        <x:f t="array" ref="N15">INDEX('MATCH INFO'!O:O, INT((ROW()-2)/10)+2 + 29+29)</x:f>
        <x:v>260619_ROZE_CB_S2</x:v>
      </x:c>
    </x:row>
    <x:row r="16">
      <x:c r="A16" s="23" t="s">
        <x:v>22</x:v>
      </x:c>
      <x:c r="B16" s="23" t="s">
        <x:v>23</x:v>
      </x:c>
      <x:c r="C16" s="23" t="s">
        <x:v>8</x:v>
      </x:c>
      <x:c r="D16" s="23" t="s">
        <x:v>145</x:v>
      </x:c>
      <x:c r="E16" s="23" t="s">
        <x:v>195</x:v>
      </x:c>
      <x:c r="F16" s="23">
        <x:v>18</x:v>
      </x:c>
      <x:c r="G16" s="23">
        <x:v>8</x:v>
      </x:c>
      <x:c r="H16" s="23">
        <x:v>5</x:v>
      </x:c>
      <x:c r="I16" s="23">
        <x:v>18871</x:v>
      </x:c>
      <x:c r="J16" s="23">
        <x:v>505</x:v>
      </x:c>
      <x:c r="K16" s="23">
        <x:v>35547</x:v>
      </x:c>
      <x:c r="L16" s="23" t="s">
        <x:v>247</x:v>
      </x:c>
      <x:c r="M16" s="23">
        <x:f t="shared" si="0"/>
        <x:v>1133</x:v>
      </x:c>
      <x:c r="N16" s="24" t="str">
        <x:f t="array" ref="N16">INDEX('MATCH INFO'!O:O, INT((ROW()-2)/10)+2 + 29+29)</x:f>
        <x:v>260619_ROZE_CB_S2</x:v>
      </x:c>
    </x:row>
    <x:row r="17">
      <x:c r="A17" s="23" t="s">
        <x:v>31</x:v>
      </x:c>
      <x:c r="B17" s="23" t="s">
        <x:v>34</x:v>
      </x:c>
      <x:c r="C17" s="23" t="s">
        <x:v>11</x:v>
      </x:c>
      <x:c r="D17" s="23" t="s">
        <x:v>145</x:v>
      </x:c>
      <x:c r="E17" s="23" t="s">
        <x:v>195</x:v>
      </x:c>
      <x:c r="F17" s="23">
        <x:v>27</x:v>
      </x:c>
      <x:c r="G17" s="23">
        <x:v>6</x:v>
      </x:c>
      <x:c r="H17" s="23">
        <x:v>10</x:v>
      </x:c>
      <x:c r="I17" s="23">
        <x:v>13545</x:v>
      </x:c>
      <x:c r="J17" s="23">
        <x:v>2897</x:v>
      </x:c>
      <x:c r="K17" s="23">
        <x:v>9612</x:v>
      </x:c>
      <x:c r="L17" s="23" t="s">
        <x:v>247</x:v>
      </x:c>
      <x:c r="M17" s="23">
        <x:f t="shared" si="0"/>
        <x:v>1133</x:v>
      </x:c>
      <x:c r="N17" s="24" t="str">
        <x:f t="array" ref="N17">INDEX('MATCH INFO'!O:O, INT((ROW()-2)/10)+2 + 29+29)</x:f>
        <x:v>260619_ROZE_CB_S2</x:v>
      </x:c>
    </x:row>
    <x:row r="18">
      <x:c r="A18" s="23" t="s">
        <x:v>31</x:v>
      </x:c>
      <x:c r="B18" s="23" t="s">
        <x:v>33</x:v>
      </x:c>
      <x:c r="C18" s="23" t="s">
        <x:v>8</x:v>
      </x:c>
      <x:c r="D18" s="23" t="s">
        <x:v>145</x:v>
      </x:c>
      <x:c r="E18" s="23" t="s">
        <x:v>195</x:v>
      </x:c>
      <x:c r="F18" s="23">
        <x:v>28</x:v>
      </x:c>
      <x:c r="G18" s="23">
        <x:v>6</x:v>
      </x:c>
      <x:c r="H18" s="23">
        <x:v>6</x:v>
      </x:c>
      <x:c r="I18" s="23">
        <x:v>19819</x:v>
      </x:c>
      <x:c r="J18" s="23">
        <x:v>393</x:v>
      </x:c>
      <x:c r="K18" s="23">
        <x:v>42551</x:v>
      </x:c>
      <x:c r="L18" s="23" t="s">
        <x:v>247</x:v>
      </x:c>
      <x:c r="M18" s="23">
        <x:f t="shared" si="0"/>
        <x:v>1133</x:v>
      </x:c>
      <x:c r="N18" s="24" t="str">
        <x:f t="array" ref="N18">INDEX('MATCH INFO'!O:O, INT((ROW()-2)/10)+2 + 29+29)</x:f>
        <x:v>260619_ROZE_CB_S2</x:v>
      </x:c>
    </x:row>
    <x:row r="19">
      <x:c r="A19" s="23" t="s">
        <x:v>31</x:v>
      </x:c>
      <x:c r="B19" s="23" t="s">
        <x:v>35</x:v>
      </x:c>
      <x:c r="C19" s="23" t="s">
        <x:v>11</x:v>
      </x:c>
      <x:c r="D19" s="23" t="s">
        <x:v>145</x:v>
      </x:c>
      <x:c r="E19" s="23" t="s">
        <x:v>195</x:v>
      </x:c>
      <x:c r="F19" s="23">
        <x:v>37</x:v>
      </x:c>
      <x:c r="G19" s="23">
        <x:v>8</x:v>
      </x:c>
      <x:c r="H19" s="23">
        <x:v>1</x:v>
      </x:c>
      <x:c r="I19" s="23">
        <x:v>21946</x:v>
      </x:c>
      <x:c r="J19" s="23">
        <x:v>255</x:v>
      </x:c>
      <x:c r="K19" s="23">
        <x:v>559</x:v>
      </x:c>
      <x:c r="L19" s="23" t="s">
        <x:v>247</x:v>
      </x:c>
      <x:c r="M19" s="23">
        <x:f t="shared" si="0"/>
        <x:v>1133</x:v>
      </x:c>
      <x:c r="N19" s="24" t="str">
        <x:f t="array" ref="N19">INDEX('MATCH INFO'!O:O, INT((ROW()-2)/10)+2 + 29+29)</x:f>
        <x:v>260619_ROZE_CB_S2</x:v>
      </x:c>
    </x:row>
    <x:row r="20">
      <x:c r="A20" s="23" t="s">
        <x:v>31</x:v>
      </x:c>
      <x:c r="B20" s="23" t="s">
        <x:v>36</x:v>
      </x:c>
      <x:c r="C20" s="23" t="s">
        <x:v>16</x:v>
      </x:c>
      <x:c r="D20" s="23" t="s">
        <x:v>145</x:v>
      </x:c>
      <x:c r="E20" s="23" t="s">
        <x:v>195</x:v>
      </x:c>
      <x:c r="F20" s="23">
        <x:v>15</x:v>
      </x:c>
      <x:c r="G20" s="23">
        <x:v>8</x:v>
      </x:c>
      <x:c r="H20" s="23">
        <x:v>26</x:v>
      </x:c>
      <x:c r="I20" s="23">
        <x:v>7637</x:v>
      </x:c>
      <x:c r="J20" s="23">
        <x:v>17351</x:v>
      </x:c>
      <x:c r="K20" s="23">
        <x:v>2348</x:v>
      </x:c>
      <x:c r="L20" s="23" t="s">
        <x:v>247</x:v>
      </x:c>
      <x:c r="M20" s="23">
        <x:f t="shared" si="0"/>
        <x:v>1133</x:v>
      </x:c>
      <x:c r="N20" s="24" t="str">
        <x:f t="array" ref="N20">INDEX('MATCH INFO'!O:O, INT((ROW()-2)/10)+2 + 29+29)</x:f>
        <x:v>260619_ROZE_CB_S2</x:v>
      </x:c>
    </x:row>
    <x:row r="21">
      <x:c r="A21" s="23" t="s">
        <x:v>31</x:v>
      </x:c>
      <x:c r="B21" s="23" t="s">
        <x:v>37</x:v>
      </x:c>
      <x:c r="C21" s="23" t="s">
        <x:v>16</x:v>
      </x:c>
      <x:c r="D21" s="23" t="s">
        <x:v>145</x:v>
      </x:c>
      <x:c r="E21" s="23" t="s">
        <x:v>195</x:v>
      </x:c>
      <x:c r="F21" s="23">
        <x:v>14</x:v>
      </x:c>
      <x:c r="G21" s="23">
        <x:v>2</x:v>
      </x:c>
      <x:c r="H21" s="23">
        <x:v>38</x:v>
      </x:c>
      <x:c r="I21" s="23">
        <x:v>3400</x:v>
      </x:c>
      <x:c r="J21" s="23">
        <x:v>31253</x:v>
      </x:c>
      <x:c r="K21" s="23">
        <x:v>0</x:v>
      </x:c>
      <x:c r="L21" s="23" t="s">
        <x:v>247</x:v>
      </x:c>
      <x:c r="M21" s="23">
        <x:f t="shared" si="0"/>
        <x:v>1133</x:v>
      </x:c>
      <x:c r="N21" s="24" t="str">
        <x:f t="array" ref="N21">INDEX('MATCH INFO'!O:O, INT((ROW()-2)/10)+2 + 29+29)</x:f>
        <x:v>260619_ROZE_CB_S2</x:v>
      </x:c>
    </x:row>
    <x:row r="22">
      <x:c r="A22" s="23" t="s">
        <x:v>22</x:v>
      </x:c>
      <x:c r="B22" s="23" t="s">
        <x:v>25</x:v>
      </x:c>
      <x:c r="C22" s="23" t="s">
        <x:v>11</x:v>
      </x:c>
      <x:c r="D22" s="23" t="s">
        <x:v>113</x:v>
      </x:c>
      <x:c r="E22" s="23" t="s">
        <x:v>188</x:v>
      </x:c>
      <x:c r="F22" s="23">
        <x:v>16</x:v>
      </x:c>
      <x:c r="G22" s="23">
        <x:v>1</x:v>
      </x:c>
      <x:c r="H22" s="23">
        <x:v>3</x:v>
      </x:c>
      <x:c r="I22" s="23">
        <x:v>5617</x:v>
      </x:c>
      <x:c r="J22" s="23">
        <x:v>0</x:v>
      </x:c>
      <x:c r="K22" s="23">
        <x:v>558</x:v>
      </x:c>
      <x:c r="L22" s="23" t="s">
        <x:v>248</x:v>
      </x:c>
      <x:c r="M22" s="23">
        <x:f t="shared" si="0"/>
        <x:v>254</x:v>
      </x:c>
      <x:c r="N22" s="24" t="str">
        <x:f t="array" ref="N22">INDEX('MATCH INFO'!O:O, INT((ROW()-2)/10)+2 + 29+29)</x:f>
        <x:v>260619_ROZE_CB_S3</x:v>
      </x:c>
    </x:row>
    <x:row r="23">
      <x:c r="A23" s="23" t="s">
        <x:v>22</x:v>
      </x:c>
      <x:c r="B23" s="23" t="s">
        <x:v>24</x:v>
      </x:c>
      <x:c r="C23" s="23" t="s">
        <x:v>8</x:v>
      </x:c>
      <x:c r="D23" s="23" t="s">
        <x:v>113</x:v>
      </x:c>
      <x:c r="E23" s="23" t="s">
        <x:v>188</x:v>
      </x:c>
      <x:c r="F23" s="23">
        <x:v>17</x:v>
      </x:c>
      <x:c r="G23" s="23">
        <x:v>0</x:v>
      </x:c>
      <x:c r="H23" s="23">
        <x:v>9</x:v>
      </x:c>
      <x:c r="I23" s="23">
        <x:v>6734</x:v>
      </x:c>
      <x:c r="J23" s="23">
        <x:v>1415</x:v>
      </x:c>
      <x:c r="K23" s="23">
        <x:v>2906</x:v>
      </x:c>
      <x:c r="L23" s="23" t="s">
        <x:v>248</x:v>
      </x:c>
      <x:c r="M23" s="23">
        <x:f t="shared" si="0"/>
        <x:v>254</x:v>
      </x:c>
      <x:c r="N23" s="24" t="str">
        <x:f t="array" ref="N23">INDEX('MATCH INFO'!O:O, INT((ROW()-2)/10)+2 + 29+29)</x:f>
        <x:v>260619_ROZE_CB_S3</x:v>
      </x:c>
    </x:row>
    <x:row r="24">
      <x:c r="A24" s="23" t="s">
        <x:v>22</x:v>
      </x:c>
      <x:c r="B24" s="23" t="s">
        <x:v>29</x:v>
      </x:c>
      <x:c r="C24" s="23" t="s">
        <x:v>16</x:v>
      </x:c>
      <x:c r="D24" s="23" t="s">
        <x:v>113</x:v>
      </x:c>
      <x:c r="E24" s="23" t="s">
        <x:v>188</x:v>
      </x:c>
      <x:c r="F24" s="23">
        <x:v>8</x:v>
      </x:c>
      <x:c r="G24" s="23">
        <x:v>0</x:v>
      </x:c>
      <x:c r="H24" s="23">
        <x:v>15</x:v>
      </x:c>
      <x:c r="I24" s="23">
        <x:v>1373</x:v>
      </x:c>
      <x:c r="J24" s="23">
        <x:v>7275</x:v>
      </x:c>
      <x:c r="K24" s="23">
        <x:v>0</x:v>
      </x:c>
      <x:c r="L24" s="23" t="s">
        <x:v>248</x:v>
      </x:c>
      <x:c r="M24" s="23">
        <x:f t="shared" si="0"/>
        <x:v>254</x:v>
      </x:c>
      <x:c r="N24" s="24" t="str">
        <x:f t="array" ref="N24">INDEX('MATCH INFO'!O:O, INT((ROW()-2)/10)+2 + 29+29)</x:f>
        <x:v>260619_ROZE_CB_S3</x:v>
      </x:c>
    </x:row>
    <x:row r="25">
      <x:c r="A25" s="23" t="s">
        <x:v>22</x:v>
      </x:c>
      <x:c r="B25" s="23" t="s">
        <x:v>26</x:v>
      </x:c>
      <x:c r="C25" s="23" t="s">
        <x:v>11</x:v>
      </x:c>
      <x:c r="D25" s="23" t="s">
        <x:v>113</x:v>
      </x:c>
      <x:c r="E25" s="23" t="s">
        <x:v>188</x:v>
      </x:c>
      <x:c r="F25" s="23">
        <x:v>14</x:v>
      </x:c>
      <x:c r="G25" s="23">
        <x:v>1</x:v>
      </x:c>
      <x:c r="H25" s="23">
        <x:v>0</x:v>
      </x:c>
      <x:c r="I25" s="23">
        <x:v>5380</x:v>
      </x:c>
      <x:c r="J25" s="23">
        <x:v>0</x:v>
      </x:c>
      <x:c r="K25" s="23">
        <x:v>0</x:v>
      </x:c>
      <x:c r="L25" s="23" t="s">
        <x:v>248</x:v>
      </x:c>
      <x:c r="M25" s="23">
        <x:f t="shared" si="0"/>
        <x:v>254</x:v>
      </x:c>
      <x:c r="N25" s="24" t="str">
        <x:f t="array" ref="N25">INDEX('MATCH INFO'!O:O, INT((ROW()-2)/10)+2 + 29+29)</x:f>
        <x:v>260619_ROZE_CB_S3</x:v>
      </x:c>
    </x:row>
    <x:row r="26">
      <x:c r="A26" s="23" t="s">
        <x:v>22</x:v>
      </x:c>
      <x:c r="B26" s="23" t="s">
        <x:v>28</x:v>
      </x:c>
      <x:c r="C26" s="23" t="s">
        <x:v>16</x:v>
      </x:c>
      <x:c r="D26" s="23" t="s">
        <x:v>113</x:v>
      </x:c>
      <x:c r="E26" s="23" t="s">
        <x:v>188</x:v>
      </x:c>
      <x:c r="F26" s="23">
        <x:v>13</x:v>
      </x:c>
      <x:c r="G26" s="23">
        <x:v>1</x:v>
      </x:c>
      <x:c r="H26" s="23">
        <x:v>12</x:v>
      </x:c>
      <x:c r="I26" s="23">
        <x:v>2515</x:v>
      </x:c>
      <x:c r="J26" s="23">
        <x:v>4543</x:v>
      </x:c>
      <x:c r="K26" s="23">
        <x:v>1523</x:v>
      </x:c>
      <x:c r="L26" s="23" t="s">
        <x:v>248</x:v>
      </x:c>
      <x:c r="M26" s="23">
        <x:f t="shared" si="0"/>
        <x:v>254</x:v>
      </x:c>
      <x:c r="N26" s="24" t="str">
        <x:f t="array" ref="N26">INDEX('MATCH INFO'!O:O, INT((ROW()-2)/10)+2 + 29+29)</x:f>
        <x:v>260619_ROZE_CB_S3</x:v>
      </x:c>
    </x:row>
    <x:row r="27">
      <x:c r="A27" s="23" t="s">
        <x:v>31</x:v>
      </x:c>
      <x:c r="B27" s="23" t="s">
        <x:v>34</x:v>
      </x:c>
      <x:c r="C27" s="23" t="s">
        <x:v>11</x:v>
      </x:c>
      <x:c r="D27" s="23" t="s">
        <x:v>113</x:v>
      </x:c>
      <x:c r="E27" s="23" t="s">
        <x:v>188</x:v>
      </x:c>
      <x:c r="F27" s="23">
        <x:v>0</x:v>
      </x:c>
      <x:c r="G27" s="23">
        <x:v>5</x:v>
      </x:c>
      <x:c r="H27" s="23">
        <x:v>0</x:v>
      </x:c>
      <x:c r="I27" s="23">
        <x:v>3136</x:v>
      </x:c>
      <x:c r="J27" s="23">
        <x:v>0</x:v>
      </x:c>
      <x:c r="K27" s="23">
        <x:v>153</x:v>
      </x:c>
      <x:c r="L27" s="23" t="s">
        <x:v>248</x:v>
      </x:c>
      <x:c r="M27" s="23">
        <x:f t="shared" si="0"/>
        <x:v>254</x:v>
      </x:c>
      <x:c r="N27" s="24" t="str">
        <x:f t="array" ref="N27">INDEX('MATCH INFO'!O:O, INT((ROW()-2)/10)+2 + 29+29)</x:f>
        <x:v>260619_ROZE_CB_S3</x:v>
      </x:c>
    </x:row>
    <x:row r="28">
      <x:c r="A28" s="23" t="s">
        <x:v>31</x:v>
      </x:c>
      <x:c r="B28" s="23" t="s">
        <x:v>33</x:v>
      </x:c>
      <x:c r="C28" s="23" t="s">
        <x:v>8</x:v>
      </x:c>
      <x:c r="D28" s="23" t="s">
        <x:v>113</x:v>
      </x:c>
      <x:c r="E28" s="23" t="s">
        <x:v>188</x:v>
      </x:c>
      <x:c r="F28" s="23">
        <x:v>3</x:v>
      </x:c>
      <x:c r="G28" s="23">
        <x:v>6</x:v>
      </x:c>
      <x:c r="H28" s="23">
        <x:v>3</x:v>
      </x:c>
      <x:c r="I28" s="23">
        <x:v>5729</x:v>
      </x:c>
      <x:c r="J28" s="23">
        <x:v>1529</x:v>
      </x:c>
      <x:c r="K28" s="23">
        <x:v>3479</x:v>
      </x:c>
      <x:c r="L28" s="23" t="s">
        <x:v>248</x:v>
      </x:c>
      <x:c r="M28" s="23">
        <x:f t="shared" si="0"/>
        <x:v>254</x:v>
      </x:c>
      <x:c r="N28" s="24" t="str">
        <x:f t="array" ref="N28">INDEX('MATCH INFO'!O:O, INT((ROW()-2)/10)+2 + 29+29)</x:f>
        <x:v>260619_ROZE_CB_S3</x:v>
      </x:c>
    </x:row>
    <x:row r="29">
      <x:c r="A29" s="23" t="s">
        <x:v>31</x:v>
      </x:c>
      <x:c r="B29" s="23" t="s">
        <x:v>35</x:v>
      </x:c>
      <x:c r="C29" s="23" t="s">
        <x:v>11</x:v>
      </x:c>
      <x:c r="D29" s="23" t="s">
        <x:v>113</x:v>
      </x:c>
      <x:c r="E29" s="23" t="s">
        <x:v>188</x:v>
      </x:c>
      <x:c r="F29" s="23">
        <x:v>2</x:v>
      </x:c>
      <x:c r="G29" s="23">
        <x:v>5</x:v>
      </x:c>
      <x:c r="H29" s="23">
        <x:v>0</x:v>
      </x:c>
      <x:c r="I29" s="23">
        <x:v>6025</x:v>
      </x:c>
      <x:c r="J29" s="23">
        <x:v>0</x:v>
      </x:c>
      <x:c r="K29" s="23">
        <x:v>229</x:v>
      </x:c>
      <x:c r="L29" s="23" t="s">
        <x:v>248</x:v>
      </x:c>
      <x:c r="M29" s="23">
        <x:f t="shared" si="0"/>
        <x:v>254</x:v>
      </x:c>
      <x:c r="N29" s="24" t="str">
        <x:f t="array" ref="N29">INDEX('MATCH INFO'!O:O, INT((ROW()-2)/10)+2 + 29+29)</x:f>
        <x:v>260619_ROZE_CB_S3</x:v>
      </x:c>
    </x:row>
    <x:row r="30">
      <x:c r="A30" s="23" t="s">
        <x:v>31</x:v>
      </x:c>
      <x:c r="B30" s="23" t="s">
        <x:v>36</x:v>
      </x:c>
      <x:c r="C30" s="23" t="s">
        <x:v>16</x:v>
      </x:c>
      <x:c r="D30" s="23" t="s">
        <x:v>113</x:v>
      </x:c>
      <x:c r="E30" s="23" t="s">
        <x:v>188</x:v>
      </x:c>
      <x:c r="F30" s="23">
        <x:v>3</x:v>
      </x:c>
      <x:c r="G30" s="23">
        <x:v>3</x:v>
      </x:c>
      <x:c r="H30" s="23">
        <x:v>0</x:v>
      </x:c>
      <x:c r="I30" s="23">
        <x:v>2063</x:v>
      </x:c>
      <x:c r="J30" s="23">
        <x:v>3366</x:v>
      </x:c>
      <x:c r="K30" s="23">
        <x:v>1233</x:v>
      </x:c>
      <x:c r="L30" s="23" t="s">
        <x:v>248</x:v>
      </x:c>
      <x:c r="M30" s="23">
        <x:f t="shared" si="0"/>
        <x:v>254</x:v>
      </x:c>
      <x:c r="N30" s="24" t="str">
        <x:f t="array" ref="N30">INDEX('MATCH INFO'!O:O, INT((ROW()-2)/10)+2 + 29+29)</x:f>
        <x:v>260619_ROZE_CB_S3</x:v>
      </x:c>
    </x:row>
    <x:row r="31">
      <x:c r="A31" s="23" t="s">
        <x:v>31</x:v>
      </x:c>
      <x:c r="B31" s="23" t="s">
        <x:v>37</x:v>
      </x:c>
      <x:c r="C31" s="23" t="s">
        <x:v>16</x:v>
      </x:c>
      <x:c r="D31" s="23" t="s">
        <x:v>113</x:v>
      </x:c>
      <x:c r="E31" s="23" t="s">
        <x:v>188</x:v>
      </x:c>
      <x:c r="F31" s="23">
        <x:v>0</x:v>
      </x:c>
      <x:c r="G31" s="23">
        <x:v>3</x:v>
      </x:c>
      <x:c r="H31" s="23">
        <x:v>2</x:v>
      </x:c>
      <x:c r="I31" s="23">
        <x:v>1434</x:v>
      </x:c>
      <x:c r="J31" s="23">
        <x:v>4830</x:v>
      </x:c>
      <x:c r="K31" s="23">
        <x:v>0</x:v>
      </x:c>
      <x:c r="L31" s="23" t="s">
        <x:v>248</x:v>
      </x:c>
      <x:c r="M31" s="23">
        <x:f t="shared" si="0"/>
        <x:v>254</x:v>
      </x:c>
      <x:c r="N31" s="24" t="str">
        <x:f t="array" ref="N31">INDEX('MATCH INFO'!O:O, INT((ROW()-2)/10)+2 + 29+29)</x:f>
        <x:v>260619_ROZE_CB_S3</x:v>
      </x:c>
    </x:row>
    <x:row r="32">
      <x:c r="A32" s="23" t="s">
        <x:v>22</x:v>
      </x:c>
      <x:c r="B32" s="23" t="s">
        <x:v>25</x:v>
      </x:c>
      <x:c r="C32" s="23" t="s">
        <x:v>11</x:v>
      </x:c>
      <x:c r="D32" s="23" t="s">
        <x:v>138</x:v>
      </x:c>
      <x:c r="E32" s="23" t="s">
        <x:v>191</x:v>
      </x:c>
      <x:c r="F32" s="23">
        <x:v>31</x:v>
      </x:c>
      <x:c r="G32" s="23">
        <x:v>4</x:v>
      </x:c>
      <x:c r="H32" s="23">
        <x:v>11</x:v>
      </x:c>
      <x:c r="I32" s="23">
        <x:v>11200</x:v>
      </x:c>
      <x:c r="J32" s="23">
        <x:v>1027</x:v>
      </x:c>
      <x:c r="K32" s="23">
        <x:v>4316</x:v>
      </x:c>
      <x:c r="L32" s="23" t="s">
        <x:v>249</x:v>
      </x:c>
      <x:c r="M32" s="23">
        <x:f t="shared" si="0"/>
        <x:v>748.99999999999989</x:v>
      </x:c>
      <x:c r="N32" s="24" t="str">
        <x:f t="array" ref="N32">INDEX('MATCH INFO'!O:O, INT((ROW()-2)/10)+2 + 29+29)</x:f>
        <x:v>260619_ROZE_CB_S4</x:v>
      </x:c>
    </x:row>
    <x:row r="33">
      <x:c r="A33" s="23" t="s">
        <x:v>22</x:v>
      </x:c>
      <x:c r="B33" s="23" t="s">
        <x:v>24</x:v>
      </x:c>
      <x:c r="C33" s="23" t="s">
        <x:v>8</x:v>
      </x:c>
      <x:c r="D33" s="23" t="s">
        <x:v>138</x:v>
      </x:c>
      <x:c r="E33" s="23" t="s">
        <x:v>191</x:v>
      </x:c>
      <x:c r="F33" s="23">
        <x:v>32</x:v>
      </x:c>
      <x:c r="G33" s="23">
        <x:v>3</x:v>
      </x:c>
      <x:c r="H33" s="23">
        <x:v>9</x:v>
      </x:c>
      <x:c r="I33" s="23">
        <x:v>10368</x:v>
      </x:c>
      <x:c r="J33" s="23">
        <x:v>2576</x:v>
      </x:c>
      <x:c r="K33" s="23">
        <x:v>13673</x:v>
      </x:c>
      <x:c r="L33" s="23" t="s">
        <x:v>249</x:v>
      </x:c>
      <x:c r="M33" s="23">
        <x:f t="shared" si="0"/>
        <x:v>748.99999999999989</x:v>
      </x:c>
      <x:c r="N33" s="24" t="str">
        <x:f t="array" ref="N33">INDEX('MATCH INFO'!O:O, INT((ROW()-2)/10)+2 + 29+29)</x:f>
        <x:v>260619_ROZE_CB_S4</x:v>
      </x:c>
    </x:row>
    <x:row r="34">
      <x:c r="A34" s="23" t="s">
        <x:v>22</x:v>
      </x:c>
      <x:c r="B34" s="23" t="s">
        <x:v>29</x:v>
      </x:c>
      <x:c r="C34" s="23" t="s">
        <x:v>16</x:v>
      </x:c>
      <x:c r="D34" s="23" t="s">
        <x:v>138</x:v>
      </x:c>
      <x:c r="E34" s="23" t="s">
        <x:v>191</x:v>
      </x:c>
      <x:c r="F34" s="23">
        <x:v>26</x:v>
      </x:c>
      <x:c r="G34" s="23">
        <x:v>4</x:v>
      </x:c>
      <x:c r="H34" s="23">
        <x:v>33</x:v>
      </x:c>
      <x:c r="I34" s="23">
        <x:v>5241</x:v>
      </x:c>
      <x:c r="J34" s="23">
        <x:v>14870</x:v>
      </x:c>
      <x:c r="K34" s="23">
        <x:v>0</x:v>
      </x:c>
      <x:c r="L34" s="23" t="s">
        <x:v>249</x:v>
      </x:c>
      <x:c r="M34" s="23">
        <x:f t="shared" si="0"/>
        <x:v>748.99999999999989</x:v>
      </x:c>
      <x:c r="N34" s="24" t="str">
        <x:f t="array" ref="N34">INDEX('MATCH INFO'!O:O, INT((ROW()-2)/10)+2 + 29+29)</x:f>
        <x:v>260619_ROZE_CB_S4</x:v>
      </x:c>
    </x:row>
    <x:row r="35">
      <x:c r="A35" s="23" t="s">
        <x:v>22</x:v>
      </x:c>
      <x:c r="B35" s="23" t="s">
        <x:v>26</x:v>
      </x:c>
      <x:c r="C35" s="23" t="s">
        <x:v>11</x:v>
      </x:c>
      <x:c r="D35" s="23" t="s">
        <x:v>138</x:v>
      </x:c>
      <x:c r="E35" s="23" t="s">
        <x:v>191</x:v>
      </x:c>
      <x:c r="F35" s="23">
        <x:v>24</x:v>
      </x:c>
      <x:c r="G35" s="23">
        <x:v>8</x:v>
      </x:c>
      <x:c r="H35" s="23">
        <x:v>3</x:v>
      </x:c>
      <x:c r="I35" s="23">
        <x:v>12240</x:v>
      </x:c>
      <x:c r="J35" s="23">
        <x:v>171</x:v>
      </x:c>
      <x:c r="K35" s="23">
        <x:v>302</x:v>
      </x:c>
      <x:c r="L35" s="23" t="s">
        <x:v>249</x:v>
      </x:c>
      <x:c r="M35" s="23">
        <x:f t="shared" si="0"/>
        <x:v>748.99999999999989</x:v>
      </x:c>
      <x:c r="N35" s="24" t="str">
        <x:f t="array" ref="N35">INDEX('MATCH INFO'!O:O, INT((ROW()-2)/10)+2 + 29+29)</x:f>
        <x:v>260619_ROZE_CB_S4</x:v>
      </x:c>
    </x:row>
    <x:row r="36">
      <x:c r="A36" s="23" t="s">
        <x:v>22</x:v>
      </x:c>
      <x:c r="B36" s="23" t="s">
        <x:v>28</x:v>
      </x:c>
      <x:c r="C36" s="23" t="s">
        <x:v>16</x:v>
      </x:c>
      <x:c r="D36" s="23" t="s">
        <x:v>138</x:v>
      </x:c>
      <x:c r="E36" s="23" t="s">
        <x:v>191</x:v>
      </x:c>
      <x:c r="F36" s="23">
        <x:v>20</x:v>
      </x:c>
      <x:c r="G36" s="23">
        <x:v>4</x:v>
      </x:c>
      <x:c r="H36" s="23">
        <x:v>24</x:v>
      </x:c>
      <x:c r="I36" s="23">
        <x:v>4279</x:v>
      </x:c>
      <x:c r="J36" s="23">
        <x:v>9699</x:v>
      </x:c>
      <x:c r="K36" s="23">
        <x:v>1710</x:v>
      </x:c>
      <x:c r="L36" s="23" t="s">
        <x:v>249</x:v>
      </x:c>
      <x:c r="M36" s="23">
        <x:f t="shared" si="0"/>
        <x:v>748.99999999999989</x:v>
      </x:c>
      <x:c r="N36" s="24" t="str">
        <x:f t="array" ref="N36">INDEX('MATCH INFO'!O:O, INT((ROW()-2)/10)+2 + 29+29)</x:f>
        <x:v>260619_ROZE_CB_S4</x:v>
      </x:c>
    </x:row>
    <x:row r="37">
      <x:c r="A37" s="23" t="s">
        <x:v>31</x:v>
      </x:c>
      <x:c r="B37" s="23" t="s">
        <x:v>34</x:v>
      </x:c>
      <x:c r="C37" s="23" t="s">
        <x:v>11</x:v>
      </x:c>
      <x:c r="D37" s="23" t="s">
        <x:v>138</x:v>
      </x:c>
      <x:c r="E37" s="23" t="s">
        <x:v>191</x:v>
      </x:c>
      <x:c r="F37" s="23">
        <x:v>15</x:v>
      </x:c>
      <x:c r="G37" s="23">
        <x:v>9</x:v>
      </x:c>
      <x:c r="H37" s="23">
        <x:v>2</x:v>
      </x:c>
      <x:c r="I37" s="23">
        <x:v>8841</x:v>
      </x:c>
      <x:c r="J37" s="23">
        <x:v>1193</x:v>
      </x:c>
      <x:c r="K37" s="23">
        <x:v>1679</x:v>
      </x:c>
      <x:c r="L37" s="23" t="s">
        <x:v>249</x:v>
      </x:c>
      <x:c r="M37" s="23">
        <x:f t="shared" si="0"/>
        <x:v>748.99999999999989</x:v>
      </x:c>
      <x:c r="N37" s="24" t="str">
        <x:f t="array" ref="N37">INDEX('MATCH INFO'!O:O, INT((ROW()-2)/10)+2 + 29+29)</x:f>
        <x:v>260619_ROZE_CB_S4</x:v>
      </x:c>
    </x:row>
    <x:row r="38">
      <x:c r="A38" s="23" t="s">
        <x:v>31</x:v>
      </x:c>
      <x:c r="B38" s="23" t="s">
        <x:v>33</x:v>
      </x:c>
      <x:c r="C38" s="23" t="s">
        <x:v>8</x:v>
      </x:c>
      <x:c r="D38" s="23" t="s">
        <x:v>138</x:v>
      </x:c>
      <x:c r="E38" s="23" t="s">
        <x:v>191</x:v>
      </x:c>
      <x:c r="F38" s="23">
        <x:v>16</x:v>
      </x:c>
      <x:c r="G38" s="23">
        <x:v>10</x:v>
      </x:c>
      <x:c r="H38" s="23">
        <x:v>2</x:v>
      </x:c>
      <x:c r="I38" s="23">
        <x:v>12741</x:v>
      </x:c>
      <x:c r="J38" s="23">
        <x:v>245</x:v>
      </x:c>
      <x:c r="K38" s="23">
        <x:v>21736</x:v>
      </x:c>
      <x:c r="L38" s="23" t="s">
        <x:v>249</x:v>
      </x:c>
      <x:c r="M38" s="23">
        <x:f t="shared" si="0"/>
        <x:v>748.99999999999989</x:v>
      </x:c>
      <x:c r="N38" s="24" t="str">
        <x:f t="array" ref="N38">INDEX('MATCH INFO'!O:O, INT((ROW()-2)/10)+2 + 29+29)</x:f>
        <x:v>260619_ROZE_CB_S4</x:v>
      </x:c>
    </x:row>
    <x:row r="39">
      <x:c r="A39" s="23" t="s">
        <x:v>31</x:v>
      </x:c>
      <x:c r="B39" s="23" t="s">
        <x:v>35</x:v>
      </x:c>
      <x:c r="C39" s="23" t="s">
        <x:v>11</x:v>
      </x:c>
      <x:c r="D39" s="23" t="s">
        <x:v>138</x:v>
      </x:c>
      <x:c r="E39" s="23" t="s">
        <x:v>191</x:v>
      </x:c>
      <x:c r="F39" s="23">
        <x:v>13</x:v>
      </x:c>
      <x:c r="G39" s="23">
        <x:v>11</x:v>
      </x:c>
      <x:c r="H39" s="23">
        <x:v>1</x:v>
      </x:c>
      <x:c r="I39" s="23">
        <x:v>11226</x:v>
      </x:c>
      <x:c r="J39" s="23">
        <x:v>6</x:v>
      </x:c>
      <x:c r="K39" s="23">
        <x:v>1978</x:v>
      </x:c>
      <x:c r="L39" s="23" t="s">
        <x:v>249</x:v>
      </x:c>
      <x:c r="M39" s="23">
        <x:f t="shared" si="0"/>
        <x:v>748.99999999999989</x:v>
      </x:c>
      <x:c r="N39" s="24" t="str">
        <x:f t="array" ref="N39">INDEX('MATCH INFO'!O:O, INT((ROW()-2)/10)+2 + 29+29)</x:f>
        <x:v>260619_ROZE_CB_S4</x:v>
      </x:c>
    </x:row>
    <x:row r="40">
      <x:c r="A40" s="23" t="s">
        <x:v>31</x:v>
      </x:c>
      <x:c r="B40" s="23" t="s">
        <x:v>36</x:v>
      </x:c>
      <x:c r="C40" s="23" t="s">
        <x:v>16</x:v>
      </x:c>
      <x:c r="D40" s="23" t="s">
        <x:v>138</x:v>
      </x:c>
      <x:c r="E40" s="23" t="s">
        <x:v>191</x:v>
      </x:c>
      <x:c r="F40" s="23">
        <x:v>9</x:v>
      </x:c>
      <x:c r="G40" s="23">
        <x:v>9</x:v>
      </x:c>
      <x:c r="H40" s="23">
        <x:v>11</x:v>
      </x:c>
      <x:c r="I40" s="23">
        <x:v>4630</x:v>
      </x:c>
      <x:c r="J40" s="23">
        <x:v>10332</x:v>
      </x:c>
      <x:c r="K40" s="23">
        <x:v>668</x:v>
      </x:c>
      <x:c r="L40" s="23" t="s">
        <x:v>249</x:v>
      </x:c>
      <x:c r="M40" s="23">
        <x:f t="shared" si="0"/>
        <x:v>748.99999999999989</x:v>
      </x:c>
      <x:c r="N40" s="24" t="str">
        <x:f t="array" ref="N40">INDEX('MATCH INFO'!O:O, INT((ROW()-2)/10)+2 + 29+29)</x:f>
        <x:v>260619_ROZE_CB_S4</x:v>
      </x:c>
    </x:row>
    <x:row r="41">
      <x:c r="A41" s="23" t="s">
        <x:v>31</x:v>
      </x:c>
      <x:c r="B41" s="23" t="s">
        <x:v>37</x:v>
      </x:c>
      <x:c r="C41" s="23" t="s">
        <x:v>16</x:v>
      </x:c>
      <x:c r="D41" s="23" t="s">
        <x:v>138</x:v>
      </x:c>
      <x:c r="E41" s="23" t="s">
        <x:v>191</x:v>
      </x:c>
      <x:c r="F41" s="23">
        <x:v>9</x:v>
      </x:c>
      <x:c r="G41" s="23">
        <x:v>6</x:v>
      </x:c>
      <x:c r="H41" s="23">
        <x:v>13</x:v>
      </x:c>
      <x:c r="I41" s="23">
        <x:v>4804</x:v>
      </x:c>
      <x:c r="J41" s="23">
        <x:v>11676</x:v>
      </x:c>
      <x:c r="K41" s="23">
        <x:v>0</x:v>
      </x:c>
      <x:c r="L41" s="23" t="s">
        <x:v>249</x:v>
      </x:c>
      <x:c r="M41" s="23">
        <x:f t="shared" si="0"/>
        <x:v>748.99999999999989</x:v>
      </x:c>
      <x:c r="N41" s="24" t="str">
        <x:f t="array" ref="N41">INDEX('MATCH INFO'!O:O, INT((ROW()-2)/10)+2 + 29+29)</x:f>
        <x:v>260619_ROZE_CB_S4</x:v>
      </x:c>
    </x:row>
    <x:row r="42">
      <x:c r="A42" s="23" t="s">
        <x:v>72</x:v>
      </x:c>
      <x:c r="B42" s="23" t="s">
        <x:v>78</x:v>
      </x:c>
      <x:c r="C42" s="23" t="s">
        <x:v>16</x:v>
      </x:c>
      <x:c r="D42" s="23" t="s">
        <x:v>107</x:v>
      </x:c>
      <x:c r="E42" s="23" t="s">
        <x:v>184</x:v>
      </x:c>
      <x:c r="F42" s="23">
        <x:v>7</x:v>
      </x:c>
      <x:c r="G42" s="23">
        <x:v>1</x:v>
      </x:c>
      <x:c r="H42" s="23">
        <x:v>10</x:v>
      </x:c>
      <x:c r="I42" s="23">
        <x:v>2647</x:v>
      </x:c>
      <x:c r="J42" s="23">
        <x:v>6762</x:v>
      </x:c>
      <x:c r="K42" s="23">
        <x:v>0</x:v>
      </x:c>
      <x:c r="L42" s="23" t="s">
        <x:v>250</x:v>
      </x:c>
      <x:c r="M42" s="23">
        <x:f t="shared" si="0"/>
        <x:v>427</x:v>
      </x:c>
      <x:c r="N42" s="24" t="str">
        <x:f t="array" ref="N42">INDEX('MATCH INFO'!O:O, INT((ROW()-2)/10)+2 + 29+29)</x:f>
        <x:v>260619_FLC_O2_S1</x:v>
      </x:c>
    </x:row>
    <x:row r="43">
      <x:c r="A43" s="23" t="s">
        <x:v>72</x:v>
      </x:c>
      <x:c r="B43" s="23" t="s">
        <x:v>79</x:v>
      </x:c>
      <x:c r="C43" s="23" t="s">
        <x:v>16</x:v>
      </x:c>
      <x:c r="D43" s="23" t="s">
        <x:v>107</x:v>
      </x:c>
      <x:c r="E43" s="23" t="s">
        <x:v>184</x:v>
      </x:c>
      <x:c r="F43" s="23">
        <x:v>11</x:v>
      </x:c>
      <x:c r="G43" s="23">
        <x:v>2</x:v>
      </x:c>
      <x:c r="H43" s="23">
        <x:v>11</x:v>
      </x:c>
      <x:c r="I43" s="23">
        <x:v>4494</x:v>
      </x:c>
      <x:c r="J43" s="23">
        <x:v>6207</x:v>
      </x:c>
      <x:c r="K43" s="23">
        <x:v>1179</x:v>
      </x:c>
      <x:c r="L43" s="23" t="s">
        <x:v>250</x:v>
      </x:c>
      <x:c r="M43" s="23">
        <x:f t="shared" si="0"/>
        <x:v>427</x:v>
      </x:c>
      <x:c r="N43" s="24" t="str">
        <x:f t="array" ref="N43">INDEX('MATCH INFO'!O:O, INT((ROW()-2)/10)+2 + 29+29)</x:f>
        <x:v>260619_FLC_O2_S1</x:v>
      </x:c>
    </x:row>
    <x:row r="44">
      <x:c r="A44" s="23" t="s">
        <x:v>72</x:v>
      </x:c>
      <x:c r="B44" s="23" t="s">
        <x:v>74</x:v>
      </x:c>
      <x:c r="C44" s="23" t="s">
        <x:v>8</x:v>
      </x:c>
      <x:c r="D44" s="23" t="s">
        <x:v>107</x:v>
      </x:c>
      <x:c r="E44" s="23" t="s">
        <x:v>184</x:v>
      </x:c>
      <x:c r="F44" s="23">
        <x:v>14</x:v>
      </x:c>
      <x:c r="G44" s="23">
        <x:v>0</x:v>
      </x:c>
      <x:c r="H44" s="23">
        <x:v>9</x:v>
      </x:c>
      <x:c r="I44" s="23">
        <x:v>5092</x:v>
      </x:c>
      <x:c r="J44" s="23">
        <x:v>1706</x:v>
      </x:c>
      <x:c r="K44" s="23">
        <x:v>10046</x:v>
      </x:c>
      <x:c r="L44" s="23" t="s">
        <x:v>250</x:v>
      </x:c>
      <x:c r="M44" s="23">
        <x:f t="shared" si="0"/>
        <x:v>427</x:v>
      </x:c>
      <x:c r="N44" s="24" t="str">
        <x:f t="array" ref="N44">INDEX('MATCH INFO'!O:O, INT((ROW()-2)/10)+2 + 29+29)</x:f>
        <x:v>260619_FLC_O2_S1</x:v>
      </x:c>
    </x:row>
    <x:row r="45">
      <x:c r="A45" s="23" t="s">
        <x:v>72</x:v>
      </x:c>
      <x:c r="B45" s="23" t="s">
        <x:v>77</x:v>
      </x:c>
      <x:c r="C45" s="23" t="s">
        <x:v>11</x:v>
      </x:c>
      <x:c r="D45" s="23" t="s">
        <x:v>107</x:v>
      </x:c>
      <x:c r="E45" s="23" t="s">
        <x:v>184</x:v>
      </x:c>
      <x:c r="F45" s="23">
        <x:v>11</x:v>
      </x:c>
      <x:c r="G45" s="23">
        <x:v>2</x:v>
      </x:c>
      <x:c r="H45" s="23">
        <x:v>0</x:v>
      </x:c>
      <x:c r="I45" s="23">
        <x:v>6014</x:v>
      </x:c>
      <x:c r="J45" s="23">
        <x:v>0</x:v>
      </x:c>
      <x:c r="K45" s="23">
        <x:v>28</x:v>
      </x:c>
      <x:c r="L45" s="23" t="s">
        <x:v>250</x:v>
      </x:c>
      <x:c r="M45" s="23">
        <x:f t="shared" si="0"/>
        <x:v>427</x:v>
      </x:c>
      <x:c r="N45" s="24" t="str">
        <x:f t="array" ref="N45">INDEX('MATCH INFO'!O:O, INT((ROW()-2)/10)+2 + 29+29)</x:f>
        <x:v>260619_FLC_O2_S1</x:v>
      </x:c>
    </x:row>
    <x:row r="46">
      <x:c r="A46" s="23" t="s">
        <x:v>72</x:v>
      </x:c>
      <x:c r="B46" s="23" t="s">
        <x:v>75</x:v>
      </x:c>
      <x:c r="C46" s="23" t="s">
        <x:v>11</x:v>
      </x:c>
      <x:c r="D46" s="23" t="s">
        <x:v>107</x:v>
      </x:c>
      <x:c r="E46" s="23" t="s">
        <x:v>184</x:v>
      </x:c>
      <x:c r="F46" s="23">
        <x:v>8</x:v>
      </x:c>
      <x:c r="G46" s="23">
        <x:v>3</x:v>
      </x:c>
      <x:c r="H46" s="23">
        <x:v>3</x:v>
      </x:c>
      <x:c r="I46" s="23">
        <x:v>6299</x:v>
      </x:c>
      <x:c r="J46" s="23">
        <x:v>233</x:v>
      </x:c>
      <x:c r="K46" s="23">
        <x:v>382</x:v>
      </x:c>
      <x:c r="L46" s="23" t="s">
        <x:v>250</x:v>
      </x:c>
      <x:c r="M46" s="23">
        <x:f t="shared" si="0"/>
        <x:v>427</x:v>
      </x:c>
      <x:c r="N46" s="24" t="str">
        <x:f t="array" ref="N46">INDEX('MATCH INFO'!O:O, INT((ROW()-2)/10)+2 + 29+29)</x:f>
        <x:v>260619_FLC_O2_S1</x:v>
      </x:c>
    </x:row>
    <x:row r="47">
      <x:c r="A47" s="23" t="s">
        <x:v>6</x:v>
      </x:c>
      <x:c r="B47" s="23" t="s">
        <x:v>15</x:v>
      </x:c>
      <x:c r="C47" s="23" t="s">
        <x:v>16</x:v>
      </x:c>
      <x:c r="D47" s="23" t="s">
        <x:v>107</x:v>
      </x:c>
      <x:c r="E47" s="23" t="s">
        <x:v>184</x:v>
      </x:c>
      <x:c r="F47" s="23">
        <x:v>2</x:v>
      </x:c>
      <x:c r="G47" s="23">
        <x:v>5</x:v>
      </x:c>
      <x:c r="H47" s="23">
        <x:v>2</x:v>
      </x:c>
      <x:c r="I47" s="23">
        <x:v>2690</x:v>
      </x:c>
      <x:c r="J47" s="23">
        <x:v>4805</x:v>
      </x:c>
      <x:c r="K47" s="23">
        <x:v>1199</x:v>
      </x:c>
      <x:c r="L47" s="23" t="s">
        <x:v>250</x:v>
      </x:c>
      <x:c r="M47" s="23">
        <x:f t="shared" si="0"/>
        <x:v>427</x:v>
      </x:c>
      <x:c r="N47" s="24" t="str">
        <x:f t="array" ref="N47">INDEX('MATCH INFO'!O:O, INT((ROW()-2)/10)+2 + 29+29)</x:f>
        <x:v>260619_FLC_O2_S1</x:v>
      </x:c>
    </x:row>
    <x:row r="48">
      <x:c r="A48" s="23" t="s">
        <x:v>6</x:v>
      </x:c>
      <x:c r="B48" s="23" t="s">
        <x:v>7</x:v>
      </x:c>
      <x:c r="C48" s="23" t="s">
        <x:v>8</x:v>
      </x:c>
      <x:c r="D48" s="23" t="s">
        <x:v>107</x:v>
      </x:c>
      <x:c r="E48" s="23" t="s">
        <x:v>184</x:v>
      </x:c>
      <x:c r="F48" s="23">
        <x:v>5</x:v>
      </x:c>
      <x:c r="G48" s="23">
        <x:v>3</x:v>
      </x:c>
      <x:c r="H48" s="23">
        <x:v>0</x:v>
      </x:c>
      <x:c r="I48" s="23">
        <x:v>5820</x:v>
      </x:c>
      <x:c r="J48" s="23">
        <x:v>757</x:v>
      </x:c>
      <x:c r="K48" s="23">
        <x:v>7995</x:v>
      </x:c>
      <x:c r="L48" s="23" t="s">
        <x:v>250</x:v>
      </x:c>
      <x:c r="M48" s="23">
        <x:f t="shared" si="0"/>
        <x:v>427</x:v>
      </x:c>
      <x:c r="N48" s="24" t="str">
        <x:f t="array" ref="N48">INDEX('MATCH INFO'!O:O, INT((ROW()-2)/10)+2 + 29+29)</x:f>
        <x:v>260619_FLC_O2_S1</x:v>
      </x:c>
    </x:row>
    <x:row r="49">
      <x:c r="A49" s="23" t="s">
        <x:v>6</x:v>
      </x:c>
      <x:c r="B49" s="23" t="s">
        <x:v>18</x:v>
      </x:c>
      <x:c r="C49" s="23" t="s">
        <x:v>16</x:v>
      </x:c>
      <x:c r="D49" s="23" t="s">
        <x:v>107</x:v>
      </x:c>
      <x:c r="E49" s="23" t="s">
        <x:v>184</x:v>
      </x:c>
      <x:c r="F49" s="23">
        <x:v>2</x:v>
      </x:c>
      <x:c r="G49" s="23">
        <x:v>4</x:v>
      </x:c>
      <x:c r="H49" s="23">
        <x:v>5</x:v>
      </x:c>
      <x:c r="I49" s="23">
        <x:v>3486</x:v>
      </x:c>
      <x:c r="J49" s="23">
        <x:v>5385</x:v>
      </x:c>
      <x:c r="K49" s="23">
        <x:v>0</x:v>
      </x:c>
      <x:c r="L49" s="23" t="s">
        <x:v>250</x:v>
      </x:c>
      <x:c r="M49" s="23">
        <x:f t="shared" si="0"/>
        <x:v>427</x:v>
      </x:c>
      <x:c r="N49" s="24" t="str">
        <x:f t="array" ref="N49">INDEX('MATCH INFO'!O:O, INT((ROW()-2)/10)+2 + 29+29)</x:f>
        <x:v>260619_FLC_O2_S1</x:v>
      </x:c>
    </x:row>
    <x:row r="50">
      <x:c r="A50" s="23" t="s">
        <x:v>6</x:v>
      </x:c>
      <x:c r="B50" s="23" t="s">
        <x:v>13</x:v>
      </x:c>
      <x:c r="C50" s="23" t="s">
        <x:v>11</x:v>
      </x:c>
      <x:c r="D50" s="23" t="s">
        <x:v>107</x:v>
      </x:c>
      <x:c r="E50" s="23" t="s">
        <x:v>184</x:v>
      </x:c>
      <x:c r="F50" s="23">
        <x:v>5</x:v>
      </x:c>
      <x:c r="G50" s="23">
        <x:v>4</x:v>
      </x:c>
      <x:c r="H50" s="23">
        <x:v>1</x:v>
      </x:c>
      <x:c r="I50" s="23">
        <x:v>4728</x:v>
      </x:c>
      <x:c r="J50" s="23">
        <x:v>59</x:v>
      </x:c>
      <x:c r="K50" s="23">
        <x:v>118</x:v>
      </x:c>
      <x:c r="L50" s="23" t="s">
        <x:v>250</x:v>
      </x:c>
      <x:c r="M50" s="23">
        <x:f t="shared" si="0"/>
        <x:v>427</x:v>
      </x:c>
      <x:c r="N50" s="24" t="str">
        <x:f t="array" ref="N50">INDEX('MATCH INFO'!O:O, INT((ROW()-2)/10)+2 + 29+29)</x:f>
        <x:v>260619_FLC_O2_S1</x:v>
      </x:c>
    </x:row>
    <x:row r="51">
      <x:c r="A51" s="23" t="s">
        <x:v>6</x:v>
      </x:c>
      <x:c r="B51" s="23" t="s">
        <x:v>10</x:v>
      </x:c>
      <x:c r="C51" s="23" t="s">
        <x:v>11</x:v>
      </x:c>
      <x:c r="D51" s="23" t="s">
        <x:v>107</x:v>
      </x:c>
      <x:c r="E51" s="23" t="s">
        <x:v>184</x:v>
      </x:c>
      <x:c r="F51" s="23">
        <x:v>2</x:v>
      </x:c>
      <x:c r="G51" s="23">
        <x:v>5</x:v>
      </x:c>
      <x:c r="H51" s="23">
        <x:v>0</x:v>
      </x:c>
      <x:c r="I51" s="23">
        <x:v>3291</x:v>
      </x:c>
      <x:c r="J51" s="23">
        <x:v>0</x:v>
      </x:c>
      <x:c r="K51" s="23">
        <x:v>0</x:v>
      </x:c>
      <x:c r="L51" s="23" t="s">
        <x:v>250</x:v>
      </x:c>
      <x:c r="M51" s="23">
        <x:f t="shared" si="0"/>
        <x:v>427</x:v>
      </x:c>
      <x:c r="N51" s="24" t="str">
        <x:f t="array" ref="N51">INDEX('MATCH INFO'!O:O, INT((ROW()-2)/10)+2 + 29+29)</x:f>
        <x:v>260619_FLC_O2_S1</x:v>
      </x:c>
    </x:row>
    <x:row r="52">
      <x:c r="A52" s="23" t="s">
        <x:v>6</x:v>
      </x:c>
      <x:c r="B52" s="23" t="s">
        <x:v>15</x:v>
      </x:c>
      <x:c r="C52" s="23" t="s">
        <x:v>16</x:v>
      </x:c>
      <x:c r="D52" s="23" t="s">
        <x:v>133</x:v>
      </x:c>
      <x:c r="E52" s="23" t="s">
        <x:v>191</x:v>
      </x:c>
      <x:c r="F52" s="23">
        <x:v>17</x:v>
      </x:c>
      <x:c r="G52" s="23">
        <x:v>5</x:v>
      </x:c>
      <x:c r="H52" s="23">
        <x:v>15</x:v>
      </x:c>
      <x:c r="I52" s="23">
        <x:v>3590</x:v>
      </x:c>
      <x:c r="J52" s="23">
        <x:v>15730</x:v>
      </x:c>
      <x:c r="K52" s="23">
        <x:v>0</x:v>
      </x:c>
      <x:c r="L52" s="23" t="s">
        <x:v>251</x:v>
      </x:c>
      <x:c r="M52" s="23">
        <x:f t="shared" si="0"/>
        <x:v>748</x:v>
      </x:c>
      <x:c r="N52" s="24" t="str">
        <x:f t="array" ref="N52">INDEX('MATCH INFO'!O:O, INT((ROW()-2)/10)+2 + 29+29)</x:f>
        <x:v>260619_FLC_O2_S2</x:v>
      </x:c>
    </x:row>
    <x:row r="53">
      <x:c r="A53" s="23" t="s">
        <x:v>6</x:v>
      </x:c>
      <x:c r="B53" s="23" t="s">
        <x:v>18</x:v>
      </x:c>
      <x:c r="C53" s="23" t="s">
        <x:v>16</x:v>
      </x:c>
      <x:c r="D53" s="23" t="s">
        <x:v>133</x:v>
      </x:c>
      <x:c r="E53" s="23" t="s">
        <x:v>191</x:v>
      </x:c>
      <x:c r="F53" s="23">
        <x:v>10</x:v>
      </x:c>
      <x:c r="G53" s="23">
        <x:v>12</x:v>
      </x:c>
      <x:c r="H53" s="23">
        <x:v>18</x:v>
      </x:c>
      <x:c r="I53" s="23">
        <x:v>4629</x:v>
      </x:c>
      <x:c r="J53" s="23">
        <x:v>18152</x:v>
      </x:c>
      <x:c r="K53" s="23">
        <x:v>0</x:v>
      </x:c>
      <x:c r="L53" s="23" t="s">
        <x:v>251</x:v>
      </x:c>
      <x:c r="M53" s="23">
        <x:f t="shared" si="0"/>
        <x:v>748</x:v>
      </x:c>
      <x:c r="N53" s="24" t="str">
        <x:f t="array" ref="N53">INDEX('MATCH INFO'!O:O, INT((ROW()-2)/10)+2 + 29+29)</x:f>
        <x:v>260619_FLC_O2_S2</x:v>
      </x:c>
    </x:row>
    <x:row r="54">
      <x:c r="A54" s="23" t="s">
        <x:v>6</x:v>
      </x:c>
      <x:c r="B54" s="23" t="s">
        <x:v>13</x:v>
      </x:c>
      <x:c r="C54" s="23" t="s">
        <x:v>11</x:v>
      </x:c>
      <x:c r="D54" s="23" t="s">
        <x:v>133</x:v>
      </x:c>
      <x:c r="E54" s="23" t="s">
        <x:v>191</x:v>
      </x:c>
      <x:c r="F54" s="23">
        <x:v>21</x:v>
      </x:c>
      <x:c r="G54" s="23">
        <x:v>8</x:v>
      </x:c>
      <x:c r="H54" s="23">
        <x:v>4</x:v>
      </x:c>
      <x:c r="I54" s="23">
        <x:v>17212</x:v>
      </x:c>
      <x:c r="J54" s="23">
        <x:v>172</x:v>
      </x:c>
      <x:c r="K54" s="23">
        <x:v>1689</x:v>
      </x:c>
      <x:c r="L54" s="23" t="s">
        <x:v>251</x:v>
      </x:c>
      <x:c r="M54" s="23">
        <x:f t="shared" si="0"/>
        <x:v>748</x:v>
      </x:c>
      <x:c r="N54" s="24" t="str">
        <x:f t="array" ref="N54">INDEX('MATCH INFO'!O:O, INT((ROW()-2)/10)+2 + 29+29)</x:f>
        <x:v>260619_FLC_O2_S2</x:v>
      </x:c>
    </x:row>
    <x:row r="55">
      <x:c r="A55" s="23" t="s">
        <x:v>6</x:v>
      </x:c>
      <x:c r="B55" s="23" t="s">
        <x:v>9</x:v>
      </x:c>
      <x:c r="C55" s="23" t="s">
        <x:v>8</x:v>
      </x:c>
      <x:c r="D55" s="23" t="s">
        <x:v>133</x:v>
      </x:c>
      <x:c r="E55" s="23" t="s">
        <x:v>191</x:v>
      </x:c>
      <x:c r="F55" s="23">
        <x:v>18</x:v>
      </x:c>
      <x:c r="G55" s="23">
        <x:v>10</x:v>
      </x:c>
      <x:c r="H55" s="23">
        <x:v>12</x:v>
      </x:c>
      <x:c r="I55" s="23">
        <x:v>17971</x:v>
      </x:c>
      <x:c r="J55" s="23">
        <x:v>4928</x:v>
      </x:c>
      <x:c r="K55" s="23">
        <x:v>10936</x:v>
      </x:c>
      <x:c r="L55" s="23" t="s">
        <x:v>251</x:v>
      </x:c>
      <x:c r="M55" s="23">
        <x:f t="shared" si="0"/>
        <x:v>748</x:v>
      </x:c>
      <x:c r="N55" s="24" t="str">
        <x:f t="array" ref="N55">INDEX('MATCH INFO'!O:O, INT((ROW()-2)/10)+2 + 29+29)</x:f>
        <x:v>260619_FLC_O2_S2</x:v>
      </x:c>
    </x:row>
    <x:row r="56">
      <x:c r="A56" s="23" t="s">
        <x:v>6</x:v>
      </x:c>
      <x:c r="B56" s="23" t="s">
        <x:v>10</x:v>
      </x:c>
      <x:c r="C56" s="23" t="s">
        <x:v>11</x:v>
      </x:c>
      <x:c r="D56" s="23" t="s">
        <x:v>133</x:v>
      </x:c>
      <x:c r="E56" s="23" t="s">
        <x:v>191</x:v>
      </x:c>
      <x:c r="F56" s="23">
        <x:v>19</x:v>
      </x:c>
      <x:c r="G56" s="23">
        <x:v>10</x:v>
      </x:c>
      <x:c r="H56" s="23">
        <x:v>0</x:v>
      </x:c>
      <x:c r="I56" s="23">
        <x:v>10251</x:v>
      </x:c>
      <x:c r="J56" s="23">
        <x:v>1515</x:v>
      </x:c>
      <x:c r="K56" s="23">
        <x:v>100</x:v>
      </x:c>
      <x:c r="L56" s="23" t="s">
        <x:v>251</x:v>
      </x:c>
      <x:c r="M56" s="23">
        <x:f t="shared" si="0"/>
        <x:v>748</x:v>
      </x:c>
      <x:c r="N56" s="24" t="str">
        <x:f t="array" ref="N56">INDEX('MATCH INFO'!O:O, INT((ROW()-2)/10)+2 + 29+29)</x:f>
        <x:v>260619_FLC_O2_S2</x:v>
      </x:c>
    </x:row>
    <x:row r="57">
      <x:c r="A57" s="23" t="s">
        <x:v>72</x:v>
      </x:c>
      <x:c r="B57" s="23" t="s">
        <x:v>78</x:v>
      </x:c>
      <x:c r="C57" s="23" t="s">
        <x:v>16</x:v>
      </x:c>
      <x:c r="D57" s="23" t="s">
        <x:v>133</x:v>
      </x:c>
      <x:c r="E57" s="23" t="s">
        <x:v>191</x:v>
      </x:c>
      <x:c r="F57" s="23">
        <x:v>18</x:v>
      </x:c>
      <x:c r="G57" s="23">
        <x:v>3</x:v>
      </x:c>
      <x:c r="H57" s="23">
        <x:v>26</x:v>
      </x:c>
      <x:c r="I57" s="23">
        <x:v>5812</x:v>
      </x:c>
      <x:c r="J57" s="23">
        <x:v>15210</x:v>
      </x:c>
      <x:c r="K57" s="23">
        <x:v>0</x:v>
      </x:c>
      <x:c r="L57" s="23" t="s">
        <x:v>251</x:v>
      </x:c>
      <x:c r="M57" s="23">
        <x:f t="shared" si="0"/>
        <x:v>748</x:v>
      </x:c>
      <x:c r="N57" s="24" t="str">
        <x:f t="array" ref="N57">INDEX('MATCH INFO'!O:O, INT((ROW()-2)/10)+2 + 29+29)</x:f>
        <x:v>260619_FLC_O2_S2</x:v>
      </x:c>
    </x:row>
    <x:row r="58">
      <x:c r="A58" s="23" t="s">
        <x:v>72</x:v>
      </x:c>
      <x:c r="B58" s="23" t="s">
        <x:v>79</x:v>
      </x:c>
      <x:c r="C58" s="23" t="s">
        <x:v>16</x:v>
      </x:c>
      <x:c r="D58" s="23" t="s">
        <x:v>133</x:v>
      </x:c>
      <x:c r="E58" s="23" t="s">
        <x:v>191</x:v>
      </x:c>
      <x:c r="F58" s="23">
        <x:v>17</x:v>
      </x:c>
      <x:c r="G58" s="23">
        <x:v>6</x:v>
      </x:c>
      <x:c r="H58" s="23">
        <x:v>27</x:v>
      </x:c>
      <x:c r="I58" s="23">
        <x:v>6765</x:v>
      </x:c>
      <x:c r="J58" s="23">
        <x:v>12125</x:v>
      </x:c>
      <x:c r="K58" s="23">
        <x:v>6694</x:v>
      </x:c>
      <x:c r="L58" s="23" t="s">
        <x:v>251</x:v>
      </x:c>
      <x:c r="M58" s="23">
        <x:f t="shared" si="0"/>
        <x:v>748</x:v>
      </x:c>
      <x:c r="N58" s="24" t="str">
        <x:f t="array" ref="N58">INDEX('MATCH INFO'!O:O, INT((ROW()-2)/10)+2 + 29+29)</x:f>
        <x:v>260619_FLC_O2_S2</x:v>
      </x:c>
    </x:row>
    <x:row r="59">
      <x:c r="A59" s="23" t="s">
        <x:v>72</x:v>
      </x:c>
      <x:c r="B59" s="23" t="s">
        <x:v>74</x:v>
      </x:c>
      <x:c r="C59" s="23" t="s">
        <x:v>8</x:v>
      </x:c>
      <x:c r="D59" s="23" t="s">
        <x:v>133</x:v>
      </x:c>
      <x:c r="E59" s="23" t="s">
        <x:v>191</x:v>
      </x:c>
      <x:c r="F59" s="23">
        <x:v>32</x:v>
      </x:c>
      <x:c r="G59" s="23">
        <x:v>5</x:v>
      </x:c>
      <x:c r="H59" s="23">
        <x:v>29</x:v>
      </x:c>
      <x:c r="I59" s="23">
        <x:v>20897</x:v>
      </x:c>
      <x:c r="J59" s="23">
        <x:v>4997</x:v>
      </x:c>
      <x:c r="K59" s="23">
        <x:v>10300</x:v>
      </x:c>
      <x:c r="L59" s="23" t="s">
        <x:v>251</x:v>
      </x:c>
      <x:c r="M59" s="23">
        <x:f t="shared" si="0"/>
        <x:v>748</x:v>
      </x:c>
      <x:c r="N59" s="24" t="str">
        <x:f t="array" ref="N59">INDEX('MATCH INFO'!O:O, INT((ROW()-2)/10)+2 + 29+29)</x:f>
        <x:v>260619_FLC_O2_S2</x:v>
      </x:c>
    </x:row>
    <x:row r="60">
      <x:c r="A60" s="23" t="s">
        <x:v>72</x:v>
      </x:c>
      <x:c r="B60" s="23" t="s">
        <x:v>77</x:v>
      </x:c>
      <x:c r="C60" s="23" t="s">
        <x:v>11</x:v>
      </x:c>
      <x:c r="D60" s="23" t="s">
        <x:v>133</x:v>
      </x:c>
      <x:c r="E60" s="23" t="s">
        <x:v>191</x:v>
      </x:c>
      <x:c r="F60" s="23">
        <x:v>34</x:v>
      </x:c>
      <x:c r="G60" s="23">
        <x:v>7</x:v>
      </x:c>
      <x:c r="H60" s="23">
        <x:v>7</x:v>
      </x:c>
      <x:c r="I60" s="23">
        <x:v>17066</x:v>
      </x:c>
      <x:c r="J60" s="23">
        <x:v>370</x:v>
      </x:c>
      <x:c r="K60" s="23">
        <x:v>1118</x:v>
      </x:c>
      <x:c r="L60" s="23" t="s">
        <x:v>251</x:v>
      </x:c>
      <x:c r="M60" s="23">
        <x:f t="shared" si="0"/>
        <x:v>748</x:v>
      </x:c>
      <x:c r="N60" s="24" t="str">
        <x:f t="array" ref="N60">INDEX('MATCH INFO'!O:O, INT((ROW()-2)/10)+2 + 29+29)</x:f>
        <x:v>260619_FLC_O2_S2</x:v>
      </x:c>
    </x:row>
    <x:row r="61">
      <x:c r="A61" s="23" t="s">
        <x:v>72</x:v>
      </x:c>
      <x:c r="B61" s="23" t="s">
        <x:v>75</x:v>
      </x:c>
      <x:c r="C61" s="23" t="s">
        <x:v>11</x:v>
      </x:c>
      <x:c r="D61" s="23" t="s">
        <x:v>133</x:v>
      </x:c>
      <x:c r="E61" s="23" t="s">
        <x:v>191</x:v>
      </x:c>
      <x:c r="F61" s="23">
        <x:v>33</x:v>
      </x:c>
      <x:c r="G61" s="23">
        <x:v>7</x:v>
      </x:c>
      <x:c r="H61" s="23">
        <x:v>6</x:v>
      </x:c>
      <x:c r="I61" s="23">
        <x:v>16429</x:v>
      </x:c>
      <x:c r="J61" s="23">
        <x:v>203</x:v>
      </x:c>
      <x:c r="K61" s="23">
        <x:v>327</x:v>
      </x:c>
      <x:c r="L61" s="23" t="s">
        <x:v>251</x:v>
      </x:c>
      <x:c r="M61" s="23">
        <x:f t="shared" si="0"/>
        <x:v>748</x:v>
      </x:c>
      <x:c r="N61" s="24" t="str">
        <x:f t="array" ref="N61">INDEX('MATCH INFO'!O:O, INT((ROW()-2)/10)+2 + 29+29)</x:f>
        <x:v>260619_FLC_O2_S2</x:v>
      </x:c>
    </x:row>
    <x:row r="62">
      <x:c r="A62" s="23" t="s">
        <x:v>6</x:v>
      </x:c>
      <x:c r="B62" s="23" t="s">
        <x:v>15</x:v>
      </x:c>
      <x:c r="C62" s="23" t="s">
        <x:v>16</x:v>
      </x:c>
      <x:c r="D62" s="23" t="s">
        <x:v>145</x:v>
      </x:c>
      <x:c r="E62" s="23" t="s">
        <x:v>195</x:v>
      </x:c>
      <x:c r="F62" s="23">
        <x:v>5</x:v>
      </x:c>
      <x:c r="G62" s="23">
        <x:v>4</x:v>
      </x:c>
      <x:c r="H62" s="23">
        <x:v>3</x:v>
      </x:c>
      <x:c r="I62" s="23">
        <x:v>4376</x:v>
      </x:c>
      <x:c r="J62" s="23">
        <x:v>5963</x:v>
      </x:c>
      <x:c r="K62" s="23">
        <x:v>506</x:v>
      </x:c>
      <x:c r="L62" s="23" t="s">
        <x:v>252</x:v>
      </x:c>
      <x:c r="M62" s="23">
        <x:f t="shared" si="0"/>
        <x:v>540</x:v>
      </x:c>
      <x:c r="N62" s="24" t="str">
        <x:f t="array" ref="N62">INDEX('MATCH INFO'!O:O, INT((ROW()-2)/10)+2 + 29+29)</x:f>
        <x:v>260619_FLC_O2_S3</x:v>
      </x:c>
    </x:row>
    <x:row r="63">
      <x:c r="A63" s="23" t="s">
        <x:v>6</x:v>
      </x:c>
      <x:c r="B63" s="23" t="s">
        <x:v>18</x:v>
      </x:c>
      <x:c r="C63" s="23" t="s">
        <x:v>16</x:v>
      </x:c>
      <x:c r="D63" s="23" t="s">
        <x:v>145</x:v>
      </x:c>
      <x:c r="E63" s="23" t="s">
        <x:v>195</x:v>
      </x:c>
      <x:c r="F63" s="23">
        <x:v>8</x:v>
      </x:c>
      <x:c r="G63" s="23">
        <x:v>5</x:v>
      </x:c>
      <x:c r="H63" s="23">
        <x:v>8</x:v>
      </x:c>
      <x:c r="I63" s="23">
        <x:v>5218</x:v>
      </x:c>
      <x:c r="J63" s="23">
        <x:v>9008</x:v>
      </x:c>
      <x:c r="K63" s="23">
        <x:v>612</x:v>
      </x:c>
      <x:c r="L63" s="23" t="s">
        <x:v>252</x:v>
      </x:c>
      <x:c r="M63" s="23">
        <x:f t="shared" si="0"/>
        <x:v>540</x:v>
      </x:c>
      <x:c r="N63" s="24" t="str">
        <x:f t="array" ref="N63">INDEX('MATCH INFO'!O:O, INT((ROW()-2)/10)+2 + 29+29)</x:f>
        <x:v>260619_FLC_O2_S3</x:v>
      </x:c>
    </x:row>
    <x:row r="64">
      <x:c r="A64" s="23" t="s">
        <x:v>6</x:v>
      </x:c>
      <x:c r="B64" s="23" t="s">
        <x:v>13</x:v>
      </x:c>
      <x:c r="C64" s="23" t="s">
        <x:v>11</x:v>
      </x:c>
      <x:c r="D64" s="23" t="s">
        <x:v>145</x:v>
      </x:c>
      <x:c r="E64" s="23" t="s">
        <x:v>195</x:v>
      </x:c>
      <x:c r="F64" s="23">
        <x:v>9</x:v>
      </x:c>
      <x:c r="G64" s="23">
        <x:v>8</x:v>
      </x:c>
      <x:c r="H64" s="23">
        <x:v>1</x:v>
      </x:c>
      <x:c r="I64" s="23">
        <x:v>6290</x:v>
      </x:c>
      <x:c r="J64" s="23">
        <x:v>198</x:v>
      </x:c>
      <x:c r="K64" s="23">
        <x:v>202</x:v>
      </x:c>
      <x:c r="L64" s="23" t="s">
        <x:v>252</x:v>
      </x:c>
      <x:c r="M64" s="23">
        <x:f t="shared" si="0"/>
        <x:v>540</x:v>
      </x:c>
      <x:c r="N64" s="24" t="str">
        <x:f t="array" ref="N64">INDEX('MATCH INFO'!O:O, INT((ROW()-2)/10)+2 + 29+29)</x:f>
        <x:v>260619_FLC_O2_S3</x:v>
      </x:c>
    </x:row>
    <x:row r="65">
      <x:c r="A65" s="23" t="s">
        <x:v>6</x:v>
      </x:c>
      <x:c r="B65" s="23" t="s">
        <x:v>9</x:v>
      </x:c>
      <x:c r="C65" s="23" t="s">
        <x:v>8</x:v>
      </x:c>
      <x:c r="D65" s="23" t="s">
        <x:v>145</x:v>
      </x:c>
      <x:c r="E65" s="23" t="s">
        <x:v>195</x:v>
      </x:c>
      <x:c r="F65" s="23">
        <x:v>8</x:v>
      </x:c>
      <x:c r="G65" s="23">
        <x:v>8</x:v>
      </x:c>
      <x:c r="H65" s="23">
        <x:v>3</x:v>
      </x:c>
      <x:c r="I65" s="23">
        <x:v>6168</x:v>
      </x:c>
      <x:c r="J65" s="23">
        <x:v>305</x:v>
      </x:c>
      <x:c r="K65" s="23">
        <x:v>13315</x:v>
      </x:c>
      <x:c r="L65" s="23" t="s">
        <x:v>252</x:v>
      </x:c>
      <x:c r="M65" s="23">
        <x:f t="shared" si="0"/>
        <x:v>540</x:v>
      </x:c>
      <x:c r="N65" s="24" t="str">
        <x:f t="array" ref="N65">INDEX('MATCH INFO'!O:O, INT((ROW()-2)/10)+2 + 29+29)</x:f>
        <x:v>260619_FLC_O2_S3</x:v>
      </x:c>
    </x:row>
    <x:row r="66">
      <x:c r="A66" s="23" t="s">
        <x:v>6</x:v>
      </x:c>
      <x:c r="B66" s="23" t="s">
        <x:v>10</x:v>
      </x:c>
      <x:c r="C66" s="23" t="s">
        <x:v>11</x:v>
      </x:c>
      <x:c r="D66" s="23" t="s">
        <x:v>145</x:v>
      </x:c>
      <x:c r="E66" s="23" t="s">
        <x:v>195</x:v>
      </x:c>
      <x:c r="F66" s="23">
        <x:v>4</x:v>
      </x:c>
      <x:c r="G66" s="23">
        <x:v>7</x:v>
      </x:c>
      <x:c r="H66" s="23">
        <x:v>1</x:v>
      </x:c>
      <x:c r="I66" s="23">
        <x:v>6767</x:v>
      </x:c>
      <x:c r="J66" s="23">
        <x:v>142</x:v>
      </x:c>
      <x:c r="K66" s="23">
        <x:v>291</x:v>
      </x:c>
      <x:c r="L66" s="23" t="s">
        <x:v>252</x:v>
      </x:c>
      <x:c r="M66" s="23" t="e">
        <x:f t="shared" ref="M66:M129" si="1">L66*86400</x:f>
        <x:v>#VALUE!</x:v>
      </x:c>
      <x:c r="N66" s="24" t="str">
        <x:f t="array" ref="N66">INDEX('MATCH INFO'!O:O, INT((ROW()-2)/10)+2 + 29+29)</x:f>
        <x:v>260619_FLC_O2_S3</x:v>
      </x:c>
    </x:row>
    <x:row r="67">
      <x:c r="A67" s="23" t="s">
        <x:v>72</x:v>
      </x:c>
      <x:c r="B67" s="23" t="s">
        <x:v>76</x:v>
      </x:c>
      <x:c r="C67" s="23" t="s">
        <x:v>11</x:v>
      </x:c>
      <x:c r="D67" s="23" t="s">
        <x:v>145</x:v>
      </x:c>
      <x:c r="E67" s="23" t="s">
        <x:v>195</x:v>
      </x:c>
      <x:c r="F67" s="23">
        <x:v>19</x:v>
      </x:c>
      <x:c r="G67" s="23">
        <x:v>2</x:v>
      </x:c>
      <x:c r="H67" s="23">
        <x:v>7</x:v>
      </x:c>
      <x:c r="I67" s="23">
        <x:v>9004</x:v>
      </x:c>
      <x:c r="J67" s="23">
        <x:v>180</x:v>
      </x:c>
      <x:c r="K67" s="23">
        <x:v>3601</x:v>
      </x:c>
      <x:c r="L67" s="23" t="s">
        <x:v>252</x:v>
      </x:c>
      <x:c r="M67" s="23">
        <x:f t="shared" si="1"/>
        <x:v>540</x:v>
      </x:c>
      <x:c r="N67" s="24" t="str">
        <x:f t="array" ref="N67">INDEX('MATCH INFO'!O:O, INT((ROW()-2)/10)+2 + 29+29)</x:f>
        <x:v>260619_FLC_O2_S3</x:v>
      </x:c>
    </x:row>
    <x:row r="68">
      <x:c r="A68" s="23" t="s">
        <x:v>72</x:v>
      </x:c>
      <x:c r="B68" s="23" t="s">
        <x:v>78</x:v>
      </x:c>
      <x:c r="C68" s="23" t="s">
        <x:v>16</x:v>
      </x:c>
      <x:c r="D68" s="23" t="s">
        <x:v>145</x:v>
      </x:c>
      <x:c r="E68" s="23" t="s">
        <x:v>195</x:v>
      </x:c>
      <x:c r="F68" s="23">
        <x:v>20</x:v>
      </x:c>
      <x:c r="G68" s="23">
        <x:v>3</x:v>
      </x:c>
      <x:c r="H68" s="23">
        <x:v>16</x:v>
      </x:c>
      <x:c r="I68" s="23">
        <x:v>3252</x:v>
      </x:c>
      <x:c r="J68" s="23">
        <x:v>8508</x:v>
      </x:c>
      <x:c r="K68" s="23">
        <x:v>0</x:v>
      </x:c>
      <x:c r="L68" s="23" t="s">
        <x:v>252</x:v>
      </x:c>
      <x:c r="M68" s="23">
        <x:f t="shared" si="1"/>
        <x:v>540</x:v>
      </x:c>
      <x:c r="N68" s="24" t="str">
        <x:f t="array" ref="N68">INDEX('MATCH INFO'!O:O, INT((ROW()-2)/10)+2 + 29+29)</x:f>
        <x:v>260619_FLC_O2_S3</x:v>
      </x:c>
    </x:row>
    <x:row r="69">
      <x:c r="A69" s="23" t="s">
        <x:v>72</x:v>
      </x:c>
      <x:c r="B69" s="23" t="s">
        <x:v>79</x:v>
      </x:c>
      <x:c r="C69" s="23" t="s">
        <x:v>16</x:v>
      </x:c>
      <x:c r="D69" s="23" t="s">
        <x:v>145</x:v>
      </x:c>
      <x:c r="E69" s="23" t="s">
        <x:v>195</x:v>
      </x:c>
      <x:c r="F69" s="23">
        <x:v>7</x:v>
      </x:c>
      <x:c r="G69" s="23">
        <x:v>4</x:v>
      </x:c>
      <x:c r="H69" s="23">
        <x:v>20</x:v>
      </x:c>
      <x:c r="I69" s="23">
        <x:v>2101</x:v>
      </x:c>
      <x:c r="J69" s="23">
        <x:v>9082</x:v>
      </x:c>
      <x:c r="K69" s="23">
        <x:v>0</x:v>
      </x:c>
      <x:c r="L69" s="23" t="s">
        <x:v>252</x:v>
      </x:c>
      <x:c r="M69" s="23">
        <x:f t="shared" si="1"/>
        <x:v>540</x:v>
      </x:c>
      <x:c r="N69" s="24" t="str">
        <x:f t="array" ref="N69">INDEX('MATCH INFO'!O:O, INT((ROW()-2)/10)+2 + 29+29)</x:f>
        <x:v>260619_FLC_O2_S3</x:v>
      </x:c>
    </x:row>
    <x:row r="70">
      <x:c r="A70" s="23" t="s">
        <x:v>72</x:v>
      </x:c>
      <x:c r="B70" s="23" t="s">
        <x:v>77</x:v>
      </x:c>
      <x:c r="C70" s="23" t="s">
        <x:v>11</x:v>
      </x:c>
      <x:c r="D70" s="23" t="s">
        <x:v>145</x:v>
      </x:c>
      <x:c r="E70" s="23" t="s">
        <x:v>195</x:v>
      </x:c>
      <x:c r="F70" s="23">
        <x:v>21</x:v>
      </x:c>
      <x:c r="G70" s="23">
        <x:v>5</x:v>
      </x:c>
      <x:c r="H70" s="23">
        <x:v>0</x:v>
      </x:c>
      <x:c r="I70" s="23">
        <x:v>8441</x:v>
      </x:c>
      <x:c r="J70" s="23">
        <x:v>0</x:v>
      </x:c>
      <x:c r="K70" s="23">
        <x:v>49</x:v>
      </x:c>
      <x:c r="L70" s="23" t="s">
        <x:v>252</x:v>
      </x:c>
      <x:c r="M70" s="23">
        <x:f t="shared" si="1"/>
        <x:v>540</x:v>
      </x:c>
      <x:c r="N70" s="24" t="str">
        <x:f t="array" ref="N70">INDEX('MATCH INFO'!O:O, INT((ROW()-2)/10)+2 + 29+29)</x:f>
        <x:v>260619_FLC_O2_S3</x:v>
      </x:c>
    </x:row>
    <x:row r="71">
      <x:c r="A71" s="23" t="s">
        <x:v>72</x:v>
      </x:c>
      <x:c r="B71" s="23" t="s">
        <x:v>73</x:v>
      </x:c>
      <x:c r="C71" s="23" t="s">
        <x:v>8</x:v>
      </x:c>
      <x:c r="D71" s="23" t="s">
        <x:v>145</x:v>
      </x:c>
      <x:c r="E71" s="23" t="s">
        <x:v>195</x:v>
      </x:c>
      <x:c r="F71" s="23">
        <x:v>22</x:v>
      </x:c>
      <x:c r="G71" s="23">
        <x:v>3</x:v>
      </x:c>
      <x:c r="H71" s="23">
        <x:v>8</x:v>
      </x:c>
      <x:c r="I71" s="23">
        <x:v>8167</x:v>
      </x:c>
      <x:c r="J71" s="23">
        <x:v>722</x:v>
      </x:c>
      <x:c r="K71" s="23">
        <x:v>17518</x:v>
      </x:c>
      <x:c r="L71" s="23" t="s">
        <x:v>252</x:v>
      </x:c>
      <x:c r="M71" s="23">
        <x:f t="shared" si="1"/>
        <x:v>540</x:v>
      </x:c>
      <x:c r="N71" s="24" t="str">
        <x:f t="array" ref="N71">INDEX('MATCH INFO'!O:O, INT((ROW()-2)/10)+2 + 29+29)</x:f>
        <x:v>260619_FLC_O2_S3</x:v>
      </x:c>
    </x:row>
    <x:row r="72">
      <x:c r="A72" s="23" t="s">
        <x:v>63</x:v>
      </x:c>
      <x:c r="B72" s="23" t="s">
        <x:v>69</x:v>
      </x:c>
      <x:c r="C72" s="23" t="s">
        <x:v>16</x:v>
      </x:c>
      <x:c r="D72" s="23" t="s">
        <x:v>107</x:v>
      </x:c>
      <x:c r="E72" s="23" t="s">
        <x:v>184</x:v>
      </x:c>
      <x:c r="F72" s="23">
        <x:v>5</x:v>
      </x:c>
      <x:c r="G72" s="23">
        <x:v>8</x:v>
      </x:c>
      <x:c r="H72" s="23">
        <x:v>11</x:v>
      </x:c>
      <x:c r="I72" s="23">
        <x:v>2885</x:v>
      </x:c>
      <x:c r="J72" s="23">
        <x:v>8280</x:v>
      </x:c>
      <x:c r="K72" s="23">
        <x:v>1007</x:v>
      </x:c>
      <x:c r="L72" s="23" t="s">
        <x:v>253</x:v>
      </x:c>
      <x:c r="M72" s="23">
        <x:f t="shared" si="1"/>
        <x:v>600</x:v>
      </x:c>
      <x:c r="N72" s="24" t="str">
        <x:f t="array" ref="N72">INDEX('MATCH INFO'!O:O, INT((ROW()-2)/10)+2 + 29+29)</x:f>
        <x:v>260619_T1_CR_S1</x:v>
      </x:c>
    </x:row>
    <x:row r="73">
      <x:c r="A73" s="23" t="s">
        <x:v>63</x:v>
      </x:c>
      <x:c r="B73" s="23" t="s">
        <x:v>64</x:v>
      </x:c>
      <x:c r="C73" s="23" t="s">
        <x:v>8</x:v>
      </x:c>
      <x:c r="D73" s="23" t="s">
        <x:v>107</x:v>
      </x:c>
      <x:c r="E73" s="23" t="s">
        <x:v>184</x:v>
      </x:c>
      <x:c r="F73" s="23">
        <x:v>16</x:v>
      </x:c>
      <x:c r="G73" s="23">
        <x:v>6</x:v>
      </x:c>
      <x:c r="H73" s="23">
        <x:v>8</x:v>
      </x:c>
      <x:c r="I73" s="23">
        <x:v>6229</x:v>
      </x:c>
      <x:c r="J73" s="23">
        <x:v>2363</x:v>
      </x:c>
      <x:c r="K73" s="23">
        <x:v>16778</x:v>
      </x:c>
      <x:c r="L73" s="23" t="s">
        <x:v>253</x:v>
      </x:c>
      <x:c r="M73" s="23">
        <x:f t="shared" si="1"/>
        <x:v>600</x:v>
      </x:c>
      <x:c r="N73" s="24" t="str">
        <x:f t="array" ref="N73">INDEX('MATCH INFO'!O:O, INT((ROW()-2)/10)+2 + 29+29)</x:f>
        <x:v>260619_T1_CR_S1</x:v>
      </x:c>
    </x:row>
    <x:row r="74">
      <x:c r="A74" s="23" t="s">
        <x:v>63</x:v>
      </x:c>
      <x:c r="B74" s="23" t="s">
        <x:v>67</x:v>
      </x:c>
      <x:c r="C74" s="23" t="s">
        <x:v>11</x:v>
      </x:c>
      <x:c r="D74" s="23" t="s">
        <x:v>107</x:v>
      </x:c>
      <x:c r="E74" s="23" t="s">
        <x:v>184</x:v>
      </x:c>
      <x:c r="F74" s="23">
        <x:v>13</x:v>
      </x:c>
      <x:c r="G74" s="23">
        <x:v>9</x:v>
      </x:c>
      <x:c r="H74" s="23">
        <x:v>1</x:v>
      </x:c>
      <x:c r="I74" s="23">
        <x:v>11334</x:v>
      </x:c>
      <x:c r="J74" s="23">
        <x:v>0</x:v>
      </x:c>
      <x:c r="K74" s="23">
        <x:v>391</x:v>
      </x:c>
      <x:c r="L74" s="23" t="s">
        <x:v>253</x:v>
      </x:c>
      <x:c r="M74" s="23">
        <x:f t="shared" si="1"/>
        <x:v>600</x:v>
      </x:c>
      <x:c r="N74" s="24" t="str">
        <x:f t="array" ref="N74">INDEX('MATCH INFO'!O:O, INT((ROW()-2)/10)+2 + 29+29)</x:f>
        <x:v>260619_T1_CR_S1</x:v>
      </x:c>
    </x:row>
    <x:row r="75">
      <x:c r="A75" s="23" t="s">
        <x:v>63</x:v>
      </x:c>
      <x:c r="B75" s="23" t="s">
        <x:v>70</x:v>
      </x:c>
      <x:c r="C75" s="23" t="s">
        <x:v>16</x:v>
      </x:c>
      <x:c r="D75" s="23" t="s">
        <x:v>107</x:v>
      </x:c>
      <x:c r="E75" s="23" t="s">
        <x:v>184</x:v>
      </x:c>
      <x:c r="F75" s="23">
        <x:v>5</x:v>
      </x:c>
      <x:c r="G75" s="23">
        <x:v>8</x:v>
      </x:c>
      <x:c r="H75" s="23">
        <x:v>18</x:v>
      </x:c>
      <x:c r="I75" s="23">
        <x:v>4992</x:v>
      </x:c>
      <x:c r="J75" s="23">
        <x:v>12267</x:v>
      </x:c>
      <x:c r="K75" s="23">
        <x:v>0</x:v>
      </x:c>
      <x:c r="L75" s="23" t="s">
        <x:v>253</x:v>
      </x:c>
      <x:c r="M75" s="23">
        <x:f t="shared" si="1"/>
        <x:v>600</x:v>
      </x:c>
      <x:c r="N75" s="24" t="str">
        <x:f t="array" ref="N75">INDEX('MATCH INFO'!O:O, INT((ROW()-2)/10)+2 + 29+29)</x:f>
        <x:v>260619_T1_CR_S1</x:v>
      </x:c>
    </x:row>
    <x:row r="76">
      <x:c r="A76" s="23" t="s">
        <x:v>63</x:v>
      </x:c>
      <x:c r="B76" s="23" t="s">
        <x:v>66</x:v>
      </x:c>
      <x:c r="C76" s="23" t="s">
        <x:v>11</x:v>
      </x:c>
      <x:c r="D76" s="23" t="s">
        <x:v>107</x:v>
      </x:c>
      <x:c r="E76" s="23" t="s">
        <x:v>184</x:v>
      </x:c>
      <x:c r="F76" s="23">
        <x:v>11</x:v>
      </x:c>
      <x:c r="G76" s="23">
        <x:v>8</x:v>
      </x:c>
      <x:c r="H76" s="23">
        <x:v>1</x:v>
      </x:c>
      <x:c r="I76" s="23">
        <x:v>8554</x:v>
      </x:c>
      <x:c r="J76" s="23">
        <x:v>262</x:v>
      </x:c>
      <x:c r="K76" s="23">
        <x:v>3173</x:v>
      </x:c>
      <x:c r="L76" s="23" t="s">
        <x:v>253</x:v>
      </x:c>
      <x:c r="M76" s="23">
        <x:f t="shared" si="1"/>
        <x:v>600</x:v>
      </x:c>
      <x:c r="N76" s="24" t="str">
        <x:f t="array" ref="N76">INDEX('MATCH INFO'!O:O, INT((ROW()-2)/10)+2 + 29+29)</x:f>
        <x:v>260619_T1_CR_S1</x:v>
      </x:c>
    </x:row>
    <x:row r="77">
      <x:c r="A77" s="23" t="s">
        <x:v>55</x:v>
      </x:c>
      <x:c r="B77" s="23" t="s">
        <x:v>61</x:v>
      </x:c>
      <x:c r="C77" s="23" t="s">
        <x:v>16</x:v>
      </x:c>
      <x:c r="D77" s="23" t="s">
        <x:v>107</x:v>
      </x:c>
      <x:c r="E77" s="23" t="s">
        <x:v>184</x:v>
      </x:c>
      <x:c r="F77" s="23">
        <x:v>17</x:v>
      </x:c>
      <x:c r="G77" s="23">
        <x:v>6</x:v>
      </x:c>
      <x:c r="H77" s="23">
        <x:v>19</x:v>
      </x:c>
      <x:c r="I77" s="23">
        <x:v>2068</x:v>
      </x:c>
      <x:c r="J77" s="23">
        <x:v>5814</x:v>
      </x:c>
      <x:c r="K77" s="23">
        <x:v>0</x:v>
      </x:c>
      <x:c r="L77" s="23" t="s">
        <x:v>253</x:v>
      </x:c>
      <x:c r="M77" s="23">
        <x:f t="shared" si="1"/>
        <x:v>600</x:v>
      </x:c>
      <x:c r="N77" s="24" t="str">
        <x:f t="array" ref="N77">INDEX('MATCH INFO'!O:O, INT((ROW()-2)/10)+2 + 29+29)</x:f>
        <x:v>260619_T1_CR_S1</x:v>
      </x:c>
    </x:row>
    <x:row r="78">
      <x:c r="A78" s="23" t="s">
        <x:v>55</x:v>
      </x:c>
      <x:c r="B78" s="23" t="s">
        <x:v>58</x:v>
      </x:c>
      <x:c r="C78" s="23" t="s">
        <x:v>11</x:v>
      </x:c>
      <x:c r="D78" s="23" t="s">
        <x:v>107</x:v>
      </x:c>
      <x:c r="E78" s="23" t="s">
        <x:v>184</x:v>
      </x:c>
      <x:c r="F78" s="23">
        <x:v>23</x:v>
      </x:c>
      <x:c r="G78" s="23">
        <x:v>5</x:v>
      </x:c>
      <x:c r="H78" s="23">
        <x:v>7</x:v>
      </x:c>
      <x:c r="I78" s="23">
        <x:v>11482</x:v>
      </x:c>
      <x:c r="J78" s="23">
        <x:v>0</x:v>
      </x:c>
      <x:c r="K78" s="23">
        <x:v>134</x:v>
      </x:c>
      <x:c r="L78" s="23" t="s">
        <x:v>253</x:v>
      </x:c>
      <x:c r="M78" s="23">
        <x:f t="shared" si="1"/>
        <x:v>600</x:v>
      </x:c>
      <x:c r="N78" s="24" t="str">
        <x:f t="array" ref="N78">INDEX('MATCH INFO'!O:O, INT((ROW()-2)/10)+2 + 29+29)</x:f>
        <x:v>260619_T1_CR_S1</x:v>
      </x:c>
    </x:row>
    <x:row r="79">
      <x:c r="A79" s="23" t="s">
        <x:v>55</x:v>
      </x:c>
      <x:c r="B79" s="23" t="s">
        <x:v>56</x:v>
      </x:c>
      <x:c r="C79" s="23" t="s">
        <x:v>8</x:v>
      </x:c>
      <x:c r="D79" s="23" t="s">
        <x:v>107</x:v>
      </x:c>
      <x:c r="E79" s="23" t="s">
        <x:v>184</x:v>
      </x:c>
      <x:c r="F79" s="23">
        <x:v>23</x:v>
      </x:c>
      <x:c r="G79" s="23">
        <x:v>3</x:v>
      </x:c>
      <x:c r="H79" s="23">
        <x:v>9</x:v>
      </x:c>
      <x:c r="I79" s="23">
        <x:v>8714</x:v>
      </x:c>
      <x:c r="J79" s="23">
        <x:v>1576</x:v>
      </x:c>
      <x:c r="K79" s="23">
        <x:v>3071</x:v>
      </x:c>
      <x:c r="L79" s="23" t="s">
        <x:v>253</x:v>
      </x:c>
      <x:c r="M79" s="23">
        <x:f t="shared" si="1"/>
        <x:v>600</x:v>
      </x:c>
      <x:c r="N79" s="24" t="str">
        <x:f t="array" ref="N79">INDEX('MATCH INFO'!O:O, INT((ROW()-2)/10)+2 + 29+29)</x:f>
        <x:v>260619_T1_CR_S1</x:v>
      </x:c>
    </x:row>
    <x:row r="80">
      <x:c r="A80" s="23" t="s">
        <x:v>55</x:v>
      </x:c>
      <x:c r="B80" s="23" t="s">
        <x:v>60</x:v>
      </x:c>
      <x:c r="C80" s="23" t="s">
        <x:v>11</x:v>
      </x:c>
      <x:c r="D80" s="23" t="s">
        <x:v>107</x:v>
      </x:c>
      <x:c r="E80" s="23" t="s">
        <x:v>184</x:v>
      </x:c>
      <x:c r="F80" s="23">
        <x:v>26</x:v>
      </x:c>
      <x:c r="G80" s="23">
        <x:v>5</x:v>
      </x:c>
      <x:c r="H80" s="23">
        <x:v>2</x:v>
      </x:c>
      <x:c r="I80" s="23">
        <x:v>12537</x:v>
      </x:c>
      <x:c r="J80" s="23">
        <x:v>805</x:v>
      </x:c>
      <x:c r="K80" s="23">
        <x:v>507</x:v>
      </x:c>
      <x:c r="L80" s="23" t="s">
        <x:v>253</x:v>
      </x:c>
      <x:c r="M80" s="23">
        <x:f t="shared" si="1"/>
        <x:v>600</x:v>
      </x:c>
      <x:c r="N80" s="24" t="str">
        <x:f t="array" ref="N80">INDEX('MATCH INFO'!O:O, INT((ROW()-2)/10)+2 + 29+29)</x:f>
        <x:v>260619_T1_CR_S1</x:v>
      </x:c>
    </x:row>
    <x:row r="81">
      <x:c r="A81" s="23" t="s">
        <x:v>55</x:v>
      </x:c>
      <x:c r="B81" s="23" t="s">
        <x:v>62</x:v>
      </x:c>
      <x:c r="C81" s="23" t="s">
        <x:v>16</x:v>
      </x:c>
      <x:c r="D81" s="23" t="s">
        <x:v>107</x:v>
      </x:c>
      <x:c r="E81" s="23" t="s">
        <x:v>184</x:v>
      </x:c>
      <x:c r="F81" s="23">
        <x:v>10</x:v>
      </x:c>
      <x:c r="G81" s="23">
        <x:v>4</x:v>
      </x:c>
      <x:c r="H81" s="23">
        <x:v>18</x:v>
      </x:c>
      <x:c r="I81" s="23">
        <x:v>4655</x:v>
      </x:c>
      <x:c r="J81" s="23">
        <x:v>11979</x:v>
      </x:c>
      <x:c r="K81" s="23">
        <x:v>0</x:v>
      </x:c>
      <x:c r="L81" s="23" t="s">
        <x:v>253</x:v>
      </x:c>
      <x:c r="M81" s="23">
        <x:f t="shared" si="1"/>
        <x:v>600</x:v>
      </x:c>
      <x:c r="N81" s="24" t="str">
        <x:f t="array" ref="N81">INDEX('MATCH INFO'!O:O, INT((ROW()-2)/10)+2 + 29+29)</x:f>
        <x:v>260619_T1_CR_S1</x:v>
      </x:c>
    </x:row>
    <x:row r="82">
      <x:c r="A82" s="23" t="s">
        <x:v>55</x:v>
      </x:c>
      <x:c r="B82" s="23" t="s">
        <x:v>61</x:v>
      </x:c>
      <x:c r="C82" s="23" t="s">
        <x:v>16</x:v>
      </x:c>
      <x:c r="D82" s="23" t="s">
        <x:v>119</x:v>
      </x:c>
      <x:c r="E82" s="23" t="s">
        <x:v>191</x:v>
      </x:c>
      <x:c r="F82" s="23">
        <x:v>20</x:v>
      </x:c>
      <x:c r="G82" s="23">
        <x:v>4</x:v>
      </x:c>
      <x:c r="H82" s="23">
        <x:v>21</x:v>
      </x:c>
      <x:c r="I82" s="23">
        <x:v>5167</x:v>
      </x:c>
      <x:c r="J82" s="23">
        <x:v>6906</x:v>
      </x:c>
      <x:c r="K82" s="23">
        <x:v>2407</x:v>
      </x:c>
      <x:c r="L82" s="23" t="s">
        <x:v>254</x:v>
      </x:c>
      <x:c r="M82" s="23">
        <x:f t="shared" si="1"/>
        <x:v>566</x:v>
      </x:c>
      <x:c r="N82" s="24" t="str">
        <x:f t="array" ref="N82">INDEX('MATCH INFO'!O:O, INT((ROW()-2)/10)+2 + 29+29)</x:f>
        <x:v>260619_T1_CR_S2</x:v>
      </x:c>
    </x:row>
    <x:row r="83">
      <x:c r="A83" s="23" t="s">
        <x:v>55</x:v>
      </x:c>
      <x:c r="B83" s="23" t="s">
        <x:v>58</x:v>
      </x:c>
      <x:c r="C83" s="23" t="s">
        <x:v>11</x:v>
      </x:c>
      <x:c r="D83" s="23" t="s">
        <x:v>119</x:v>
      </x:c>
      <x:c r="E83" s="23" t="s">
        <x:v>191</x:v>
      </x:c>
      <x:c r="F83" s="23">
        <x:v>28</x:v>
      </x:c>
      <x:c r="G83" s="23">
        <x:v>3</x:v>
      </x:c>
      <x:c r="H83" s="23">
        <x:v>7</x:v>
      </x:c>
      <x:c r="I83" s="23">
        <x:v>6342</x:v>
      </x:c>
      <x:c r="J83" s="23">
        <x:v>244</x:v>
      </x:c>
      <x:c r="K83" s="23">
        <x:v>1623</x:v>
      </x:c>
      <x:c r="L83" s="23" t="s">
        <x:v>254</x:v>
      </x:c>
      <x:c r="M83" s="23">
        <x:f t="shared" si="1"/>
        <x:v>566</x:v>
      </x:c>
      <x:c r="N83" s="24" t="str">
        <x:f t="array" ref="N83">INDEX('MATCH INFO'!O:O, INT((ROW()-2)/10)+2 + 29+29)</x:f>
        <x:v>260619_T1_CR_S2</x:v>
      </x:c>
    </x:row>
    <x:row r="84">
      <x:c r="A84" s="23" t="s">
        <x:v>55</x:v>
      </x:c>
      <x:c r="B84" s="23" t="s">
        <x:v>57</x:v>
      </x:c>
      <x:c r="C84" s="23" t="s">
        <x:v>8</x:v>
      </x:c>
      <x:c r="D84" s="23" t="s">
        <x:v>119</x:v>
      </x:c>
      <x:c r="E84" s="23" t="s">
        <x:v>191</x:v>
      </x:c>
      <x:c r="F84" s="23">
        <x:v>24</x:v>
      </x:c>
      <x:c r="G84" s="23">
        <x:v>2</x:v>
      </x:c>
      <x:c r="H84" s="23">
        <x:v>5</x:v>
      </x:c>
      <x:c r="I84" s="23">
        <x:v>12183</x:v>
      </x:c>
      <x:c r="J84" s="23">
        <x:v>0</x:v>
      </x:c>
      <x:c r="K84" s="23">
        <x:v>20165</x:v>
      </x:c>
      <x:c r="L84" s="23" t="s">
        <x:v>254</x:v>
      </x:c>
      <x:c r="M84" s="23">
        <x:f t="shared" si="1"/>
        <x:v>566</x:v>
      </x:c>
      <x:c r="N84" s="24" t="str">
        <x:f t="array" ref="N84">INDEX('MATCH INFO'!O:O, INT((ROW()-2)/10)+2 + 29+29)</x:f>
        <x:v>260619_T1_CR_S2</x:v>
      </x:c>
    </x:row>
    <x:row r="85">
      <x:c r="A85" s="23" t="s">
        <x:v>55</x:v>
      </x:c>
      <x:c r="B85" s="23" t="s">
        <x:v>60</x:v>
      </x:c>
      <x:c r="C85" s="23" t="s">
        <x:v>11</x:v>
      </x:c>
      <x:c r="D85" s="23" t="s">
        <x:v>119</x:v>
      </x:c>
      <x:c r="E85" s="23" t="s">
        <x:v>191</x:v>
      </x:c>
      <x:c r="F85" s="23">
        <x:v>28</x:v>
      </x:c>
      <x:c r="G85" s="23">
        <x:v>3</x:v>
      </x:c>
      <x:c r="H85" s="23">
        <x:v>0</x:v>
      </x:c>
      <x:c r="I85" s="23">
        <x:v>8851</x:v>
      </x:c>
      <x:c r="J85" s="23">
        <x:v>39</x:v>
      </x:c>
      <x:c r="K85" s="23">
        <x:v>520</x:v>
      </x:c>
      <x:c r="L85" s="23" t="s">
        <x:v>254</x:v>
      </x:c>
      <x:c r="M85" s="23">
        <x:f t="shared" si="1"/>
        <x:v>566</x:v>
      </x:c>
      <x:c r="N85" s="24" t="str">
        <x:f t="array" ref="N85">INDEX('MATCH INFO'!O:O, INT((ROW()-2)/10)+2 + 29+29)</x:f>
        <x:v>260619_T1_CR_S2</x:v>
      </x:c>
    </x:row>
    <x:row r="86">
      <x:c r="A86" s="23" t="s">
        <x:v>55</x:v>
      </x:c>
      <x:c r="B86" s="23" t="s">
        <x:v>62</x:v>
      </x:c>
      <x:c r="C86" s="23" t="s">
        <x:v>16</x:v>
      </x:c>
      <x:c r="D86" s="23" t="s">
        <x:v>119</x:v>
      </x:c>
      <x:c r="E86" s="23" t="s">
        <x:v>191</x:v>
      </x:c>
      <x:c r="F86" s="23">
        <x:v>12</x:v>
      </x:c>
      <x:c r="G86" s="23">
        <x:v>3</x:v>
      </x:c>
      <x:c r="H86" s="23">
        <x:v>28</x:v>
      </x:c>
      <x:c r="I86" s="23">
        <x:v>3030</x:v>
      </x:c>
      <x:c r="J86" s="23">
        <x:v>15281</x:v>
      </x:c>
      <x:c r="K86" s="23">
        <x:v>115</x:v>
      </x:c>
      <x:c r="L86" s="23" t="s">
        <x:v>254</x:v>
      </x:c>
      <x:c r="M86" s="23">
        <x:f t="shared" si="1"/>
        <x:v>566</x:v>
      </x:c>
      <x:c r="N86" s="24" t="str">
        <x:f t="array" ref="N86">INDEX('MATCH INFO'!O:O, INT((ROW()-2)/10)+2 + 29+29)</x:f>
        <x:v>260619_T1_CR_S2</x:v>
      </x:c>
    </x:row>
    <x:row r="87">
      <x:c r="A87" s="23" t="s">
        <x:v>63</x:v>
      </x:c>
      <x:c r="B87" s="23" t="s">
        <x:v>69</x:v>
      </x:c>
      <x:c r="C87" s="23" t="s">
        <x:v>16</x:v>
      </x:c>
      <x:c r="D87" s="23" t="s">
        <x:v>119</x:v>
      </x:c>
      <x:c r="E87" s="23" t="s">
        <x:v>191</x:v>
      </x:c>
      <x:c r="F87" s="23">
        <x:v>6</x:v>
      </x:c>
      <x:c r="G87" s="23">
        <x:v>7</x:v>
      </x:c>
      <x:c r="H87" s="23">
        <x:v>9</x:v>
      </x:c>
      <x:c r="I87" s="23">
        <x:v>3627</x:v>
      </x:c>
      <x:c r="J87" s="23">
        <x:v>6777</x:v>
      </x:c>
      <x:c r="K87" s="23">
        <x:v>1276</x:v>
      </x:c>
      <x:c r="L87" s="23" t="s">
        <x:v>254</x:v>
      </x:c>
      <x:c r="M87" s="23">
        <x:f t="shared" si="1"/>
        <x:v>566</x:v>
      </x:c>
      <x:c r="N87" s="24" t="str">
        <x:f t="array" ref="N87">INDEX('MATCH INFO'!O:O, INT((ROW()-2)/10)+2 + 29+29)</x:f>
        <x:v>260619_T1_CR_S2</x:v>
      </x:c>
    </x:row>
    <x:row r="88">
      <x:c r="A88" s="23" t="s">
        <x:v>63</x:v>
      </x:c>
      <x:c r="B88" s="23" t="s">
        <x:v>65</x:v>
      </x:c>
      <x:c r="C88" s="23" t="s">
        <x:v>8</x:v>
      </x:c>
      <x:c r="D88" s="23" t="s">
        <x:v>119</x:v>
      </x:c>
      <x:c r="E88" s="23" t="s">
        <x:v>191</x:v>
      </x:c>
      <x:c r="F88" s="23">
        <x:v>10</x:v>
      </x:c>
      <x:c r="G88" s="23">
        <x:v>8</x:v>
      </x:c>
      <x:c r="H88" s="23">
        <x:v>4</x:v>
      </x:c>
      <x:c r="I88" s="23">
        <x:v>9925</x:v>
      </x:c>
      <x:c r="J88" s="23">
        <x:v>0</x:v>
      </x:c>
      <x:c r="K88" s="23">
        <x:v>9605</x:v>
      </x:c>
      <x:c r="L88" s="23" t="s">
        <x:v>254</x:v>
      </x:c>
      <x:c r="M88" s="23">
        <x:f t="shared" si="1"/>
        <x:v>566</x:v>
      </x:c>
      <x:c r="N88" s="24" t="str">
        <x:f t="array" ref="N88">INDEX('MATCH INFO'!O:O, INT((ROW()-2)/10)+2 + 29+29)</x:f>
        <x:v>260619_T1_CR_S2</x:v>
      </x:c>
    </x:row>
    <x:row r="89">
      <x:c r="A89" s="23" t="s">
        <x:v>63</x:v>
      </x:c>
      <x:c r="B89" s="23" t="s">
        <x:v>67</x:v>
      </x:c>
      <x:c r="C89" s="23" t="s">
        <x:v>11</x:v>
      </x:c>
      <x:c r="D89" s="23" t="s">
        <x:v>119</x:v>
      </x:c>
      <x:c r="E89" s="23" t="s">
        <x:v>191</x:v>
      </x:c>
      <x:c r="F89" s="23">
        <x:v>5</x:v>
      </x:c>
      <x:c r="G89" s="23">
        <x:v>8</x:v>
      </x:c>
      <x:c r="H89" s="23">
        <x:v>0</x:v>
      </x:c>
      <x:c r="I89" s="23">
        <x:v>8535</x:v>
      </x:c>
      <x:c r="J89" s="23">
        <x:v>85</x:v>
      </x:c>
      <x:c r="K89" s="23">
        <x:v>318</x:v>
      </x:c>
      <x:c r="L89" s="23" t="s">
        <x:v>254</x:v>
      </x:c>
      <x:c r="M89" s="23">
        <x:f t="shared" si="1"/>
        <x:v>566</x:v>
      </x:c>
      <x:c r="N89" s="24" t="str">
        <x:f t="array" ref="N89">INDEX('MATCH INFO'!O:O, INT((ROW()-2)/10)+2 + 29+29)</x:f>
        <x:v>260619_T1_CR_S2</x:v>
      </x:c>
    </x:row>
    <x:row r="90">
      <x:c r="A90" s="23" t="s">
        <x:v>63</x:v>
      </x:c>
      <x:c r="B90" s="23" t="s">
        <x:v>70</x:v>
      </x:c>
      <x:c r="C90" s="23" t="s">
        <x:v>16</x:v>
      </x:c>
      <x:c r="D90" s="23" t="s">
        <x:v>119</x:v>
      </x:c>
      <x:c r="E90" s="23" t="s">
        <x:v>191</x:v>
      </x:c>
      <x:c r="F90" s="23">
        <x:v>5</x:v>
      </x:c>
      <x:c r="G90" s="23">
        <x:v>7</x:v>
      </x:c>
      <x:c r="H90" s="23">
        <x:v>8</x:v>
      </x:c>
      <x:c r="I90" s="23">
        <x:v>3527</x:v>
      </x:c>
      <x:c r="J90" s="23">
        <x:v>11933</x:v>
      </x:c>
      <x:c r="K90" s="23">
        <x:v>0</x:v>
      </x:c>
      <x:c r="L90" s="23" t="s">
        <x:v>254</x:v>
      </x:c>
      <x:c r="M90" s="23">
        <x:f t="shared" si="1"/>
        <x:v>566</x:v>
      </x:c>
      <x:c r="N90" s="24" t="str">
        <x:f t="array" ref="N90">INDEX('MATCH INFO'!O:O, INT((ROW()-2)/10)+2 + 29+29)</x:f>
        <x:v>260619_T1_CR_S2</x:v>
      </x:c>
    </x:row>
    <x:row r="91">
      <x:c r="A91" s="23" t="s">
        <x:v>63</x:v>
      </x:c>
      <x:c r="B91" s="23" t="s">
        <x:v>66</x:v>
      </x:c>
      <x:c r="C91" s="23" t="s">
        <x:v>11</x:v>
      </x:c>
      <x:c r="D91" s="23" t="s">
        <x:v>119</x:v>
      </x:c>
      <x:c r="E91" s="23" t="s">
        <x:v>191</x:v>
      </x:c>
      <x:c r="F91" s="23">
        <x:v>9</x:v>
      </x:c>
      <x:c r="G91" s="23">
        <x:v>7</x:v>
      </x:c>
      <x:c r="H91" s="23">
        <x:v>2</x:v>
      </x:c>
      <x:c r="I91" s="23">
        <x:v>7144</x:v>
      </x:c>
      <x:c r="J91" s="23">
        <x:v>80</x:v>
      </x:c>
      <x:c r="K91" s="23">
        <x:v>451</x:v>
      </x:c>
      <x:c r="L91" s="23" t="s">
        <x:v>254</x:v>
      </x:c>
      <x:c r="M91" s="23">
        <x:f t="shared" si="1"/>
        <x:v>566</x:v>
      </x:c>
      <x:c r="N91" s="24" t="str">
        <x:f t="array" ref="N91">INDEX('MATCH INFO'!O:O, INT((ROW()-2)/10)+2 + 29+29)</x:f>
        <x:v>260619_T1_CR_S2</x:v>
      </x:c>
    </x:row>
    <x:row r="92">
      <x:c r="A92" s="23" t="s">
        <x:v>63</x:v>
      </x:c>
      <x:c r="B92" s="23" t="s">
        <x:v>69</x:v>
      </x:c>
      <x:c r="C92" s="23" t="s">
        <x:v>16</x:v>
      </x:c>
      <x:c r="D92" s="23" t="s">
        <x:v>124</x:v>
      </x:c>
      <x:c r="E92" s="23" t="s">
        <x:v>186</x:v>
      </x:c>
      <x:c r="F92" s="23">
        <x:v>19</x:v>
      </x:c>
      <x:c r="G92" s="23">
        <x:v>9</x:v>
      </x:c>
      <x:c r="H92" s="23">
        <x:v>20</x:v>
      </x:c>
      <x:c r="I92" s="23">
        <x:v>4667</x:v>
      </x:c>
      <x:c r="J92" s="23">
        <x:v>9180</x:v>
      </x:c>
      <x:c r="K92" s="23">
        <x:v>3009</x:v>
      </x:c>
      <x:c r="L92" s="23" t="s">
        <x:v>255</x:v>
      </x:c>
      <x:c r="M92" s="23">
        <x:f t="shared" si="1"/>
        <x:v>641</x:v>
      </x:c>
      <x:c r="N92" s="24" t="str">
        <x:f t="array" ref="N92">INDEX('MATCH INFO'!O:O, INT((ROW()-2)/10)+2 + 29+29)</x:f>
        <x:v>260619_T1_CR_S3</x:v>
      </x:c>
    </x:row>
    <x:row r="93">
      <x:c r="A93" s="23" t="s">
        <x:v>63</x:v>
      </x:c>
      <x:c r="B93" s="23" t="s">
        <x:v>64</x:v>
      </x:c>
      <x:c r="C93" s="23" t="s">
        <x:v>8</x:v>
      </x:c>
      <x:c r="D93" s="23" t="s">
        <x:v>124</x:v>
      </x:c>
      <x:c r="E93" s="23" t="s">
        <x:v>186</x:v>
      </x:c>
      <x:c r="F93" s="23">
        <x:v>27</x:v>
      </x:c>
      <x:c r="G93" s="23">
        <x:v>7</x:v>
      </x:c>
      <x:c r="H93" s="23">
        <x:v>19</x:v>
      </x:c>
      <x:c r="I93" s="23">
        <x:v>9642</x:v>
      </x:c>
      <x:c r="J93" s="23">
        <x:v>1883</x:v>
      </x:c>
      <x:c r="K93" s="23">
        <x:v>6318</x:v>
      </x:c>
      <x:c r="L93" s="23" t="s">
        <x:v>255</x:v>
      </x:c>
      <x:c r="M93" s="23">
        <x:f t="shared" si="1"/>
        <x:v>641</x:v>
      </x:c>
      <x:c r="N93" s="24" t="str">
        <x:f t="array" ref="N93">INDEX('MATCH INFO'!O:O, INT((ROW()-2)/10)+2 + 29+29)</x:f>
        <x:v>260619_T1_CR_S3</x:v>
      </x:c>
    </x:row>
    <x:row r="94">
      <x:c r="A94" s="23" t="s">
        <x:v>63</x:v>
      </x:c>
      <x:c r="B94" s="23" t="s">
        <x:v>67</x:v>
      </x:c>
      <x:c r="C94" s="23" t="s">
        <x:v>11</x:v>
      </x:c>
      <x:c r="D94" s="23" t="s">
        <x:v>124</x:v>
      </x:c>
      <x:c r="E94" s="23" t="s">
        <x:v>186</x:v>
      </x:c>
      <x:c r="F94" s="23">
        <x:v>30</x:v>
      </x:c>
      <x:c r="G94" s="23">
        <x:v>7</x:v>
      </x:c>
      <x:c r="H94" s="23">
        <x:v>2</x:v>
      </x:c>
      <x:c r="I94" s="23">
        <x:v>13648</x:v>
      </x:c>
      <x:c r="J94" s="23">
        <x:v>0</x:v>
      </x:c>
      <x:c r="K94" s="23">
        <x:v>725</x:v>
      </x:c>
      <x:c r="L94" s="23" t="s">
        <x:v>255</x:v>
      </x:c>
      <x:c r="M94" s="23">
        <x:f t="shared" si="1"/>
        <x:v>641</x:v>
      </x:c>
      <x:c r="N94" s="24" t="str">
        <x:f t="array" ref="N94">INDEX('MATCH INFO'!O:O, INT((ROW()-2)/10)+2 + 29+29)</x:f>
        <x:v>260619_T1_CR_S3</x:v>
      </x:c>
    </x:row>
    <x:row r="95">
      <x:c r="A95" s="23" t="s">
        <x:v>63</x:v>
      </x:c>
      <x:c r="B95" s="23" t="s">
        <x:v>70</x:v>
      </x:c>
      <x:c r="C95" s="23" t="s">
        <x:v>16</x:v>
      </x:c>
      <x:c r="D95" s="23" t="s">
        <x:v>124</x:v>
      </x:c>
      <x:c r="E95" s="23" t="s">
        <x:v>186</x:v>
      </x:c>
      <x:c r="F95" s="23">
        <x:v>12</x:v>
      </x:c>
      <x:c r="G95" s="23">
        <x:v>7</x:v>
      </x:c>
      <x:c r="H95" s="23">
        <x:v>27</x:v>
      </x:c>
      <x:c r="I95" s="23">
        <x:v>4539</x:v>
      </x:c>
      <x:c r="J95" s="23">
        <x:v>14762</x:v>
      </x:c>
      <x:c r="K95" s="23">
        <x:v>0</x:v>
      </x:c>
      <x:c r="L95" s="23" t="s">
        <x:v>255</x:v>
      </x:c>
      <x:c r="M95" s="23">
        <x:f t="shared" si="1"/>
        <x:v>641</x:v>
      </x:c>
      <x:c r="N95" s="24" t="str">
        <x:f t="array" ref="N95">INDEX('MATCH INFO'!O:O, INT((ROW()-2)/10)+2 + 29+29)</x:f>
        <x:v>260619_T1_CR_S3</x:v>
      </x:c>
    </x:row>
    <x:row r="96">
      <x:c r="A96" s="23" t="s">
        <x:v>63</x:v>
      </x:c>
      <x:c r="B96" s="23" t="s">
        <x:v>66</x:v>
      </x:c>
      <x:c r="C96" s="23" t="s">
        <x:v>11</x:v>
      </x:c>
      <x:c r="D96" s="23" t="s">
        <x:v>124</x:v>
      </x:c>
      <x:c r="E96" s="23" t="s">
        <x:v>186</x:v>
      </x:c>
      <x:c r="F96" s="23">
        <x:v>20</x:v>
      </x:c>
      <x:c r="G96" s="23">
        <x:v>8</x:v>
      </x:c>
      <x:c r="H96" s="23">
        <x:v>4</x:v>
      </x:c>
      <x:c r="I96" s="23">
        <x:v>7812</x:v>
      </x:c>
      <x:c r="J96" s="23">
        <x:v>361</x:v>
      </x:c>
      <x:c r="K96" s="23">
        <x:v>1091</x:v>
      </x:c>
      <x:c r="L96" s="23" t="s">
        <x:v>255</x:v>
      </x:c>
      <x:c r="M96" s="23">
        <x:f t="shared" si="1"/>
        <x:v>641</x:v>
      </x:c>
      <x:c r="N96" s="24" t="str">
        <x:f t="array" ref="N96">INDEX('MATCH INFO'!O:O, INT((ROW()-2)/10)+2 + 29+29)</x:f>
        <x:v>260619_T1_CR_S3</x:v>
      </x:c>
    </x:row>
    <x:row r="97">
      <x:c r="A97" s="23" t="s">
        <x:v>55</x:v>
      </x:c>
      <x:c r="B97" s="23" t="s">
        <x:v>61</x:v>
      </x:c>
      <x:c r="C97" s="23" t="s">
        <x:v>16</x:v>
      </x:c>
      <x:c r="D97" s="23" t="s">
        <x:v>124</x:v>
      </x:c>
      <x:c r="E97" s="23" t="s">
        <x:v>186</x:v>
      </x:c>
      <x:c r="F97" s="23">
        <x:v>18</x:v>
      </x:c>
      <x:c r="G97" s="23">
        <x:v>9</x:v>
      </x:c>
      <x:c r="H97" s="23">
        <x:v>23</x:v>
      </x:c>
      <x:c r="I97" s="23">
        <x:v>4381</x:v>
      </x:c>
      <x:c r="J97" s="23">
        <x:v>7432</x:v>
      </x:c>
      <x:c r="K97" s="23">
        <x:v>2427</x:v>
      </x:c>
      <x:c r="L97" s="23" t="s">
        <x:v>255</x:v>
      </x:c>
      <x:c r="M97" s="23">
        <x:f t="shared" si="1"/>
        <x:v>641</x:v>
      </x:c>
      <x:c r="N97" s="24" t="str">
        <x:f t="array" ref="N97">INDEX('MATCH INFO'!O:O, INT((ROW()-2)/10)+2 + 29+29)</x:f>
        <x:v>260619_T1_CR_S3</x:v>
      </x:c>
    </x:row>
    <x:row r="98">
      <x:c r="A98" s="23" t="s">
        <x:v>55</x:v>
      </x:c>
      <x:c r="B98" s="23" t="s">
        <x:v>58</x:v>
      </x:c>
      <x:c r="C98" s="23" t="s">
        <x:v>11</x:v>
      </x:c>
      <x:c r="D98" s="23" t="s">
        <x:v>124</x:v>
      </x:c>
      <x:c r="E98" s="23" t="s">
        <x:v>186</x:v>
      </x:c>
      <x:c r="F98" s="23">
        <x:v>26</x:v>
      </x:c>
      <x:c r="G98" s="23">
        <x:v>7</x:v>
      </x:c>
      <x:c r="H98" s="23">
        <x:v>0</x:v>
      </x:c>
      <x:c r="I98" s="23">
        <x:v>10619</x:v>
      </x:c>
      <x:c r="J98" s="23">
        <x:v>1760</x:v>
      </x:c>
      <x:c r="K98" s="23">
        <x:v>0</x:v>
      </x:c>
      <x:c r="L98" s="23" t="s">
        <x:v>255</x:v>
      </x:c>
      <x:c r="M98" s="23">
        <x:f t="shared" si="1"/>
        <x:v>641</x:v>
      </x:c>
      <x:c r="N98" s="24" t="str">
        <x:f t="array" ref="N98">INDEX('MATCH INFO'!O:O, INT((ROW()-2)/10)+2 + 29+29)</x:f>
        <x:v>260619_T1_CR_S3</x:v>
      </x:c>
    </x:row>
    <x:row r="99">
      <x:c r="A99" s="23" t="s">
        <x:v>55</x:v>
      </x:c>
      <x:c r="B99" s="23" t="s">
        <x:v>57</x:v>
      </x:c>
      <x:c r="C99" s="23" t="s">
        <x:v>8</x:v>
      </x:c>
      <x:c r="D99" s="23" t="s">
        <x:v>124</x:v>
      </x:c>
      <x:c r="E99" s="23" t="s">
        <x:v>186</x:v>
      </x:c>
      <x:c r="F99" s="23">
        <x:v>24</x:v>
      </x:c>
      <x:c r="G99" s="23">
        <x:v>6</x:v>
      </x:c>
      <x:c r="H99" s="23">
        <x:v>17</x:v>
      </x:c>
      <x:c r="I99" s="23">
        <x:v>12692</x:v>
      </x:c>
      <x:c r="J99" s="23">
        <x:v>0</x:v>
      </x:c>
      <x:c r="K99" s="23">
        <x:v>9384</x:v>
      </x:c>
      <x:c r="L99" s="23" t="s">
        <x:v>255</x:v>
      </x:c>
      <x:c r="M99" s="23">
        <x:f t="shared" si="1"/>
        <x:v>641</x:v>
      </x:c>
      <x:c r="N99" s="24" t="str">
        <x:f t="array" ref="N99">INDEX('MATCH INFO'!O:O, INT((ROW()-2)/10)+2 + 29+29)</x:f>
        <x:v>260619_T1_CR_S3</x:v>
      </x:c>
    </x:row>
    <x:row r="100">
      <x:c r="A100" s="23" t="s">
        <x:v>55</x:v>
      </x:c>
      <x:c r="B100" s="23" t="s">
        <x:v>60</x:v>
      </x:c>
      <x:c r="C100" s="23" t="s">
        <x:v>11</x:v>
      </x:c>
      <x:c r="D100" s="23" t="s">
        <x:v>124</x:v>
      </x:c>
      <x:c r="E100" s="23" t="s">
        <x:v>186</x:v>
      </x:c>
      <x:c r="F100" s="23">
        <x:v>29</x:v>
      </x:c>
      <x:c r="G100" s="23">
        <x:v>7</x:v>
      </x:c>
      <x:c r="H100" s="23">
        <x:v>3</x:v>
      </x:c>
      <x:c r="I100" s="23">
        <x:v>13093</x:v>
      </x:c>
      <x:c r="J100" s="23">
        <x:v>7</x:v>
      </x:c>
      <x:c r="K100" s="23">
        <x:v>487</x:v>
      </x:c>
      <x:c r="L100" s="23" t="s">
        <x:v>255</x:v>
      </x:c>
      <x:c r="M100" s="23">
        <x:f t="shared" si="1"/>
        <x:v>641</x:v>
      </x:c>
      <x:c r="N100" s="24" t="str">
        <x:f t="array" ref="N100">INDEX('MATCH INFO'!O:O, INT((ROW()-2)/10)+2 + 29+29)</x:f>
        <x:v>260619_T1_CR_S3</x:v>
      </x:c>
    </x:row>
    <x:row r="101">
      <x:c r="A101" s="23" t="s">
        <x:v>55</x:v>
      </x:c>
      <x:c r="B101" s="23" t="s">
        <x:v>62</x:v>
      </x:c>
      <x:c r="C101" s="23" t="s">
        <x:v>16</x:v>
      </x:c>
      <x:c r="D101" s="23" t="s">
        <x:v>124</x:v>
      </x:c>
      <x:c r="E101" s="23" t="s">
        <x:v>186</x:v>
      </x:c>
      <x:c r="F101" s="23">
        <x:v>19</x:v>
      </x:c>
      <x:c r="G101" s="23">
        <x:v>8</x:v>
      </x:c>
      <x:c r="H101" s="23">
        <x:v>25</x:v>
      </x:c>
      <x:c r="I101" s="23">
        <x:v>5683</x:v>
      </x:c>
      <x:c r="J101" s="23">
        <x:v>14340</x:v>
      </x:c>
      <x:c r="K101" s="23">
        <x:v>0</x:v>
      </x:c>
      <x:c r="L101" s="23" t="s">
        <x:v>255</x:v>
      </x:c>
      <x:c r="M101" s="23">
        <x:f t="shared" si="1"/>
        <x:v>641</x:v>
      </x:c>
      <x:c r="N101" s="24" t="str">
        <x:f t="array" ref="N101">INDEX('MATCH INFO'!O:O, INT((ROW()-2)/10)+2 + 29+29)</x:f>
        <x:v>260619_T1_CR_S3</x:v>
      </x:c>
    </x:row>
    <x:row r="102">
      <x:c r="A102" s="23" t="s">
        <x:v>63</x:v>
      </x:c>
      <x:c r="B102" s="23" t="s">
        <x:v>69</x:v>
      </x:c>
      <x:c r="C102" s="23" t="s">
        <x:v>16</x:v>
      </x:c>
      <x:c r="D102" s="23" t="s">
        <x:v>145</x:v>
      </x:c>
      <x:c r="E102" s="23" t="s">
        <x:v>195</x:v>
      </x:c>
      <x:c r="F102" s="23">
        <x:v>13</x:v>
      </x:c>
      <x:c r="G102" s="23">
        <x:v>11</x:v>
      </x:c>
      <x:c r="H102" s="23">
        <x:v>18</x:v>
      </x:c>
      <x:c r="I102" s="23">
        <x:v>6447</x:v>
      </x:c>
      <x:c r="J102" s="23">
        <x:v>13452</x:v>
      </x:c>
      <x:c r="K102" s="23">
        <x:v>4905</x:v>
      </x:c>
      <x:c r="L102" s="23" t="s">
        <x:v>256</x:v>
      </x:c>
      <x:c r="M102" s="23">
        <x:f t="shared" si="1"/>
        <x:v>815</x:v>
      </x:c>
      <x:c r="N102" s="24" t="str">
        <x:f t="array" ref="N102">INDEX('MATCH INFO'!O:O, INT((ROW()-2)/10)+2 + 29+29)</x:f>
        <x:v>260619_T1_CR_S4</x:v>
      </x:c>
    </x:row>
    <x:row r="103">
      <x:c r="A103" s="23" t="s">
        <x:v>63</x:v>
      </x:c>
      <x:c r="B103" s="23" t="s">
        <x:v>65</x:v>
      </x:c>
      <x:c r="C103" s="23" t="s">
        <x:v>8</x:v>
      </x:c>
      <x:c r="D103" s="23" t="s">
        <x:v>145</x:v>
      </x:c>
      <x:c r="E103" s="23" t="s">
        <x:v>195</x:v>
      </x:c>
      <x:c r="F103" s="23">
        <x:v>17</x:v>
      </x:c>
      <x:c r="G103" s="23">
        <x:v>13</x:v>
      </x:c>
      <x:c r="H103" s="23">
        <x:v>2</x:v>
      </x:c>
      <x:c r="I103" s="23">
        <x:v>15858</x:v>
      </x:c>
      <x:c r="J103" s="23">
        <x:v>600</x:v>
      </x:c>
      <x:c r="K103" s="23">
        <x:v>26798</x:v>
      </x:c>
      <x:c r="L103" s="23" t="s">
        <x:v>256</x:v>
      </x:c>
      <x:c r="M103" s="23">
        <x:f t="shared" si="1"/>
        <x:v>815</x:v>
      </x:c>
      <x:c r="N103" s="24" t="str">
        <x:f t="array" ref="N103">INDEX('MATCH INFO'!O:O, INT((ROW()-2)/10)+2 + 29+29)</x:f>
        <x:v>260619_T1_CR_S4</x:v>
      </x:c>
    </x:row>
    <x:row r="104">
      <x:c r="A104" s="23" t="s">
        <x:v>63</x:v>
      </x:c>
      <x:c r="B104" s="23" t="s">
        <x:v>67</x:v>
      </x:c>
      <x:c r="C104" s="23" t="s">
        <x:v>11</x:v>
      </x:c>
      <x:c r="D104" s="23" t="s">
        <x:v>145</x:v>
      </x:c>
      <x:c r="E104" s="23" t="s">
        <x:v>195</x:v>
      </x:c>
      <x:c r="F104" s="23">
        <x:v>18</x:v>
      </x:c>
      <x:c r="G104" s="23">
        <x:v>10</x:v>
      </x:c>
      <x:c r="H104" s="23">
        <x:v>2</x:v>
      </x:c>
      <x:c r="I104" s="23">
        <x:v>15145</x:v>
      </x:c>
      <x:c r="J104" s="23">
        <x:v>0</x:v>
      </x:c>
      <x:c r="K104" s="23">
        <x:v>120</x:v>
      </x:c>
      <x:c r="L104" s="23" t="s">
        <x:v>256</x:v>
      </x:c>
      <x:c r="M104" s="23">
        <x:f t="shared" si="1"/>
        <x:v>815</x:v>
      </x:c>
      <x:c r="N104" s="24" t="str">
        <x:f t="array" ref="N104">INDEX('MATCH INFO'!O:O, INT((ROW()-2)/10)+2 + 29+29)</x:f>
        <x:v>260619_T1_CR_S4</x:v>
      </x:c>
    </x:row>
    <x:row r="105">
      <x:c r="A105" s="23" t="s">
        <x:v>63</x:v>
      </x:c>
      <x:c r="B105" s="23" t="s">
        <x:v>70</x:v>
      </x:c>
      <x:c r="C105" s="23" t="s">
        <x:v>16</x:v>
      </x:c>
      <x:c r="D105" s="23" t="s">
        <x:v>145</x:v>
      </x:c>
      <x:c r="E105" s="23" t="s">
        <x:v>195</x:v>
      </x:c>
      <x:c r="F105" s="23">
        <x:v>7</x:v>
      </x:c>
      <x:c r="G105" s="23">
        <x:v>12</x:v>
      </x:c>
      <x:c r="H105" s="23">
        <x:v>10</x:v>
      </x:c>
      <x:c r="I105" s="23">
        <x:v>4818</x:v>
      </x:c>
      <x:c r="J105" s="23">
        <x:v>20288</x:v>
      </x:c>
      <x:c r="K105" s="23">
        <x:v>0</x:v>
      </x:c>
      <x:c r="L105" s="23" t="s">
        <x:v>256</x:v>
      </x:c>
      <x:c r="M105" s="23">
        <x:f t="shared" si="1"/>
        <x:v>815</x:v>
      </x:c>
      <x:c r="N105" s="24" t="str">
        <x:f t="array" ref="N105">INDEX('MATCH INFO'!O:O, INT((ROW()-2)/10)+2 + 29+29)</x:f>
        <x:v>260619_T1_CR_S4</x:v>
      </x:c>
    </x:row>
    <x:row r="106">
      <x:c r="A106" s="23" t="s">
        <x:v>63</x:v>
      </x:c>
      <x:c r="B106" s="23" t="s">
        <x:v>66</x:v>
      </x:c>
      <x:c r="C106" s="23" t="s">
        <x:v>11</x:v>
      </x:c>
      <x:c r="D106" s="23" t="s">
        <x:v>145</x:v>
      </x:c>
      <x:c r="E106" s="23" t="s">
        <x:v>195</x:v>
      </x:c>
      <x:c r="F106" s="23">
        <x:v>13</x:v>
      </x:c>
      <x:c r="G106" s="23">
        <x:v>11</x:v>
      </x:c>
      <x:c r="H106" s="23">
        <x:v>2</x:v>
      </x:c>
      <x:c r="I106" s="23">
        <x:v>11175</x:v>
      </x:c>
      <x:c r="J106" s="23">
        <x:v>732</x:v>
      </x:c>
      <x:c r="K106" s="23">
        <x:v>6895</x:v>
      </x:c>
      <x:c r="L106" s="23" t="s">
        <x:v>256</x:v>
      </x:c>
      <x:c r="M106" s="23">
        <x:f t="shared" si="1"/>
        <x:v>815</x:v>
      </x:c>
      <x:c r="N106" s="24" t="str">
        <x:f t="array" ref="N106">INDEX('MATCH INFO'!O:O, INT((ROW()-2)/10)+2 + 29+29)</x:f>
        <x:v>260619_T1_CR_S4</x:v>
      </x:c>
    </x:row>
    <x:row r="107">
      <x:c r="A107" s="23" t="s">
        <x:v>55</x:v>
      </x:c>
      <x:c r="B107" s="23" t="s">
        <x:v>61</x:v>
      </x:c>
      <x:c r="C107" s="23" t="s">
        <x:v>16</x:v>
      </x:c>
      <x:c r="D107" s="23" t="s">
        <x:v>145</x:v>
      </x:c>
      <x:c r="E107" s="23" t="s">
        <x:v>195</x:v>
      </x:c>
      <x:c r="F107" s="23">
        <x:v>30</x:v>
      </x:c>
      <x:c r="G107" s="23">
        <x:v>5</x:v>
      </x:c>
      <x:c r="H107" s="23">
        <x:v>36</x:v>
      </x:c>
      <x:c r="I107" s="23">
        <x:v>7642</x:v>
      </x:c>
      <x:c r="J107" s="23">
        <x:v>18792</x:v>
      </x:c>
      <x:c r="K107" s="23">
        <x:v>3990</x:v>
      </x:c>
      <x:c r="L107" s="23" t="s">
        <x:v>256</x:v>
      </x:c>
      <x:c r="M107" s="23">
        <x:f t="shared" si="1"/>
        <x:v>815</x:v>
      </x:c>
      <x:c r="N107" s="24" t="str">
        <x:f t="array" ref="N107">INDEX('MATCH INFO'!O:O, INT((ROW()-2)/10)+2 + 29+29)</x:f>
        <x:v>260619_T1_CR_S4</x:v>
      </x:c>
    </x:row>
    <x:row r="108">
      <x:c r="A108" s="23" t="s">
        <x:v>55</x:v>
      </x:c>
      <x:c r="B108" s="23" t="s">
        <x:v>58</x:v>
      </x:c>
      <x:c r="C108" s="23" t="s">
        <x:v>11</x:v>
      </x:c>
      <x:c r="D108" s="23" t="s">
        <x:v>145</x:v>
      </x:c>
      <x:c r="E108" s="23" t="s">
        <x:v>195</x:v>
      </x:c>
      <x:c r="F108" s="23">
        <x:v>31</x:v>
      </x:c>
      <x:c r="G108" s="23">
        <x:v>4</x:v>
      </x:c>
      <x:c r="H108" s="23">
        <x:v>16</x:v>
      </x:c>
      <x:c r="I108" s="23">
        <x:v>13227</x:v>
      </x:c>
      <x:c r="J108" s="23">
        <x:v>1873</x:v>
      </x:c>
      <x:c r="K108" s="23">
        <x:v>6326</x:v>
      </x:c>
      <x:c r="L108" s="23" t="s">
        <x:v>256</x:v>
      </x:c>
      <x:c r="M108" s="23">
        <x:f t="shared" si="1"/>
        <x:v>815</x:v>
      </x:c>
      <x:c r="N108" s="24" t="str">
        <x:f t="array" ref="N108">INDEX('MATCH INFO'!O:O, INT((ROW()-2)/10)+2 + 29+29)</x:f>
        <x:v>260619_T1_CR_S4</x:v>
      </x:c>
    </x:row>
    <x:row r="109">
      <x:c r="A109" s="23" t="s">
        <x:v>55</x:v>
      </x:c>
      <x:c r="B109" s="23" t="s">
        <x:v>57</x:v>
      </x:c>
      <x:c r="C109" s="23" t="s">
        <x:v>8</x:v>
      </x:c>
      <x:c r="D109" s="23" t="s">
        <x:v>145</x:v>
      </x:c>
      <x:c r="E109" s="23" t="s">
        <x:v>195</x:v>
      </x:c>
      <x:c r="F109" s="23">
        <x:v>37</x:v>
      </x:c>
      <x:c r="G109" s="23">
        <x:v>5</x:v>
      </x:c>
      <x:c r="H109" s="23">
        <x:v>11</x:v>
      </x:c>
      <x:c r="I109" s="23">
        <x:v>19375</x:v>
      </x:c>
      <x:c r="J109" s="23">
        <x:v>0</x:v>
      </x:c>
      <x:c r="K109" s="23">
        <x:v>26655</x:v>
      </x:c>
      <x:c r="L109" s="23" t="s">
        <x:v>256</x:v>
      </x:c>
      <x:c r="M109" s="23">
        <x:f t="shared" si="1"/>
        <x:v>815</x:v>
      </x:c>
      <x:c r="N109" s="24" t="str">
        <x:f t="array" ref="N109">INDEX('MATCH INFO'!O:O, INT((ROW()-2)/10)+2 + 29+29)</x:f>
        <x:v>260619_T1_CR_S4</x:v>
      </x:c>
    </x:row>
    <x:row r="110">
      <x:c r="A110" s="23" t="s">
        <x:v>55</x:v>
      </x:c>
      <x:c r="B110" s="23" t="s">
        <x:v>60</x:v>
      </x:c>
      <x:c r="C110" s="23" t="s">
        <x:v>11</x:v>
      </x:c>
      <x:c r="D110" s="23" t="s">
        <x:v>145</x:v>
      </x:c>
      <x:c r="E110" s="23" t="s">
        <x:v>195</x:v>
      </x:c>
      <x:c r="F110" s="23">
        <x:v>42</x:v>
      </x:c>
      <x:c r="G110" s="23">
        <x:v>4</x:v>
      </x:c>
      <x:c r="H110" s="23">
        <x:v>1</x:v>
      </x:c>
      <x:c r="I110" s="23">
        <x:v>17846</x:v>
      </x:c>
      <x:c r="J110" s="23">
        <x:v>70</x:v>
      </x:c>
      <x:c r="K110" s="23">
        <x:v>372</x:v>
      </x:c>
      <x:c r="L110" s="23" t="s">
        <x:v>256</x:v>
      </x:c>
      <x:c r="M110" s="23">
        <x:f t="shared" si="1"/>
        <x:v>815</x:v>
      </x:c>
      <x:c r="N110" s="24" t="str">
        <x:f t="array" ref="N110">INDEX('MATCH INFO'!O:O, INT((ROW()-2)/10)+2 + 29+29)</x:f>
        <x:v>260619_T1_CR_S4</x:v>
      </x:c>
    </x:row>
    <x:row r="111">
      <x:c r="A111" s="23" t="s">
        <x:v>55</x:v>
      </x:c>
      <x:c r="B111" s="23" t="s">
        <x:v>62</x:v>
      </x:c>
      <x:c r="C111" s="23" t="s">
        <x:v>16</x:v>
      </x:c>
      <x:c r="D111" s="23" t="s">
        <x:v>145</x:v>
      </x:c>
      <x:c r="E111" s="23" t="s">
        <x:v>195</x:v>
      </x:c>
      <x:c r="F111" s="23">
        <x:v>23</x:v>
      </x:c>
      <x:c r="G111" s="23">
        <x:v>4</x:v>
      </x:c>
      <x:c r="H111" s="23">
        <x:v>40</x:v>
      </x:c>
      <x:c r="I111" s="23">
        <x:v>4107</x:v>
      </x:c>
      <x:c r="J111" s="23">
        <x:v>19840</x:v>
      </x:c>
      <x:c r="K111" s="23">
        <x:v>0</x:v>
      </x:c>
      <x:c r="L111" s="23" t="s">
        <x:v>256</x:v>
      </x:c>
      <x:c r="M111" s="23">
        <x:f t="shared" si="1"/>
        <x:v>815</x:v>
      </x:c>
      <x:c r="N111" s="24" t="str">
        <x:f t="array" ref="N111">INDEX('MATCH INFO'!O:O, INT((ROW()-2)/10)+2 + 29+29)</x:f>
        <x:v>260619_T1_CR_S4</x:v>
      </x:c>
    </x:row>
    <x:row r="112">
      <x:c r="A112" s="23" t="s">
        <x:v>39</x:v>
      </x:c>
      <x:c r="B112" s="23" t="s">
        <x:v>45</x:v>
      </x:c>
      <x:c r="C112" s="23" t="s">
        <x:v>16</x:v>
      </x:c>
      <x:c r="D112" s="23" t="s">
        <x:v>116</x:v>
      </x:c>
      <x:c r="E112" s="23" t="s">
        <x:v>184</x:v>
      </x:c>
      <x:c r="F112" s="23">
        <x:v>11</x:v>
      </x:c>
      <x:c r="G112" s="23">
        <x:v>13</x:v>
      </x:c>
      <x:c r="H112" s="23">
        <x:v>14</x:v>
      </x:c>
      <x:c r="I112" s="23">
        <x:v>2757</x:v>
      </x:c>
      <x:c r="J112" s="23">
        <x:v>15411</x:v>
      </x:c>
      <x:c r="K112" s="23">
        <x:v>0</x:v>
      </x:c>
      <x:c r="L112" s="23" t="s">
        <x:v>257</x:v>
      </x:c>
      <x:c r="M112" s="23">
        <x:f t="shared" si="1"/>
        <x:v>898</x:v>
      </x:c>
      <x:c r="N112" s="24" t="str">
        <x:f t="array" ref="N112">INDEX('MATCH INFO'!O:O, INT((ROW()-2)/10)+2 + 29+29)</x:f>
        <x:v>260620_PF_SB_S1</x:v>
      </x:c>
    </x:row>
    <x:row r="113">
      <x:c r="A113" s="23" t="s">
        <x:v>39</x:v>
      </x:c>
      <x:c r="B113" s="23" t="s">
        <x:v>42</x:v>
      </x:c>
      <x:c r="C113" s="23" t="s">
        <x:v>11</x:v>
      </x:c>
      <x:c r="D113" s="23" t="s">
        <x:v>116</x:v>
      </x:c>
      <x:c r="E113" s="23" t="s">
        <x:v>184</x:v>
      </x:c>
      <x:c r="F113" s="23">
        <x:v>20</x:v>
      </x:c>
      <x:c r="G113" s="23">
        <x:v>15</x:v>
      </x:c>
      <x:c r="H113" s="23">
        <x:v>2</x:v>
      </x:c>
      <x:c r="I113" s="23">
        <x:v>10258</x:v>
      </x:c>
      <x:c r="J113" s="23">
        <x:v>513</x:v>
      </x:c>
      <x:c r="K113" s="23">
        <x:v>747</x:v>
      </x:c>
      <x:c r="L113" s="23" t="s">
        <x:v>257</x:v>
      </x:c>
      <x:c r="M113" s="23">
        <x:f t="shared" si="1"/>
        <x:v>898</x:v>
      </x:c>
      <x:c r="N113" s="24" t="str">
        <x:f t="array" ref="N113">INDEX('MATCH INFO'!O:O, INT((ROW()-2)/10)+2 + 29+29)</x:f>
        <x:v>260620_PF_SB_S1</x:v>
      </x:c>
    </x:row>
    <x:row r="114">
      <x:c r="A114" s="23" t="s">
        <x:v>39</x:v>
      </x:c>
      <x:c r="B114" s="23" t="s">
        <x:v>40</x:v>
      </x:c>
      <x:c r="C114" s="23" t="s">
        <x:v>8</x:v>
      </x:c>
      <x:c r="D114" s="23" t="s">
        <x:v>116</x:v>
      </x:c>
      <x:c r="E114" s="23" t="s">
        <x:v>184</x:v>
      </x:c>
      <x:c r="F114" s="23">
        <x:v>18</x:v>
      </x:c>
      <x:c r="G114" s="23">
        <x:v>14</x:v>
      </x:c>
      <x:c r="H114" s="23">
        <x:v>7</x:v>
      </x:c>
      <x:c r="I114" s="23">
        <x:v>11936</x:v>
      </x:c>
      <x:c r="J114" s="23">
        <x:v>3080</x:v>
      </x:c>
      <x:c r="K114" s="23">
        <x:v>5682</x:v>
      </x:c>
      <x:c r="L114" s="23" t="s">
        <x:v>257</x:v>
      </x:c>
      <x:c r="M114" s="23">
        <x:f t="shared" si="1"/>
        <x:v>898</x:v>
      </x:c>
      <x:c r="N114" s="24" t="str">
        <x:f t="array" ref="N114">INDEX('MATCH INFO'!O:O, INT((ROW()-2)/10)+2 + 29+29)</x:f>
        <x:v>260620_PF_SB_S1</x:v>
      </x:c>
    </x:row>
    <x:row r="115">
      <x:c r="A115" s="23" t="s">
        <x:v>39</x:v>
      </x:c>
      <x:c r="B115" s="23" t="s">
        <x:v>43</x:v>
      </x:c>
      <x:c r="C115" s="23" t="s">
        <x:v>11</x:v>
      </x:c>
      <x:c r="D115" s="23" t="s">
        <x:v>116</x:v>
      </x:c>
      <x:c r="E115" s="23" t="s">
        <x:v>184</x:v>
      </x:c>
      <x:c r="F115" s="23">
        <x:v>20</x:v>
      </x:c>
      <x:c r="G115" s="23">
        <x:v>12</x:v>
      </x:c>
      <x:c r="H115" s="23">
        <x:v>0</x:v>
      </x:c>
      <x:c r="I115" s="23">
        <x:v>15428</x:v>
      </x:c>
      <x:c r="J115" s="23">
        <x:v>0</x:v>
      </x:c>
      <x:c r="K115" s="23">
        <x:v>0</x:v>
      </x:c>
      <x:c r="L115" s="23" t="s">
        <x:v>257</x:v>
      </x:c>
      <x:c r="M115" s="23">
        <x:f t="shared" si="1"/>
        <x:v>898</x:v>
      </x:c>
      <x:c r="N115" s="24" t="str">
        <x:f t="array" ref="N115">INDEX('MATCH INFO'!O:O, INT((ROW()-2)/10)+2 + 29+29)</x:f>
        <x:v>260620_PF_SB_S1</x:v>
      </x:c>
    </x:row>
    <x:row r="116">
      <x:c r="A116" s="23" t="s">
        <x:v>39</x:v>
      </x:c>
      <x:c r="B116" s="23" t="s">
        <x:v>44</x:v>
      </x:c>
      <x:c r="C116" s="23" t="s">
        <x:v>16</x:v>
      </x:c>
      <x:c r="D116" s="23" t="s">
        <x:v>116</x:v>
      </x:c>
      <x:c r="E116" s="23" t="s">
        <x:v>184</x:v>
      </x:c>
      <x:c r="F116" s="23">
        <x:v>13</x:v>
      </x:c>
      <x:c r="G116" s="23">
        <x:v>10</x:v>
      </x:c>
      <x:c r="H116" s="23">
        <x:v>13</x:v>
      </x:c>
      <x:c r="I116" s="23">
        <x:v>6005</x:v>
      </x:c>
      <x:c r="J116" s="23">
        <x:v>7626</x:v>
      </x:c>
      <x:c r="K116" s="23">
        <x:v>1747</x:v>
      </x:c>
      <x:c r="L116" s="23" t="s">
        <x:v>257</x:v>
      </x:c>
      <x:c r="M116" s="23">
        <x:f t="shared" si="1"/>
        <x:v>898</x:v>
      </x:c>
      <x:c r="N116" s="24" t="str">
        <x:f t="array" ref="N116">INDEX('MATCH INFO'!O:O, INT((ROW()-2)/10)+2 + 29+29)</x:f>
        <x:v>260620_PF_SB_S1</x:v>
      </x:c>
    </x:row>
    <x:row r="117">
      <x:c r="A117" s="23" t="s">
        <x:v>81</x:v>
      </x:c>
      <x:c r="B117" s="23" t="s">
        <x:v>84</x:v>
      </x:c>
      <x:c r="C117" s="23" t="s">
        <x:v>11</x:v>
      </x:c>
      <x:c r="D117" s="23" t="s">
        <x:v>116</x:v>
      </x:c>
      <x:c r="E117" s="23" t="s">
        <x:v>184</x:v>
      </x:c>
      <x:c r="F117" s="23">
        <x:v>41</x:v>
      </x:c>
      <x:c r="G117" s="23">
        <x:v>8</x:v>
      </x:c>
      <x:c r="H117" s="23">
        <x:v>18</x:v>
      </x:c>
      <x:c r="I117" s="23">
        <x:v>13949</x:v>
      </x:c>
      <x:c r="J117" s="23">
        <x:v>1034</x:v>
      </x:c>
      <x:c r="K117" s="23">
        <x:v>5065</x:v>
      </x:c>
      <x:c r="L117" s="23" t="s">
        <x:v>257</x:v>
      </x:c>
      <x:c r="M117" s="23">
        <x:f t="shared" si="1"/>
        <x:v>898</x:v>
      </x:c>
      <x:c r="N117" s="24" t="str">
        <x:f t="array" ref="N117">INDEX('MATCH INFO'!O:O, INT((ROW()-2)/10)+2 + 29+29)</x:f>
        <x:v>260620_PF_SB_S1</x:v>
      </x:c>
    </x:row>
    <x:row r="118">
      <x:c r="A118" s="23" t="s">
        <x:v>81</x:v>
      </x:c>
      <x:c r="B118" s="23" t="s">
        <x:v>82</x:v>
      </x:c>
      <x:c r="C118" s="23" t="s">
        <x:v>8</x:v>
      </x:c>
      <x:c r="D118" s="23" t="s">
        <x:v>116</x:v>
      </x:c>
      <x:c r="E118" s="23" t="s">
        <x:v>184</x:v>
      </x:c>
      <x:c r="F118" s="23">
        <x:v>42</x:v>
      </x:c>
      <x:c r="G118" s="23">
        <x:v>4</x:v>
      </x:c>
      <x:c r="H118" s="23">
        <x:v>7</x:v>
      </x:c>
      <x:c r="I118" s="23">
        <x:v>17974</x:v>
      </x:c>
      <x:c r="J118" s="23">
        <x:v>0</x:v>
      </x:c>
      <x:c r="K118" s="23">
        <x:v>24171</x:v>
      </x:c>
      <x:c r="L118" s="23" t="s">
        <x:v>257</x:v>
      </x:c>
      <x:c r="M118" s="23">
        <x:f t="shared" si="1"/>
        <x:v>898</x:v>
      </x:c>
      <x:c r="N118" s="24" t="str">
        <x:f t="array" ref="N118">INDEX('MATCH INFO'!O:O, INT((ROW()-2)/10)+2 + 29+29)</x:f>
        <x:v>260620_PF_SB_S1</x:v>
      </x:c>
    </x:row>
    <x:row r="119">
      <x:c r="A119" s="23" t="s">
        <x:v>81</x:v>
      </x:c>
      <x:c r="B119" s="23" t="s">
        <x:v>86</x:v>
      </x:c>
      <x:c r="C119" s="23" t="s">
        <x:v>16</x:v>
      </x:c>
      <x:c r="D119" s="23" t="s">
        <x:v>116</x:v>
      </x:c>
      <x:c r="E119" s="23" t="s">
        <x:v>184</x:v>
      </x:c>
      <x:c r="F119" s="23">
        <x:v>27</x:v>
      </x:c>
      <x:c r="G119" s="23">
        <x:v>6</x:v>
      </x:c>
      <x:c r="H119" s="23">
        <x:v>39</x:v>
      </x:c>
      <x:c r="I119" s="23">
        <x:v>6915</x:v>
      </x:c>
      <x:c r="J119" s="23">
        <x:v>14682</x:v>
      </x:c>
      <x:c r="K119" s="23">
        <x:v>2923</x:v>
      </x:c>
      <x:c r="L119" s="23" t="s">
        <x:v>257</x:v>
      </x:c>
      <x:c r="M119" s="23">
        <x:f t="shared" si="1"/>
        <x:v>898</x:v>
      </x:c>
      <x:c r="N119" s="24" t="str">
        <x:f t="array" ref="N119">INDEX('MATCH INFO'!O:O, INT((ROW()-2)/10)+2 + 29+29)</x:f>
        <x:v>260620_PF_SB_S1</x:v>
      </x:c>
    </x:row>
    <x:row r="120">
      <x:c r="A120" s="23" t="s">
        <x:v>81</x:v>
      </x:c>
      <x:c r="B120" s="23" t="s">
        <x:v>85</x:v>
      </x:c>
      <x:c r="C120" s="23" t="s">
        <x:v>11</x:v>
      </x:c>
      <x:c r="D120" s="23" t="s">
        <x:v>116</x:v>
      </x:c>
      <x:c r="E120" s="23" t="s">
        <x:v>184</x:v>
      </x:c>
      <x:c r="F120" s="23">
        <x:v>34</x:v>
      </x:c>
      <x:c r="G120" s="23">
        <x:v>9</x:v>
      </x:c>
      <x:c r="H120" s="23">
        <x:v>0</x:v>
      </x:c>
      <x:c r="I120" s="23">
        <x:v>11418</x:v>
      </x:c>
      <x:c r="J120" s="23">
        <x:v>0</x:v>
      </x:c>
      <x:c r="K120" s="23">
        <x:v>64</x:v>
      </x:c>
      <x:c r="L120" s="23" t="s">
        <x:v>257</x:v>
      </x:c>
      <x:c r="M120" s="23">
        <x:f t="shared" si="1"/>
        <x:v>898</x:v>
      </x:c>
      <x:c r="N120" s="24" t="str">
        <x:f t="array" ref="N120">INDEX('MATCH INFO'!O:O, INT((ROW()-2)/10)+2 + 29+29)</x:f>
        <x:v>260620_PF_SB_S1</x:v>
      </x:c>
    </x:row>
    <x:row r="121">
      <x:c r="A121" s="23" t="s">
        <x:v>81</x:v>
      </x:c>
      <x:c r="B121" s="23" t="s">
        <x:v>88</x:v>
      </x:c>
      <x:c r="C121" s="23" t="s">
        <x:v>16</x:v>
      </x:c>
      <x:c r="D121" s="23" t="s">
        <x:v>116</x:v>
      </x:c>
      <x:c r="E121" s="23" t="s">
        <x:v>184</x:v>
      </x:c>
      <x:c r="F121" s="23">
        <x:v>20</x:v>
      </x:c>
      <x:c r="G121" s="23">
        <x:v>8</x:v>
      </x:c>
      <x:c r="H121" s="23">
        <x:v>39</x:v>
      </x:c>
      <x:c r="I121" s="23">
        <x:v>5156</x:v>
      </x:c>
      <x:c r="J121" s="23">
        <x:v>15086</x:v>
      </x:c>
      <x:c r="K121" s="23">
        <x:v>0</x:v>
      </x:c>
      <x:c r="L121" s="23" t="s">
        <x:v>257</x:v>
      </x:c>
      <x:c r="M121" s="23">
        <x:f t="shared" si="1"/>
        <x:v>898</x:v>
      </x:c>
      <x:c r="N121" s="24" t="str">
        <x:f t="array" ref="N121">INDEX('MATCH INFO'!O:O, INT((ROW()-2)/10)+2 + 29+29)</x:f>
        <x:v>260620_PF_SB_S1</x:v>
      </x:c>
    </x:row>
    <x:row r="122">
      <x:c r="A122" s="23" t="s">
        <x:v>81</x:v>
      </x:c>
      <x:c r="B122" s="23" t="s">
        <x:v>84</x:v>
      </x:c>
      <x:c r="C122" s="23" t="s">
        <x:v>11</x:v>
      </x:c>
      <x:c r="D122" s="23" t="s">
        <x:v>124</x:v>
      </x:c>
      <x:c r="E122" s="23" t="s">
        <x:v>186</x:v>
      </x:c>
      <x:c r="F122" s="23">
        <x:v>15</x:v>
      </x:c>
      <x:c r="G122" s="23">
        <x:v>12</x:v>
      </x:c>
      <x:c r="H122" s="23">
        <x:v>2</x:v>
      </x:c>
      <x:c r="I122" s="23">
        <x:v>9049</x:v>
      </x:c>
      <x:c r="J122" s="23">
        <x:v>42</x:v>
      </x:c>
      <x:c r="K122" s="23">
        <x:v>319</x:v>
      </x:c>
      <x:c r="L122" s="23" t="s">
        <x:v>258</x:v>
      </x:c>
      <x:c r="M122" s="23">
        <x:f t="shared" si="1"/>
        <x:v>731</x:v>
      </x:c>
      <x:c r="N122" s="24" t="str">
        <x:f t="array" ref="N122">INDEX('MATCH INFO'!O:O, INT((ROW()-2)/10)+2 + 29+29)</x:f>
        <x:v>260620_PF_SB_S2</x:v>
      </x:c>
    </x:row>
    <x:row r="123">
      <x:c r="A123" s="23" t="s">
        <x:v>81</x:v>
      </x:c>
      <x:c r="B123" s="23" t="s">
        <x:v>83</x:v>
      </x:c>
      <x:c r="C123" s="23" t="s">
        <x:v>8</x:v>
      </x:c>
      <x:c r="D123" s="23" t="s">
        <x:v>124</x:v>
      </x:c>
      <x:c r="E123" s="23" t="s">
        <x:v>186</x:v>
      </x:c>
      <x:c r="F123" s="23">
        <x:v>9</x:v>
      </x:c>
      <x:c r="G123" s="23">
        <x:v>8</x:v>
      </x:c>
      <x:c r="H123" s="23">
        <x:v>4</x:v>
      </x:c>
      <x:c r="I123" s="23">
        <x:v>11908</x:v>
      </x:c>
      <x:c r="J123" s="23">
        <x:v>340</x:v>
      </x:c>
      <x:c r="K123" s="23">
        <x:v>16318</x:v>
      </x:c>
      <x:c r="L123" s="23" t="s">
        <x:v>258</x:v>
      </x:c>
      <x:c r="M123" s="23">
        <x:f t="shared" si="1"/>
        <x:v>731</x:v>
      </x:c>
      <x:c r="N123" s="24" t="str">
        <x:f t="array" ref="N123">INDEX('MATCH INFO'!O:O, INT((ROW()-2)/10)+2 + 29+29)</x:f>
        <x:v>260620_PF_SB_S2</x:v>
      </x:c>
    </x:row>
    <x:row r="124">
      <x:c r="A124" s="23" t="s">
        <x:v>81</x:v>
      </x:c>
      <x:c r="B124" s="23" t="s">
        <x:v>86</x:v>
      </x:c>
      <x:c r="C124" s="23" t="s">
        <x:v>16</x:v>
      </x:c>
      <x:c r="D124" s="23" t="s">
        <x:v>124</x:v>
      </x:c>
      <x:c r="E124" s="23" t="s">
        <x:v>186</x:v>
      </x:c>
      <x:c r="F124" s="23">
        <x:v>14</x:v>
      </x:c>
      <x:c r="G124" s="23">
        <x:v>8</x:v>
      </x:c>
      <x:c r="H124" s="23">
        <x:v>14</x:v>
      </x:c>
      <x:c r="I124" s="23">
        <x:v>7126</x:v>
      </x:c>
      <x:c r="J124" s="23">
        <x:v>9830</x:v>
      </x:c>
      <x:c r="K124" s="23">
        <x:v>3306</x:v>
      </x:c>
      <x:c r="L124" s="23" t="s">
        <x:v>258</x:v>
      </x:c>
      <x:c r="M124" s="23">
        <x:f t="shared" si="1"/>
        <x:v>731</x:v>
      </x:c>
      <x:c r="N124" s="24" t="str">
        <x:f t="array" ref="N124">INDEX('MATCH INFO'!O:O, INT((ROW()-2)/10)+2 + 29+29)</x:f>
        <x:v>260620_PF_SB_S2</x:v>
      </x:c>
    </x:row>
    <x:row r="125">
      <x:c r="A125" s="23" t="s">
        <x:v>81</x:v>
      </x:c>
      <x:c r="B125" s="23" t="s">
        <x:v>85</x:v>
      </x:c>
      <x:c r="C125" s="23" t="s">
        <x:v>11</x:v>
      </x:c>
      <x:c r="D125" s="23" t="s">
        <x:v>124</x:v>
      </x:c>
      <x:c r="E125" s="23" t="s">
        <x:v>186</x:v>
      </x:c>
      <x:c r="F125" s="23">
        <x:v>11</x:v>
      </x:c>
      <x:c r="G125" s="23">
        <x:v>10</x:v>
      </x:c>
      <x:c r="H125" s="23">
        <x:v>0</x:v>
      </x:c>
      <x:c r="I125" s="23">
        <x:v>7705</x:v>
      </x:c>
      <x:c r="J125" s="23">
        <x:v>75</x:v>
      </x:c>
      <x:c r="K125" s="23">
        <x:v>217</x:v>
      </x:c>
      <x:c r="L125" s="23" t="s">
        <x:v>258</x:v>
      </x:c>
      <x:c r="M125" s="23">
        <x:f t="shared" si="1"/>
        <x:v>731</x:v>
      </x:c>
      <x:c r="N125" s="24" t="str">
        <x:f t="array" ref="N125">INDEX('MATCH INFO'!O:O, INT((ROW()-2)/10)+2 + 29+29)</x:f>
        <x:v>260620_PF_SB_S2</x:v>
      </x:c>
    </x:row>
    <x:row r="126">
      <x:c r="A126" s="23" t="s">
        <x:v>81</x:v>
      </x:c>
      <x:c r="B126" s="23" t="s">
        <x:v>88</x:v>
      </x:c>
      <x:c r="C126" s="23" t="s">
        <x:v>16</x:v>
      </x:c>
      <x:c r="D126" s="23" t="s">
        <x:v>124</x:v>
      </x:c>
      <x:c r="E126" s="23" t="s">
        <x:v>186</x:v>
      </x:c>
      <x:c r="F126" s="23">
        <x:v>12</x:v>
      </x:c>
      <x:c r="G126" s="23">
        <x:v>10</x:v>
      </x:c>
      <x:c r="H126" s="23">
        <x:v>15</x:v>
      </x:c>
      <x:c r="I126" s="23">
        <x:v>4446</x:v>
      </x:c>
      <x:c r="J126" s="23">
        <x:v>9188</x:v>
      </x:c>
      <x:c r="K126" s="23">
        <x:v>0</x:v>
      </x:c>
      <x:c r="L126" s="23" t="s">
        <x:v>258</x:v>
      </x:c>
      <x:c r="M126" s="23">
        <x:f t="shared" si="1"/>
        <x:v>731</x:v>
      </x:c>
      <x:c r="N126" s="24" t="str">
        <x:f t="array" ref="N126">INDEX('MATCH INFO'!O:O, INT((ROW()-2)/10)+2 + 29+29)</x:f>
        <x:v>260620_PF_SB_S2</x:v>
      </x:c>
    </x:row>
    <x:row r="127">
      <x:c r="A127" s="23" t="s">
        <x:v>39</x:v>
      </x:c>
      <x:c r="B127" s="23" t="s">
        <x:v>45</x:v>
      </x:c>
      <x:c r="C127" s="23" t="s">
        <x:v>16</x:v>
      </x:c>
      <x:c r="D127" s="23" t="s">
        <x:v>124</x:v>
      </x:c>
      <x:c r="E127" s="23" t="s">
        <x:v>186</x:v>
      </x:c>
      <x:c r="F127" s="23">
        <x:v>21</x:v>
      </x:c>
      <x:c r="G127" s="23">
        <x:v>6</x:v>
      </x:c>
      <x:c r="H127" s="23">
        <x:v>27</x:v>
      </x:c>
      <x:c r="I127" s="23">
        <x:v>3355</x:v>
      </x:c>
      <x:c r="J127" s="23">
        <x:v>8712</x:v>
      </x:c>
      <x:c r="K127" s="23">
        <x:v>0</x:v>
      </x:c>
      <x:c r="L127" s="23" t="s">
        <x:v>258</x:v>
      </x:c>
      <x:c r="M127" s="23">
        <x:f t="shared" si="1"/>
        <x:v>731</x:v>
      </x:c>
      <x:c r="N127" s="24" t="str">
        <x:f t="array" ref="N127">INDEX('MATCH INFO'!O:O, INT((ROW()-2)/10)+2 + 29+29)</x:f>
        <x:v>260620_PF_SB_S2</x:v>
      </x:c>
    </x:row>
    <x:row r="128">
      <x:c r="A128" s="23" t="s">
        <x:v>39</x:v>
      </x:c>
      <x:c r="B128" s="23" t="s">
        <x:v>42</x:v>
      </x:c>
      <x:c r="C128" s="23" t="s">
        <x:v>11</x:v>
      </x:c>
      <x:c r="D128" s="23" t="s">
        <x:v>124</x:v>
      </x:c>
      <x:c r="E128" s="23" t="s">
        <x:v>186</x:v>
      </x:c>
      <x:c r="F128" s="23">
        <x:v>25</x:v>
      </x:c>
      <x:c r="G128" s="23">
        <x:v>5</x:v>
      </x:c>
      <x:c r="H128" s="23">
        <x:v>4</x:v>
      </x:c>
      <x:c r="I128" s="23">
        <x:v>9426</x:v>
      </x:c>
      <x:c r="J128" s="23">
        <x:v>152</x:v>
      </x:c>
      <x:c r="K128" s="23">
        <x:v>1363</x:v>
      </x:c>
      <x:c r="L128" s="23" t="s">
        <x:v>258</x:v>
      </x:c>
      <x:c r="M128" s="23">
        <x:f t="shared" si="1"/>
        <x:v>731</x:v>
      </x:c>
      <x:c r="N128" s="24" t="str">
        <x:f t="array" ref="N128">INDEX('MATCH INFO'!O:O, INT((ROW()-2)/10)+2 + 29+29)</x:f>
        <x:v>260620_PF_SB_S2</x:v>
      </x:c>
    </x:row>
    <x:row r="129">
      <x:c r="A129" s="23" t="s">
        <x:v>39</x:v>
      </x:c>
      <x:c r="B129" s="23" t="s">
        <x:v>40</x:v>
      </x:c>
      <x:c r="C129" s="23" t="s">
        <x:v>8</x:v>
      </x:c>
      <x:c r="D129" s="23" t="s">
        <x:v>124</x:v>
      </x:c>
      <x:c r="E129" s="23" t="s">
        <x:v>186</x:v>
      </x:c>
      <x:c r="F129" s="23">
        <x:v>30</x:v>
      </x:c>
      <x:c r="G129" s="23">
        <x:v>6</x:v>
      </x:c>
      <x:c r="H129" s="23">
        <x:v>23</x:v>
      </x:c>
      <x:c r="I129" s="23">
        <x:v>11630</x:v>
      </x:c>
      <x:c r="J129" s="23">
        <x:v>2693</x:v>
      </x:c>
      <x:c r="K129" s="23">
        <x:v>7820</x:v>
      </x:c>
      <x:c r="L129" s="23" t="s">
        <x:v>258</x:v>
      </x:c>
      <x:c r="M129" s="23">
        <x:f t="shared" si="1"/>
        <x:v>731</x:v>
      </x:c>
      <x:c r="N129" s="24" t="str">
        <x:f t="array" ref="N129">INDEX('MATCH INFO'!O:O, INT((ROW()-2)/10)+2 + 29+29)</x:f>
        <x:v>260620_PF_SB_S2</x:v>
      </x:c>
    </x:row>
    <x:row r="130">
      <x:c r="A130" s="23" t="s">
        <x:v>39</x:v>
      </x:c>
      <x:c r="B130" s="23" t="s">
        <x:v>43</x:v>
      </x:c>
      <x:c r="C130" s="23" t="s">
        <x:v>11</x:v>
      </x:c>
      <x:c r="D130" s="23" t="s">
        <x:v>124</x:v>
      </x:c>
      <x:c r="E130" s="23" t="s">
        <x:v>186</x:v>
      </x:c>
      <x:c r="F130" s="23">
        <x:v>28</x:v>
      </x:c>
      <x:c r="G130" s="23">
        <x:v>2</x:v>
      </x:c>
      <x:c r="H130" s="23">
        <x:v>0</x:v>
      </x:c>
      <x:c r="I130" s="23">
        <x:v>12242</x:v>
      </x:c>
      <x:c r="J130" s="23">
        <x:v>0</x:v>
      </x:c>
      <x:c r="K130" s="23">
        <x:v>0</x:v>
      </x:c>
      <x:c r="L130" s="23" t="s">
        <x:v>258</x:v>
      </x:c>
      <x:c r="M130" s="23" t="e">
        <x:f t="shared" ref="M130:M193" si="2">L130*86400</x:f>
        <x:v>#VALUE!</x:v>
      </x:c>
      <x:c r="N130" s="24" t="str">
        <x:f t="array" ref="N130">INDEX('MATCH INFO'!O:O, INT((ROW()-2)/10)+2 + 29+29)</x:f>
        <x:v>260620_PF_SB_S2</x:v>
      </x:c>
    </x:row>
    <x:row r="131">
      <x:c r="A131" s="23" t="s">
        <x:v>39</x:v>
      </x:c>
      <x:c r="B131" s="23" t="s">
        <x:v>44</x:v>
      </x:c>
      <x:c r="C131" s="23" t="s">
        <x:v>16</x:v>
      </x:c>
      <x:c r="D131" s="23" t="s">
        <x:v>124</x:v>
      </x:c>
      <x:c r="E131" s="23" t="s">
        <x:v>186</x:v>
      </x:c>
      <x:c r="F131" s="23">
        <x:v>13</x:v>
      </x:c>
      <x:c r="G131" s="23">
        <x:v>4</x:v>
      </x:c>
      <x:c r="H131" s="23">
        <x:v>37</x:v>
      </x:c>
      <x:c r="I131" s="23">
        <x:v>3303</x:v>
      </x:c>
      <x:c r="J131" s="23">
        <x:v>13057</x:v>
      </x:c>
      <x:c r="K131" s="23">
        <x:v>0</x:v>
      </x:c>
      <x:c r="L131" s="23" t="s">
        <x:v>258</x:v>
      </x:c>
      <x:c r="M131" s="23">
        <x:f t="shared" si="2"/>
        <x:v>731</x:v>
      </x:c>
      <x:c r="N131" s="24" t="str">
        <x:f t="array" ref="N131">INDEX('MATCH INFO'!O:O, INT((ROW()-2)/10)+2 + 29+29)</x:f>
        <x:v>260620_PF_SB_S2</x:v>
      </x:c>
    </x:row>
    <x:row r="132">
      <x:c r="A132" s="23" t="s">
        <x:v>81</x:v>
      </x:c>
      <x:c r="B132" s="23" t="s">
        <x:v>84</x:v>
      </x:c>
      <x:c r="C132" s="23" t="s">
        <x:v>11</x:v>
      </x:c>
      <x:c r="D132" s="23" t="s">
        <x:v>138</x:v>
      </x:c>
      <x:c r="E132" s="23" t="s">
        <x:v>191</x:v>
      </x:c>
      <x:c r="F132" s="23">
        <x:v>12</x:v>
      </x:c>
      <x:c r="G132" s="23">
        <x:v>2</x:v>
      </x:c>
      <x:c r="H132" s="23">
        <x:v>2</x:v>
      </x:c>
      <x:c r="I132" s="23">
        <x:v>5646</x:v>
      </x:c>
      <x:c r="J132" s="23">
        <x:v>0</x:v>
      </x:c>
      <x:c r="K132" s="23">
        <x:v>0</x:v>
      </x:c>
      <x:c r="L132" s="23" t="s">
        <x:v>259</x:v>
      </x:c>
      <x:c r="M132" s="23">
        <x:f t="shared" si="2"/>
        <x:v>335</x:v>
      </x:c>
      <x:c r="N132" s="24" t="str">
        <x:f t="array" ref="N132">INDEX('MATCH INFO'!O:O, INT((ROW()-2)/10)+2 + 29+29)</x:f>
        <x:v>260620_PF_SB_S3</x:v>
      </x:c>
    </x:row>
    <x:row r="133">
      <x:c r="A133" s="23" t="s">
        <x:v>81</x:v>
      </x:c>
      <x:c r="B133" s="23" t="s">
        <x:v>82</x:v>
      </x:c>
      <x:c r="C133" s="23" t="s">
        <x:v>8</x:v>
      </x:c>
      <x:c r="D133" s="23" t="s">
        <x:v>138</x:v>
      </x:c>
      <x:c r="E133" s="23" t="s">
        <x:v>191</x:v>
      </x:c>
      <x:c r="F133" s="23">
        <x:v>11</x:v>
      </x:c>
      <x:c r="G133" s="23">
        <x:v>0</x:v>
      </x:c>
      <x:c r="H133" s="23">
        <x:v>2</x:v>
      </x:c>
      <x:c r="I133" s="23">
        <x:v>5377</x:v>
      </x:c>
      <x:c r="J133" s="23">
        <x:v>275</x:v>
      </x:c>
      <x:c r="K133" s="23">
        <x:v>10731</x:v>
      </x:c>
      <x:c r="L133" s="23" t="s">
        <x:v>259</x:v>
      </x:c>
      <x:c r="M133" s="23">
        <x:f t="shared" si="2"/>
        <x:v>335</x:v>
      </x:c>
      <x:c r="N133" s="24" t="str">
        <x:f t="array" ref="N133">INDEX('MATCH INFO'!O:O, INT((ROW()-2)/10)+2 + 29+29)</x:f>
        <x:v>260620_PF_SB_S3</x:v>
      </x:c>
    </x:row>
    <x:row r="134">
      <x:c r="A134" s="23" t="s">
        <x:v>81</x:v>
      </x:c>
      <x:c r="B134" s="23" t="s">
        <x:v>86</x:v>
      </x:c>
      <x:c r="C134" s="23" t="s">
        <x:v>16</x:v>
      </x:c>
      <x:c r="D134" s="23" t="s">
        <x:v>138</x:v>
      </x:c>
      <x:c r="E134" s="23" t="s">
        <x:v>191</x:v>
      </x:c>
      <x:c r="F134" s="23">
        <x:v>10</x:v>
      </x:c>
      <x:c r="G134" s="23">
        <x:v>1</x:v>
      </x:c>
      <x:c r="H134" s="23">
        <x:v>10</x:v>
      </x:c>
      <x:c r="I134" s="23">
        <x:v>4323</x:v>
      </x:c>
      <x:c r="J134" s="23">
        <x:v>6020</x:v>
      </x:c>
      <x:c r="K134" s="23">
        <x:v>1203</x:v>
      </x:c>
      <x:c r="L134" s="23" t="s">
        <x:v>259</x:v>
      </x:c>
      <x:c r="M134" s="23">
        <x:f t="shared" si="2"/>
        <x:v>335</x:v>
      </x:c>
      <x:c r="N134" s="24" t="str">
        <x:f t="array" ref="N134">INDEX('MATCH INFO'!O:O, INT((ROW()-2)/10)+2 + 29+29)</x:f>
        <x:v>260620_PF_SB_S3</x:v>
      </x:c>
    </x:row>
    <x:row r="135">
      <x:c r="A135" s="23" t="s">
        <x:v>81</x:v>
      </x:c>
      <x:c r="B135" s="23" t="s">
        <x:v>85</x:v>
      </x:c>
      <x:c r="C135" s="23" t="s">
        <x:v>11</x:v>
      </x:c>
      <x:c r="D135" s="23" t="s">
        <x:v>138</x:v>
      </x:c>
      <x:c r="E135" s="23" t="s">
        <x:v>191</x:v>
      </x:c>
      <x:c r="F135" s="23">
        <x:v>15</x:v>
      </x:c>
      <x:c r="G135" s="23">
        <x:v>0</x:v>
      </x:c>
      <x:c r="H135" s="23">
        <x:v>1</x:v>
      </x:c>
      <x:c r="I135" s="23">
        <x:v>5009</x:v>
      </x:c>
      <x:c r="J135" s="23">
        <x:v>25</x:v>
      </x:c>
      <x:c r="K135" s="23">
        <x:v>94</x:v>
      </x:c>
      <x:c r="L135" s="23" t="s">
        <x:v>259</x:v>
      </x:c>
      <x:c r="M135" s="23">
        <x:f t="shared" si="2"/>
        <x:v>335</x:v>
      </x:c>
      <x:c r="N135" s="24" t="str">
        <x:f t="array" ref="N135">INDEX('MATCH INFO'!O:O, INT((ROW()-2)/10)+2 + 29+29)</x:f>
        <x:v>260620_PF_SB_S3</x:v>
      </x:c>
    </x:row>
    <x:row r="136">
      <x:c r="A136" s="23" t="s">
        <x:v>81</x:v>
      </x:c>
      <x:c r="B136" s="23" t="s">
        <x:v>88</x:v>
      </x:c>
      <x:c r="C136" s="23" t="s">
        <x:v>16</x:v>
      </x:c>
      <x:c r="D136" s="23" t="s">
        <x:v>138</x:v>
      </x:c>
      <x:c r="E136" s="23" t="s">
        <x:v>191</x:v>
      </x:c>
      <x:c r="F136" s="23">
        <x:v>5</x:v>
      </x:c>
      <x:c r="G136" s="23">
        <x:v>0</x:v>
      </x:c>
      <x:c r="H136" s="23">
        <x:v>16</x:v>
      </x:c>
      <x:c r="I136" s="23">
        <x:v>2892</x:v>
      </x:c>
      <x:c r="J136" s="23">
        <x:v>6444</x:v>
      </x:c>
      <x:c r="K136" s="23">
        <x:v>0</x:v>
      </x:c>
      <x:c r="L136" s="23" t="s">
        <x:v>259</x:v>
      </x:c>
      <x:c r="M136" s="23">
        <x:f t="shared" si="2"/>
        <x:v>335</x:v>
      </x:c>
      <x:c r="N136" s="24" t="str">
        <x:f t="array" ref="N136">INDEX('MATCH INFO'!O:O, INT((ROW()-2)/10)+2 + 29+29)</x:f>
        <x:v>260620_PF_SB_S3</x:v>
      </x:c>
    </x:row>
    <x:row r="137">
      <x:c r="A137" s="23" t="s">
        <x:v>39</x:v>
      </x:c>
      <x:c r="B137" s="23" t="s">
        <x:v>45</x:v>
      </x:c>
      <x:c r="C137" s="23" t="s">
        <x:v>16</x:v>
      </x:c>
      <x:c r="D137" s="23" t="s">
        <x:v>138</x:v>
      </x:c>
      <x:c r="E137" s="23" t="s">
        <x:v>191</x:v>
      </x:c>
      <x:c r="F137" s="23">
        <x:v>1</x:v>
      </x:c>
      <x:c r="G137" s="23">
        <x:v>3</x:v>
      </x:c>
      <x:c r="H137" s="23">
        <x:v>3</x:v>
      </x:c>
      <x:c r="I137" s="23">
        <x:v>1046</x:v>
      </x:c>
      <x:c r="J137" s="23">
        <x:v>9124</x:v>
      </x:c>
      <x:c r="K137" s="23">
        <x:v>0</x:v>
      </x:c>
      <x:c r="L137" s="23" t="s">
        <x:v>259</x:v>
      </x:c>
      <x:c r="M137" s="23">
        <x:f t="shared" si="2"/>
        <x:v>335</x:v>
      </x:c>
      <x:c r="N137" s="24" t="str">
        <x:f t="array" ref="N137">INDEX('MATCH INFO'!O:O, INT((ROW()-2)/10)+2 + 29+29)</x:f>
        <x:v>260620_PF_SB_S3</x:v>
      </x:c>
    </x:row>
    <x:row r="138">
      <x:c r="A138" s="23" t="s">
        <x:v>39</x:v>
      </x:c>
      <x:c r="B138" s="23" t="s">
        <x:v>42</x:v>
      </x:c>
      <x:c r="C138" s="23" t="s">
        <x:v>11</x:v>
      </x:c>
      <x:c r="D138" s="23" t="s">
        <x:v>138</x:v>
      </x:c>
      <x:c r="E138" s="23" t="s">
        <x:v>191</x:v>
      </x:c>
      <x:c r="F138" s="23">
        <x:v>3</x:v>
      </x:c>
      <x:c r="G138" s="23">
        <x:v>4</x:v>
      </x:c>
      <x:c r="H138" s="23">
        <x:v>0</x:v>
      </x:c>
      <x:c r="I138" s="23">
        <x:v>3218</x:v>
      </x:c>
      <x:c r="J138" s="23">
        <x:v>147</x:v>
      </x:c>
      <x:c r="K138" s="23">
        <x:v>1451</x:v>
      </x:c>
      <x:c r="L138" s="23" t="s">
        <x:v>259</x:v>
      </x:c>
      <x:c r="M138" s="23">
        <x:f t="shared" si="2"/>
        <x:v>335</x:v>
      </x:c>
      <x:c r="N138" s="24" t="str">
        <x:f t="array" ref="N138">INDEX('MATCH INFO'!O:O, INT((ROW()-2)/10)+2 + 29+29)</x:f>
        <x:v>260620_PF_SB_S3</x:v>
      </x:c>
    </x:row>
    <x:row r="139">
      <x:c r="A139" s="23" t="s">
        <x:v>39</x:v>
      </x:c>
      <x:c r="B139" s="23" t="s">
        <x:v>40</x:v>
      </x:c>
      <x:c r="C139" s="23" t="s">
        <x:v>8</x:v>
      </x:c>
      <x:c r="D139" s="23" t="s">
        <x:v>138</x:v>
      </x:c>
      <x:c r="E139" s="23" t="s">
        <x:v>191</x:v>
      </x:c>
      <x:c r="F139" s="23">
        <x:v>2</x:v>
      </x:c>
      <x:c r="G139" s="23">
        <x:v>4</x:v>
      </x:c>
      <x:c r="H139" s="23">
        <x:v>0</x:v>
      </x:c>
      <x:c r="I139" s="23">
        <x:v>5093</x:v>
      </x:c>
      <x:c r="J139" s="23">
        <x:v>66</x:v>
      </x:c>
      <x:c r="K139" s="23">
        <x:v>9070</x:v>
      </x:c>
      <x:c r="L139" s="23" t="s">
        <x:v>259</x:v>
      </x:c>
      <x:c r="M139" s="23">
        <x:f t="shared" si="2"/>
        <x:v>335</x:v>
      </x:c>
      <x:c r="N139" s="24" t="str">
        <x:f t="array" ref="N139">INDEX('MATCH INFO'!O:O, INT((ROW()-2)/10)+2 + 29+29)</x:f>
        <x:v>260620_PF_SB_S3</x:v>
      </x:c>
    </x:row>
    <x:row r="140">
      <x:c r="A140" s="23" t="s">
        <x:v>39</x:v>
      </x:c>
      <x:c r="B140" s="23" t="s">
        <x:v>43</x:v>
      </x:c>
      <x:c r="C140" s="23" t="s">
        <x:v>11</x:v>
      </x:c>
      <x:c r="D140" s="23" t="s">
        <x:v>138</x:v>
      </x:c>
      <x:c r="E140" s="23" t="s">
        <x:v>191</x:v>
      </x:c>
      <x:c r="F140" s="23">
        <x:v>1</x:v>
      </x:c>
      <x:c r="G140" s="23">
        <x:v>5</x:v>
      </x:c>
      <x:c r="H140" s="23">
        <x:v>1</x:v>
      </x:c>
      <x:c r="I140" s="23">
        <x:v>4138</x:v>
      </x:c>
      <x:c r="J140" s="23">
        <x:v>41</x:v>
      </x:c>
      <x:c r="K140" s="23">
        <x:v>79</x:v>
      </x:c>
      <x:c r="L140" s="23" t="s">
        <x:v>259</x:v>
      </x:c>
      <x:c r="M140" s="23">
        <x:f t="shared" si="2"/>
        <x:v>335</x:v>
      </x:c>
      <x:c r="N140" s="24" t="str">
        <x:f t="array" ref="N140">INDEX('MATCH INFO'!O:O, INT((ROW()-2)/10)+2 + 29+29)</x:f>
        <x:v>260620_PF_SB_S3</x:v>
      </x:c>
    </x:row>
    <x:row r="141">
      <x:c r="A141" s="23" t="s">
        <x:v>39</x:v>
      </x:c>
      <x:c r="B141" s="23" t="s">
        <x:v>44</x:v>
      </x:c>
      <x:c r="C141" s="23" t="s">
        <x:v>16</x:v>
      </x:c>
      <x:c r="D141" s="23" t="s">
        <x:v>138</x:v>
      </x:c>
      <x:c r="E141" s="23" t="s">
        <x:v>191</x:v>
      </x:c>
      <x:c r="F141" s="23">
        <x:v>1</x:v>
      </x:c>
      <x:c r="G141" s="23">
        <x:v>5</x:v>
      </x:c>
      <x:c r="H141" s="23">
        <x:v>2</x:v>
      </x:c>
      <x:c r="I141" s="23">
        <x:v>1539</x:v>
      </x:c>
      <x:c r="J141" s="23">
        <x:v>4001</x:v>
      </x:c>
      <x:c r="K141" s="23">
        <x:v>591</x:v>
      </x:c>
      <x:c r="L141" s="23" t="s">
        <x:v>259</x:v>
      </x:c>
      <x:c r="M141" s="23">
        <x:f t="shared" si="2"/>
        <x:v>335</x:v>
      </x:c>
      <x:c r="N141" s="24" t="str">
        <x:f t="array" ref="N141">INDEX('MATCH INFO'!O:O, INT((ROW()-2)/10)+2 + 29+29)</x:f>
        <x:v>260620_PF_SB_S3</x:v>
      </x:c>
    </x:row>
    <x:row r="142">
      <x:c r="A142" s="23" t="s">
        <x:v>81</x:v>
      </x:c>
      <x:c r="B142" s="23" t="s">
        <x:v>84</x:v>
      </x:c>
      <x:c r="C142" s="23" t="s">
        <x:v>11</x:v>
      </x:c>
      <x:c r="D142" s="23" t="s">
        <x:v>113</x:v>
      </x:c>
      <x:c r="E142" s="23" t="s">
        <x:v>188</x:v>
      </x:c>
      <x:c r="F142" s="23">
        <x:v>13</x:v>
      </x:c>
      <x:c r="G142" s="23">
        <x:v>7</x:v>
      </x:c>
      <x:c r="H142" s="23">
        <x:v>1</x:v>
      </x:c>
      <x:c r="I142" s="23">
        <x:v>7457</x:v>
      </x:c>
      <x:c r="J142" s="23">
        <x:v>0</x:v>
      </x:c>
      <x:c r="K142" s="23">
        <x:v>0</x:v>
      </x:c>
      <x:c r="L142" s="23" t="s">
        <x:v>260</x:v>
      </x:c>
      <x:c r="M142" s="23">
        <x:f t="shared" si="2"/>
        <x:v>715.00000000000011</x:v>
      </x:c>
      <x:c r="N142" s="24" t="str">
        <x:f t="array" ref="N142">INDEX('MATCH INFO'!O:O, INT((ROW()-2)/10)+2 + 29+29)</x:f>
        <x:v>260620_PF_SB_S4</x:v>
      </x:c>
    </x:row>
    <x:row r="143">
      <x:c r="A143" s="23" t="s">
        <x:v>81</x:v>
      </x:c>
      <x:c r="B143" s="23" t="s">
        <x:v>82</x:v>
      </x:c>
      <x:c r="C143" s="23" t="s">
        <x:v>8</x:v>
      </x:c>
      <x:c r="D143" s="23" t="s">
        <x:v>113</x:v>
      </x:c>
      <x:c r="E143" s="23" t="s">
        <x:v>188</x:v>
      </x:c>
      <x:c r="F143" s="23">
        <x:v>17</x:v>
      </x:c>
      <x:c r="G143" s="23">
        <x:v>5</x:v>
      </x:c>
      <x:c r="H143" s="23">
        <x:v>4</x:v>
      </x:c>
      <x:c r="I143" s="23">
        <x:v>11618</x:v>
      </x:c>
      <x:c r="J143" s="23">
        <x:v>1087</x:v>
      </x:c>
      <x:c r="K143" s="23">
        <x:v>17093</x:v>
      </x:c>
      <x:c r="L143" s="23" t="s">
        <x:v>260</x:v>
      </x:c>
      <x:c r="M143" s="23">
        <x:f t="shared" si="2"/>
        <x:v>715.00000000000011</x:v>
      </x:c>
      <x:c r="N143" s="24" t="str">
        <x:f t="array" ref="N143">INDEX('MATCH INFO'!O:O, INT((ROW()-2)/10)+2 + 29+29)</x:f>
        <x:v>260620_PF_SB_S4</x:v>
      </x:c>
    </x:row>
    <x:row r="144">
      <x:c r="A144" s="23" t="s">
        <x:v>81</x:v>
      </x:c>
      <x:c r="B144" s="23" t="s">
        <x:v>86</x:v>
      </x:c>
      <x:c r="C144" s="23" t="s">
        <x:v>16</x:v>
      </x:c>
      <x:c r="D144" s="23" t="s">
        <x:v>113</x:v>
      </x:c>
      <x:c r="E144" s="23" t="s">
        <x:v>188</x:v>
      </x:c>
      <x:c r="F144" s="23">
        <x:v>9</x:v>
      </x:c>
      <x:c r="G144" s="23">
        <x:v>6</x:v>
      </x:c>
      <x:c r="H144" s="23">
        <x:v>18</x:v>
      </x:c>
      <x:c r="I144" s="23">
        <x:v>5786</x:v>
      </x:c>
      <x:c r="J144" s="23">
        <x:v>8334</x:v>
      </x:c>
      <x:c r="K144" s="23">
        <x:v>2823</x:v>
      </x:c>
      <x:c r="L144" s="23" t="s">
        <x:v>260</x:v>
      </x:c>
      <x:c r="M144" s="23">
        <x:f t="shared" si="2"/>
        <x:v>715.00000000000011</x:v>
      </x:c>
      <x:c r="N144" s="24" t="str">
        <x:f t="array" ref="N144">INDEX('MATCH INFO'!O:O, INT((ROW()-2)/10)+2 + 29+29)</x:f>
        <x:v>260620_PF_SB_S4</x:v>
      </x:c>
    </x:row>
    <x:row r="145">
      <x:c r="A145" s="23" t="s">
        <x:v>81</x:v>
      </x:c>
      <x:c r="B145" s="23" t="s">
        <x:v>85</x:v>
      </x:c>
      <x:c r="C145" s="23" t="s">
        <x:v>11</x:v>
      </x:c>
      <x:c r="D145" s="23" t="s">
        <x:v>113</x:v>
      </x:c>
      <x:c r="E145" s="23" t="s">
        <x:v>188</x:v>
      </x:c>
      <x:c r="F145" s="23">
        <x:v>18</x:v>
      </x:c>
      <x:c r="G145" s="23">
        <x:v>8</x:v>
      </x:c>
      <x:c r="H145" s="23">
        <x:v>0</x:v>
      </x:c>
      <x:c r="I145" s="23">
        <x:v>8692</x:v>
      </x:c>
      <x:c r="J145" s="23">
        <x:v>0</x:v>
      </x:c>
      <x:c r="K145" s="23">
        <x:v>156</x:v>
      </x:c>
      <x:c r="L145" s="23" t="s">
        <x:v>260</x:v>
      </x:c>
      <x:c r="M145" s="23">
        <x:f t="shared" si="2"/>
        <x:v>715.00000000000011</x:v>
      </x:c>
      <x:c r="N145" s="24" t="str">
        <x:f t="array" ref="N145">INDEX('MATCH INFO'!O:O, INT((ROW()-2)/10)+2 + 29+29)</x:f>
        <x:v>260620_PF_SB_S4</x:v>
      </x:c>
    </x:row>
    <x:row r="146">
      <x:c r="A146" s="23" t="s">
        <x:v>81</x:v>
      </x:c>
      <x:c r="B146" s="23" t="s">
        <x:v>88</x:v>
      </x:c>
      <x:c r="C146" s="23" t="s">
        <x:v>16</x:v>
      </x:c>
      <x:c r="D146" s="23" t="s">
        <x:v>113</x:v>
      </x:c>
      <x:c r="E146" s="23" t="s">
        <x:v>188</x:v>
      </x:c>
      <x:c r="F146" s="23">
        <x:v>12</x:v>
      </x:c>
      <x:c r="G146" s="23">
        <x:v>6</x:v>
      </x:c>
      <x:c r="H146" s="23">
        <x:v>14</x:v>
      </x:c>
      <x:c r="I146" s="23">
        <x:v>5014</x:v>
      </x:c>
      <x:c r="J146" s="23">
        <x:v>10237</x:v>
      </x:c>
      <x:c r="K146" s="23">
        <x:v>0</x:v>
      </x:c>
      <x:c r="L146" s="23" t="s">
        <x:v>260</x:v>
      </x:c>
      <x:c r="M146" s="23">
        <x:f t="shared" si="2"/>
        <x:v>715.00000000000011</x:v>
      </x:c>
      <x:c r="N146" s="24" t="str">
        <x:f t="array" ref="N146">INDEX('MATCH INFO'!O:O, INT((ROW()-2)/10)+2 + 29+29)</x:f>
        <x:v>260620_PF_SB_S4</x:v>
      </x:c>
    </x:row>
    <x:row r="147">
      <x:c r="A147" s="23" t="s">
        <x:v>39</x:v>
      </x:c>
      <x:c r="B147" s="23" t="s">
        <x:v>45</x:v>
      </x:c>
      <x:c r="C147" s="23" t="s">
        <x:v>16</x:v>
      </x:c>
      <x:c r="D147" s="23" t="s">
        <x:v>113</x:v>
      </x:c>
      <x:c r="E147" s="23" t="s">
        <x:v>188</x:v>
      </x:c>
      <x:c r="F147" s="23">
        <x:v>8</x:v>
      </x:c>
      <x:c r="G147" s="23">
        <x:v>6</x:v>
      </x:c>
      <x:c r="H147" s="23">
        <x:v>19</x:v>
      </x:c>
      <x:c r="I147" s="23">
        <x:v>2707</x:v>
      </x:c>
      <x:c r="J147" s="23">
        <x:v>11769</x:v>
      </x:c>
      <x:c r="K147" s="23">
        <x:v>0</x:v>
      </x:c>
      <x:c r="L147" s="23" t="s">
        <x:v>260</x:v>
      </x:c>
      <x:c r="M147" s="23">
        <x:f t="shared" si="2"/>
        <x:v>715.00000000000011</x:v>
      </x:c>
      <x:c r="N147" s="24" t="str">
        <x:f t="array" ref="N147">INDEX('MATCH INFO'!O:O, INT((ROW()-2)/10)+2 + 29+29)</x:f>
        <x:v>260620_PF_SB_S4</x:v>
      </x:c>
    </x:row>
    <x:row r="148">
      <x:c r="A148" s="23" t="s">
        <x:v>39</x:v>
      </x:c>
      <x:c r="B148" s="23" t="s">
        <x:v>42</x:v>
      </x:c>
      <x:c r="C148" s="23" t="s">
        <x:v>11</x:v>
      </x:c>
      <x:c r="D148" s="23" t="s">
        <x:v>113</x:v>
      </x:c>
      <x:c r="E148" s="23" t="s">
        <x:v>188</x:v>
      </x:c>
      <x:c r="F148" s="23">
        <x:v>17</x:v>
      </x:c>
      <x:c r="G148" s="23">
        <x:v>9</x:v>
      </x:c>
      <x:c r="H148" s="23">
        <x:v>3</x:v>
      </x:c>
      <x:c r="I148" s="23">
        <x:v>8321</x:v>
      </x:c>
      <x:c r="J148" s="23">
        <x:v>226</x:v>
      </x:c>
      <x:c r="K148" s="23">
        <x:v>605</x:v>
      </x:c>
      <x:c r="L148" s="23" t="s">
        <x:v>260</x:v>
      </x:c>
      <x:c r="M148" s="23">
        <x:f t="shared" si="2"/>
        <x:v>715.00000000000011</x:v>
      </x:c>
      <x:c r="N148" s="24" t="str">
        <x:f t="array" ref="N148">INDEX('MATCH INFO'!O:O, INT((ROW()-2)/10)+2 + 29+29)</x:f>
        <x:v>260620_PF_SB_S4</x:v>
      </x:c>
    </x:row>
    <x:row r="149">
      <x:c r="A149" s="23" t="s">
        <x:v>39</x:v>
      </x:c>
      <x:c r="B149" s="23" t="s">
        <x:v>40</x:v>
      </x:c>
      <x:c r="C149" s="23" t="s">
        <x:v>8</x:v>
      </x:c>
      <x:c r="D149" s="23" t="s">
        <x:v>113</x:v>
      </x:c>
      <x:c r="E149" s="23" t="s">
        <x:v>188</x:v>
      </x:c>
      <x:c r="F149" s="23">
        <x:v>15</x:v>
      </x:c>
      <x:c r="G149" s="23">
        <x:v>6</x:v>
      </x:c>
      <x:c r="H149" s="23">
        <x:v>4</x:v>
      </x:c>
      <x:c r="I149" s="23">
        <x:v>8716</x:v>
      </x:c>
      <x:c r="J149" s="23">
        <x:v>2103</x:v>
      </x:c>
      <x:c r="K149" s="23">
        <x:v>4121</x:v>
      </x:c>
      <x:c r="L149" s="23" t="s">
        <x:v>260</x:v>
      </x:c>
      <x:c r="M149" s="23">
        <x:f t="shared" si="2"/>
        <x:v>715.00000000000011</x:v>
      </x:c>
      <x:c r="N149" s="24" t="str">
        <x:f t="array" ref="N149">INDEX('MATCH INFO'!O:O, INT((ROW()-2)/10)+2 + 29+29)</x:f>
        <x:v>260620_PF_SB_S4</x:v>
      </x:c>
    </x:row>
    <x:row r="150">
      <x:c r="A150" s="23" t="s">
        <x:v>39</x:v>
      </x:c>
      <x:c r="B150" s="23" t="s">
        <x:v>43</x:v>
      </x:c>
      <x:c r="C150" s="23" t="s">
        <x:v>11</x:v>
      </x:c>
      <x:c r="D150" s="23" t="s">
        <x:v>113</x:v>
      </x:c>
      <x:c r="E150" s="23" t="s">
        <x:v>188</x:v>
      </x:c>
      <x:c r="F150" s="23">
        <x:v>23</x:v>
      </x:c>
      <x:c r="G150" s="23">
        <x:v>4</x:v>
      </x:c>
      <x:c r="H150" s="23">
        <x:v>0</x:v>
      </x:c>
      <x:c r="I150" s="23">
        <x:v>13232</x:v>
      </x:c>
      <x:c r="J150" s="23">
        <x:v>0</x:v>
      </x:c>
      <x:c r="K150" s="23">
        <x:v>0</x:v>
      </x:c>
      <x:c r="L150" s="23" t="s">
        <x:v>260</x:v>
      </x:c>
      <x:c r="M150" s="23">
        <x:f t="shared" si="2"/>
        <x:v>715.00000000000011</x:v>
      </x:c>
      <x:c r="N150" s="24" t="str">
        <x:f t="array" ref="N150">INDEX('MATCH INFO'!O:O, INT((ROW()-2)/10)+2 + 29+29)</x:f>
        <x:v>260620_PF_SB_S4</x:v>
      </x:c>
    </x:row>
    <x:row r="151">
      <x:c r="A151" s="23" t="s">
        <x:v>39</x:v>
      </x:c>
      <x:c r="B151" s="23" t="s">
        <x:v>44</x:v>
      </x:c>
      <x:c r="C151" s="23" t="s">
        <x:v>16</x:v>
      </x:c>
      <x:c r="D151" s="23" t="s">
        <x:v>113</x:v>
      </x:c>
      <x:c r="E151" s="23" t="s">
        <x:v>188</x:v>
      </x:c>
      <x:c r="F151" s="23">
        <x:v>11</x:v>
      </x:c>
      <x:c r="G151" s="23">
        <x:v>5</x:v>
      </x:c>
      <x:c r="H151" s="23">
        <x:v>15</x:v>
      </x:c>
      <x:c r="I151" s="23">
        <x:v>5337</x:v>
      </x:c>
      <x:c r="J151" s="23">
        <x:v>9403</x:v>
      </x:c>
      <x:c r="K151" s="23">
        <x:v>1607</x:v>
      </x:c>
      <x:c r="L151" s="23" t="s">
        <x:v>260</x:v>
      </x:c>
      <x:c r="M151" s="23">
        <x:f t="shared" si="2"/>
        <x:v>715.00000000000011</x:v>
      </x:c>
      <x:c r="N151" s="24" t="str">
        <x:f t="array" ref="N151">INDEX('MATCH INFO'!O:O, INT((ROW()-2)/10)+2 + 29+29)</x:f>
        <x:v>260620_PF_SB_S4</x:v>
      </x:c>
    </x:row>
    <x:row r="152">
      <x:c r="A152" s="23" t="s">
        <x:v>81</x:v>
      </x:c>
      <x:c r="B152" s="23" t="s">
        <x:v>84</x:v>
      </x:c>
      <x:c r="C152" s="23" t="s">
        <x:v>11</x:v>
      </x:c>
      <x:c r="D152" s="23" t="s">
        <x:v>145</x:v>
      </x:c>
      <x:c r="E152" s="23" t="s">
        <x:v>195</x:v>
      </x:c>
      <x:c r="F152" s="23">
        <x:v>14</x:v>
      </x:c>
      <x:c r="G152" s="23">
        <x:v>0</x:v>
      </x:c>
      <x:c r="H152" s="23">
        <x:v>2</x:v>
      </x:c>
      <x:c r="I152" s="23">
        <x:v>4824</x:v>
      </x:c>
      <x:c r="J152" s="23">
        <x:v>558</x:v>
      </x:c>
      <x:c r="K152" s="23">
        <x:v>1642</x:v>
      </x:c>
      <x:c r="L152" s="23" t="s">
        <x:v>261</x:v>
      </x:c>
      <x:c r="M152" s="23">
        <x:f t="shared" si="2"/>
        <x:v>329</x:v>
      </x:c>
      <x:c r="N152" s="24" t="str">
        <x:f t="array" ref="N152">INDEX('MATCH INFO'!O:O, INT((ROW()-2)/10)+2 + 29+29)</x:f>
        <x:v>260620_PF_SB_S5</x:v>
      </x:c>
    </x:row>
    <x:row r="153">
      <x:c r="A153" s="23" t="s">
        <x:v>81</x:v>
      </x:c>
      <x:c r="B153" s="23" t="s">
        <x:v>83</x:v>
      </x:c>
      <x:c r="C153" s="23" t="s">
        <x:v>8</x:v>
      </x:c>
      <x:c r="D153" s="23" t="s">
        <x:v>145</x:v>
      </x:c>
      <x:c r="E153" s="23" t="s">
        <x:v>195</x:v>
      </x:c>
      <x:c r="F153" s="23">
        <x:v>13</x:v>
      </x:c>
      <x:c r="G153" s="23">
        <x:v>0</x:v>
      </x:c>
      <x:c r="H153" s="23">
        <x:v>2</x:v>
      </x:c>
      <x:c r="I153" s="23">
        <x:v>8616</x:v>
      </x:c>
      <x:c r="J153" s="23">
        <x:v>0</x:v>
      </x:c>
      <x:c r="K153" s="23">
        <x:v>10865</x:v>
      </x:c>
      <x:c r="L153" s="23" t="s">
        <x:v>261</x:v>
      </x:c>
      <x:c r="M153" s="23">
        <x:f t="shared" si="2"/>
        <x:v>329</x:v>
      </x:c>
      <x:c r="N153" s="24" t="str">
        <x:f t="array" ref="N153">INDEX('MATCH INFO'!O:O, INT((ROW()-2)/10)+2 + 29+29)</x:f>
        <x:v>260620_PF_SB_S5</x:v>
      </x:c>
    </x:row>
    <x:row r="154">
      <x:c r="A154" s="23" t="s">
        <x:v>81</x:v>
      </x:c>
      <x:c r="B154" s="23" t="s">
        <x:v>86</x:v>
      </x:c>
      <x:c r="C154" s="23" t="s">
        <x:v>16</x:v>
      </x:c>
      <x:c r="D154" s="23" t="s">
        <x:v>145</x:v>
      </x:c>
      <x:c r="E154" s="23" t="s">
        <x:v>195</x:v>
      </x:c>
      <x:c r="F154" s="23">
        <x:v>11</x:v>
      </x:c>
      <x:c r="G154" s="23">
        <x:v>1</x:v>
      </x:c>
      <x:c r="H154" s="23">
        <x:v>11</x:v>
      </x:c>
      <x:c r="I154" s="23">
        <x:v>3709</x:v>
      </x:c>
      <x:c r="J154" s="23">
        <x:v>4405</x:v>
      </x:c>
      <x:c r="K154" s="23">
        <x:v>0</x:v>
      </x:c>
      <x:c r="L154" s="23" t="s">
        <x:v>261</x:v>
      </x:c>
      <x:c r="M154" s="23">
        <x:f t="shared" si="2"/>
        <x:v>329</x:v>
      </x:c>
      <x:c r="N154" s="24" t="str">
        <x:f t="array" ref="N154">INDEX('MATCH INFO'!O:O, INT((ROW()-2)/10)+2 + 29+29)</x:f>
        <x:v>260620_PF_SB_S5</x:v>
      </x:c>
    </x:row>
    <x:row r="155">
      <x:c r="A155" s="23" t="s">
        <x:v>81</x:v>
      </x:c>
      <x:c r="B155" s="23" t="s">
        <x:v>85</x:v>
      </x:c>
      <x:c r="C155" s="23" t="s">
        <x:v>11</x:v>
      </x:c>
      <x:c r="D155" s="23" t="s">
        <x:v>145</x:v>
      </x:c>
      <x:c r="E155" s="23" t="s">
        <x:v>195</x:v>
      </x:c>
      <x:c r="F155" s="23">
        <x:v>17</x:v>
      </x:c>
      <x:c r="G155" s="23">
        <x:v>0</x:v>
      </x:c>
      <x:c r="H155" s="23">
        <x:v>0</x:v>
      </x:c>
      <x:c r="I155" s="23">
        <x:v>5710</x:v>
      </x:c>
      <x:c r="J155" s="23">
        <x:v>0</x:v>
      </x:c>
      <x:c r="K155" s="23">
        <x:v>0</x:v>
      </x:c>
      <x:c r="L155" s="23" t="s">
        <x:v>261</x:v>
      </x:c>
      <x:c r="M155" s="23">
        <x:f t="shared" si="2"/>
        <x:v>329</x:v>
      </x:c>
      <x:c r="N155" s="24" t="str">
        <x:f t="array" ref="N155">INDEX('MATCH INFO'!O:O, INT((ROW()-2)/10)+2 + 29+29)</x:f>
        <x:v>260620_PF_SB_S5</x:v>
      </x:c>
    </x:row>
    <x:row r="156">
      <x:c r="A156" s="23" t="s">
        <x:v>81</x:v>
      </x:c>
      <x:c r="B156" s="23" t="s">
        <x:v>88</x:v>
      </x:c>
      <x:c r="C156" s="23" t="s">
        <x:v>16</x:v>
      </x:c>
      <x:c r="D156" s="23" t="s">
        <x:v>145</x:v>
      </x:c>
      <x:c r="E156" s="23" t="s">
        <x:v>195</x:v>
      </x:c>
      <x:c r="F156" s="23">
        <x:v>5</x:v>
      </x:c>
      <x:c r="G156" s="23">
        <x:v>0</x:v>
      </x:c>
      <x:c r="H156" s="23">
        <x:v>16</x:v>
      </x:c>
      <x:c r="I156" s="23">
        <x:v>1523</x:v>
      </x:c>
      <x:c r="J156" s="23">
        <x:v>6941</x:v>
      </x:c>
      <x:c r="K156" s="23">
        <x:v>0</x:v>
      </x:c>
      <x:c r="L156" s="23" t="s">
        <x:v>261</x:v>
      </x:c>
      <x:c r="M156" s="23">
        <x:f t="shared" si="2"/>
        <x:v>329</x:v>
      </x:c>
      <x:c r="N156" s="24" t="str">
        <x:f t="array" ref="N156">INDEX('MATCH INFO'!O:O, INT((ROW()-2)/10)+2 + 29+29)</x:f>
        <x:v>260620_PF_SB_S5</x:v>
      </x:c>
    </x:row>
    <x:row r="157">
      <x:c r="A157" s="23" t="s">
        <x:v>39</x:v>
      </x:c>
      <x:c r="B157" s="23" t="s">
        <x:v>45</x:v>
      </x:c>
      <x:c r="C157" s="23" t="s">
        <x:v>16</x:v>
      </x:c>
      <x:c r="D157" s="23" t="s">
        <x:v>145</x:v>
      </x:c>
      <x:c r="E157" s="23" t="s">
        <x:v>195</x:v>
      </x:c>
      <x:c r="F157" s="23">
        <x:v>0</x:v>
      </x:c>
      <x:c r="G157" s="23">
        <x:v>3</x:v>
      </x:c>
      <x:c r="H157" s="23">
        <x:v>1</x:v>
      </x:c>
      <x:c r="I157" s="23">
        <x:v>780</x:v>
      </x:c>
      <x:c r="J157" s="23">
        <x:v>8543</x:v>
      </x:c>
      <x:c r="K157" s="23">
        <x:v>0</x:v>
      </x:c>
      <x:c r="L157" s="23" t="s">
        <x:v>261</x:v>
      </x:c>
      <x:c r="M157" s="23">
        <x:f t="shared" si="2"/>
        <x:v>329</x:v>
      </x:c>
      <x:c r="N157" s="24" t="str">
        <x:f t="array" ref="N157">INDEX('MATCH INFO'!O:O, INT((ROW()-2)/10)+2 + 29+29)</x:f>
        <x:v>260620_PF_SB_S5</x:v>
      </x:c>
    </x:row>
    <x:row r="158">
      <x:c r="A158" s="23" t="s">
        <x:v>39</x:v>
      </x:c>
      <x:c r="B158" s="23" t="s">
        <x:v>42</x:v>
      </x:c>
      <x:c r="C158" s="23" t="s">
        <x:v>11</x:v>
      </x:c>
      <x:c r="D158" s="23" t="s">
        <x:v>145</x:v>
      </x:c>
      <x:c r="E158" s="23" t="s">
        <x:v>195</x:v>
      </x:c>
      <x:c r="F158" s="23">
        <x:v>0</x:v>
      </x:c>
      <x:c r="G158" s="23">
        <x:v>7</x:v>
      </x:c>
      <x:c r="H158" s="23">
        <x:v>0</x:v>
      </x:c>
      <x:c r="I158" s="23">
        <x:v>2761</x:v>
      </x:c>
      <x:c r="J158" s="23">
        <x:v>287</x:v>
      </x:c>
      <x:c r="K158" s="23">
        <x:v>927</x:v>
      </x:c>
      <x:c r="L158" s="23" t="s">
        <x:v>261</x:v>
      </x:c>
      <x:c r="M158" s="23">
        <x:f t="shared" si="2"/>
        <x:v>329</x:v>
      </x:c>
      <x:c r="N158" s="24" t="str">
        <x:f t="array" ref="N158">INDEX('MATCH INFO'!O:O, INT((ROW()-2)/10)+2 + 29+29)</x:f>
        <x:v>260620_PF_SB_S5</x:v>
      </x:c>
    </x:row>
    <x:row r="159">
      <x:c r="A159" s="23" t="s">
        <x:v>39</x:v>
      </x:c>
      <x:c r="B159" s="23" t="s">
        <x:v>40</x:v>
      </x:c>
      <x:c r="C159" s="23" t="s">
        <x:v>8</x:v>
      </x:c>
      <x:c r="D159" s="23" t="s">
        <x:v>145</x:v>
      </x:c>
      <x:c r="E159" s="23" t="s">
        <x:v>195</x:v>
      </x:c>
      <x:c r="F159" s="23">
        <x:v>1</x:v>
      </x:c>
      <x:c r="G159" s="23">
        <x:v>4</x:v>
      </x:c>
      <x:c r="H159" s="23">
        <x:v>0</x:v>
      </x:c>
      <x:c r="I159" s="23">
        <x:v>4505</x:v>
      </x:c>
      <x:c r="J159" s="23">
        <x:v>0</x:v>
      </x:c>
      <x:c r="K159" s="23">
        <x:v>12875</x:v>
      </x:c>
      <x:c r="L159" s="23" t="s">
        <x:v>261</x:v>
      </x:c>
      <x:c r="M159" s="23">
        <x:f t="shared" si="2"/>
        <x:v>329</x:v>
      </x:c>
      <x:c r="N159" s="24" t="str">
        <x:f t="array" ref="N159">INDEX('MATCH INFO'!O:O, INT((ROW()-2)/10)+2 + 29+29)</x:f>
        <x:v>260620_PF_SB_S5</x:v>
      </x:c>
    </x:row>
    <x:row r="160">
      <x:c r="A160" s="23" t="s">
        <x:v>39</x:v>
      </x:c>
      <x:c r="B160" s="23" t="s">
        <x:v>43</x:v>
      </x:c>
      <x:c r="C160" s="23" t="s">
        <x:v>11</x:v>
      </x:c>
      <x:c r="D160" s="23" t="s">
        <x:v>145</x:v>
      </x:c>
      <x:c r="E160" s="23" t="s">
        <x:v>195</x:v>
      </x:c>
      <x:c r="F160" s="23">
        <x:v>0</x:v>
      </x:c>
      <x:c r="G160" s="23">
        <x:v>4</x:v>
      </x:c>
      <x:c r="H160" s="23">
        <x:v>0</x:v>
      </x:c>
      <x:c r="I160" s="23">
        <x:v>3726</x:v>
      </x:c>
      <x:c r="J160" s="23">
        <x:v>0</x:v>
      </x:c>
      <x:c r="K160" s="23">
        <x:v>25</x:v>
      </x:c>
      <x:c r="L160" s="23" t="s">
        <x:v>261</x:v>
      </x:c>
      <x:c r="M160" s="23">
        <x:f t="shared" si="2"/>
        <x:v>329</x:v>
      </x:c>
      <x:c r="N160" s="24" t="str">
        <x:f t="array" ref="N160">INDEX('MATCH INFO'!O:O, INT((ROW()-2)/10)+2 + 29+29)</x:f>
        <x:v>260620_PF_SB_S5</x:v>
      </x:c>
    </x:row>
    <x:row r="161">
      <x:c r="A161" s="23" t="s">
        <x:v>39</x:v>
      </x:c>
      <x:c r="B161" s="23" t="s">
        <x:v>44</x:v>
      </x:c>
      <x:c r="C161" s="23" t="s">
        <x:v>16</x:v>
      </x:c>
      <x:c r="D161" s="23" t="s">
        <x:v>145</x:v>
      </x:c>
      <x:c r="E161" s="23" t="s">
        <x:v>195</x:v>
      </x:c>
      <x:c r="F161" s="23">
        <x:v>1</x:v>
      </x:c>
      <x:c r="G161" s="23">
        <x:v>2</x:v>
      </x:c>
      <x:c r="H161" s="23">
        <x:v>0</x:v>
      </x:c>
      <x:c r="I161" s="23">
        <x:v>2732</x:v>
      </x:c>
      <x:c r="J161" s="23">
        <x:v>5869</x:v>
      </x:c>
      <x:c r="K161" s="23">
        <x:v>714</x:v>
      </x:c>
      <x:c r="L161" s="23" t="s">
        <x:v>261</x:v>
      </x:c>
      <x:c r="M161" s="23">
        <x:f t="shared" si="2"/>
        <x:v>329</x:v>
      </x:c>
      <x:c r="N161" s="24" t="str">
        <x:f t="array" ref="N161">INDEX('MATCH INFO'!O:O, INT((ROW()-2)/10)+2 + 29+29)</x:f>
        <x:v>260620_PF_SB_S5</x:v>
      </x:c>
    </x:row>
    <x:row r="162">
      <x:c r="A162" s="23" t="s">
        <x:v>47</x:v>
      </x:c>
      <x:c r="B162" s="23" t="s">
        <x:v>51</x:v>
      </x:c>
      <x:c r="C162" s="23" t="s">
        <x:v>11</x:v>
      </x:c>
      <x:c r="D162" s="23" t="s">
        <x:v>107</x:v>
      </x:c>
      <x:c r="E162" s="23" t="s">
        <x:v>184</x:v>
      </x:c>
      <x:c r="F162" s="23">
        <x:v>17</x:v>
      </x:c>
      <x:c r="G162" s="23">
        <x:v>9</x:v>
      </x:c>
      <x:c r="H162" s="23">
        <x:v>0</x:v>
      </x:c>
      <x:c r="I162" s="23">
        <x:v>13673</x:v>
      </x:c>
      <x:c r="J162" s="23">
        <x:v>1593</x:v>
      </x:c>
      <x:c r="K162" s="23">
        <x:v>0</x:v>
      </x:c>
      <x:c r="L162" s="23" t="s">
        <x:v>262</x:v>
      </x:c>
      <x:c r="M162" s="23">
        <x:f t="shared" si="2"/>
        <x:v>703</x:v>
      </x:c>
      <x:c r="N162" s="24" t="str">
        <x:f t="array" ref="N162">INDEX('MATCH INFO'!O:O, INT((ROW()-2)/10)+2 + 29+29)</x:f>
        <x:v>260620_ZETA_ROZE_S1</x:v>
      </x:c>
    </x:row>
    <x:row r="163">
      <x:c r="A163" s="23" t="s">
        <x:v>47</x:v>
      </x:c>
      <x:c r="B163" s="23" t="s">
        <x:v>48</x:v>
      </x:c>
      <x:c r="C163" s="23" t="s">
        <x:v>8</x:v>
      </x:c>
      <x:c r="D163" s="23" t="s">
        <x:v>107</x:v>
      </x:c>
      <x:c r="E163" s="23" t="s">
        <x:v>184</x:v>
      </x:c>
      <x:c r="F163" s="23">
        <x:v>21</x:v>
      </x:c>
      <x:c r="G163" s="23">
        <x:v>7</x:v>
      </x:c>
      <x:c r="H163" s="23">
        <x:v>10</x:v>
      </x:c>
      <x:c r="I163" s="23">
        <x:v>13589</x:v>
      </x:c>
      <x:c r="J163" s="23">
        <x:v>2363</x:v>
      </x:c>
      <x:c r="K163" s="23">
        <x:v>9606</x:v>
      </x:c>
      <x:c r="L163" s="23" t="s">
        <x:v>262</x:v>
      </x:c>
      <x:c r="M163" s="23">
        <x:f t="shared" si="2"/>
        <x:v>703</x:v>
      </x:c>
      <x:c r="N163" s="24" t="str">
        <x:f t="array" ref="N163">INDEX('MATCH INFO'!O:O, INT((ROW()-2)/10)+2 + 29+29)</x:f>
        <x:v>260620_ZETA_ROZE_S1</x:v>
      </x:c>
    </x:row>
    <x:row r="164">
      <x:c r="A164" s="23" t="s">
        <x:v>47</x:v>
      </x:c>
      <x:c r="B164" s="23" t="s">
        <x:v>50</x:v>
      </x:c>
      <x:c r="C164" s="23" t="s">
        <x:v>11</x:v>
      </x:c>
      <x:c r="D164" s="23" t="s">
        <x:v>107</x:v>
      </x:c>
      <x:c r="E164" s="23" t="s">
        <x:v>184</x:v>
      </x:c>
      <x:c r="F164" s="23">
        <x:v>18</x:v>
      </x:c>
      <x:c r="G164" s="23">
        <x:v>4</x:v>
      </x:c>
      <x:c r="H164" s="23">
        <x:v>1</x:v>
      </x:c>
      <x:c r="I164" s="23">
        <x:v>14755</x:v>
      </x:c>
      <x:c r="J164" s="23">
        <x:v>262</x:v>
      </x:c>
      <x:c r="K164" s="23">
        <x:v>513</x:v>
      </x:c>
      <x:c r="L164" s="23" t="s">
        <x:v>262</x:v>
      </x:c>
      <x:c r="M164" s="23">
        <x:f t="shared" si="2"/>
        <x:v>703</x:v>
      </x:c>
      <x:c r="N164" s="24" t="str">
        <x:f t="array" ref="N164">INDEX('MATCH INFO'!O:O, INT((ROW()-2)/10)+2 + 29+29)</x:f>
        <x:v>260620_ZETA_ROZE_S1</x:v>
      </x:c>
    </x:row>
    <x:row r="165">
      <x:c r="A165" s="23" t="s">
        <x:v>47</x:v>
      </x:c>
      <x:c r="B165" s="23" t="s">
        <x:v>53</x:v>
      </x:c>
      <x:c r="C165" s="23" t="s">
        <x:v>16</x:v>
      </x:c>
      <x:c r="D165" s="23" t="s">
        <x:v>107</x:v>
      </x:c>
      <x:c r="E165" s="23" t="s">
        <x:v>184</x:v>
      </x:c>
      <x:c r="F165" s="23">
        <x:v>16</x:v>
      </x:c>
      <x:c r="G165" s="23">
        <x:v>6</x:v>
      </x:c>
      <x:c r="H165" s="23">
        <x:v>20</x:v>
      </x:c>
      <x:c r="I165" s="23">
        <x:v>7600</x:v>
      </x:c>
      <x:c r="J165" s="23">
        <x:v>14933</x:v>
      </x:c>
      <x:c r="K165" s="23">
        <x:v>0</x:v>
      </x:c>
      <x:c r="L165" s="23" t="s">
        <x:v>262</x:v>
      </x:c>
      <x:c r="M165" s="23">
        <x:f t="shared" si="2"/>
        <x:v>703</x:v>
      </x:c>
      <x:c r="N165" s="24" t="str">
        <x:f t="array" ref="N165">INDEX('MATCH INFO'!O:O, INT((ROW()-2)/10)+2 + 29+29)</x:f>
        <x:v>260620_ZETA_ROZE_S1</x:v>
      </x:c>
    </x:row>
    <x:row r="166">
      <x:c r="A166" s="23" t="s">
        <x:v>47</x:v>
      </x:c>
      <x:c r="B166" s="23" t="s">
        <x:v>52</x:v>
      </x:c>
      <x:c r="C166" s="23" t="s">
        <x:v>16</x:v>
      </x:c>
      <x:c r="D166" s="23" t="s">
        <x:v>107</x:v>
      </x:c>
      <x:c r="E166" s="23" t="s">
        <x:v>184</x:v>
      </x:c>
      <x:c r="F166" s="23">
        <x:v>13</x:v>
      </x:c>
      <x:c r="G166" s="23">
        <x:v>6</x:v>
      </x:c>
      <x:c r="H166" s="23">
        <x:v>10</x:v>
      </x:c>
      <x:c r="I166" s="23">
        <x:v>8210</x:v>
      </x:c>
      <x:c r="J166" s="23">
        <x:v>10660</x:v>
      </x:c>
      <x:c r="K166" s="23">
        <x:v>2221</x:v>
      </x:c>
      <x:c r="L166" s="23" t="s">
        <x:v>262</x:v>
      </x:c>
      <x:c r="M166" s="23">
        <x:f t="shared" si="2"/>
        <x:v>703</x:v>
      </x:c>
      <x:c r="N166" s="24" t="str">
        <x:f t="array" ref="N166">INDEX('MATCH INFO'!O:O, INT((ROW()-2)/10)+2 + 29+29)</x:f>
        <x:v>260620_ZETA_ROZE_S1</x:v>
      </x:c>
    </x:row>
    <x:row r="167">
      <x:c r="A167" s="23" t="s">
        <x:v>22</x:v>
      </x:c>
      <x:c r="B167" s="23" t="s">
        <x:v>25</x:v>
      </x:c>
      <x:c r="C167" s="23" t="s">
        <x:v>11</x:v>
      </x:c>
      <x:c r="D167" s="23" t="s">
        <x:v>107</x:v>
      </x:c>
      <x:c r="E167" s="23" t="s">
        <x:v>184</x:v>
      </x:c>
      <x:c r="F167" s="23">
        <x:v>23</x:v>
      </x:c>
      <x:c r="G167" s="23">
        <x:v>9</x:v>
      </x:c>
      <x:c r="H167" s="23">
        <x:v>0</x:v>
      </x:c>
      <x:c r="I167" s="23">
        <x:v>11043</x:v>
      </x:c>
      <x:c r="J167" s="23">
        <x:v>1600</x:v>
      </x:c>
      <x:c r="K167" s="23">
        <x:v>60</x:v>
      </x:c>
      <x:c r="L167" s="23" t="s">
        <x:v>262</x:v>
      </x:c>
      <x:c r="M167" s="23">
        <x:f t="shared" si="2"/>
        <x:v>703</x:v>
      </x:c>
      <x:c r="N167" s="24" t="str">
        <x:f t="array" ref="N167">INDEX('MATCH INFO'!O:O, INT((ROW()-2)/10)+2 + 29+29)</x:f>
        <x:v>260620_ZETA_ROZE_S1</x:v>
      </x:c>
    </x:row>
    <x:row r="168">
      <x:c r="A168" s="23" t="s">
        <x:v>22</x:v>
      </x:c>
      <x:c r="B168" s="23" t="s">
        <x:v>24</x:v>
      </x:c>
      <x:c r="C168" s="23" t="s">
        <x:v>8</x:v>
      </x:c>
      <x:c r="D168" s="23" t="s">
        <x:v>107</x:v>
      </x:c>
      <x:c r="E168" s="23" t="s">
        <x:v>184</x:v>
      </x:c>
      <x:c r="F168" s="23">
        <x:v>28</x:v>
      </x:c>
      <x:c r="G168" s="23">
        <x:v>4</x:v>
      </x:c>
      <x:c r="H168" s="23">
        <x:v>21</x:v>
      </x:c>
      <x:c r="I168" s="23">
        <x:v>16975</x:v>
      </x:c>
      <x:c r="J168" s="23">
        <x:v>4239</x:v>
      </x:c>
      <x:c r="K168" s="23">
        <x:v>6156</x:v>
      </x:c>
      <x:c r="L168" s="23" t="s">
        <x:v>262</x:v>
      </x:c>
      <x:c r="M168" s="23">
        <x:f t="shared" si="2"/>
        <x:v>703</x:v>
      </x:c>
      <x:c r="N168" s="24" t="str">
        <x:f t="array" ref="N168">INDEX('MATCH INFO'!O:O, INT((ROW()-2)/10)+2 + 29+29)</x:f>
        <x:v>260620_ZETA_ROZE_S1</x:v>
      </x:c>
    </x:row>
    <x:row r="169">
      <x:c r="A169" s="23" t="s">
        <x:v>22</x:v>
      </x:c>
      <x:c r="B169" s="23" t="s">
        <x:v>29</x:v>
      </x:c>
      <x:c r="C169" s="23" t="s">
        <x:v>16</x:v>
      </x:c>
      <x:c r="D169" s="23" t="s">
        <x:v>107</x:v>
      </x:c>
      <x:c r="E169" s="23" t="s">
        <x:v>184</x:v>
      </x:c>
      <x:c r="F169" s="23">
        <x:v>15</x:v>
      </x:c>
      <x:c r="G169" s="23">
        <x:v>3</x:v>
      </x:c>
      <x:c r="H169" s="23">
        <x:v>28</x:v>
      </x:c>
      <x:c r="I169" s="23">
        <x:v>6525</x:v>
      </x:c>
      <x:c r="J169" s="23">
        <x:v>18611</x:v>
      </x:c>
      <x:c r="K169" s="23">
        <x:v>0</x:v>
      </x:c>
      <x:c r="L169" s="23" t="s">
        <x:v>262</x:v>
      </x:c>
      <x:c r="M169" s="23">
        <x:f t="shared" si="2"/>
        <x:v>703</x:v>
      </x:c>
      <x:c r="N169" s="24" t="str">
        <x:f t="array" ref="N169">INDEX('MATCH INFO'!O:O, INT((ROW()-2)/10)+2 + 29+29)</x:f>
        <x:v>260620_ZETA_ROZE_S1</x:v>
      </x:c>
    </x:row>
    <x:row r="170">
      <x:c r="A170" s="23" t="s">
        <x:v>22</x:v>
      </x:c>
      <x:c r="B170" s="23" t="s">
        <x:v>28</x:v>
      </x:c>
      <x:c r="C170" s="23" t="s">
        <x:v>16</x:v>
      </x:c>
      <x:c r="D170" s="23" t="s">
        <x:v>107</x:v>
      </x:c>
      <x:c r="E170" s="23" t="s">
        <x:v>184</x:v>
      </x:c>
      <x:c r="F170" s="23">
        <x:v>19</x:v>
      </x:c>
      <x:c r="G170" s="23">
        <x:v>6</x:v>
      </x:c>
      <x:c r="H170" s="23">
        <x:v>19</x:v>
      </x:c>
      <x:c r="I170" s="23">
        <x:v>6083</x:v>
      </x:c>
      <x:c r="J170" s="23">
        <x:v>12523</x:v>
      </x:c>
      <x:c r="K170" s="23">
        <x:v>2758</x:v>
      </x:c>
      <x:c r="L170" s="23" t="s">
        <x:v>262</x:v>
      </x:c>
      <x:c r="M170" s="23">
        <x:f t="shared" si="2"/>
        <x:v>703</x:v>
      </x:c>
      <x:c r="N170" s="24" t="str">
        <x:f t="array" ref="N170">INDEX('MATCH INFO'!O:O, INT((ROW()-2)/10)+2 + 29+29)</x:f>
        <x:v>260620_ZETA_ROZE_S1</x:v>
      </x:c>
    </x:row>
    <x:row r="171">
      <x:c r="A171" s="23" t="s">
        <x:v>22</x:v>
      </x:c>
      <x:c r="B171" s="23" t="s">
        <x:v>27</x:v>
      </x:c>
      <x:c r="C171" s="23" t="s">
        <x:v>11</x:v>
      </x:c>
      <x:c r="D171" s="23" t="s">
        <x:v>107</x:v>
      </x:c>
      <x:c r="E171" s="23" t="s">
        <x:v>184</x:v>
      </x:c>
      <x:c r="F171" s="23">
        <x:v>22</x:v>
      </x:c>
      <x:c r="G171" s="23">
        <x:v>8</x:v>
      </x:c>
      <x:c r="H171" s="23">
        <x:v>1</x:v>
      </x:c>
      <x:c r="I171" s="23">
        <x:v>15179</x:v>
      </x:c>
      <x:c r="J171" s="23">
        <x:v>75</x:v>
      </x:c>
      <x:c r="K171" s="23">
        <x:v>401</x:v>
      </x:c>
      <x:c r="L171" s="23" t="s">
        <x:v>262</x:v>
      </x:c>
      <x:c r="M171" s="23">
        <x:f t="shared" si="2"/>
        <x:v>703</x:v>
      </x:c>
      <x:c r="N171" s="24" t="str">
        <x:f t="array" ref="N171">INDEX('MATCH INFO'!O:O, INT((ROW()-2)/10)+2 + 29+29)</x:f>
        <x:v>260620_ZETA_ROZE_S1</x:v>
      </x:c>
    </x:row>
    <x:row r="172">
      <x:c r="A172" s="23" t="s">
        <x:v>22</x:v>
      </x:c>
      <x:c r="B172" s="23" t="s">
        <x:v>25</x:v>
      </x:c>
      <x:c r="C172" s="23" t="s">
        <x:v>11</x:v>
      </x:c>
      <x:c r="D172" s="23" t="s">
        <x:v>124</x:v>
      </x:c>
      <x:c r="E172" s="23" t="s">
        <x:v>186</x:v>
      </x:c>
      <x:c r="F172" s="23">
        <x:v>14</x:v>
      </x:c>
      <x:c r="G172" s="23">
        <x:v>9</x:v>
      </x:c>
      <x:c r="H172" s="23">
        <x:v>0</x:v>
      </x:c>
      <x:c r="I172" s="23">
        <x:v>9374</x:v>
      </x:c>
      <x:c r="J172" s="23">
        <x:v>1591</x:v>
      </x:c>
      <x:c r="K172" s="23">
        <x:v>0</x:v>
      </x:c>
      <x:c r="L172" s="23" t="s">
        <x:v>263</x:v>
      </x:c>
      <x:c r="M172" s="23">
        <x:f t="shared" si="2"/>
        <x:v>593</x:v>
      </x:c>
      <x:c r="N172" s="24" t="str">
        <x:f t="array" ref="N172">INDEX('MATCH INFO'!O:O, INT((ROW()-2)/10)+2 + 29+29)</x:f>
        <x:v>260620_ZETA_ROZE_S2</x:v>
      </x:c>
    </x:row>
    <x:row r="173">
      <x:c r="A173" s="23" t="s">
        <x:v>22</x:v>
      </x:c>
      <x:c r="B173" s="23" t="s">
        <x:v>24</x:v>
      </x:c>
      <x:c r="C173" s="23" t="s">
        <x:v>8</x:v>
      </x:c>
      <x:c r="D173" s="23" t="s">
        <x:v>124</x:v>
      </x:c>
      <x:c r="E173" s="23" t="s">
        <x:v>186</x:v>
      </x:c>
      <x:c r="F173" s="23">
        <x:v>10</x:v>
      </x:c>
      <x:c r="G173" s="23">
        <x:v>6</x:v>
      </x:c>
      <x:c r="H173" s="23">
        <x:v>6</x:v>
      </x:c>
      <x:c r="I173" s="23">
        <x:v>12003</x:v>
      </x:c>
      <x:c r="J173" s="23">
        <x:v>3767</x:v>
      </x:c>
      <x:c r="K173" s="23">
        <x:v>7155</x:v>
      </x:c>
      <x:c r="L173" s="23" t="s">
        <x:v>263</x:v>
      </x:c>
      <x:c r="M173" s="23">
        <x:f t="shared" si="2"/>
        <x:v>593</x:v>
      </x:c>
      <x:c r="N173" s="24" t="str">
        <x:f t="array" ref="N173">INDEX('MATCH INFO'!O:O, INT((ROW()-2)/10)+2 + 29+29)</x:f>
        <x:v>260620_ZETA_ROZE_S2</x:v>
      </x:c>
    </x:row>
    <x:row r="174">
      <x:c r="A174" s="23" t="s">
        <x:v>22</x:v>
      </x:c>
      <x:c r="B174" s="23" t="s">
        <x:v>29</x:v>
      </x:c>
      <x:c r="C174" s="23" t="s">
        <x:v>16</x:v>
      </x:c>
      <x:c r="D174" s="23" t="s">
        <x:v>124</x:v>
      </x:c>
      <x:c r="E174" s="23" t="s">
        <x:v>186</x:v>
      </x:c>
      <x:c r="F174" s="23">
        <x:v>8</x:v>
      </x:c>
      <x:c r="G174" s="23">
        <x:v>9</x:v>
      </x:c>
      <x:c r="H174" s="23">
        <x:v>13</x:v>
      </x:c>
      <x:c r="I174" s="23">
        <x:v>5851</x:v>
      </x:c>
      <x:c r="J174" s="23">
        <x:v>16011</x:v>
      </x:c>
      <x:c r="K174" s="23">
        <x:v>0</x:v>
      </x:c>
      <x:c r="L174" s="23" t="s">
        <x:v>263</x:v>
      </x:c>
      <x:c r="M174" s="23">
        <x:f t="shared" si="2"/>
        <x:v>593</x:v>
      </x:c>
      <x:c r="N174" s="24" t="str">
        <x:f t="array" ref="N174">INDEX('MATCH INFO'!O:O, INT((ROW()-2)/10)+2 + 29+29)</x:f>
        <x:v>260620_ZETA_ROZE_S2</x:v>
      </x:c>
    </x:row>
    <x:row r="175">
      <x:c r="A175" s="23" t="s">
        <x:v>22</x:v>
      </x:c>
      <x:c r="B175" s="23" t="s">
        <x:v>28</x:v>
      </x:c>
      <x:c r="C175" s="23" t="s">
        <x:v>16</x:v>
      </x:c>
      <x:c r="D175" s="23" t="s">
        <x:v>124</x:v>
      </x:c>
      <x:c r="E175" s="23" t="s">
        <x:v>186</x:v>
      </x:c>
      <x:c r="F175" s="23">
        <x:v>12</x:v>
      </x:c>
      <x:c r="G175" s="23">
        <x:v>9</x:v>
      </x:c>
      <x:c r="H175" s="23">
        <x:v>12</x:v>
      </x:c>
      <x:c r="I175" s="23">
        <x:v>4502</x:v>
      </x:c>
      <x:c r="J175" s="23">
        <x:v>8676</x:v>
      </x:c>
      <x:c r="K175" s="23">
        <x:v>2326</x:v>
      </x:c>
      <x:c r="L175" s="23" t="s">
        <x:v>263</x:v>
      </x:c>
      <x:c r="M175" s="23">
        <x:f t="shared" si="2"/>
        <x:v>593</x:v>
      </x:c>
      <x:c r="N175" s="24" t="str">
        <x:f t="array" ref="N175">INDEX('MATCH INFO'!O:O, INT((ROW()-2)/10)+2 + 29+29)</x:f>
        <x:v>260620_ZETA_ROZE_S2</x:v>
      </x:c>
    </x:row>
    <x:row r="176">
      <x:c r="A176" s="23" t="s">
        <x:v>22</x:v>
      </x:c>
      <x:c r="B176" s="23" t="s">
        <x:v>27</x:v>
      </x:c>
      <x:c r="C176" s="23" t="s">
        <x:v>11</x:v>
      </x:c>
      <x:c r="D176" s="23" t="s">
        <x:v>124</x:v>
      </x:c>
      <x:c r="E176" s="23" t="s">
        <x:v>186</x:v>
      </x:c>
      <x:c r="F176" s="23">
        <x:v>13</x:v>
      </x:c>
      <x:c r="G176" s="23">
        <x:v>9</x:v>
      </x:c>
      <x:c r="H176" s="23">
        <x:v>2</x:v>
      </x:c>
      <x:c r="I176" s="23">
        <x:v>12544</x:v>
      </x:c>
      <x:c r="J176" s="23">
        <x:v>0</x:v>
      </x:c>
      <x:c r="K176" s="23">
        <x:v>618</x:v>
      </x:c>
      <x:c r="L176" s="23" t="s">
        <x:v>263</x:v>
      </x:c>
      <x:c r="M176" s="23">
        <x:f t="shared" si="2"/>
        <x:v>593</x:v>
      </x:c>
      <x:c r="N176" s="24" t="str">
        <x:f t="array" ref="N176">INDEX('MATCH INFO'!O:O, INT((ROW()-2)/10)+2 + 29+29)</x:f>
        <x:v>260620_ZETA_ROZE_S2</x:v>
      </x:c>
    </x:row>
    <x:row r="177">
      <x:c r="A177" s="23" t="s">
        <x:v>47</x:v>
      </x:c>
      <x:c r="B177" s="23" t="s">
        <x:v>49</x:v>
      </x:c>
      <x:c r="C177" s="23" t="s">
        <x:v>8</x:v>
      </x:c>
      <x:c r="D177" s="23" t="s">
        <x:v>124</x:v>
      </x:c>
      <x:c r="E177" s="23" t="s">
        <x:v>186</x:v>
      </x:c>
      <x:c r="F177" s="23">
        <x:v>34</x:v>
      </x:c>
      <x:c r="G177" s="23">
        <x:v>5</x:v>
      </x:c>
      <x:c r="H177" s="23">
        <x:v>12</x:v>
      </x:c>
      <x:c r="I177" s="23">
        <x:v>12335</x:v>
      </x:c>
      <x:c r="J177" s="23">
        <x:v>2845</x:v>
      </x:c>
      <x:c r="K177" s="23">
        <x:v>6947</x:v>
      </x:c>
      <x:c r="L177" s="23" t="s">
        <x:v>263</x:v>
      </x:c>
      <x:c r="M177" s="23">
        <x:f t="shared" si="2"/>
        <x:v>593</x:v>
      </x:c>
      <x:c r="N177" s="24" t="str">
        <x:f t="array" ref="N177">INDEX('MATCH INFO'!O:O, INT((ROW()-2)/10)+2 + 29+29)</x:f>
        <x:v>260620_ZETA_ROZE_S2</x:v>
      </x:c>
    </x:row>
    <x:row r="178">
      <x:c r="A178" s="23" t="s">
        <x:v>47</x:v>
      </x:c>
      <x:c r="B178" s="23" t="s">
        <x:v>51</x:v>
      </x:c>
      <x:c r="C178" s="23" t="s">
        <x:v>11</x:v>
      </x:c>
      <x:c r="D178" s="23" t="s">
        <x:v>124</x:v>
      </x:c>
      <x:c r="E178" s="23" t="s">
        <x:v>186</x:v>
      </x:c>
      <x:c r="F178" s="23">
        <x:v>33</x:v>
      </x:c>
      <x:c r="G178" s="23">
        <x:v>3</x:v>
      </x:c>
      <x:c r="H178" s="23">
        <x:v>0</x:v>
      </x:c>
      <x:c r="I178" s="23">
        <x:v>13422</x:v>
      </x:c>
      <x:c r="J178" s="23">
        <x:v>1448</x:v>
      </x:c>
      <x:c r="K178" s="23">
        <x:v>0</x:v>
      </x:c>
      <x:c r="L178" s="23" t="s">
        <x:v>263</x:v>
      </x:c>
      <x:c r="M178" s="23">
        <x:f t="shared" si="2"/>
        <x:v>593</x:v>
      </x:c>
      <x:c r="N178" s="24" t="str">
        <x:f t="array" ref="N178">INDEX('MATCH INFO'!O:O, INT((ROW()-2)/10)+2 + 29+29)</x:f>
        <x:v>260620_ZETA_ROZE_S2</x:v>
      </x:c>
    </x:row>
    <x:row r="179">
      <x:c r="A179" s="23" t="s">
        <x:v>47</x:v>
      </x:c>
      <x:c r="B179" s="23" t="s">
        <x:v>50</x:v>
      </x:c>
      <x:c r="C179" s="23" t="s">
        <x:v>11</x:v>
      </x:c>
      <x:c r="D179" s="23" t="s">
        <x:v>124</x:v>
      </x:c>
      <x:c r="E179" s="23" t="s">
        <x:v>186</x:v>
      </x:c>
      <x:c r="F179" s="23">
        <x:v>28</x:v>
      </x:c>
      <x:c r="G179" s="23">
        <x:v>3</x:v>
      </x:c>
      <x:c r="H179" s="23">
        <x:v>0</x:v>
      </x:c>
      <x:c r="I179" s="23">
        <x:v>14211</x:v>
      </x:c>
      <x:c r="J179" s="23">
        <x:v>75</x:v>
      </x:c>
      <x:c r="K179" s="23">
        <x:v>506</x:v>
      </x:c>
      <x:c r="L179" s="23" t="s">
        <x:v>263</x:v>
      </x:c>
      <x:c r="M179" s="23">
        <x:f t="shared" si="2"/>
        <x:v>593</x:v>
      </x:c>
      <x:c r="N179" s="24" t="str">
        <x:f t="array" ref="N179">INDEX('MATCH INFO'!O:O, INT((ROW()-2)/10)+2 + 29+29)</x:f>
        <x:v>260620_ZETA_ROZE_S2</x:v>
      </x:c>
    </x:row>
    <x:row r="180">
      <x:c r="A180" s="23" t="s">
        <x:v>47</x:v>
      </x:c>
      <x:c r="B180" s="23" t="s">
        <x:v>53</x:v>
      </x:c>
      <x:c r="C180" s="23" t="s">
        <x:v>16</x:v>
      </x:c>
      <x:c r="D180" s="23" t="s">
        <x:v>124</x:v>
      </x:c>
      <x:c r="E180" s="23" t="s">
        <x:v>186</x:v>
      </x:c>
      <x:c r="F180" s="23">
        <x:v>15</x:v>
      </x:c>
      <x:c r="G180" s="23">
        <x:v>4</x:v>
      </x:c>
      <x:c r="H180" s="23">
        <x:v>36</x:v>
      </x:c>
      <x:c r="I180" s="23">
        <x:v>5563</x:v>
      </x:c>
      <x:c r="J180" s="23">
        <x:v>17102</x:v>
      </x:c>
      <x:c r="K180" s="23">
        <x:v>0</x:v>
      </x:c>
      <x:c r="L180" s="23" t="s">
        <x:v>263</x:v>
      </x:c>
      <x:c r="M180" s="23">
        <x:f t="shared" si="2"/>
        <x:v>593</x:v>
      </x:c>
      <x:c r="N180" s="24" t="str">
        <x:f t="array" ref="N180">INDEX('MATCH INFO'!O:O, INT((ROW()-2)/10)+2 + 29+29)</x:f>
        <x:v>260620_ZETA_ROZE_S2</x:v>
      </x:c>
    </x:row>
    <x:row r="181">
      <x:c r="A181" s="23" t="s">
        <x:v>47</x:v>
      </x:c>
      <x:c r="B181" s="23" t="s">
        <x:v>52</x:v>
      </x:c>
      <x:c r="C181" s="23" t="s">
        <x:v>16</x:v>
      </x:c>
      <x:c r="D181" s="23" t="s">
        <x:v>124</x:v>
      </x:c>
      <x:c r="E181" s="23" t="s">
        <x:v>186</x:v>
      </x:c>
      <x:c r="F181" s="23">
        <x:v>24</x:v>
      </x:c>
      <x:c r="G181" s="23">
        <x:v>3</x:v>
      </x:c>
      <x:c r="H181" s="23">
        <x:v>26</x:v>
      </x:c>
      <x:c r="I181" s="23">
        <x:v>6922</x:v>
      </x:c>
      <x:c r="J181" s="23">
        <x:v>8202</x:v>
      </x:c>
      <x:c r="K181" s="23">
        <x:v>2047</x:v>
      </x:c>
      <x:c r="L181" s="23" t="s">
        <x:v>263</x:v>
      </x:c>
      <x:c r="M181" s="23">
        <x:f t="shared" si="2"/>
        <x:v>593</x:v>
      </x:c>
      <x:c r="N181" s="24" t="str">
        <x:f t="array" ref="N181">INDEX('MATCH INFO'!O:O, INT((ROW()-2)/10)+2 + 29+29)</x:f>
        <x:v>260620_ZETA_ROZE_S2</x:v>
      </x:c>
    </x:row>
    <x:row r="182">
      <x:c r="A182" s="23" t="s">
        <x:v>22</x:v>
      </x:c>
      <x:c r="B182" s="23" t="s">
        <x:v>25</x:v>
      </x:c>
      <x:c r="C182" s="23" t="s">
        <x:v>11</x:v>
      </x:c>
      <x:c r="D182" s="23" t="s">
        <x:v>113</x:v>
      </x:c>
      <x:c r="E182" s="23" t="s">
        <x:v>188</x:v>
      </x:c>
      <x:c r="F182" s="23">
        <x:v>15</x:v>
      </x:c>
      <x:c r="G182" s="23">
        <x:v>2</x:v>
      </x:c>
      <x:c r="H182" s="23">
        <x:v>0</x:v>
      </x:c>
      <x:c r="I182" s="23">
        <x:v>6885</x:v>
      </x:c>
      <x:c r="J182" s="23">
        <x:v>1176</x:v>
      </x:c>
      <x:c r="K182" s="23">
        <x:v>0</x:v>
      </x:c>
      <x:c r="L182" s="23" t="s">
        <x:v>264</x:v>
      </x:c>
      <x:c r="M182" s="23">
        <x:f t="shared" si="2"/>
        <x:v>317</x:v>
      </x:c>
      <x:c r="N182" s="24" t="str">
        <x:f t="array" ref="N182">INDEX('MATCH INFO'!O:O, INT((ROW()-2)/10)+2 + 29+29)</x:f>
        <x:v>260620_ZETA_ROZE_S3</x:v>
      </x:c>
    </x:row>
    <x:row r="183">
      <x:c r="A183" s="23" t="s">
        <x:v>22</x:v>
      </x:c>
      <x:c r="B183" s="23" t="s">
        <x:v>24</x:v>
      </x:c>
      <x:c r="C183" s="23" t="s">
        <x:v>8</x:v>
      </x:c>
      <x:c r="D183" s="23" t="s">
        <x:v>113</x:v>
      </x:c>
      <x:c r="E183" s="23" t="s">
        <x:v>188</x:v>
      </x:c>
      <x:c r="F183" s="23">
        <x:v>17</x:v>
      </x:c>
      <x:c r="G183" s="23">
        <x:v>0</x:v>
      </x:c>
      <x:c r="H183" s="23">
        <x:v>9</x:v>
      </x:c>
      <x:c r="I183" s="23">
        <x:v>7084</x:v>
      </x:c>
      <x:c r="J183" s="23">
        <x:v>1589</x:v>
      </x:c>
      <x:c r="K183" s="23">
        <x:v>3739</x:v>
      </x:c>
      <x:c r="L183" s="23" t="s">
        <x:v>264</x:v>
      </x:c>
      <x:c r="M183" s="23">
        <x:f t="shared" si="2"/>
        <x:v>317</x:v>
      </x:c>
      <x:c r="N183" s="24" t="str">
        <x:f t="array" ref="N183">INDEX('MATCH INFO'!O:O, INT((ROW()-2)/10)+2 + 29+29)</x:f>
        <x:v>260620_ZETA_ROZE_S3</x:v>
      </x:c>
    </x:row>
    <x:row r="184">
      <x:c r="A184" s="23" t="s">
        <x:v>22</x:v>
      </x:c>
      <x:c r="B184" s="23" t="s">
        <x:v>29</x:v>
      </x:c>
      <x:c r="C184" s="23" t="s">
        <x:v>16</x:v>
      </x:c>
      <x:c r="D184" s="23" t="s">
        <x:v>113</x:v>
      </x:c>
      <x:c r="E184" s="23" t="s">
        <x:v>188</x:v>
      </x:c>
      <x:c r="F184" s="23">
        <x:v>10</x:v>
      </x:c>
      <x:c r="G184" s="23">
        <x:v>2</x:v>
      </x:c>
      <x:c r="H184" s="23">
        <x:v>19</x:v>
      </x:c>
      <x:c r="I184" s="23">
        <x:v>2160</x:v>
      </x:c>
      <x:c r="J184" s="23">
        <x:v>9988</x:v>
      </x:c>
      <x:c r="K184" s="23">
        <x:v>0</x:v>
      </x:c>
      <x:c r="L184" s="23" t="s">
        <x:v>264</x:v>
      </x:c>
      <x:c r="M184" s="23">
        <x:f t="shared" si="2"/>
        <x:v>317</x:v>
      </x:c>
      <x:c r="N184" s="24" t="str">
        <x:f t="array" ref="N184">INDEX('MATCH INFO'!O:O, INT((ROW()-2)/10)+2 + 29+29)</x:f>
        <x:v>260620_ZETA_ROZE_S3</x:v>
      </x:c>
    </x:row>
    <x:row r="185">
      <x:c r="A185" s="23" t="s">
        <x:v>22</x:v>
      </x:c>
      <x:c r="B185" s="23" t="s">
        <x:v>28</x:v>
      </x:c>
      <x:c r="C185" s="23" t="s">
        <x:v>16</x:v>
      </x:c>
      <x:c r="D185" s="23" t="s">
        <x:v>113</x:v>
      </x:c>
      <x:c r="E185" s="23" t="s">
        <x:v>188</x:v>
      </x:c>
      <x:c r="F185" s="23">
        <x:v>15</x:v>
      </x:c>
      <x:c r="G185" s="23">
        <x:v>3</x:v>
      </x:c>
      <x:c r="H185" s="23">
        <x:v>13</x:v>
      </x:c>
      <x:c r="I185" s="23">
        <x:v>3008</x:v>
      </x:c>
      <x:c r="J185" s="23">
        <x:v>5345</x:v>
      </x:c>
      <x:c r="K185" s="23">
        <x:v>1139</x:v>
      </x:c>
      <x:c r="L185" s="23" t="s">
        <x:v>264</x:v>
      </x:c>
      <x:c r="M185" s="23">
        <x:f t="shared" si="2"/>
        <x:v>317</x:v>
      </x:c>
      <x:c r="N185" s="24" t="str">
        <x:f t="array" ref="N185">INDEX('MATCH INFO'!O:O, INT((ROW()-2)/10)+2 + 29+29)</x:f>
        <x:v>260620_ZETA_ROZE_S3</x:v>
      </x:c>
    </x:row>
    <x:row r="186">
      <x:c r="A186" s="23" t="s">
        <x:v>22</x:v>
      </x:c>
      <x:c r="B186" s="23" t="s">
        <x:v>27</x:v>
      </x:c>
      <x:c r="C186" s="23" t="s">
        <x:v>11</x:v>
      </x:c>
      <x:c r="D186" s="23" t="s">
        <x:v>113</x:v>
      </x:c>
      <x:c r="E186" s="23" t="s">
        <x:v>188</x:v>
      </x:c>
      <x:c r="F186" s="23">
        <x:v>15</x:v>
      </x:c>
      <x:c r="G186" s="23">
        <x:v>1</x:v>
      </x:c>
      <x:c r="H186" s="23">
        <x:v>2</x:v>
      </x:c>
      <x:c r="I186" s="23">
        <x:v>7451</x:v>
      </x:c>
      <x:c r="J186" s="23">
        <x:v>49</x:v>
      </x:c>
      <x:c r="K186" s="23">
        <x:v>357</x:v>
      </x:c>
      <x:c r="L186" s="23" t="s">
        <x:v>264</x:v>
      </x:c>
      <x:c r="M186" s="23">
        <x:f t="shared" si="2"/>
        <x:v>317</x:v>
      </x:c>
      <x:c r="N186" s="24" t="str">
        <x:f t="array" ref="N186">INDEX('MATCH INFO'!O:O, INT((ROW()-2)/10)+2 + 29+29)</x:f>
        <x:v>260620_ZETA_ROZE_S3</x:v>
      </x:c>
    </x:row>
    <x:row r="187">
      <x:c r="A187" s="23" t="s">
        <x:v>47</x:v>
      </x:c>
      <x:c r="B187" s="23" t="s">
        <x:v>49</x:v>
      </x:c>
      <x:c r="C187" s="23" t="s">
        <x:v>8</x:v>
      </x:c>
      <x:c r="D187" s="23" t="s">
        <x:v>113</x:v>
      </x:c>
      <x:c r="E187" s="23" t="s">
        <x:v>188</x:v>
      </x:c>
      <x:c r="F187" s="23">
        <x:v>6</x:v>
      </x:c>
      <x:c r="G187" s="23">
        <x:v>6</x:v>
      </x:c>
      <x:c r="H187" s="23">
        <x:v>4</x:v>
      </x:c>
      <x:c r="I187" s="23">
        <x:v>5870</x:v>
      </x:c>
      <x:c r="J187" s="23">
        <x:v>1308</x:v>
      </x:c>
      <x:c r="K187" s="23">
        <x:v>4421</x:v>
      </x:c>
      <x:c r="L187" s="23" t="s">
        <x:v>264</x:v>
      </x:c>
      <x:c r="M187" s="23">
        <x:f t="shared" si="2"/>
        <x:v>317</x:v>
      </x:c>
      <x:c r="N187" s="24" t="str">
        <x:f t="array" ref="N187">INDEX('MATCH INFO'!O:O, INT((ROW()-2)/10)+2 + 29+29)</x:f>
        <x:v>260620_ZETA_ROZE_S3</x:v>
      </x:c>
    </x:row>
    <x:row r="188">
      <x:c r="A188" s="23" t="s">
        <x:v>47</x:v>
      </x:c>
      <x:c r="B188" s="23" t="s">
        <x:v>51</x:v>
      </x:c>
      <x:c r="C188" s="23" t="s">
        <x:v>11</x:v>
      </x:c>
      <x:c r="D188" s="23" t="s">
        <x:v>113</x:v>
      </x:c>
      <x:c r="E188" s="23" t="s">
        <x:v>188</x:v>
      </x:c>
      <x:c r="F188" s="23">
        <x:v>8</x:v>
      </x:c>
      <x:c r="G188" s="23">
        <x:v>4</x:v>
      </x:c>
      <x:c r="H188" s="23">
        <x:v>0</x:v>
      </x:c>
      <x:c r="I188" s="23">
        <x:v>7008</x:v>
      </x:c>
      <x:c r="J188" s="23">
        <x:v>1027</x:v>
      </x:c>
      <x:c r="K188" s="23">
        <x:v>0</x:v>
      </x:c>
      <x:c r="L188" s="23" t="s">
        <x:v>264</x:v>
      </x:c>
      <x:c r="M188" s="23">
        <x:f t="shared" si="2"/>
        <x:v>317</x:v>
      </x:c>
      <x:c r="N188" s="24" t="str">
        <x:f t="array" ref="N188">INDEX('MATCH INFO'!O:O, INT((ROW()-2)/10)+2 + 29+29)</x:f>
        <x:v>260620_ZETA_ROZE_S3</x:v>
      </x:c>
    </x:row>
    <x:row r="189">
      <x:c r="A189" s="23" t="s">
        <x:v>47</x:v>
      </x:c>
      <x:c r="B189" s="23" t="s">
        <x:v>50</x:v>
      </x:c>
      <x:c r="C189" s="23" t="s">
        <x:v>11</x:v>
      </x:c>
      <x:c r="D189" s="23" t="s">
        <x:v>113</x:v>
      </x:c>
      <x:c r="E189" s="23" t="s">
        <x:v>188</x:v>
      </x:c>
      <x:c r="F189" s="23">
        <x:v>5</x:v>
      </x:c>
      <x:c r="G189" s="23">
        <x:v>4</x:v>
      </x:c>
      <x:c r="H189" s="23">
        <x:v>1</x:v>
      </x:c>
      <x:c r="I189" s="23">
        <x:v>6181</x:v>
      </x:c>
      <x:c r="J189" s="23">
        <x:v>0</x:v>
      </x:c>
      <x:c r="K189" s="23">
        <x:v>351</x:v>
      </x:c>
      <x:c r="L189" s="23" t="s">
        <x:v>264</x:v>
      </x:c>
      <x:c r="M189" s="23">
        <x:f t="shared" si="2"/>
        <x:v>317</x:v>
      </x:c>
      <x:c r="N189" s="24" t="str">
        <x:f t="array" ref="N189">INDEX('MATCH INFO'!O:O, INT((ROW()-2)/10)+2 + 29+29)</x:f>
        <x:v>260620_ZETA_ROZE_S3</x:v>
      </x:c>
    </x:row>
    <x:row r="190">
      <x:c r="A190" s="23" t="s">
        <x:v>47</x:v>
      </x:c>
      <x:c r="B190" s="23" t="s">
        <x:v>53</x:v>
      </x:c>
      <x:c r="C190" s="23" t="s">
        <x:v>16</x:v>
      </x:c>
      <x:c r="D190" s="23" t="s">
        <x:v>113</x:v>
      </x:c>
      <x:c r="E190" s="23" t="s">
        <x:v>188</x:v>
      </x:c>
      <x:c r="F190" s="23">
        <x:v>1</x:v>
      </x:c>
      <x:c r="G190" s="23">
        <x:v>4</x:v>
      </x:c>
      <x:c r="H190" s="23">
        <x:v>3</x:v>
      </x:c>
      <x:c r="I190" s="23">
        <x:v>2394</x:v>
      </x:c>
      <x:c r="J190" s="23">
        <x:v>7855</x:v>
      </x:c>
      <x:c r="K190" s="23">
        <x:v>0</x:v>
      </x:c>
      <x:c r="L190" s="23" t="s">
        <x:v>264</x:v>
      </x:c>
      <x:c r="M190" s="23">
        <x:f t="shared" si="2"/>
        <x:v>317</x:v>
      </x:c>
      <x:c r="N190" s="24" t="str">
        <x:f t="array" ref="N190">INDEX('MATCH INFO'!O:O, INT((ROW()-2)/10)+2 + 29+29)</x:f>
        <x:v>260620_ZETA_ROZE_S3</x:v>
      </x:c>
    </x:row>
    <x:row r="191">
      <x:c r="A191" s="23" t="s">
        <x:v>47</x:v>
      </x:c>
      <x:c r="B191" s="23" t="s">
        <x:v>52</x:v>
      </x:c>
      <x:c r="C191" s="23" t="s">
        <x:v>16</x:v>
      </x:c>
      <x:c r="D191" s="23" t="s">
        <x:v>113</x:v>
      </x:c>
      <x:c r="E191" s="23" t="s">
        <x:v>188</x:v>
      </x:c>
      <x:c r="F191" s="23">
        <x:v>3</x:v>
      </x:c>
      <x:c r="G191" s="23">
        <x:v>4</x:v>
      </x:c>
      <x:c r="H191" s="23">
        <x:v>3</x:v>
      </x:c>
      <x:c r="I191" s="23">
        <x:v>2960</x:v>
      </x:c>
      <x:c r="J191" s="23">
        <x:v>4067</x:v>
      </x:c>
      <x:c r="K191" s="23">
        <x:v>1113</x:v>
      </x:c>
      <x:c r="L191" s="23" t="s">
        <x:v>264</x:v>
      </x:c>
      <x:c r="M191" s="23">
        <x:f t="shared" si="2"/>
        <x:v>317</x:v>
      </x:c>
      <x:c r="N191" s="24" t="str">
        <x:f t="array" ref="N191">INDEX('MATCH INFO'!O:O, INT((ROW()-2)/10)+2 + 29+29)</x:f>
        <x:v>260620_ZETA_ROZE_S3</x:v>
      </x:c>
    </x:row>
    <x:row r="192">
      <x:c r="A192" s="23" t="s">
        <x:v>22</x:v>
      </x:c>
      <x:c r="B192" s="23" t="s">
        <x:v>25</x:v>
      </x:c>
      <x:c r="C192" s="23" t="s">
        <x:v>11</x:v>
      </x:c>
      <x:c r="D192" s="23" t="s">
        <x:v>140</x:v>
      </x:c>
      <x:c r="E192" s="23" t="s">
        <x:v>195</x:v>
      </x:c>
      <x:c r="F192" s="23">
        <x:v>13</x:v>
      </x:c>
      <x:c r="G192" s="23">
        <x:v>9</x:v>
      </x:c>
      <x:c r="H192" s="23">
        <x:v>0</x:v>
      </x:c>
      <x:c r="I192" s="23">
        <x:v>11341</x:v>
      </x:c>
      <x:c r="J192" s="23">
        <x:v>462</x:v>
      </x:c>
      <x:c r="K192" s="23">
        <x:v>65</x:v>
      </x:c>
      <x:c r="L192" s="23" t="s">
        <x:v>265</x:v>
      </x:c>
      <x:c r="M192" s="23">
        <x:f t="shared" si="2"/>
        <x:v>889.99999999999989</x:v>
      </x:c>
      <x:c r="N192" s="24" t="str">
        <x:f t="array" ref="N192">INDEX('MATCH INFO'!O:O, INT((ROW()-2)/10)+2 + 29+29)</x:f>
        <x:v>260620_ZETA_ROZE_S4</x:v>
      </x:c>
    </x:row>
    <x:row r="193">
      <x:c r="A193" s="23" t="s">
        <x:v>22</x:v>
      </x:c>
      <x:c r="B193" s="23" t="s">
        <x:v>24</x:v>
      </x:c>
      <x:c r="C193" s="23" t="s">
        <x:v>8</x:v>
      </x:c>
      <x:c r="D193" s="23" t="s">
        <x:v>140</x:v>
      </x:c>
      <x:c r="E193" s="23" t="s">
        <x:v>195</x:v>
      </x:c>
      <x:c r="F193" s="23">
        <x:v>17</x:v>
      </x:c>
      <x:c r="G193" s="23">
        <x:v>12</x:v>
      </x:c>
      <x:c r="H193" s="23">
        <x:v>9</x:v>
      </x:c>
      <x:c r="I193" s="23">
        <x:v>10477</x:v>
      </x:c>
      <x:c r="J193" s="23">
        <x:v>2275</x:v>
      </x:c>
      <x:c r="K193" s="23">
        <x:v>15522</x:v>
      </x:c>
      <x:c r="L193" s="23" t="s">
        <x:v>265</x:v>
      </x:c>
      <x:c r="M193" s="23">
        <x:f t="shared" si="2"/>
        <x:v>889.99999999999989</x:v>
      </x:c>
      <x:c r="N193" s="24" t="str">
        <x:f t="array" ref="N193">INDEX('MATCH INFO'!O:O, INT((ROW()-2)/10)+2 + 29+29)</x:f>
        <x:v>260620_ZETA_ROZE_S4</x:v>
      </x:c>
    </x:row>
    <x:row r="194">
      <x:c r="A194" s="23" t="s">
        <x:v>22</x:v>
      </x:c>
      <x:c r="B194" s="23" t="s">
        <x:v>29</x:v>
      </x:c>
      <x:c r="C194" s="23" t="s">
        <x:v>16</x:v>
      </x:c>
      <x:c r="D194" s="23" t="s">
        <x:v>140</x:v>
      </x:c>
      <x:c r="E194" s="23" t="s">
        <x:v>195</x:v>
      </x:c>
      <x:c r="F194" s="23">
        <x:v>10</x:v>
      </x:c>
      <x:c r="G194" s="23">
        <x:v>13</x:v>
      </x:c>
      <x:c r="H194" s="23">
        <x:v>12</x:v>
      </x:c>
      <x:c r="I194" s="23">
        <x:v>5577</x:v>
      </x:c>
      <x:c r="J194" s="23">
        <x:v>9922</x:v>
      </x:c>
      <x:c r="K194" s="23">
        <x:v>66</x:v>
      </x:c>
      <x:c r="L194" s="23" t="s">
        <x:v>265</x:v>
      </x:c>
      <x:c r="M194" s="23" t="e">
        <x:f t="shared" ref="M194:M257" si="3">L194*86400</x:f>
        <x:v>#VALUE!</x:v>
      </x:c>
      <x:c r="N194" s="24" t="str">
        <x:f t="array" ref="N194">INDEX('MATCH INFO'!O:O, INT((ROW()-2)/10)+2 + 29+29)</x:f>
        <x:v>260620_ZETA_ROZE_S4</x:v>
      </x:c>
    </x:row>
    <x:row r="195">
      <x:c r="A195" s="23" t="s">
        <x:v>22</x:v>
      </x:c>
      <x:c r="B195" s="23" t="s">
        <x:v>28</x:v>
      </x:c>
      <x:c r="C195" s="23" t="s">
        <x:v>16</x:v>
      </x:c>
      <x:c r="D195" s="23" t="s">
        <x:v>140</x:v>
      </x:c>
      <x:c r="E195" s="23" t="s">
        <x:v>195</x:v>
      </x:c>
      <x:c r="F195" s="23">
        <x:v>6</x:v>
      </x:c>
      <x:c r="G195" s="23">
        <x:v>12</x:v>
      </x:c>
      <x:c r="H195" s="23">
        <x:v>12</x:v>
      </x:c>
      <x:c r="I195" s="23">
        <x:v>3202</x:v>
      </x:c>
      <x:c r="J195" s="23">
        <x:v>8418</x:v>
      </x:c>
      <x:c r="K195" s="23">
        <x:v>348</x:v>
      </x:c>
      <x:c r="L195" s="23" t="s">
        <x:v>265</x:v>
      </x:c>
      <x:c r="M195" s="23">
        <x:f t="shared" si="3"/>
        <x:v>889.99999999999989</x:v>
      </x:c>
      <x:c r="N195" s="24" t="str">
        <x:f t="array" ref="N195">INDEX('MATCH INFO'!O:O, INT((ROW()-2)/10)+2 + 29+29)</x:f>
        <x:v>260620_ZETA_ROZE_S4</x:v>
      </x:c>
    </x:row>
    <x:row r="196">
      <x:c r="A196" s="23" t="s">
        <x:v>22</x:v>
      </x:c>
      <x:c r="B196" s="23" t="s">
        <x:v>27</x:v>
      </x:c>
      <x:c r="C196" s="23" t="s">
        <x:v>11</x:v>
      </x:c>
      <x:c r="D196" s="23" t="s">
        <x:v>140</x:v>
      </x:c>
      <x:c r="E196" s="23" t="s">
        <x:v>195</x:v>
      </x:c>
      <x:c r="F196" s="23">
        <x:v>16</x:v>
      </x:c>
      <x:c r="G196" s="23">
        <x:v>11</x:v>
      </x:c>
      <x:c r="H196" s="23">
        <x:v>1</x:v>
      </x:c>
      <x:c r="I196" s="23">
        <x:v>18273</x:v>
      </x:c>
      <x:c r="J196" s="23">
        <x:v>193</x:v>
      </x:c>
      <x:c r="K196" s="23">
        <x:v>622</x:v>
      </x:c>
      <x:c r="L196" s="23" t="s">
        <x:v>265</x:v>
      </x:c>
      <x:c r="M196" s="23">
        <x:f t="shared" si="3"/>
        <x:v>889.99999999999989</x:v>
      </x:c>
      <x:c r="N196" s="24" t="str">
        <x:f t="array" ref="N196">INDEX('MATCH INFO'!O:O, INT((ROW()-2)/10)+2 + 29+29)</x:f>
        <x:v>260620_ZETA_ROZE_S4</x:v>
      </x:c>
    </x:row>
    <x:row r="197">
      <x:c r="A197" s="23" t="s">
        <x:v>47</x:v>
      </x:c>
      <x:c r="B197" s="23" t="s">
        <x:v>51</x:v>
      </x:c>
      <x:c r="C197" s="23" t="s">
        <x:v>11</x:v>
      </x:c>
      <x:c r="D197" s="23" t="s">
        <x:v>140</x:v>
      </x:c>
      <x:c r="E197" s="23" t="s">
        <x:v>195</x:v>
      </x:c>
      <x:c r="F197" s="23">
        <x:v>31</x:v>
      </x:c>
      <x:c r="G197" s="23">
        <x:v>6</x:v>
      </x:c>
      <x:c r="H197" s="23">
        <x:v>8</x:v>
      </x:c>
      <x:c r="I197" s="23">
        <x:v>14522</x:v>
      </x:c>
      <x:c r="J197" s="23">
        <x:v>1419</x:v>
      </x:c>
      <x:c r="K197" s="23">
        <x:v>2078</x:v>
      </x:c>
      <x:c r="L197" s="23" t="s">
        <x:v>265</x:v>
      </x:c>
      <x:c r="M197" s="23">
        <x:f t="shared" si="3"/>
        <x:v>889.99999999999989</x:v>
      </x:c>
      <x:c r="N197" s="24" t="str">
        <x:f t="array" ref="N197">INDEX('MATCH INFO'!O:O, INT((ROW()-2)/10)+2 + 29+29)</x:f>
        <x:v>260620_ZETA_ROZE_S4</x:v>
      </x:c>
    </x:row>
    <x:row r="198">
      <x:c r="A198" s="23" t="s">
        <x:v>47</x:v>
      </x:c>
      <x:c r="B198" s="23" t="s">
        <x:v>48</x:v>
      </x:c>
      <x:c r="C198" s="23" t="s">
        <x:v>8</x:v>
      </x:c>
      <x:c r="D198" s="23" t="s">
        <x:v>140</x:v>
      </x:c>
      <x:c r="E198" s="23" t="s">
        <x:v>195</x:v>
      </x:c>
      <x:c r="F198" s="23">
        <x:v>28</x:v>
      </x:c>
      <x:c r="G198" s="23">
        <x:v>3</x:v>
      </x:c>
      <x:c r="H198" s="23">
        <x:v>6</x:v>
      </x:c>
      <x:c r="I198" s="23">
        <x:v>10085</x:v>
      </x:c>
      <x:c r="J198" s="23">
        <x:v>2383</x:v>
      </x:c>
      <x:c r="K198" s="23">
        <x:v>8353</x:v>
      </x:c>
      <x:c r="L198" s="23" t="s">
        <x:v>265</x:v>
      </x:c>
      <x:c r="M198" s="23">
        <x:f t="shared" si="3"/>
        <x:v>889.99999999999989</x:v>
      </x:c>
      <x:c r="N198" s="24" t="str">
        <x:f t="array" ref="N198">INDEX('MATCH INFO'!O:O, INT((ROW()-2)/10)+2 + 29+29)</x:f>
        <x:v>260620_ZETA_ROZE_S4</x:v>
      </x:c>
    </x:row>
    <x:row r="199">
      <x:c r="A199" s="23" t="s">
        <x:v>47</x:v>
      </x:c>
      <x:c r="B199" s="23" t="s">
        <x:v>50</x:v>
      </x:c>
      <x:c r="C199" s="23" t="s">
        <x:v>11</x:v>
      </x:c>
      <x:c r="D199" s="23" t="s">
        <x:v>140</x:v>
      </x:c>
      <x:c r="E199" s="23" t="s">
        <x:v>195</x:v>
      </x:c>
      <x:c r="F199" s="23">
        <x:v>36</x:v>
      </x:c>
      <x:c r="G199" s="23">
        <x:v>5</x:v>
      </x:c>
      <x:c r="H199" s="23">
        <x:v>0</x:v>
      </x:c>
      <x:c r="I199" s="23">
        <x:v>14698</x:v>
      </x:c>
      <x:c r="J199" s="23">
        <x:v>168</x:v>
      </x:c>
      <x:c r="K199" s="23">
        <x:v>307</x:v>
      </x:c>
      <x:c r="L199" s="23" t="s">
        <x:v>265</x:v>
      </x:c>
      <x:c r="M199" s="23">
        <x:f t="shared" si="3"/>
        <x:v>889.99999999999989</x:v>
      </x:c>
      <x:c r="N199" s="24" t="str">
        <x:f t="array" ref="N199">INDEX('MATCH INFO'!O:O, INT((ROW()-2)/10)+2 + 29+29)</x:f>
        <x:v>260620_ZETA_ROZE_S4</x:v>
      </x:c>
    </x:row>
    <x:row r="200">
      <x:c r="A200" s="23" t="s">
        <x:v>47</x:v>
      </x:c>
      <x:c r="B200" s="23" t="s">
        <x:v>53</x:v>
      </x:c>
      <x:c r="C200" s="23" t="s">
        <x:v>16</x:v>
      </x:c>
      <x:c r="D200" s="23" t="s">
        <x:v>140</x:v>
      </x:c>
      <x:c r="E200" s="23" t="s">
        <x:v>195</x:v>
      </x:c>
      <x:c r="F200" s="23">
        <x:v>22</x:v>
      </x:c>
      <x:c r="G200" s="23">
        <x:v>9</x:v>
      </x:c>
      <x:c r="H200" s="23">
        <x:v>21</x:v>
      </x:c>
      <x:c r="I200" s="23">
        <x:v>7330</x:v>
      </x:c>
      <x:c r="J200" s="23">
        <x:v>8897</x:v>
      </x:c>
      <x:c r="K200" s="23">
        <x:v>416</x:v>
      </x:c>
      <x:c r="L200" s="23" t="s">
        <x:v>265</x:v>
      </x:c>
      <x:c r="M200" s="23">
        <x:f t="shared" si="3"/>
        <x:v>889.99999999999989</x:v>
      </x:c>
      <x:c r="N200" s="24" t="str">
        <x:f t="array" ref="N200">INDEX('MATCH INFO'!O:O, INT((ROW()-2)/10)+2 + 29+29)</x:f>
        <x:v>260620_ZETA_ROZE_S4</x:v>
      </x:c>
    </x:row>
    <x:row r="201">
      <x:c r="A201" s="23" t="s">
        <x:v>47</x:v>
      </x:c>
      <x:c r="B201" s="23" t="s">
        <x:v>52</x:v>
      </x:c>
      <x:c r="C201" s="23" t="s">
        <x:v>16</x:v>
      </x:c>
      <x:c r="D201" s="23" t="s">
        <x:v>140</x:v>
      </x:c>
      <x:c r="E201" s="23" t="s">
        <x:v>195</x:v>
      </x:c>
      <x:c r="F201" s="23">
        <x:v>27</x:v>
      </x:c>
      <x:c r="G201" s="23">
        <x:v>6</x:v>
      </x:c>
      <x:c r="H201" s="23">
        <x:v>18</x:v>
      </x:c>
      <x:c r="I201" s="23">
        <x:v>5530</x:v>
      </x:c>
      <x:c r="J201" s="23">
        <x:v>10789</x:v>
      </x:c>
      <x:c r="K201" s="23">
        <x:v>0</x:v>
      </x:c>
      <x:c r="L201" s="23" t="s">
        <x:v>265</x:v>
      </x:c>
      <x:c r="M201" s="23">
        <x:f t="shared" si="3"/>
        <x:v>889.99999999999989</x:v>
      </x:c>
      <x:c r="N201" s="24" t="str">
        <x:f t="array" ref="N201">INDEX('MATCH INFO'!O:O, INT((ROW()-2)/10)+2 + 29+29)</x:f>
        <x:v>260620_ZETA_ROZE_S4</x:v>
      </x:c>
    </x:row>
    <x:row r="202">
      <x:c r="A202" s="23" t="s">
        <x:v>22</x:v>
      </x:c>
      <x:c r="B202" s="23" t="s">
        <x:v>25</x:v>
      </x:c>
      <x:c r="C202" s="23" t="s">
        <x:v>11</x:v>
      </x:c>
      <x:c r="D202" s="23" t="s">
        <x:v>119</x:v>
      </x:c>
      <x:c r="E202" s="23" t="s">
        <x:v>191</x:v>
      </x:c>
      <x:c r="F202" s="23">
        <x:v>31</x:v>
      </x:c>
      <x:c r="G202" s="23">
        <x:v>12</x:v>
      </x:c>
      <x:c r="H202" s="23">
        <x:v>6</x:v>
      </x:c>
      <x:c r="I202" s="23">
        <x:v>17222</x:v>
      </x:c>
      <x:c r="J202" s="23">
        <x:v>1880</x:v>
      </x:c>
      <x:c r="K202" s="23">
        <x:v>4466</x:v>
      </x:c>
      <x:c r="L202" s="23" t="s">
        <x:v>266</x:v>
      </x:c>
      <x:c r="M202" s="23">
        <x:f t="shared" si="3"/>
        <x:v>1044</x:v>
      </x:c>
      <x:c r="N202" s="24" t="str">
        <x:f t="array" ref="N202">INDEX('MATCH INFO'!O:O, INT((ROW()-2)/10)+2 + 29+29)</x:f>
        <x:v>260620_ZETA_ROZE_S5</x:v>
      </x:c>
    </x:row>
    <x:row r="203">
      <x:c r="A203" s="23" t="s">
        <x:v>22</x:v>
      </x:c>
      <x:c r="B203" s="23" t="s">
        <x:v>24</x:v>
      </x:c>
      <x:c r="C203" s="23" t="s">
        <x:v>8</x:v>
      </x:c>
      <x:c r="D203" s="23" t="s">
        <x:v>119</x:v>
      </x:c>
      <x:c r="E203" s="23" t="s">
        <x:v>191</x:v>
      </x:c>
      <x:c r="F203" s="23">
        <x:v>26</x:v>
      </x:c>
      <x:c r="G203" s="23">
        <x:v>12</x:v>
      </x:c>
      <x:c r="H203" s="23">
        <x:v>5</x:v>
      </x:c>
      <x:c r="I203" s="23">
        <x:v>14483</x:v>
      </x:c>
      <x:c r="J203" s="23">
        <x:v>1976</x:v>
      </x:c>
      <x:c r="K203" s="23">
        <x:v>28842</x:v>
      </x:c>
      <x:c r="L203" s="23" t="s">
        <x:v>266</x:v>
      </x:c>
      <x:c r="M203" s="23">
        <x:f t="shared" si="3"/>
        <x:v>1044</x:v>
      </x:c>
      <x:c r="N203" s="24" t="str">
        <x:f t="array" ref="N203">INDEX('MATCH INFO'!O:O, INT((ROW()-2)/10)+2 + 29+29)</x:f>
        <x:v>260620_ZETA_ROZE_S5</x:v>
      </x:c>
    </x:row>
    <x:row r="204">
      <x:c r="A204" s="23" t="s">
        <x:v>22</x:v>
      </x:c>
      <x:c r="B204" s="23" t="s">
        <x:v>29</x:v>
      </x:c>
      <x:c r="C204" s="23" t="s">
        <x:v>16</x:v>
      </x:c>
      <x:c r="D204" s="23" t="s">
        <x:v>119</x:v>
      </x:c>
      <x:c r="E204" s="23" t="s">
        <x:v>191</x:v>
      </x:c>
      <x:c r="F204" s="23">
        <x:v>18</x:v>
      </x:c>
      <x:c r="G204" s="23">
        <x:v>11</x:v>
      </x:c>
      <x:c r="H204" s="23">
        <x:v>28</x:v>
      </x:c>
      <x:c r="I204" s="23">
        <x:v>5328</x:v>
      </x:c>
      <x:c r="J204" s="23">
        <x:v>21579</x:v>
      </x:c>
      <x:c r="K204" s="23">
        <x:v>612</x:v>
      </x:c>
      <x:c r="L204" s="23" t="s">
        <x:v>266</x:v>
      </x:c>
      <x:c r="M204" s="23">
        <x:f t="shared" si="3"/>
        <x:v>1044</x:v>
      </x:c>
      <x:c r="N204" s="24" t="str">
        <x:f t="array" ref="N204">INDEX('MATCH INFO'!O:O, INT((ROW()-2)/10)+2 + 29+29)</x:f>
        <x:v>260620_ZETA_ROZE_S5</x:v>
      </x:c>
    </x:row>
    <x:row r="205">
      <x:c r="A205" s="23" t="s">
        <x:v>22</x:v>
      </x:c>
      <x:c r="B205" s="23" t="s">
        <x:v>28</x:v>
      </x:c>
      <x:c r="C205" s="23" t="s">
        <x:v>16</x:v>
      </x:c>
      <x:c r="D205" s="23" t="s">
        <x:v>119</x:v>
      </x:c>
      <x:c r="E205" s="23" t="s">
        <x:v>191</x:v>
      </x:c>
      <x:c r="F205" s="23">
        <x:v>24</x:v>
      </x:c>
      <x:c r="G205" s="23">
        <x:v>11</x:v>
      </x:c>
      <x:c r="H205" s="23">
        <x:v>24</x:v>
      </x:c>
      <x:c r="I205" s="23">
        <x:v>5700</x:v>
      </x:c>
      <x:c r="J205" s="23">
        <x:v>10594</x:v>
      </x:c>
      <x:c r="K205" s="23">
        <x:v>2312</x:v>
      </x:c>
      <x:c r="L205" s="23" t="s">
        <x:v>266</x:v>
      </x:c>
      <x:c r="M205" s="23">
        <x:f t="shared" si="3"/>
        <x:v>1044</x:v>
      </x:c>
      <x:c r="N205" s="24" t="str">
        <x:f t="array" ref="N205">INDEX('MATCH INFO'!O:O, INT((ROW()-2)/10)+2 + 29+29)</x:f>
        <x:v>260620_ZETA_ROZE_S5</x:v>
      </x:c>
    </x:row>
    <x:row r="206">
      <x:c r="A206" s="23" t="s">
        <x:v>22</x:v>
      </x:c>
      <x:c r="B206" s="23" t="s">
        <x:v>27</x:v>
      </x:c>
      <x:c r="C206" s="23" t="s">
        <x:v>11</x:v>
      </x:c>
      <x:c r="D206" s="23" t="s">
        <x:v>119</x:v>
      </x:c>
      <x:c r="E206" s="23" t="s">
        <x:v>191</x:v>
      </x:c>
      <x:c r="F206" s="23">
        <x:v>35</x:v>
      </x:c>
      <x:c r="G206" s="23">
        <x:v>13</x:v>
      </x:c>
      <x:c r="H206" s="23">
        <x:v>3</x:v>
      </x:c>
      <x:c r="I206" s="23">
        <x:v>17422</x:v>
      </x:c>
      <x:c r="J206" s="23">
        <x:v>222</x:v>
      </x:c>
      <x:c r="K206" s="23">
        <x:v>1022</x:v>
      </x:c>
      <x:c r="L206" s="23" t="s">
        <x:v>266</x:v>
      </x:c>
      <x:c r="M206" s="23">
        <x:f t="shared" si="3"/>
        <x:v>1044</x:v>
      </x:c>
      <x:c r="N206" s="24" t="str">
        <x:f t="array" ref="N206">INDEX('MATCH INFO'!O:O, INT((ROW()-2)/10)+2 + 29+29)</x:f>
        <x:v>260620_ZETA_ROZE_S5</x:v>
      </x:c>
    </x:row>
    <x:row r="207">
      <x:c r="A207" s="23" t="s">
        <x:v>47</x:v>
      </x:c>
      <x:c r="B207" s="23" t="s">
        <x:v>49</x:v>
      </x:c>
      <x:c r="C207" s="23" t="s">
        <x:v>8</x:v>
      </x:c>
      <x:c r="D207" s="23" t="s">
        <x:v>119</x:v>
      </x:c>
      <x:c r="E207" s="23" t="s">
        <x:v>191</x:v>
      </x:c>
      <x:c r="F207" s="23">
        <x:v>37</x:v>
      </x:c>
      <x:c r="G207" s="23">
        <x:v>7</x:v>
      </x:c>
      <x:c r="H207" s="23">
        <x:v>11</x:v>
      </x:c>
      <x:c r="I207" s="23">
        <x:v>18055</x:v>
      </x:c>
      <x:c r="J207" s="23">
        <x:v>0</x:v>
      </x:c>
      <x:c r="K207" s="23">
        <x:v>28999</x:v>
      </x:c>
      <x:c r="L207" s="23" t="s">
        <x:v>266</x:v>
      </x:c>
      <x:c r="M207" s="23">
        <x:f t="shared" si="3"/>
        <x:v>1044</x:v>
      </x:c>
      <x:c r="N207" s="24" t="str">
        <x:f t="array" ref="N207">INDEX('MATCH INFO'!O:O, INT((ROW()-2)/10)+2 + 29+29)</x:f>
        <x:v>260620_ZETA_ROZE_S5</x:v>
      </x:c>
    </x:row>
    <x:row r="208">
      <x:c r="A208" s="23" t="s">
        <x:v>47</x:v>
      </x:c>
      <x:c r="B208" s="23" t="s">
        <x:v>51</x:v>
      </x:c>
      <x:c r="C208" s="23" t="s">
        <x:v>11</x:v>
      </x:c>
      <x:c r="D208" s="23" t="s">
        <x:v>119</x:v>
      </x:c>
      <x:c r="E208" s="23" t="s">
        <x:v>191</x:v>
      </x:c>
      <x:c r="F208" s="23">
        <x:v>39</x:v>
      </x:c>
      <x:c r="G208" s="23">
        <x:v>10</x:v>
      </x:c>
      <x:c r="H208" s="23">
        <x:v>14</x:v>
      </x:c>
      <x:c r="I208" s="23">
        <x:v>14082</x:v>
      </x:c>
      <x:c r="J208" s="23">
        <x:v>1640</x:v>
      </x:c>
      <x:c r="K208" s="23">
        <x:v>5780</x:v>
      </x:c>
      <x:c r="L208" s="23" t="s">
        <x:v>266</x:v>
      </x:c>
      <x:c r="M208" s="23">
        <x:f t="shared" si="3"/>
        <x:v>1044</x:v>
      </x:c>
      <x:c r="N208" s="24" t="str">
        <x:f t="array" ref="N208">INDEX('MATCH INFO'!O:O, INT((ROW()-2)/10)+2 + 29+29)</x:f>
        <x:v>260620_ZETA_ROZE_S5</x:v>
      </x:c>
    </x:row>
    <x:row r="209">
      <x:c r="A209" s="23" t="s">
        <x:v>47</x:v>
      </x:c>
      <x:c r="B209" s="23" t="s">
        <x:v>50</x:v>
      </x:c>
      <x:c r="C209" s="23" t="s">
        <x:v>11</x:v>
      </x:c>
      <x:c r="D209" s="23" t="s">
        <x:v>119</x:v>
      </x:c>
      <x:c r="E209" s="23" t="s">
        <x:v>191</x:v>
      </x:c>
      <x:c r="F209" s="23">
        <x:v>38</x:v>
      </x:c>
      <x:c r="G209" s="23">
        <x:v>11</x:v>
      </x:c>
      <x:c r="H209" s="23">
        <x:v>7</x:v>
      </x:c>
      <x:c r="I209" s="23">
        <x:v>17742</x:v>
      </x:c>
      <x:c r="J209" s="23">
        <x:v>304</x:v>
      </x:c>
      <x:c r="K209" s="23">
        <x:v>745</x:v>
      </x:c>
      <x:c r="L209" s="23" t="s">
        <x:v>266</x:v>
      </x:c>
      <x:c r="M209" s="23">
        <x:f t="shared" si="3"/>
        <x:v>1044</x:v>
      </x:c>
      <x:c r="N209" s="24" t="str">
        <x:f t="array" ref="N209">INDEX('MATCH INFO'!O:O, INT((ROW()-2)/10)+2 + 29+29)</x:f>
        <x:v>260620_ZETA_ROZE_S5</x:v>
      </x:c>
    </x:row>
    <x:row r="210">
      <x:c r="A210" s="23" t="s">
        <x:v>47</x:v>
      </x:c>
      <x:c r="B210" s="23" t="s">
        <x:v>53</x:v>
      </x:c>
      <x:c r="C210" s="23" t="s">
        <x:v>16</x:v>
      </x:c>
      <x:c r="D210" s="23" t="s">
        <x:v>119</x:v>
      </x:c>
      <x:c r="E210" s="23" t="s">
        <x:v>191</x:v>
      </x:c>
      <x:c r="F210" s="23">
        <x:v>24</x:v>
      </x:c>
      <x:c r="G210" s="23">
        <x:v>9</x:v>
      </x:c>
      <x:c r="H210" s="23">
        <x:v>35</x:v>
      </x:c>
      <x:c r="I210" s="23">
        <x:v>7156</x:v>
      </x:c>
      <x:c r="J210" s="23">
        <x:v>19565</x:v>
      </x:c>
      <x:c r="K210" s="23">
        <x:v>540</x:v>
      </x:c>
      <x:c r="L210" s="23" t="s">
        <x:v>266</x:v>
      </x:c>
      <x:c r="M210" s="23">
        <x:f t="shared" si="3"/>
        <x:v>1044</x:v>
      </x:c>
      <x:c r="N210" s="24" t="str">
        <x:f t="array" ref="N210">INDEX('MATCH INFO'!O:O, INT((ROW()-2)/10)+2 + 29+29)</x:f>
        <x:v>260620_ZETA_ROZE_S5</x:v>
      </x:c>
    </x:row>
    <x:row r="211">
      <x:c r="A211" s="23" t="s">
        <x:v>47</x:v>
      </x:c>
      <x:c r="B211" s="23" t="s">
        <x:v>52</x:v>
      </x:c>
      <x:c r="C211" s="23" t="s">
        <x:v>16</x:v>
      </x:c>
      <x:c r="D211" s="23" t="s">
        <x:v>119</x:v>
      </x:c>
      <x:c r="E211" s="23" t="s">
        <x:v>191</x:v>
      </x:c>
      <x:c r="F211" s="23">
        <x:v>29</x:v>
      </x:c>
      <x:c r="G211" s="23">
        <x:v>12</x:v>
      </x:c>
      <x:c r="H211" s="23">
        <x:v>28</x:v>
      </x:c>
      <x:c r="I211" s="23">
        <x:v>9593</x:v>
      </x:c>
      <x:c r="J211" s="23">
        <x:v>16119</x:v>
      </x:c>
      <x:c r="K211" s="23">
        <x:v>770</x:v>
      </x:c>
      <x:c r="L211" s="23" t="s">
        <x:v>266</x:v>
      </x:c>
      <x:c r="M211" s="23">
        <x:f t="shared" si="3"/>
        <x:v>1044</x:v>
      </x:c>
      <x:c r="N211" s="24" t="str">
        <x:f t="array" ref="N211">INDEX('MATCH INFO'!O:O, INT((ROW()-2)/10)+2 + 29+29)</x:f>
        <x:v>260620_ZETA_ROZE_S5</x:v>
      </x:c>
    </x:row>
    <x:row r="212">
      <x:c r="A212" s="23" t="s">
        <x:v>31</x:v>
      </x:c>
      <x:c r="B212" s="23" t="s">
        <x:v>34</x:v>
      </x:c>
      <x:c r="C212" s="23" t="s">
        <x:v>11</x:v>
      </x:c>
      <x:c r="D212" s="23" t="s">
        <x:v>131</x:v>
      </x:c>
      <x:c r="E212" s="23" t="s">
        <x:v>184</x:v>
      </x:c>
      <x:c r="F212" s="23">
        <x:v>18</x:v>
      </x:c>
      <x:c r="G212" s="23">
        <x:v>8</x:v>
      </x:c>
      <x:c r="H212" s="23">
        <x:v>7</x:v>
      </x:c>
      <x:c r="I212" s="23">
        <x:v>7921</x:v>
      </x:c>
      <x:c r="J212" s="23">
        <x:v>1138</x:v>
      </x:c>
      <x:c r="K212" s="23">
        <x:v>4002</x:v>
      </x:c>
      <x:c r="L212" s="23" t="s">
        <x:v>267</x:v>
      </x:c>
      <x:c r="M212" s="23">
        <x:f t="shared" si="3"/>
        <x:v>667</x:v>
      </x:c>
      <x:c r="N212" s="24" t="str">
        <x:f t="array" ref="N212">INDEX('MATCH INFO'!O:O, INT((ROW()-2)/10)+2 + 29+29)</x:f>
        <x:v>260620_CB_T1_S1</x:v>
      </x:c>
    </x:row>
    <x:row r="213">
      <x:c r="A213" s="23" t="s">
        <x:v>31</x:v>
      </x:c>
      <x:c r="B213" s="23" t="s">
        <x:v>33</x:v>
      </x:c>
      <x:c r="C213" s="23" t="s">
        <x:v>8</x:v>
      </x:c>
      <x:c r="D213" s="23" t="s">
        <x:v>131</x:v>
      </x:c>
      <x:c r="E213" s="23" t="s">
        <x:v>184</x:v>
      </x:c>
      <x:c r="F213" s="23">
        <x:v>17</x:v>
      </x:c>
      <x:c r="G213" s="23">
        <x:v>8</x:v>
      </x:c>
      <x:c r="H213" s="23">
        <x:v>3</x:v>
      </x:c>
      <x:c r="I213" s="23">
        <x:v>10458</x:v>
      </x:c>
      <x:c r="J213" s="23">
        <x:v>268</x:v>
      </x:c>
      <x:c r="K213" s="23">
        <x:v>17906</x:v>
      </x:c>
      <x:c r="L213" s="23" t="s">
        <x:v>267</x:v>
      </x:c>
      <x:c r="M213" s="23">
        <x:f t="shared" si="3"/>
        <x:v>667</x:v>
      </x:c>
      <x:c r="N213" s="24" t="str">
        <x:f t="array" ref="N213">INDEX('MATCH INFO'!O:O, INT((ROW()-2)/10)+2 + 29+29)</x:f>
        <x:v>260620_CB_T1_S1</x:v>
      </x:c>
    </x:row>
    <x:row r="214">
      <x:c r="A214" s="23" t="s">
        <x:v>31</x:v>
      </x:c>
      <x:c r="B214" s="23" t="s">
        <x:v>35</x:v>
      </x:c>
      <x:c r="C214" s="23" t="s">
        <x:v>11</x:v>
      </x:c>
      <x:c r="D214" s="23" t="s">
        <x:v>131</x:v>
      </x:c>
      <x:c r="E214" s="23" t="s">
        <x:v>184</x:v>
      </x:c>
      <x:c r="F214" s="23">
        <x:v>16</x:v>
      </x:c>
      <x:c r="G214" s="23">
        <x:v>7</x:v>
      </x:c>
      <x:c r="H214" s="23">
        <x:v>2</x:v>
      </x:c>
      <x:c r="I214" s="23">
        <x:v>13460</x:v>
      </x:c>
      <x:c r="J214" s="23">
        <x:v>0</x:v>
      </x:c>
      <x:c r="K214" s="23">
        <x:v>840</x:v>
      </x:c>
      <x:c r="L214" s="23" t="s">
        <x:v>267</x:v>
      </x:c>
      <x:c r="M214" s="23">
        <x:f t="shared" si="3"/>
        <x:v>667</x:v>
      </x:c>
      <x:c r="N214" s="24" t="str">
        <x:f t="array" ref="N214">INDEX('MATCH INFO'!O:O, INT((ROW()-2)/10)+2 + 29+29)</x:f>
        <x:v>260620_CB_T1_S1</x:v>
      </x:c>
    </x:row>
    <x:row r="215">
      <x:c r="A215" s="23" t="s">
        <x:v>31</x:v>
      </x:c>
      <x:c r="B215" s="23" t="s">
        <x:v>36</x:v>
      </x:c>
      <x:c r="C215" s="23" t="s">
        <x:v>16</x:v>
      </x:c>
      <x:c r="D215" s="23" t="s">
        <x:v>131</x:v>
      </x:c>
      <x:c r="E215" s="23" t="s">
        <x:v>184</x:v>
      </x:c>
      <x:c r="F215" s="23">
        <x:v>10</x:v>
      </x:c>
      <x:c r="G215" s="23">
        <x:v>5</x:v>
      </x:c>
      <x:c r="H215" s="23">
        <x:v>12</x:v>
      </x:c>
      <x:c r="I215" s="23">
        <x:v>2640</x:v>
      </x:c>
      <x:c r="J215" s="23">
        <x:v>8500</x:v>
      </x:c>
      <x:c r="K215" s="23">
        <x:v>600</x:v>
      </x:c>
      <x:c r="L215" s="23" t="s">
        <x:v>267</x:v>
      </x:c>
      <x:c r="M215" s="23">
        <x:f t="shared" si="3"/>
        <x:v>667</x:v>
      </x:c>
      <x:c r="N215" s="24" t="str">
        <x:f t="array" ref="N215">INDEX('MATCH INFO'!O:O, INT((ROW()-2)/10)+2 + 29+29)</x:f>
        <x:v>260620_CB_T1_S1</x:v>
      </x:c>
    </x:row>
    <x:row r="216">
      <x:c r="A216" s="23" t="s">
        <x:v>31</x:v>
      </x:c>
      <x:c r="B216" s="23" t="s">
        <x:v>37</x:v>
      </x:c>
      <x:c r="C216" s="23" t="s">
        <x:v>16</x:v>
      </x:c>
      <x:c r="D216" s="23" t="s">
        <x:v>131</x:v>
      </x:c>
      <x:c r="E216" s="23" t="s">
        <x:v>184</x:v>
      </x:c>
      <x:c r="F216" s="23">
        <x:v>8</x:v>
      </x:c>
      <x:c r="G216" s="23">
        <x:v>2</x:v>
      </x:c>
      <x:c r="H216" s="23">
        <x:v>18</x:v>
      </x:c>
      <x:c r="I216" s="23">
        <x:v>5078</x:v>
      </x:c>
      <x:c r="J216" s="23">
        <x:v>14842</x:v>
      </x:c>
      <x:c r="K216" s="23">
        <x:v>0</x:v>
      </x:c>
      <x:c r="L216" s="23" t="s">
        <x:v>267</x:v>
      </x:c>
      <x:c r="M216" s="23">
        <x:f t="shared" si="3"/>
        <x:v>667</x:v>
      </x:c>
      <x:c r="N216" s="24" t="str">
        <x:f t="array" ref="N216">INDEX('MATCH INFO'!O:O, INT((ROW()-2)/10)+2 + 29+29)</x:f>
        <x:v>260620_CB_T1_S1</x:v>
      </x:c>
    </x:row>
    <x:row r="217">
      <x:c r="A217" s="23" t="s">
        <x:v>63</x:v>
      </x:c>
      <x:c r="B217" s="23" t="s">
        <x:v>69</x:v>
      </x:c>
      <x:c r="C217" s="23" t="s">
        <x:v>16</x:v>
      </x:c>
      <x:c r="D217" s="23" t="s">
        <x:v>131</x:v>
      </x:c>
      <x:c r="E217" s="23" t="s">
        <x:v>184</x:v>
      </x:c>
      <x:c r="F217" s="23">
        <x:v>16</x:v>
      </x:c>
      <x:c r="G217" s="23">
        <x:v>5</x:v>
      </x:c>
      <x:c r="H217" s="23">
        <x:v>22</x:v>
      </x:c>
      <x:c r="I217" s="23">
        <x:v>4699</x:v>
      </x:c>
      <x:c r="J217" s="23">
        <x:v>13194</x:v>
      </x:c>
      <x:c r="K217" s="23">
        <x:v>2730</x:v>
      </x:c>
      <x:c r="L217" s="23" t="s">
        <x:v>267</x:v>
      </x:c>
      <x:c r="M217" s="23">
        <x:f t="shared" si="3"/>
        <x:v>667</x:v>
      </x:c>
      <x:c r="N217" s="24" t="str">
        <x:f t="array" ref="N217">INDEX('MATCH INFO'!O:O, INT((ROW()-2)/10)+2 + 29+29)</x:f>
        <x:v>260620_CB_T1_S1</x:v>
      </x:c>
    </x:row>
    <x:row r="218">
      <x:c r="A218" s="23" t="s">
        <x:v>63</x:v>
      </x:c>
      <x:c r="B218" s="23" t="s">
        <x:v>65</x:v>
      </x:c>
      <x:c r="C218" s="23" t="s">
        <x:v>8</x:v>
      </x:c>
      <x:c r="D218" s="23" t="s">
        <x:v>131</x:v>
      </x:c>
      <x:c r="E218" s="23" t="s">
        <x:v>184</x:v>
      </x:c>
      <x:c r="F218" s="23">
        <x:v>17</x:v>
      </x:c>
      <x:c r="G218" s="23">
        <x:v>5</x:v>
      </x:c>
      <x:c r="H218" s="23">
        <x:v>5</x:v>
      </x:c>
      <x:c r="I218" s="23">
        <x:v>9283</x:v>
      </x:c>
      <x:c r="J218" s="23">
        <x:v>0</x:v>
      </x:c>
      <x:c r="K218" s="23">
        <x:v>17926</x:v>
      </x:c>
      <x:c r="L218" s="23" t="s">
        <x:v>267</x:v>
      </x:c>
      <x:c r="M218" s="23">
        <x:f t="shared" si="3"/>
        <x:v>667</x:v>
      </x:c>
      <x:c r="N218" s="24" t="str">
        <x:f t="array" ref="N218">INDEX('MATCH INFO'!O:O, INT((ROW()-2)/10)+2 + 29+29)</x:f>
        <x:v>260620_CB_T1_S1</x:v>
      </x:c>
    </x:row>
    <x:row r="219">
      <x:c r="A219" s="23" t="s">
        <x:v>63</x:v>
      </x:c>
      <x:c r="B219" s="23" t="s">
        <x:v>67</x:v>
      </x:c>
      <x:c r="C219" s="23" t="s">
        <x:v>11</x:v>
      </x:c>
      <x:c r="D219" s="23" t="s">
        <x:v>131</x:v>
      </x:c>
      <x:c r="E219" s="23" t="s">
        <x:v>184</x:v>
      </x:c>
      <x:c r="F219" s="23">
        <x:v>16</x:v>
      </x:c>
      <x:c r="G219" s="23">
        <x:v>7</x:v>
      </x:c>
      <x:c r="H219" s="23">
        <x:v>3</x:v>
      </x:c>
      <x:c r="I219" s="23">
        <x:v>12390</x:v>
      </x:c>
      <x:c r="J219" s="23">
        <x:v>0</x:v>
      </x:c>
      <x:c r="K219" s="23">
        <x:v>433</x:v>
      </x:c>
      <x:c r="L219" s="23" t="s">
        <x:v>267</x:v>
      </x:c>
      <x:c r="M219" s="23">
        <x:f t="shared" si="3"/>
        <x:v>667</x:v>
      </x:c>
      <x:c r="N219" s="24" t="str">
        <x:f t="array" ref="N219">INDEX('MATCH INFO'!O:O, INT((ROW()-2)/10)+2 + 29+29)</x:f>
        <x:v>260620_CB_T1_S1</x:v>
      </x:c>
    </x:row>
    <x:row r="220">
      <x:c r="A220" s="23" t="s">
        <x:v>63</x:v>
      </x:c>
      <x:c r="B220" s="23" t="s">
        <x:v>70</x:v>
      </x:c>
      <x:c r="C220" s="23" t="s">
        <x:v>16</x:v>
      </x:c>
      <x:c r="D220" s="23" t="s">
        <x:v>131</x:v>
      </x:c>
      <x:c r="E220" s="23" t="s">
        <x:v>184</x:v>
      </x:c>
      <x:c r="F220" s="23">
        <x:v>13</x:v>
      </x:c>
      <x:c r="G220" s="23">
        <x:v>3</x:v>
      </x:c>
      <x:c r="H220" s="23">
        <x:v>25</x:v>
      </x:c>
      <x:c r="I220" s="23">
        <x:v>4268</x:v>
      </x:c>
      <x:c r="J220" s="23">
        <x:v>14806</x:v>
      </x:c>
      <x:c r="K220" s="23">
        <x:v>0</x:v>
      </x:c>
      <x:c r="L220" s="23" t="s">
        <x:v>267</x:v>
      </x:c>
      <x:c r="M220" s="23">
        <x:f t="shared" si="3"/>
        <x:v>667</x:v>
      </x:c>
      <x:c r="N220" s="24" t="str">
        <x:f t="array" ref="N220">INDEX('MATCH INFO'!O:O, INT((ROW()-2)/10)+2 + 29+29)</x:f>
        <x:v>260620_CB_T1_S1</x:v>
      </x:c>
    </x:row>
    <x:row r="221">
      <x:c r="A221" s="23" t="s">
        <x:v>63</x:v>
      </x:c>
      <x:c r="B221" s="23" t="s">
        <x:v>66</x:v>
      </x:c>
      <x:c r="C221" s="23" t="s">
        <x:v>11</x:v>
      </x:c>
      <x:c r="D221" s="23" t="s">
        <x:v>131</x:v>
      </x:c>
      <x:c r="E221" s="23" t="s">
        <x:v>184</x:v>
      </x:c>
      <x:c r="F221" s="23">
        <x:v>24</x:v>
      </x:c>
      <x:c r="G221" s="23">
        <x:v>5</x:v>
      </x:c>
      <x:c r="H221" s="23">
        <x:v>1</x:v>
      </x:c>
      <x:c r="I221" s="23">
        <x:v>9397</x:v>
      </x:c>
      <x:c r="J221" s="23">
        <x:v>711</x:v>
      </x:c>
      <x:c r="K221" s="23">
        <x:v>3548</x:v>
      </x:c>
      <x:c r="L221" s="23" t="s">
        <x:v>267</x:v>
      </x:c>
      <x:c r="M221" s="23">
        <x:f t="shared" si="3"/>
        <x:v>667</x:v>
      </x:c>
      <x:c r="N221" s="24" t="str">
        <x:f t="array" ref="N221">INDEX('MATCH INFO'!O:O, INT((ROW()-2)/10)+2 + 29+29)</x:f>
        <x:v>260620_CB_T1_S1</x:v>
      </x:c>
    </x:row>
    <x:row r="222">
      <x:c r="A222" s="23" t="s">
        <x:v>63</x:v>
      </x:c>
      <x:c r="B222" s="23" t="s">
        <x:v>69</x:v>
      </x:c>
      <x:c r="C222" s="23" t="s">
        <x:v>16</x:v>
      </x:c>
      <x:c r="D222" s="23" t="s">
        <x:v>123</x:v>
      </x:c>
      <x:c r="E222" s="23" t="s">
        <x:v>195</x:v>
      </x:c>
      <x:c r="F222" s="23">
        <x:v>6</x:v>
      </x:c>
      <x:c r="G222" s="23">
        <x:v>2</x:v>
      </x:c>
      <x:c r="H222" s="23">
        <x:v>4</x:v>
      </x:c>
      <x:c r="I222" s="23">
        <x:v>3376</x:v>
      </x:c>
      <x:c r="J222" s="23">
        <x:v>2024</x:v>
      </x:c>
      <x:c r="K222" s="23">
        <x:v>149</x:v>
      </x:c>
      <x:c r="L222" s="23" t="s">
        <x:v>268</x:v>
      </x:c>
      <x:c r="M222" s="23">
        <x:f t="shared" si="3"/>
        <x:v>370.99999999999994</x:v>
      </x:c>
      <x:c r="N222" s="24" t="str">
        <x:f t="array" ref="N222">INDEX('MATCH INFO'!O:O, INT((ROW()-2)/10)+2 + 29+29)</x:f>
        <x:v>260620_CB_T1_S2</x:v>
      </x:c>
    </x:row>
    <x:row r="223">
      <x:c r="A223" s="23" t="s">
        <x:v>63</x:v>
      </x:c>
      <x:c r="B223" s="23" t="s">
        <x:v>65</x:v>
      </x:c>
      <x:c r="C223" s="23" t="s">
        <x:v>8</x:v>
      </x:c>
      <x:c r="D223" s="23" t="s">
        <x:v>123</x:v>
      </x:c>
      <x:c r="E223" s="23" t="s">
        <x:v>195</x:v>
      </x:c>
      <x:c r="F223" s="23">
        <x:v>10</x:v>
      </x:c>
      <x:c r="G223" s="23">
        <x:v>0</x:v>
      </x:c>
      <x:c r="H223" s="23">
        <x:v>1</x:v>
      </x:c>
      <x:c r="I223" s="23">
        <x:v>4862</x:v>
      </x:c>
      <x:c r="J223" s="23">
        <x:v>0</x:v>
      </x:c>
      <x:c r="K223" s="23">
        <x:v>10828</x:v>
      </x:c>
      <x:c r="L223" s="23" t="s">
        <x:v>268</x:v>
      </x:c>
      <x:c r="M223" s="23">
        <x:f t="shared" si="3"/>
        <x:v>370.99999999999994</x:v>
      </x:c>
      <x:c r="N223" s="24" t="str">
        <x:f t="array" ref="N223">INDEX('MATCH INFO'!O:O, INT((ROW()-2)/10)+2 + 29+29)</x:f>
        <x:v>260620_CB_T1_S2</x:v>
      </x:c>
    </x:row>
    <x:row r="224">
      <x:c r="A224" s="23" t="s">
        <x:v>63</x:v>
      </x:c>
      <x:c r="B224" s="23" t="s">
        <x:v>67</x:v>
      </x:c>
      <x:c r="C224" s="23" t="s">
        <x:v>11</x:v>
      </x:c>
      <x:c r="D224" s="23" t="s">
        <x:v>123</x:v>
      </x:c>
      <x:c r="E224" s="23" t="s">
        <x:v>195</x:v>
      </x:c>
      <x:c r="F224" s="23">
        <x:v>5</x:v>
      </x:c>
      <x:c r="G224" s="23">
        <x:v>1</x:v>
      </x:c>
      <x:c r="H224" s="23">
        <x:v>2</x:v>
      </x:c>
      <x:c r="I224" s="23">
        <x:v>2916</x:v>
      </x:c>
      <x:c r="J224" s="23">
        <x:v>0</x:v>
      </x:c>
      <x:c r="K224" s="23">
        <x:v>0</x:v>
      </x:c>
      <x:c r="L224" s="23" t="s">
        <x:v>268</x:v>
      </x:c>
      <x:c r="M224" s="23">
        <x:f t="shared" si="3"/>
        <x:v>370.99999999999994</x:v>
      </x:c>
      <x:c r="N224" s="24" t="str">
        <x:f t="array" ref="N224">INDEX('MATCH INFO'!O:O, INT((ROW()-2)/10)+2 + 29+29)</x:f>
        <x:v>260620_CB_T1_S2</x:v>
      </x:c>
    </x:row>
    <x:row r="225">
      <x:c r="A225" s="23" t="s">
        <x:v>63</x:v>
      </x:c>
      <x:c r="B225" s="23" t="s">
        <x:v>70</x:v>
      </x:c>
      <x:c r="C225" s="23" t="s">
        <x:v>16</x:v>
      </x:c>
      <x:c r="D225" s="23" t="s">
        <x:v>123</x:v>
      </x:c>
      <x:c r="E225" s="23" t="s">
        <x:v>195</x:v>
      </x:c>
      <x:c r="F225" s="23">
        <x:v>9</x:v>
      </x:c>
      <x:c r="G225" s="23">
        <x:v>0</x:v>
      </x:c>
      <x:c r="H225" s="23">
        <x:v>6</x:v>
      </x:c>
      <x:c r="I225" s="23">
        <x:v>3579</x:v>
      </x:c>
      <x:c r="J225" s="23">
        <x:v>6233</x:v>
      </x:c>
      <x:c r="K225" s="23">
        <x:v>0</x:v>
      </x:c>
      <x:c r="L225" s="23" t="s">
        <x:v>268</x:v>
      </x:c>
      <x:c r="M225" s="23">
        <x:f t="shared" si="3"/>
        <x:v>370.99999999999994</x:v>
      </x:c>
      <x:c r="N225" s="24" t="str">
        <x:f t="array" ref="N225">INDEX('MATCH INFO'!O:O, INT((ROW()-2)/10)+2 + 29+29)</x:f>
        <x:v>260620_CB_T1_S2</x:v>
      </x:c>
    </x:row>
    <x:row r="226">
      <x:c r="A226" s="23" t="s">
        <x:v>63</x:v>
      </x:c>
      <x:c r="B226" s="23" t="s">
        <x:v>66</x:v>
      </x:c>
      <x:c r="C226" s="23" t="s">
        <x:v>11</x:v>
      </x:c>
      <x:c r="D226" s="23" t="s">
        <x:v>123</x:v>
      </x:c>
      <x:c r="E226" s="23" t="s">
        <x:v>195</x:v>
      </x:c>
      <x:c r="F226" s="23">
        <x:v>10</x:v>
      </x:c>
      <x:c r="G226" s="23">
        <x:v>2</x:v>
      </x:c>
      <x:c r="H226" s="23">
        <x:v>0</x:v>
      </x:c>
      <x:c r="I226" s="23">
        <x:v>5069</x:v>
      </x:c>
      <x:c r="J226" s="23">
        <x:v>0</x:v>
      </x:c>
      <x:c r="K226" s="23">
        <x:v>0</x:v>
      </x:c>
      <x:c r="L226" s="23" t="s">
        <x:v>268</x:v>
      </x:c>
      <x:c r="M226" s="23">
        <x:f t="shared" si="3"/>
        <x:v>370.99999999999994</x:v>
      </x:c>
      <x:c r="N226" s="24" t="str">
        <x:f t="array" ref="N226">INDEX('MATCH INFO'!O:O, INT((ROW()-2)/10)+2 + 29+29)</x:f>
        <x:v>260620_CB_T1_S2</x:v>
      </x:c>
    </x:row>
    <x:row r="227">
      <x:c r="A227" s="23" t="s">
        <x:v>31</x:v>
      </x:c>
      <x:c r="B227" s="23" t="s">
        <x:v>34</x:v>
      </x:c>
      <x:c r="C227" s="23" t="s">
        <x:v>11</x:v>
      </x:c>
      <x:c r="D227" s="23" t="s">
        <x:v>123</x:v>
      </x:c>
      <x:c r="E227" s="23" t="s">
        <x:v>195</x:v>
      </x:c>
      <x:c r="F227" s="23">
        <x:v>2</x:v>
      </x:c>
      <x:c r="G227" s="23">
        <x:v>5</x:v>
      </x:c>
      <x:c r="H227" s="23">
        <x:v>0</x:v>
      </x:c>
      <x:c r="I227" s="23">
        <x:v>2547</x:v>
      </x:c>
      <x:c r="J227" s="23">
        <x:v>89</x:v>
      </x:c>
      <x:c r="K227" s="23">
        <x:v>115</x:v>
      </x:c>
      <x:c r="L227" s="23" t="s">
        <x:v>268</x:v>
      </x:c>
      <x:c r="M227" s="23">
        <x:f t="shared" si="3"/>
        <x:v>370.99999999999994</x:v>
      </x:c>
      <x:c r="N227" s="24" t="str">
        <x:f t="array" ref="N227">INDEX('MATCH INFO'!O:O, INT((ROW()-2)/10)+2 + 29+29)</x:f>
        <x:v>260620_CB_T1_S2</x:v>
      </x:c>
    </x:row>
    <x:row r="228">
      <x:c r="A228" s="23" t="s">
        <x:v>31</x:v>
      </x:c>
      <x:c r="B228" s="23" t="s">
        <x:v>33</x:v>
      </x:c>
      <x:c r="C228" s="23" t="s">
        <x:v>8</x:v>
      </x:c>
      <x:c r="D228" s="23" t="s">
        <x:v>123</x:v>
      </x:c>
      <x:c r="E228" s="23" t="s">
        <x:v>195</x:v>
      </x:c>
      <x:c r="F228" s="23">
        <x:v>2</x:v>
      </x:c>
      <x:c r="G228" s="23">
        <x:v>4</x:v>
      </x:c>
      <x:c r="H228" s="23">
        <x:v>0</x:v>
      </x:c>
      <x:c r="I228" s="23">
        <x:v>3225</x:v>
      </x:c>
      <x:c r="J228" s="23">
        <x:v>936</x:v>
      </x:c>
      <x:c r="K228" s="23">
        <x:v>9475</x:v>
      </x:c>
      <x:c r="L228" s="23" t="s">
        <x:v>268</x:v>
      </x:c>
      <x:c r="M228" s="23">
        <x:f t="shared" si="3"/>
        <x:v>370.99999999999994</x:v>
      </x:c>
      <x:c r="N228" s="24" t="str">
        <x:f t="array" ref="N228">INDEX('MATCH INFO'!O:O, INT((ROW()-2)/10)+2 + 29+29)</x:f>
        <x:v>260620_CB_T1_S2</x:v>
      </x:c>
    </x:row>
    <x:row r="229">
      <x:c r="A229" s="23" t="s">
        <x:v>31</x:v>
      </x:c>
      <x:c r="B229" s="23" t="s">
        <x:v>35</x:v>
      </x:c>
      <x:c r="C229" s="23" t="s">
        <x:v>11</x:v>
      </x:c>
      <x:c r="D229" s="23" t="s">
        <x:v>123</x:v>
      </x:c>
      <x:c r="E229" s="23" t="s">
        <x:v>195</x:v>
      </x:c>
      <x:c r="F229" s="23">
        <x:v>3</x:v>
      </x:c>
      <x:c r="G229" s="23">
        <x:v>5</x:v>
      </x:c>
      <x:c r="H229" s="23">
        <x:v>0</x:v>
      </x:c>
      <x:c r="I229" s="23">
        <x:v>2210</x:v>
      </x:c>
      <x:c r="J229" s="23">
        <x:v>0</x:v>
      </x:c>
      <x:c r="K229" s="23">
        <x:v>0</x:v>
      </x:c>
      <x:c r="L229" s="23" t="s">
        <x:v>268</x:v>
      </x:c>
      <x:c r="M229" s="23">
        <x:f t="shared" si="3"/>
        <x:v>370.99999999999994</x:v>
      </x:c>
      <x:c r="N229" s="24" t="str">
        <x:f t="array" ref="N229">INDEX('MATCH INFO'!O:O, INT((ROW()-2)/10)+2 + 29+29)</x:f>
        <x:v>260620_CB_T1_S2</x:v>
      </x:c>
    </x:row>
    <x:row r="230">
      <x:c r="A230" s="23" t="s">
        <x:v>31</x:v>
      </x:c>
      <x:c r="B230" s="23" t="s">
        <x:v>36</x:v>
      </x:c>
      <x:c r="C230" s="23" t="s">
        <x:v>16</x:v>
      </x:c>
      <x:c r="D230" s="23" t="s">
        <x:v>123</x:v>
      </x:c>
      <x:c r="E230" s="23" t="s">
        <x:v>195</x:v>
      </x:c>
      <x:c r="F230" s="23">
        <x:v>1</x:v>
      </x:c>
      <x:c r="G230" s="23">
        <x:v>3</x:v>
      </x:c>
      <x:c r="H230" s="23">
        <x:v>2</x:v>
      </x:c>
      <x:c r="I230" s="23">
        <x:v>3730</x:v>
      </x:c>
      <x:c r="J230" s="23">
        <x:v>3566</x:v>
      </x:c>
      <x:c r="K230" s="23">
        <x:v>400</x:v>
      </x:c>
      <x:c r="L230" s="23" t="s">
        <x:v>268</x:v>
      </x:c>
      <x:c r="M230" s="23">
        <x:f t="shared" si="3"/>
        <x:v>370.99999999999994</x:v>
      </x:c>
      <x:c r="N230" s="24" t="str">
        <x:f t="array" ref="N230">INDEX('MATCH INFO'!O:O, INT((ROW()-2)/10)+2 + 29+29)</x:f>
        <x:v>260620_CB_T1_S2</x:v>
      </x:c>
    </x:row>
    <x:row r="231">
      <x:c r="A231" s="23" t="s">
        <x:v>31</x:v>
      </x:c>
      <x:c r="B231" s="23" t="s">
        <x:v>37</x:v>
      </x:c>
      <x:c r="C231" s="23" t="s">
        <x:v>16</x:v>
      </x:c>
      <x:c r="D231" s="23" t="s">
        <x:v>123</x:v>
      </x:c>
      <x:c r="E231" s="23" t="s">
        <x:v>195</x:v>
      </x:c>
      <x:c r="F231" s="23">
        <x:v>1</x:v>
      </x:c>
      <x:c r="G231" s="23">
        <x:v>4</x:v>
      </x:c>
      <x:c r="H231" s="23">
        <x:v>1</x:v>
      </x:c>
      <x:c r="I231" s="23">
        <x:v>1440</x:v>
      </x:c>
      <x:c r="J231" s="23">
        <x:v>4977</x:v>
      </x:c>
      <x:c r="K231" s="23">
        <x:v>0</x:v>
      </x:c>
      <x:c r="L231" s="23" t="s">
        <x:v>268</x:v>
      </x:c>
      <x:c r="M231" s="23">
        <x:f t="shared" si="3"/>
        <x:v>370.99999999999994</x:v>
      </x:c>
      <x:c r="N231" s="24" t="str">
        <x:f t="array" ref="N231">INDEX('MATCH INFO'!O:O, INT((ROW()-2)/10)+2 + 29+29)</x:f>
        <x:v>260620_CB_T1_S2</x:v>
      </x:c>
    </x:row>
    <x:row r="232">
      <x:c r="A232" s="23" t="s">
        <x:v>31</x:v>
      </x:c>
      <x:c r="B232" s="23" t="s">
        <x:v>34</x:v>
      </x:c>
      <x:c r="C232" s="23" t="s">
        <x:v>11</x:v>
      </x:c>
      <x:c r="D232" s="23" t="s">
        <x:v>110</x:v>
      </x:c>
      <x:c r="E232" s="23" t="s">
        <x:v>186</x:v>
      </x:c>
      <x:c r="F232" s="23">
        <x:v>14</x:v>
      </x:c>
      <x:c r="G232" s="23">
        <x:v>7</x:v>
      </x:c>
      <x:c r="H232" s="23">
        <x:v>0</x:v>
      </x:c>
      <x:c r="I232" s="23">
        <x:v>7776</x:v>
      </x:c>
      <x:c r="J232" s="23">
        <x:v>1061</x:v>
      </x:c>
      <x:c r="K232" s="23">
        <x:v>0</x:v>
      </x:c>
      <x:c r="L232" s="23" t="s">
        <x:v>269</x:v>
      </x:c>
      <x:c r="M232" s="23">
        <x:f t="shared" si="3"/>
        <x:v>601</x:v>
      </x:c>
      <x:c r="N232" s="24" t="str">
        <x:f t="array" ref="N232">INDEX('MATCH INFO'!O:O, INT((ROW()-2)/10)+2 + 29+29)</x:f>
        <x:v>260620_CB_T1_S3</x:v>
      </x:c>
    </x:row>
    <x:row r="233">
      <x:c r="A233" s="23" t="s">
        <x:v>31</x:v>
      </x:c>
      <x:c r="B233" s="23" t="s">
        <x:v>32</x:v>
      </x:c>
      <x:c r="C233" s="23" t="s">
        <x:v>8</x:v>
      </x:c>
      <x:c r="D233" s="23" t="s">
        <x:v>110</x:v>
      </x:c>
      <x:c r="E233" s="23" t="s">
        <x:v>186</x:v>
      </x:c>
      <x:c r="F233" s="23">
        <x:v>13</x:v>
      </x:c>
      <x:c r="G233" s="23">
        <x:v>7</x:v>
      </x:c>
      <x:c r="H233" s="23">
        <x:v>8</x:v>
      </x:c>
      <x:c r="I233" s="23">
        <x:v>8008</x:v>
      </x:c>
      <x:c r="J233" s="23">
        <x:v>1778</x:v>
      </x:c>
      <x:c r="K233" s="23">
        <x:v>3891</x:v>
      </x:c>
      <x:c r="L233" s="23" t="s">
        <x:v>269</x:v>
      </x:c>
      <x:c r="M233" s="23">
        <x:f t="shared" si="3"/>
        <x:v>601</x:v>
      </x:c>
      <x:c r="N233" s="24" t="str">
        <x:f t="array" ref="N233">INDEX('MATCH INFO'!O:O, INT((ROW()-2)/10)+2 + 29+29)</x:f>
        <x:v>260620_CB_T1_S3</x:v>
      </x:c>
    </x:row>
    <x:row r="234">
      <x:c r="A234" s="23" t="s">
        <x:v>31</x:v>
      </x:c>
      <x:c r="B234" s="23" t="s">
        <x:v>35</x:v>
      </x:c>
      <x:c r="C234" s="23" t="s">
        <x:v>11</x:v>
      </x:c>
      <x:c r="D234" s="23" t="s">
        <x:v>110</x:v>
      </x:c>
      <x:c r="E234" s="23" t="s">
        <x:v>186</x:v>
      </x:c>
      <x:c r="F234" s="23">
        <x:v>8</x:v>
      </x:c>
      <x:c r="G234" s="23">
        <x:v>10</x:v>
      </x:c>
      <x:c r="H234" s="23">
        <x:v>1</x:v>
      </x:c>
      <x:c r="I234" s="23">
        <x:v>9563</x:v>
      </x:c>
      <x:c r="J234" s="23">
        <x:v>2</x:v>
      </x:c>
      <x:c r="K234" s="23">
        <x:v>1228</x:v>
      </x:c>
      <x:c r="L234" s="23" t="s">
        <x:v>269</x:v>
      </x:c>
      <x:c r="M234" s="23">
        <x:f t="shared" si="3"/>
        <x:v>601</x:v>
      </x:c>
      <x:c r="N234" s="24" t="str">
        <x:f t="array" ref="N234">INDEX('MATCH INFO'!O:O, INT((ROW()-2)/10)+2 + 29+29)</x:f>
        <x:v>260620_CB_T1_S3</x:v>
      </x:c>
    </x:row>
    <x:row r="235">
      <x:c r="A235" s="23" t="s">
        <x:v>31</x:v>
      </x:c>
      <x:c r="B235" s="23" t="s">
        <x:v>36</x:v>
      </x:c>
      <x:c r="C235" s="23" t="s">
        <x:v>16</x:v>
      </x:c>
      <x:c r="D235" s="23" t="s">
        <x:v>110</x:v>
      </x:c>
      <x:c r="E235" s="23" t="s">
        <x:v>186</x:v>
      </x:c>
      <x:c r="F235" s="23">
        <x:v>7</x:v>
      </x:c>
      <x:c r="G235" s="23">
        <x:v>8</x:v>
      </x:c>
      <x:c r="H235" s="23">
        <x:v>11</x:v>
      </x:c>
      <x:c r="I235" s="23">
        <x:v>2327</x:v>
      </x:c>
      <x:c r="J235" s="23">
        <x:v>7863</x:v>
      </x:c>
      <x:c r="K235" s="23">
        <x:v>0</x:v>
      </x:c>
      <x:c r="L235" s="23" t="s">
        <x:v>269</x:v>
      </x:c>
      <x:c r="M235" s="23">
        <x:f t="shared" si="3"/>
        <x:v>601</x:v>
      </x:c>
      <x:c r="N235" s="24" t="str">
        <x:f t="array" ref="N235">INDEX('MATCH INFO'!O:O, INT((ROW()-2)/10)+2 + 29+29)</x:f>
        <x:v>260620_CB_T1_S3</x:v>
      </x:c>
    </x:row>
    <x:row r="236">
      <x:c r="A236" s="23" t="s">
        <x:v>31</x:v>
      </x:c>
      <x:c r="B236" s="23" t="s">
        <x:v>37</x:v>
      </x:c>
      <x:c r="C236" s="23" t="s">
        <x:v>16</x:v>
      </x:c>
      <x:c r="D236" s="23" t="s">
        <x:v>110</x:v>
      </x:c>
      <x:c r="E236" s="23" t="s">
        <x:v>186</x:v>
      </x:c>
      <x:c r="F236" s="23">
        <x:v>4</x:v>
      </x:c>
      <x:c r="G236" s="23">
        <x:v>9</x:v>
      </x:c>
      <x:c r="H236" s="23">
        <x:v>4</x:v>
      </x:c>
      <x:c r="I236" s="23">
        <x:v>4829</x:v>
      </x:c>
      <x:c r="J236" s="23">
        <x:v>4318</x:v>
      </x:c>
      <x:c r="K236" s="23">
        <x:v>1729</x:v>
      </x:c>
      <x:c r="L236" s="23" t="s">
        <x:v>269</x:v>
      </x:c>
      <x:c r="M236" s="23">
        <x:f t="shared" si="3"/>
        <x:v>601</x:v>
      </x:c>
      <x:c r="N236" s="24" t="str">
        <x:f t="array" ref="N236">INDEX('MATCH INFO'!O:O, INT((ROW()-2)/10)+2 + 29+29)</x:f>
        <x:v>260620_CB_T1_S3</x:v>
      </x:c>
    </x:row>
    <x:row r="237">
      <x:c r="A237" s="23" t="s">
        <x:v>63</x:v>
      </x:c>
      <x:c r="B237" s="23" t="s">
        <x:v>69</x:v>
      </x:c>
      <x:c r="C237" s="23" t="s">
        <x:v>16</x:v>
      </x:c>
      <x:c r="D237" s="23" t="s">
        <x:v>110</x:v>
      </x:c>
      <x:c r="E237" s="23" t="s">
        <x:v>186</x:v>
      </x:c>
      <x:c r="F237" s="23">
        <x:v>17</x:v>
      </x:c>
      <x:c r="G237" s="23">
        <x:v>3</x:v>
      </x:c>
      <x:c r="H237" s="23">
        <x:v>20</x:v>
      </x:c>
      <x:c r="I237" s="23">
        <x:v>2311</x:v>
      </x:c>
      <x:c r="J237" s="23">
        <x:v>7734</x:v>
      </x:c>
      <x:c r="K237" s="23">
        <x:v>0</x:v>
      </x:c>
      <x:c r="L237" s="23" t="s">
        <x:v>269</x:v>
      </x:c>
      <x:c r="M237" s="23">
        <x:f t="shared" si="3"/>
        <x:v>601</x:v>
      </x:c>
      <x:c r="N237" s="24" t="str">
        <x:f t="array" ref="N237">INDEX('MATCH INFO'!O:O, INT((ROW()-2)/10)+2 + 29+29)</x:f>
        <x:v>260620_CB_T1_S3</x:v>
      </x:c>
    </x:row>
    <x:row r="238">
      <x:c r="A238" s="23" t="s">
        <x:v>63</x:v>
      </x:c>
      <x:c r="B238" s="23" t="s">
        <x:v>64</x:v>
      </x:c>
      <x:c r="C238" s="23" t="s">
        <x:v>8</x:v>
      </x:c>
      <x:c r="D238" s="23" t="s">
        <x:v>110</x:v>
      </x:c>
      <x:c r="E238" s="23" t="s">
        <x:v>186</x:v>
      </x:c>
      <x:c r="F238" s="23">
        <x:v>28</x:v>
      </x:c>
      <x:c r="G238" s="23">
        <x:v>4</x:v>
      </x:c>
      <x:c r="H238" s="23">
        <x:v>11</x:v>
      </x:c>
      <x:c r="I238" s="23">
        <x:v>9386</x:v>
      </x:c>
      <x:c r="J238" s="23">
        <x:v>2237</x:v>
      </x:c>
      <x:c r="K238" s="23">
        <x:v>4552</x:v>
      </x:c>
      <x:c r="L238" s="23" t="s">
        <x:v>269</x:v>
      </x:c>
      <x:c r="M238" s="23">
        <x:f t="shared" si="3"/>
        <x:v>601</x:v>
      </x:c>
      <x:c r="N238" s="24" t="str">
        <x:f t="array" ref="N238">INDEX('MATCH INFO'!O:O, INT((ROW()-2)/10)+2 + 29+29)</x:f>
        <x:v>260620_CB_T1_S3</x:v>
      </x:c>
    </x:row>
    <x:row r="239">
      <x:c r="A239" s="23" t="s">
        <x:v>63</x:v>
      </x:c>
      <x:c r="B239" s="23" t="s">
        <x:v>67</x:v>
      </x:c>
      <x:c r="C239" s="23" t="s">
        <x:v>11</x:v>
      </x:c>
      <x:c r="D239" s="23" t="s">
        <x:v>110</x:v>
      </x:c>
      <x:c r="E239" s="23" t="s">
        <x:v>186</x:v>
      </x:c>
      <x:c r="F239" s="23">
        <x:v>22</x:v>
      </x:c>
      <x:c r="G239" s="23">
        <x:v>6</x:v>
      </x:c>
      <x:c r="H239" s="23">
        <x:v>1</x:v>
      </x:c>
      <x:c r="I239" s="23">
        <x:v>12361</x:v>
      </x:c>
      <x:c r="J239" s="23">
        <x:v>313</x:v>
      </x:c>
      <x:c r="K239" s="23">
        <x:v>1797</x:v>
      </x:c>
      <x:c r="L239" s="23" t="s">
        <x:v>269</x:v>
      </x:c>
      <x:c r="M239" s="23">
        <x:f t="shared" si="3"/>
        <x:v>601</x:v>
      </x:c>
      <x:c r="N239" s="24" t="str">
        <x:f t="array" ref="N239">INDEX('MATCH INFO'!O:O, INT((ROW()-2)/10)+2 + 29+29)</x:f>
        <x:v>260620_CB_T1_S3</x:v>
      </x:c>
    </x:row>
    <x:row r="240">
      <x:c r="A240" s="23" t="s">
        <x:v>63</x:v>
      </x:c>
      <x:c r="B240" s="23" t="s">
        <x:v>70</x:v>
      </x:c>
      <x:c r="C240" s="23" t="s">
        <x:v>16</x:v>
      </x:c>
      <x:c r="D240" s="23" t="s">
        <x:v>110</x:v>
      </x:c>
      <x:c r="E240" s="23" t="s">
        <x:v>186</x:v>
      </x:c>
      <x:c r="F240" s="23">
        <x:v>10</x:v>
      </x:c>
      <x:c r="G240" s="23">
        <x:v>6</x:v>
      </x:c>
      <x:c r="H240" s="23">
        <x:v>11</x:v>
      </x:c>
      <x:c r="I240" s="23">
        <x:v>4855</x:v>
      </x:c>
      <x:c r="J240" s="23">
        <x:v>3293</x:v>
      </x:c>
      <x:c r="K240" s="23">
        <x:v>997</x:v>
      </x:c>
      <x:c r="L240" s="23" t="s">
        <x:v>269</x:v>
      </x:c>
      <x:c r="M240" s="23">
        <x:f t="shared" si="3"/>
        <x:v>601</x:v>
      </x:c>
      <x:c r="N240" s="24" t="str">
        <x:f t="array" ref="N240">INDEX('MATCH INFO'!O:O, INT((ROW()-2)/10)+2 + 29+29)</x:f>
        <x:v>260620_CB_T1_S3</x:v>
      </x:c>
    </x:row>
    <x:row r="241">
      <x:c r="A241" s="23" t="s">
        <x:v>63</x:v>
      </x:c>
      <x:c r="B241" s="23" t="s">
        <x:v>66</x:v>
      </x:c>
      <x:c r="C241" s="23" t="s">
        <x:v>11</x:v>
      </x:c>
      <x:c r="D241" s="23" t="s">
        <x:v>110</x:v>
      </x:c>
      <x:c r="E241" s="23" t="s">
        <x:v>186</x:v>
      </x:c>
      <x:c r="F241" s="23">
        <x:v>32</x:v>
      </x:c>
      <x:c r="G241" s="23">
        <x:v>2</x:v>
      </x:c>
      <x:c r="H241" s="23">
        <x:v>0</x:v>
      </x:c>
      <x:c r="I241" s="23">
        <x:v>8333</x:v>
      </x:c>
      <x:c r="J241" s="23">
        <x:v>83</x:v>
      </x:c>
      <x:c r="K241" s="23">
        <x:v>0</x:v>
      </x:c>
      <x:c r="L241" s="23" t="s">
        <x:v>269</x:v>
      </x:c>
      <x:c r="M241" s="23">
        <x:f t="shared" si="3"/>
        <x:v>601</x:v>
      </x:c>
      <x:c r="N241" s="24" t="str">
        <x:f t="array" ref="N241">INDEX('MATCH INFO'!O:O, INT((ROW()-2)/10)+2 + 29+29)</x:f>
        <x:v>260620_CB_T1_S3</x:v>
      </x:c>
    </x:row>
    <x:row r="242">
      <x:c r="A242" s="23" t="s">
        <x:v>72</x:v>
      </x:c>
      <x:c r="B242" s="23" t="s">
        <x:v>78</x:v>
      </x:c>
      <x:c r="C242" s="23" t="s">
        <x:v>16</x:v>
      </x:c>
      <x:c r="D242" s="23" t="s">
        <x:v>131</x:v>
      </x:c>
      <x:c r="E242" s="23" t="s">
        <x:v>184</x:v>
      </x:c>
      <x:c r="F242" s="23">
        <x:v>14</x:v>
      </x:c>
      <x:c r="G242" s="23">
        <x:v>1</x:v>
      </x:c>
      <x:c r="H242" s="23">
        <x:v>15</x:v>
      </x:c>
      <x:c r="I242" s="23">
        <x:v>3506</x:v>
      </x:c>
      <x:c r="J242" s="23">
        <x:v>7114</x:v>
      </x:c>
      <x:c r="K242" s="23">
        <x:v>0</x:v>
      </x:c>
      <x:c r="L242" s="23" t="s">
        <x:v>270</x:v>
      </x:c>
      <x:c r="M242" s="23">
        <x:f t="shared" si="3"/>
        <x:v>544</x:v>
      </x:c>
      <x:c r="N242" s="24" t="str">
        <x:f t="array" ref="N242">INDEX('MATCH INFO'!O:O, INT((ROW()-2)/10)+2 + 29+29)</x:f>
        <x:v>260621_FLC_SB_S1</x:v>
      </x:c>
    </x:row>
    <x:row r="243">
      <x:c r="A243" s="23" t="s">
        <x:v>72</x:v>
      </x:c>
      <x:c r="B243" s="23" t="s">
        <x:v>79</x:v>
      </x:c>
      <x:c r="C243" s="23" t="s">
        <x:v>16</x:v>
      </x:c>
      <x:c r="D243" s="23" t="s">
        <x:v>131</x:v>
      </x:c>
      <x:c r="E243" s="23" t="s">
        <x:v>184</x:v>
      </x:c>
      <x:c r="F243" s="23">
        <x:v>10</x:v>
      </x:c>
      <x:c r="G243" s="23">
        <x:v>3</x:v>
      </x:c>
      <x:c r="H243" s="23">
        <x:v>27</x:v>
      </x:c>
      <x:c r="I243" s="23">
        <x:v>4429</x:v>
      </x:c>
      <x:c r="J243" s="23">
        <x:v>9298</x:v>
      </x:c>
      <x:c r="K243" s="23">
        <x:v>0</x:v>
      </x:c>
      <x:c r="L243" s="23" t="s">
        <x:v>270</x:v>
      </x:c>
      <x:c r="M243" s="23">
        <x:f t="shared" si="3"/>
        <x:v>544</x:v>
      </x:c>
      <x:c r="N243" s="24" t="str">
        <x:f t="array" ref="N243">INDEX('MATCH INFO'!O:O, INT((ROW()-2)/10)+2 + 29+29)</x:f>
        <x:v>260621_FLC_SB_S1</x:v>
      </x:c>
    </x:row>
    <x:row r="244">
      <x:c r="A244" s="23" t="s">
        <x:v>72</x:v>
      </x:c>
      <x:c r="B244" s="23" t="s">
        <x:v>74</x:v>
      </x:c>
      <x:c r="C244" s="23" t="s">
        <x:v>8</x:v>
      </x:c>
      <x:c r="D244" s="23" t="s">
        <x:v>131</x:v>
      </x:c>
      <x:c r="E244" s="23" t="s">
        <x:v>184</x:v>
      </x:c>
      <x:c r="F244" s="23">
        <x:v>26</x:v>
      </x:c>
      <x:c r="G244" s="23">
        <x:v>2</x:v>
      </x:c>
      <x:c r="H244" s="23">
        <x:v>15</x:v>
      </x:c>
      <x:c r="I244" s="23">
        <x:v>8885</x:v>
      </x:c>
      <x:c r="J244" s="23">
        <x:v>2436</x:v>
      </x:c>
      <x:c r="K244" s="23">
        <x:v>12483</x:v>
      </x:c>
      <x:c r="L244" s="23" t="s">
        <x:v>270</x:v>
      </x:c>
      <x:c r="M244" s="23">
        <x:f t="shared" si="3"/>
        <x:v>544</x:v>
      </x:c>
      <x:c r="N244" s="24" t="str">
        <x:f t="array" ref="N244">INDEX('MATCH INFO'!O:O, INT((ROW()-2)/10)+2 + 29+29)</x:f>
        <x:v>260621_FLC_SB_S1</x:v>
      </x:c>
    </x:row>
    <x:row r="245">
      <x:c r="A245" s="23" t="s">
        <x:v>72</x:v>
      </x:c>
      <x:c r="B245" s="23" t="s">
        <x:v>77</x:v>
      </x:c>
      <x:c r="C245" s="23" t="s">
        <x:v>11</x:v>
      </x:c>
      <x:c r="D245" s="23" t="s">
        <x:v>131</x:v>
      </x:c>
      <x:c r="E245" s="23" t="s">
        <x:v>184</x:v>
      </x:c>
      <x:c r="F245" s="23">
        <x:v>20</x:v>
      </x:c>
      <x:c r="G245" s="23">
        <x:v>6</x:v>
      </x:c>
      <x:c r="H245" s="23">
        <x:v>2</x:v>
      </x:c>
      <x:c r="I245" s="23">
        <x:v>9719</x:v>
      </x:c>
      <x:c r="J245" s="23">
        <x:v>215</x:v>
      </x:c>
      <x:c r="K245" s="23">
        <x:v>788</x:v>
      </x:c>
      <x:c r="L245" s="23" t="s">
        <x:v>270</x:v>
      </x:c>
      <x:c r="M245" s="23">
        <x:f t="shared" si="3"/>
        <x:v>544</x:v>
      </x:c>
      <x:c r="N245" s="24" t="str">
        <x:f t="array" ref="N245">INDEX('MATCH INFO'!O:O, INT((ROW()-2)/10)+2 + 29+29)</x:f>
        <x:v>260621_FLC_SB_S1</x:v>
      </x:c>
    </x:row>
    <x:row r="246">
      <x:c r="A246" s="23" t="s">
        <x:v>72</x:v>
      </x:c>
      <x:c r="B246" s="23" t="s">
        <x:v>75</x:v>
      </x:c>
      <x:c r="C246" s="23" t="s">
        <x:v>11</x:v>
      </x:c>
      <x:c r="D246" s="23" t="s">
        <x:v>131</x:v>
      </x:c>
      <x:c r="E246" s="23" t="s">
        <x:v>184</x:v>
      </x:c>
      <x:c r="F246" s="23">
        <x:v>21</x:v>
      </x:c>
      <x:c r="G246" s="23">
        <x:v>3</x:v>
      </x:c>
      <x:c r="H246" s="23">
        <x:v>7</x:v>
      </x:c>
      <x:c r="I246" s="23">
        <x:v>7692</x:v>
      </x:c>
      <x:c r="J246" s="23">
        <x:v>56</x:v>
      </x:c>
      <x:c r="K246" s="23">
        <x:v>0</x:v>
      </x:c>
      <x:c r="L246" s="23" t="s">
        <x:v>270</x:v>
      </x:c>
      <x:c r="M246" s="23">
        <x:f t="shared" si="3"/>
        <x:v>544</x:v>
      </x:c>
      <x:c r="N246" s="24" t="str">
        <x:f t="array" ref="N246">INDEX('MATCH INFO'!O:O, INT((ROW()-2)/10)+2 + 29+29)</x:f>
        <x:v>260621_FLC_SB_S1</x:v>
      </x:c>
    </x:row>
    <x:row r="247">
      <x:c r="A247" s="23" t="s">
        <x:v>81</x:v>
      </x:c>
      <x:c r="B247" s="23" t="s">
        <x:v>84</x:v>
      </x:c>
      <x:c r="C247" s="23" t="s">
        <x:v>11</x:v>
      </x:c>
      <x:c r="D247" s="23" t="s">
        <x:v>131</x:v>
      </x:c>
      <x:c r="E247" s="23" t="s">
        <x:v>184</x:v>
      </x:c>
      <x:c r="F247" s="23">
        <x:v>7</x:v>
      </x:c>
      <x:c r="G247" s="23">
        <x:v>6</x:v>
      </x:c>
      <x:c r="H247" s="23">
        <x:v>0</x:v>
      </x:c>
      <x:c r="I247" s="23">
        <x:v>5679</x:v>
      </x:c>
      <x:c r="J247" s="23">
        <x:v>0</x:v>
      </x:c>
      <x:c r="K247" s="23">
        <x:v>0</x:v>
      </x:c>
      <x:c r="L247" s="23" t="s">
        <x:v>270</x:v>
      </x:c>
      <x:c r="M247" s="23">
        <x:f t="shared" si="3"/>
        <x:v>544</x:v>
      </x:c>
      <x:c r="N247" s="24" t="str">
        <x:f t="array" ref="N247">INDEX('MATCH INFO'!O:O, INT((ROW()-2)/10)+2 + 29+29)</x:f>
        <x:v>260621_FLC_SB_S1</x:v>
      </x:c>
    </x:row>
    <x:row r="248">
      <x:c r="A248" s="23" t="s">
        <x:v>81</x:v>
      </x:c>
      <x:c r="B248" s="23" t="s">
        <x:v>82</x:v>
      </x:c>
      <x:c r="C248" s="23" t="s">
        <x:v>8</x:v>
      </x:c>
      <x:c r="D248" s="23" t="s">
        <x:v>131</x:v>
      </x:c>
      <x:c r="E248" s="23" t="s">
        <x:v>184</x:v>
      </x:c>
      <x:c r="F248" s="23">
        <x:v>9</x:v>
      </x:c>
      <x:c r="G248" s="23">
        <x:v>6</x:v>
      </x:c>
      <x:c r="H248" s="23">
        <x:v>5</x:v>
      </x:c>
      <x:c r="I248" s="23">
        <x:v>7913</x:v>
      </x:c>
      <x:c r="J248" s="23">
        <x:v>1370</x:v>
      </x:c>
      <x:c r="K248" s="23">
        <x:v>15581</x:v>
      </x:c>
      <x:c r="L248" s="23" t="s">
        <x:v>270</x:v>
      </x:c>
      <x:c r="M248" s="23">
        <x:f t="shared" si="3"/>
        <x:v>544</x:v>
      </x:c>
      <x:c r="N248" s="24" t="str">
        <x:f t="array" ref="N248">INDEX('MATCH INFO'!O:O, INT((ROW()-2)/10)+2 + 29+29)</x:f>
        <x:v>260621_FLC_SB_S1</x:v>
      </x:c>
    </x:row>
    <x:row r="249">
      <x:c r="A249" s="23" t="s">
        <x:v>81</x:v>
      </x:c>
      <x:c r="B249" s="23" t="s">
        <x:v>86</x:v>
      </x:c>
      <x:c r="C249" s="23" t="s">
        <x:v>16</x:v>
      </x:c>
      <x:c r="D249" s="23" t="s">
        <x:v>131</x:v>
      </x:c>
      <x:c r="E249" s="23" t="s">
        <x:v>184</x:v>
      </x:c>
      <x:c r="F249" s="23">
        <x:v>8</x:v>
      </x:c>
      <x:c r="G249" s="23">
        <x:v>9</x:v>
      </x:c>
      <x:c r="H249" s="23">
        <x:v>8</x:v>
      </x:c>
      <x:c r="I249" s="23">
        <x:v>4290</x:v>
      </x:c>
      <x:c r="J249" s="23">
        <x:v>7305</x:v>
      </x:c>
      <x:c r="K249" s="23">
        <x:v>2670</x:v>
      </x:c>
      <x:c r="L249" s="23" t="s">
        <x:v>270</x:v>
      </x:c>
      <x:c r="M249" s="23">
        <x:f t="shared" si="3"/>
        <x:v>544</x:v>
      </x:c>
      <x:c r="N249" s="24" t="str">
        <x:f t="array" ref="N249">INDEX('MATCH INFO'!O:O, INT((ROW()-2)/10)+2 + 29+29)</x:f>
        <x:v>260621_FLC_SB_S1</x:v>
      </x:c>
    </x:row>
    <x:row r="250">
      <x:c r="A250" s="23" t="s">
        <x:v>81</x:v>
      </x:c>
      <x:c r="B250" s="23" t="s">
        <x:v>85</x:v>
      </x:c>
      <x:c r="C250" s="23" t="s">
        <x:v>11</x:v>
      </x:c>
      <x:c r="D250" s="23" t="s">
        <x:v>131</x:v>
      </x:c>
      <x:c r="E250" s="23" t="s">
        <x:v>184</x:v>
      </x:c>
      <x:c r="F250" s="23">
        <x:v>9</x:v>
      </x:c>
      <x:c r="G250" s="23">
        <x:v>9</x:v>
      </x:c>
      <x:c r="H250" s="23">
        <x:v>1</x:v>
      </x:c>
      <x:c r="I250" s="23">
        <x:v>7384</x:v>
      </x:c>
      <x:c r="J250" s="23">
        <x:v>579</x:v>
      </x:c>
      <x:c r="K250" s="23">
        <x:v>815</x:v>
      </x:c>
      <x:c r="L250" s="23" t="s">
        <x:v>270</x:v>
      </x:c>
      <x:c r="M250" s="23">
        <x:f t="shared" si="3"/>
        <x:v>544</x:v>
      </x:c>
      <x:c r="N250" s="24" t="str">
        <x:f t="array" ref="N250">INDEX('MATCH INFO'!O:O, INT((ROW()-2)/10)+2 + 29+29)</x:f>
        <x:v>260621_FLC_SB_S1</x:v>
      </x:c>
    </x:row>
    <x:row r="251">
      <x:c r="A251" s="23" t="s">
        <x:v>81</x:v>
      </x:c>
      <x:c r="B251" s="23" t="s">
        <x:v>88</x:v>
      </x:c>
      <x:c r="C251" s="23" t="s">
        <x:v>16</x:v>
      </x:c>
      <x:c r="D251" s="23" t="s">
        <x:v>131</x:v>
      </x:c>
      <x:c r="E251" s="23" t="s">
        <x:v>184</x:v>
      </x:c>
      <x:c r="F251" s="23">
        <x:v>1</x:v>
      </x:c>
      <x:c r="G251" s="23">
        <x:v>9</x:v>
      </x:c>
      <x:c r="H251" s="23">
        <x:v>6</x:v>
      </x:c>
      <x:c r="I251" s="23">
        <x:v>2348</x:v>
      </x:c>
      <x:c r="J251" s="23">
        <x:v>7585</x:v>
      </x:c>
      <x:c r="K251" s="23">
        <x:v>0</x:v>
      </x:c>
      <x:c r="L251" s="23" t="s">
        <x:v>270</x:v>
      </x:c>
      <x:c r="M251" s="23">
        <x:f t="shared" si="3"/>
        <x:v>544</x:v>
      </x:c>
      <x:c r="N251" s="24" t="str">
        <x:f t="array" ref="N251">INDEX('MATCH INFO'!O:O, INT((ROW()-2)/10)+2 + 29+29)</x:f>
        <x:v>260621_FLC_SB_S1</x:v>
      </x:c>
    </x:row>
    <x:row r="252">
      <x:c r="A252" s="23" t="s">
        <x:v>81</x:v>
      </x:c>
      <x:c r="B252" s="23" t="s">
        <x:v>84</x:v>
      </x:c>
      <x:c r="C252" s="23" t="s">
        <x:v>11</x:v>
      </x:c>
      <x:c r="D252" s="23" t="s">
        <x:v>124</x:v>
      </x:c>
      <x:c r="E252" s="23" t="s">
        <x:v>186</x:v>
      </x:c>
      <x:c r="F252" s="23">
        <x:v>3</x:v>
      </x:c>
      <x:c r="G252" s="23">
        <x:v>5</x:v>
      </x:c>
      <x:c r="H252" s="23">
        <x:v>0</x:v>
      </x:c>
      <x:c r="I252" s="23">
        <x:v>4185</x:v>
      </x:c>
      <x:c r="J252" s="23">
        <x:v>47</x:v>
      </x:c>
      <x:c r="K252" s="23">
        <x:v>309</x:v>
      </x:c>
      <x:c r="L252" s="23" t="s">
        <x:v>271</x:v>
      </x:c>
      <x:c r="M252" s="23">
        <x:f t="shared" si="3"/>
        <x:v>368</x:v>
      </x:c>
      <x:c r="N252" s="24" t="str">
        <x:f t="array" ref="N252">INDEX('MATCH INFO'!O:O, INT((ROW()-2)/10)+2 + 29+29)</x:f>
        <x:v>260621_FLC_SB_S2</x:v>
      </x:c>
    </x:row>
    <x:row r="253">
      <x:c r="A253" s="23" t="s">
        <x:v>81</x:v>
      </x:c>
      <x:c r="B253" s="23" t="s">
        <x:v>87</x:v>
      </x:c>
      <x:c r="C253" s="23" t="s">
        <x:v>16</x:v>
      </x:c>
      <x:c r="D253" s="23" t="s">
        <x:v>124</x:v>
      </x:c>
      <x:c r="E253" s="23" t="s">
        <x:v>186</x:v>
      </x:c>
      <x:c r="F253" s="23">
        <x:v>1</x:v>
      </x:c>
      <x:c r="G253" s="23">
        <x:v>3</x:v>
      </x:c>
      <x:c r="H253" s="23">
        <x:v>1</x:v>
      </x:c>
      <x:c r="I253" s="23">
        <x:v>2131</x:v>
      </x:c>
      <x:c r="J253" s="23">
        <x:v>2547</x:v>
      </x:c>
      <x:c r="K253" s="23">
        <x:v>660</x:v>
      </x:c>
      <x:c r="L253" s="23" t="s">
        <x:v>271</x:v>
      </x:c>
      <x:c r="M253" s="23">
        <x:f t="shared" si="3"/>
        <x:v>368</x:v>
      </x:c>
      <x:c r="N253" s="24" t="str">
        <x:f t="array" ref="N253">INDEX('MATCH INFO'!O:O, INT((ROW()-2)/10)+2 + 29+29)</x:f>
        <x:v>260621_FLC_SB_S2</x:v>
      </x:c>
    </x:row>
    <x:row r="254">
      <x:c r="A254" s="23" t="s">
        <x:v>81</x:v>
      </x:c>
      <x:c r="B254" s="23" t="s">
        <x:v>83</x:v>
      </x:c>
      <x:c r="C254" s="23" t="s">
        <x:v>8</x:v>
      </x:c>
      <x:c r="D254" s="23" t="s">
        <x:v>124</x:v>
      </x:c>
      <x:c r="E254" s="23" t="s">
        <x:v>186</x:v>
      </x:c>
      <x:c r="F254" s="23">
        <x:v>0</x:v>
      </x:c>
      <x:c r="G254" s="23">
        <x:v>6</x:v>
      </x:c>
      <x:c r="H254" s="23">
        <x:v>0</x:v>
      </x:c>
      <x:c r="I254" s="23">
        <x:v>2855</x:v>
      </x:c>
      <x:c r="J254" s="23">
        <x:v>677</x:v>
      </x:c>
      <x:c r="K254" s="23">
        <x:v>3584</x:v>
      </x:c>
      <x:c r="L254" s="23" t="s">
        <x:v>271</x:v>
      </x:c>
      <x:c r="M254" s="23">
        <x:f t="shared" si="3"/>
        <x:v>368</x:v>
      </x:c>
      <x:c r="N254" s="24" t="str">
        <x:f t="array" ref="N254">INDEX('MATCH INFO'!O:O, INT((ROW()-2)/10)+2 + 29+29)</x:f>
        <x:v>260621_FLC_SB_S2</x:v>
      </x:c>
    </x:row>
    <x:row r="255">
      <x:c r="A255" s="23" t="s">
        <x:v>81</x:v>
      </x:c>
      <x:c r="B255" s="23" t="s">
        <x:v>85</x:v>
      </x:c>
      <x:c r="C255" s="23" t="s">
        <x:v>11</x:v>
      </x:c>
      <x:c r="D255" s="23" t="s">
        <x:v>124</x:v>
      </x:c>
      <x:c r="E255" s="23" t="s">
        <x:v>186</x:v>
      </x:c>
      <x:c r="F255" s="23">
        <x:v>2</x:v>
      </x:c>
      <x:c r="G255" s="23">
        <x:v>6</x:v>
      </x:c>
      <x:c r="H255" s="23">
        <x:v>0</x:v>
      </x:c>
      <x:c r="I255" s="23">
        <x:v>3729</x:v>
      </x:c>
      <x:c r="J255" s="23">
        <x:v>0</x:v>
      </x:c>
      <x:c r="K255" s="23">
        <x:v>0</x:v>
      </x:c>
      <x:c r="L255" s="23" t="s">
        <x:v>271</x:v>
      </x:c>
      <x:c r="M255" s="23">
        <x:f t="shared" si="3"/>
        <x:v>368</x:v>
      </x:c>
      <x:c r="N255" s="24" t="str">
        <x:f t="array" ref="N255">INDEX('MATCH INFO'!O:O, INT((ROW()-2)/10)+2 + 29+29)</x:f>
        <x:v>260621_FLC_SB_S2</x:v>
      </x:c>
    </x:row>
    <x:row r="256">
      <x:c r="A256" s="23" t="s">
        <x:v>81</x:v>
      </x:c>
      <x:c r="B256" s="23" t="s">
        <x:v>88</x:v>
      </x:c>
      <x:c r="C256" s="23" t="s">
        <x:v>16</x:v>
      </x:c>
      <x:c r="D256" s="23" t="s">
        <x:v>124</x:v>
      </x:c>
      <x:c r="E256" s="23" t="s">
        <x:v>186</x:v>
      </x:c>
      <x:c r="F256" s="23">
        <x:v>1</x:v>
      </x:c>
      <x:c r="G256" s="23">
        <x:v>7</x:v>
      </x:c>
      <x:c r="H256" s="23">
        <x:v>2</x:v>
      </x:c>
      <x:c r="I256" s="23">
        <x:v>3032</x:v>
      </x:c>
      <x:c r="J256" s="23">
        <x:v>5643</x:v>
      </x:c>
      <x:c r="K256" s="23">
        <x:v>0</x:v>
      </x:c>
      <x:c r="L256" s="23" t="s">
        <x:v>271</x:v>
      </x:c>
      <x:c r="M256" s="23">
        <x:f t="shared" si="3"/>
        <x:v>368</x:v>
      </x:c>
      <x:c r="N256" s="24" t="str">
        <x:f t="array" ref="N256">INDEX('MATCH INFO'!O:O, INT((ROW()-2)/10)+2 + 29+29)</x:f>
        <x:v>260621_FLC_SB_S2</x:v>
      </x:c>
    </x:row>
    <x:row r="257">
      <x:c r="A257" s="23" t="s">
        <x:v>72</x:v>
      </x:c>
      <x:c r="B257" s="23" t="s">
        <x:v>76</x:v>
      </x:c>
      <x:c r="C257" s="23" t="s">
        <x:v>11</x:v>
      </x:c>
      <x:c r="D257" s="23" t="s">
        <x:v>124</x:v>
      </x:c>
      <x:c r="E257" s="23" t="s">
        <x:v>186</x:v>
      </x:c>
      <x:c r="F257" s="23">
        <x:v>14</x:v>
      </x:c>
      <x:c r="G257" s="23">
        <x:v>0</x:v>
      </x:c>
      <x:c r="H257" s="23">
        <x:v>6</x:v>
      </x:c>
      <x:c r="I257" s="23">
        <x:v>4246</x:v>
      </x:c>
      <x:c r="J257" s="23">
        <x:v>312</x:v>
      </x:c>
      <x:c r="K257" s="23">
        <x:v>3352</x:v>
      </x:c>
      <x:c r="L257" s="23" t="s">
        <x:v>271</x:v>
      </x:c>
      <x:c r="M257" s="23">
        <x:f t="shared" si="3"/>
        <x:v>368</x:v>
      </x:c>
      <x:c r="N257" s="24" t="str">
        <x:f t="array" ref="N257">INDEX('MATCH INFO'!O:O, INT((ROW()-2)/10)+2 + 29+29)</x:f>
        <x:v>260621_FLC_SB_S2</x:v>
      </x:c>
    </x:row>
    <x:row r="258">
      <x:c r="A258" s="23" t="s">
        <x:v>72</x:v>
      </x:c>
      <x:c r="B258" s="23" t="s">
        <x:v>78</x:v>
      </x:c>
      <x:c r="C258" s="23" t="s">
        <x:v>16</x:v>
      </x:c>
      <x:c r="D258" s="23" t="s">
        <x:v>124</x:v>
      </x:c>
      <x:c r="E258" s="23" t="s">
        <x:v>186</x:v>
      </x:c>
      <x:c r="F258" s="23">
        <x:v>11</x:v>
      </x:c>
      <x:c r="G258" s="23">
        <x:v>1</x:v>
      </x:c>
      <x:c r="H258" s="23">
        <x:v>12</x:v>
      </x:c>
      <x:c r="I258" s="23">
        <x:v>1826</x:v>
      </x:c>
      <x:c r="J258" s="23">
        <x:v>6892</x:v>
      </x:c>
      <x:c r="K258" s="23">
        <x:v>0</x:v>
      </x:c>
      <x:c r="L258" s="23" t="s">
        <x:v>271</x:v>
      </x:c>
      <x:c r="M258" s="23" t="e">
        <x:f t="shared" ref="M258:M321" si="4">L258*86400</x:f>
        <x:v>#VALUE!</x:v>
      </x:c>
      <x:c r="N258" s="24" t="str">
        <x:f t="array" ref="N258">INDEX('MATCH INFO'!O:O, INT((ROW()-2)/10)+2 + 29+29)</x:f>
        <x:v>260621_FLC_SB_S2</x:v>
      </x:c>
    </x:row>
    <x:row r="259">
      <x:c r="A259" s="23" t="s">
        <x:v>72</x:v>
      </x:c>
      <x:c r="B259" s="23" t="s">
        <x:v>79</x:v>
      </x:c>
      <x:c r="C259" s="23" t="s">
        <x:v>16</x:v>
      </x:c>
      <x:c r="D259" s="23" t="s">
        <x:v>124</x:v>
      </x:c>
      <x:c r="E259" s="23" t="s">
        <x:v>186</x:v>
      </x:c>
      <x:c r="F259" s="23">
        <x:v>15</x:v>
      </x:c>
      <x:c r="G259" s="23">
        <x:v>1</x:v>
      </x:c>
      <x:c r="H259" s="23">
        <x:v>15</x:v>
      </x:c>
      <x:c r="I259" s="23">
        <x:v>2744</x:v>
      </x:c>
      <x:c r="J259" s="23">
        <x:v>6585</x:v>
      </x:c>
      <x:c r="K259" s="23">
        <x:v>0</x:v>
      </x:c>
      <x:c r="L259" s="23" t="s">
        <x:v>271</x:v>
      </x:c>
      <x:c r="M259" s="23">
        <x:f t="shared" si="4"/>
        <x:v>368</x:v>
      </x:c>
      <x:c r="N259" s="24" t="str">
        <x:f t="array" ref="N259">INDEX('MATCH INFO'!O:O, INT((ROW()-2)/10)+2 + 29+29)</x:f>
        <x:v>260621_FLC_SB_S2</x:v>
      </x:c>
    </x:row>
    <x:row r="260">
      <x:c r="A260" s="23" t="s">
        <x:v>72</x:v>
      </x:c>
      <x:c r="B260" s="23" t="s">
        <x:v>77</x:v>
      </x:c>
      <x:c r="C260" s="23" t="s">
        <x:v>11</x:v>
      </x:c>
      <x:c r="D260" s="23" t="s">
        <x:v>124</x:v>
      </x:c>
      <x:c r="E260" s="23" t="s">
        <x:v>186</x:v>
      </x:c>
      <x:c r="F260" s="23">
        <x:v>19</x:v>
      </x:c>
      <x:c r="G260" s="23">
        <x:v>1</x:v>
      </x:c>
      <x:c r="H260" s="23">
        <x:v>0</x:v>
      </x:c>
      <x:c r="I260" s="23">
        <x:v>7601</x:v>
      </x:c>
      <x:c r="J260" s="23">
        <x:v>0</x:v>
      </x:c>
      <x:c r="K260" s="23">
        <x:v>0</x:v>
      </x:c>
      <x:c r="L260" s="23" t="s">
        <x:v>271</x:v>
      </x:c>
      <x:c r="M260" s="23">
        <x:f t="shared" si="4"/>
        <x:v>368</x:v>
      </x:c>
      <x:c r="N260" s="24" t="str">
        <x:f t="array" ref="N260">INDEX('MATCH INFO'!O:O, INT((ROW()-2)/10)+2 + 29+29)</x:f>
        <x:v>260621_FLC_SB_S2</x:v>
      </x:c>
    </x:row>
    <x:row r="261">
      <x:c r="A261" s="23" t="s">
        <x:v>72</x:v>
      </x:c>
      <x:c r="B261" s="23" t="s">
        <x:v>73</x:v>
      </x:c>
      <x:c r="C261" s="23" t="s">
        <x:v>8</x:v>
      </x:c>
      <x:c r="D261" s="23" t="s">
        <x:v>124</x:v>
      </x:c>
      <x:c r="E261" s="23" t="s">
        <x:v>186</x:v>
      </x:c>
      <x:c r="F261" s="23">
        <x:v>9</x:v>
      </x:c>
      <x:c r="G261" s="23">
        <x:v>0</x:v>
      </x:c>
      <x:c r="H261" s="23">
        <x:v>2</x:v>
      </x:c>
      <x:c r="I261" s="23">
        <x:v>5132</x:v>
      </x:c>
      <x:c r="J261" s="23">
        <x:v>0</x:v>
      </x:c>
      <x:c r="K261" s="23">
        <x:v>11863</x:v>
      </x:c>
      <x:c r="L261" s="23" t="s">
        <x:v>271</x:v>
      </x:c>
      <x:c r="M261" s="23">
        <x:f t="shared" si="4"/>
        <x:v>368</x:v>
      </x:c>
      <x:c r="N261" s="24" t="str">
        <x:f t="array" ref="N261">INDEX('MATCH INFO'!O:O, INT((ROW()-2)/10)+2 + 29+29)</x:f>
        <x:v>260621_FLC_SB_S2</x:v>
      </x:c>
    </x:row>
    <x:row r="262">
      <x:c r="A262" s="23" t="s">
        <x:v>81</x:v>
      </x:c>
      <x:c r="B262" s="23" t="s">
        <x:v>84</x:v>
      </x:c>
      <x:c r="C262" s="23" t="s">
        <x:v>11</x:v>
      </x:c>
      <x:c r="D262" s="23" t="s">
        <x:v>138</x:v>
      </x:c>
      <x:c r="E262" s="23" t="s">
        <x:v>191</x:v>
      </x:c>
      <x:c r="F262" s="23">
        <x:v>11</x:v>
      </x:c>
      <x:c r="G262" s="23">
        <x:v>9</x:v>
      </x:c>
      <x:c r="H262" s="23">
        <x:v>3</x:v>
      </x:c>
      <x:c r="I262" s="23">
        <x:v>8575</x:v>
      </x:c>
      <x:c r="J262" s="23">
        <x:v>1968</x:v>
      </x:c>
      <x:c r="K262" s="23">
        <x:v>3556</x:v>
      </x:c>
      <x:c r="L262" s="23" t="s">
        <x:v>272</x:v>
      </x:c>
      <x:c r="M262" s="23">
        <x:f t="shared" si="4"/>
        <x:v>691</x:v>
      </x:c>
      <x:c r="N262" s="24" t="str">
        <x:f t="array" ref="N262">INDEX('MATCH INFO'!O:O, INT((ROW()-2)/10)+2 + 29+29)</x:f>
        <x:v>260621_FLC_SB_S3</x:v>
      </x:c>
    </x:row>
    <x:row r="263">
      <x:c r="A263" s="23" t="s">
        <x:v>81</x:v>
      </x:c>
      <x:c r="B263" s="23" t="s">
        <x:v>82</x:v>
      </x:c>
      <x:c r="C263" s="23" t="s">
        <x:v>8</x:v>
      </x:c>
      <x:c r="D263" s="23" t="s">
        <x:v>138</x:v>
      </x:c>
      <x:c r="E263" s="23" t="s">
        <x:v>191</x:v>
      </x:c>
      <x:c r="F263" s="23">
        <x:v>15</x:v>
      </x:c>
      <x:c r="G263" s="23">
        <x:v>7</x:v>
      </x:c>
      <x:c r="H263" s="23">
        <x:v>3</x:v>
      </x:c>
      <x:c r="I263" s="23">
        <x:v>10535</x:v>
      </x:c>
      <x:c r="J263" s="23">
        <x:v>364</x:v>
      </x:c>
      <x:c r="K263" s="23">
        <x:v>19183</x:v>
      </x:c>
      <x:c r="L263" s="23" t="s">
        <x:v>272</x:v>
      </x:c>
      <x:c r="M263" s="23">
        <x:f t="shared" si="4"/>
        <x:v>691</x:v>
      </x:c>
      <x:c r="N263" s="24" t="str">
        <x:f t="array" ref="N263">INDEX('MATCH INFO'!O:O, INT((ROW()-2)/10)+2 + 29+29)</x:f>
        <x:v>260621_FLC_SB_S3</x:v>
      </x:c>
    </x:row>
    <x:row r="264">
      <x:c r="A264" s="23" t="s">
        <x:v>81</x:v>
      </x:c>
      <x:c r="B264" s="23" t="s">
        <x:v>86</x:v>
      </x:c>
      <x:c r="C264" s="23" t="s">
        <x:v>16</x:v>
      </x:c>
      <x:c r="D264" s="23" t="s">
        <x:v>138</x:v>
      </x:c>
      <x:c r="E264" s="23" t="s">
        <x:v>191</x:v>
      </x:c>
      <x:c r="F264" s="23">
        <x:v>4</x:v>
      </x:c>
      <x:c r="G264" s="23">
        <x:v>8</x:v>
      </x:c>
      <x:c r="H264" s="23">
        <x:v>14</x:v>
      </x:c>
      <x:c r="I264" s="23">
        <x:v>3715</x:v>
      </x:c>
      <x:c r="J264" s="23">
        <x:v>13482</x:v>
      </x:c>
      <x:c r="K264" s="23">
        <x:v>0</x:v>
      </x:c>
      <x:c r="L264" s="23" t="s">
        <x:v>272</x:v>
      </x:c>
      <x:c r="M264" s="23">
        <x:f t="shared" si="4"/>
        <x:v>691</x:v>
      </x:c>
      <x:c r="N264" s="24" t="str">
        <x:f t="array" ref="N264">INDEX('MATCH INFO'!O:O, INT((ROW()-2)/10)+2 + 29+29)</x:f>
        <x:v>260621_FLC_SB_S3</x:v>
      </x:c>
    </x:row>
    <x:row r="265">
      <x:c r="A265" s="23" t="s">
        <x:v>81</x:v>
      </x:c>
      <x:c r="B265" s="23" t="s">
        <x:v>85</x:v>
      </x:c>
      <x:c r="C265" s="23" t="s">
        <x:v>11</x:v>
      </x:c>
      <x:c r="D265" s="23" t="s">
        <x:v>138</x:v>
      </x:c>
      <x:c r="E265" s="23" t="s">
        <x:v>191</x:v>
      </x:c>
      <x:c r="F265" s="23">
        <x:v>11</x:v>
      </x:c>
      <x:c r="G265" s="23">
        <x:v>8</x:v>
      </x:c>
      <x:c r="H265" s="23">
        <x:v>0</x:v>
      </x:c>
      <x:c r="I265" s="23">
        <x:v>10196</x:v>
      </x:c>
      <x:c r="J265" s="23">
        <x:v>0</x:v>
      </x:c>
      <x:c r="K265" s="23">
        <x:v>0</x:v>
      </x:c>
      <x:c r="L265" s="23" t="s">
        <x:v>272</x:v>
      </x:c>
      <x:c r="M265" s="23">
        <x:f t="shared" si="4"/>
        <x:v>691</x:v>
      </x:c>
      <x:c r="N265" s="24" t="str">
        <x:f t="array" ref="N265">INDEX('MATCH INFO'!O:O, INT((ROW()-2)/10)+2 + 29+29)</x:f>
        <x:v>260621_FLC_SB_S3</x:v>
      </x:c>
    </x:row>
    <x:row r="266">
      <x:c r="A266" s="23" t="s">
        <x:v>81</x:v>
      </x:c>
      <x:c r="B266" s="23" t="s">
        <x:v>88</x:v>
      </x:c>
      <x:c r="C266" s="23" t="s">
        <x:v>16</x:v>
      </x:c>
      <x:c r="D266" s="23" t="s">
        <x:v>138</x:v>
      </x:c>
      <x:c r="E266" s="23" t="s">
        <x:v>191</x:v>
      </x:c>
      <x:c r="F266" s="23">
        <x:v>10</x:v>
      </x:c>
      <x:c r="G266" s="23">
        <x:v>9</x:v>
      </x:c>
      <x:c r="H266" s="23">
        <x:v>8</x:v>
      </x:c>
      <x:c r="I266" s="23">
        <x:v>9072</x:v>
      </x:c>
      <x:c r="J266" s="23">
        <x:v>7076</x:v>
      </x:c>
      <x:c r="K266" s="23">
        <x:v>1275</x:v>
      </x:c>
      <x:c r="L266" s="23" t="s">
        <x:v>272</x:v>
      </x:c>
      <x:c r="M266" s="23">
        <x:f t="shared" si="4"/>
        <x:v>691</x:v>
      </x:c>
      <x:c r="N266" s="24" t="str">
        <x:f t="array" ref="N266">INDEX('MATCH INFO'!O:O, INT((ROW()-2)/10)+2 + 29+29)</x:f>
        <x:v>260621_FLC_SB_S3</x:v>
      </x:c>
    </x:row>
    <x:row r="267">
      <x:c r="A267" s="23" t="s">
        <x:v>72</x:v>
      </x:c>
      <x:c r="B267" s="23" t="s">
        <x:v>76</x:v>
      </x:c>
      <x:c r="C267" s="23" t="s">
        <x:v>11</x:v>
      </x:c>
      <x:c r="D267" s="23" t="s">
        <x:v>138</x:v>
      </x:c>
      <x:c r="E267" s="23" t="s">
        <x:v>191</x:v>
      </x:c>
      <x:c r="F267" s="23">
        <x:v>26</x:v>
      </x:c>
      <x:c r="G267" s="23">
        <x:v>5</x:v>
      </x:c>
      <x:c r="H267" s="23">
        <x:v>2</x:v>
      </x:c>
      <x:c r="I267" s="23">
        <x:v>8972</x:v>
      </x:c>
      <x:c r="J267" s="23">
        <x:v>557</x:v>
      </x:c>
      <x:c r="K267" s="23">
        <x:v>2216</x:v>
      </x:c>
      <x:c r="L267" s="23" t="s">
        <x:v>272</x:v>
      </x:c>
      <x:c r="M267" s="23">
        <x:f t="shared" si="4"/>
        <x:v>691</x:v>
      </x:c>
      <x:c r="N267" s="24" t="str">
        <x:f t="array" ref="N267">INDEX('MATCH INFO'!O:O, INT((ROW()-2)/10)+2 + 29+29)</x:f>
        <x:v>260621_FLC_SB_S3</x:v>
      </x:c>
    </x:row>
    <x:row r="268">
      <x:c r="A268" s="23" t="s">
        <x:v>72</x:v>
      </x:c>
      <x:c r="B268" s="23" t="s">
        <x:v>78</x:v>
      </x:c>
      <x:c r="C268" s="23" t="s">
        <x:v>16</x:v>
      </x:c>
      <x:c r="D268" s="23" t="s">
        <x:v>138</x:v>
      </x:c>
      <x:c r="E268" s="23" t="s">
        <x:v>191</x:v>
      </x:c>
      <x:c r="F268" s="23">
        <x:v>13</x:v>
      </x:c>
      <x:c r="G268" s="23">
        <x:v>4</x:v>
      </x:c>
      <x:c r="H268" s="23">
        <x:v>17</x:v>
      </x:c>
      <x:c r="I268" s="23">
        <x:v>3547</x:v>
      </x:c>
      <x:c r="J268" s="23">
        <x:v>12634</x:v>
      </x:c>
      <x:c r="K268" s="23">
        <x:v>0</x:v>
      </x:c>
      <x:c r="L268" s="23" t="s">
        <x:v>272</x:v>
      </x:c>
      <x:c r="M268" s="23">
        <x:f t="shared" si="4"/>
        <x:v>691</x:v>
      </x:c>
      <x:c r="N268" s="24" t="str">
        <x:f t="array" ref="N268">INDEX('MATCH INFO'!O:O, INT((ROW()-2)/10)+2 + 29+29)</x:f>
        <x:v>260621_FLC_SB_S3</x:v>
      </x:c>
    </x:row>
    <x:row r="269">
      <x:c r="A269" s="23" t="s">
        <x:v>72</x:v>
      </x:c>
      <x:c r="B269" s="23" t="s">
        <x:v>79</x:v>
      </x:c>
      <x:c r="C269" s="23" t="s">
        <x:v>16</x:v>
      </x:c>
      <x:c r="D269" s="23" t="s">
        <x:v>138</x:v>
      </x:c>
      <x:c r="E269" s="23" t="s">
        <x:v>191</x:v>
      </x:c>
      <x:c r="F269" s="23">
        <x:v>13</x:v>
      </x:c>
      <x:c r="G269" s="23">
        <x:v>5</x:v>
      </x:c>
      <x:c r="H269" s="23">
        <x:v>28</x:v>
      </x:c>
      <x:c r="I269" s="23">
        <x:v>5375</x:v>
      </x:c>
      <x:c r="J269" s="23">
        <x:v>13188</x:v>
      </x:c>
      <x:c r="K269" s="23">
        <x:v>0</x:v>
      </x:c>
      <x:c r="L269" s="23" t="s">
        <x:v>272</x:v>
      </x:c>
      <x:c r="M269" s="23">
        <x:f t="shared" si="4"/>
        <x:v>691</x:v>
      </x:c>
      <x:c r="N269" s="24" t="str">
        <x:f t="array" ref="N269">INDEX('MATCH INFO'!O:O, INT((ROW()-2)/10)+2 + 29+29)</x:f>
        <x:v>260621_FLC_SB_S3</x:v>
      </x:c>
    </x:row>
    <x:row r="270">
      <x:c r="A270" s="23" t="s">
        <x:v>72</x:v>
      </x:c>
      <x:c r="B270" s="23" t="s">
        <x:v>77</x:v>
      </x:c>
      <x:c r="C270" s="23" t="s">
        <x:v>11</x:v>
      </x:c>
      <x:c r="D270" s="23" t="s">
        <x:v>138</x:v>
      </x:c>
      <x:c r="E270" s="23" t="s">
        <x:v>191</x:v>
      </x:c>
      <x:c r="F270" s="23">
        <x:v>23</x:v>
      </x:c>
      <x:c r="G270" s="23">
        <x:v>5</x:v>
      </x:c>
      <x:c r="H270" s="23">
        <x:v>1</x:v>
      </x:c>
      <x:c r="I270" s="23">
        <x:v>11536</x:v>
      </x:c>
      <x:c r="J270" s="23">
        <x:v>22</x:v>
      </x:c>
      <x:c r="K270" s="23">
        <x:v>460</x:v>
      </x:c>
      <x:c r="L270" s="23" t="s">
        <x:v>272</x:v>
      </x:c>
      <x:c r="M270" s="23">
        <x:f t="shared" si="4"/>
        <x:v>691</x:v>
      </x:c>
      <x:c r="N270" s="24" t="str">
        <x:f t="array" ref="N270">INDEX('MATCH INFO'!O:O, INT((ROW()-2)/10)+2 + 29+29)</x:f>
        <x:v>260621_FLC_SB_S3</x:v>
      </x:c>
    </x:row>
    <x:row r="271">
      <x:c r="A271" s="23" t="s">
        <x:v>72</x:v>
      </x:c>
      <x:c r="B271" s="23" t="s">
        <x:v>73</x:v>
      </x:c>
      <x:c r="C271" s="23" t="s">
        <x:v>8</x:v>
      </x:c>
      <x:c r="D271" s="23" t="s">
        <x:v>138</x:v>
      </x:c>
      <x:c r="E271" s="23" t="s">
        <x:v>191</x:v>
      </x:c>
      <x:c r="F271" s="23">
        <x:v>25</x:v>
      </x:c>
      <x:c r="G271" s="23">
        <x:v>3</x:v>
      </x:c>
      <x:c r="H271" s="23">
        <x:v>2</x:v>
      </x:c>
      <x:c r="I271" s="23">
        <x:v>15056</x:v>
      </x:c>
      <x:c r="J271" s="23">
        <x:v>970</x:v>
      </x:c>
      <x:c r="K271" s="23">
        <x:v>11291</x:v>
      </x:c>
      <x:c r="L271" s="23" t="s">
        <x:v>272</x:v>
      </x:c>
      <x:c r="M271" s="23">
        <x:f t="shared" si="4"/>
        <x:v>691</x:v>
      </x:c>
      <x:c r="N271" s="24" t="str">
        <x:f t="array" ref="N271">INDEX('MATCH INFO'!O:O, INT((ROW()-2)/10)+2 + 29+29)</x:f>
        <x:v>260621_FLC_SB_S3</x:v>
      </x:c>
    </x:row>
    <x:row r="272">
      <x:c r="A272" s="23" t="s">
        <x:v>6</x:v>
      </x:c>
      <x:c r="B272" s="23" t="s">
        <x:v>15</x:v>
      </x:c>
      <x:c r="C272" s="23" t="s">
        <x:v>16</x:v>
      </x:c>
      <x:c r="D272" s="23" t="s">
        <x:v>131</x:v>
      </x:c>
      <x:c r="E272" s="23" t="s">
        <x:v>184</x:v>
      </x:c>
      <x:c r="F272" s="23">
        <x:v>12</x:v>
      </x:c>
      <x:c r="G272" s="23">
        <x:v>3</x:v>
      </x:c>
      <x:c r="H272" s="23">
        <x:v>22</x:v>
      </x:c>
      <x:c r="I272" s="23">
        <x:v>3543</x:v>
      </x:c>
      <x:c r="J272" s="23">
        <x:v>5847</x:v>
      </x:c>
      <x:c r="K272" s="23">
        <x:v>1894</x:v>
      </x:c>
      <x:c r="L272" s="23" t="s">
        <x:v>222</x:v>
      </x:c>
      <x:c r="M272" s="23">
        <x:f t="shared" si="4"/>
        <x:v>475.99999999999994</x:v>
      </x:c>
      <x:c r="N272" s="24" t="str">
        <x:f t="array" ref="N272">INDEX('MATCH INFO'!O:O, INT((ROW()-2)/10)+2 + 29+29)</x:f>
        <x:v>260621_O2_CR_S1</x:v>
      </x:c>
    </x:row>
    <x:row r="273">
      <x:c r="A273" s="23" t="s">
        <x:v>6</x:v>
      </x:c>
      <x:c r="B273" s="23" t="s">
        <x:v>18</x:v>
      </x:c>
      <x:c r="C273" s="23" t="s">
        <x:v>16</x:v>
      </x:c>
      <x:c r="D273" s="23" t="s">
        <x:v>131</x:v>
      </x:c>
      <x:c r="E273" s="23" t="s">
        <x:v>184</x:v>
      </x:c>
      <x:c r="F273" s="23">
        <x:v>11</x:v>
      </x:c>
      <x:c r="G273" s="23">
        <x:v>5</x:v>
      </x:c>
      <x:c r="H273" s="23">
        <x:v>27</x:v>
      </x:c>
      <x:c r="I273" s="23">
        <x:v>4761</x:v>
      </x:c>
      <x:c r="J273" s="23">
        <x:v>12365</x:v>
      </x:c>
      <x:c r="K273" s="23">
        <x:v>0</x:v>
      </x:c>
      <x:c r="L273" s="23" t="s">
        <x:v>222</x:v>
      </x:c>
      <x:c r="M273" s="23">
        <x:f t="shared" si="4"/>
        <x:v>475.99999999999994</x:v>
      </x:c>
      <x:c r="N273" s="24" t="str">
        <x:f t="array" ref="N273">INDEX('MATCH INFO'!O:O, INT((ROW()-2)/10)+2 + 29+29)</x:f>
        <x:v>260621_O2_CR_S1</x:v>
      </x:c>
    </x:row>
    <x:row r="274">
      <x:c r="A274" s="23" t="s">
        <x:v>6</x:v>
      </x:c>
      <x:c r="B274" s="23" t="s">
        <x:v>13</x:v>
      </x:c>
      <x:c r="C274" s="23" t="s">
        <x:v>11</x:v>
      </x:c>
      <x:c r="D274" s="23" t="s">
        <x:v>131</x:v>
      </x:c>
      <x:c r="E274" s="23" t="s">
        <x:v>184</x:v>
      </x:c>
      <x:c r="F274" s="23">
        <x:v>26</x:v>
      </x:c>
      <x:c r="G274" s="23">
        <x:v>2</x:v>
      </x:c>
      <x:c r="H274" s="23">
        <x:v>3</x:v>
      </x:c>
      <x:c r="I274" s="23">
        <x:v>10041</x:v>
      </x:c>
      <x:c r="J274" s="23">
        <x:v>150</x:v>
      </x:c>
      <x:c r="K274" s="23">
        <x:v>257</x:v>
      </x:c>
      <x:c r="L274" s="23" t="s">
        <x:v>222</x:v>
      </x:c>
      <x:c r="M274" s="23">
        <x:f t="shared" si="4"/>
        <x:v>475.99999999999994</x:v>
      </x:c>
      <x:c r="N274" s="24" t="str">
        <x:f t="array" ref="N274">INDEX('MATCH INFO'!O:O, INT((ROW()-2)/10)+2 + 29+29)</x:f>
        <x:v>260621_O2_CR_S1</x:v>
      </x:c>
    </x:row>
    <x:row r="275">
      <x:c r="A275" s="23" t="s">
        <x:v>6</x:v>
      </x:c>
      <x:c r="B275" s="23" t="s">
        <x:v>9</x:v>
      </x:c>
      <x:c r="C275" s="23" t="s">
        <x:v>8</x:v>
      </x:c>
      <x:c r="D275" s="23" t="s">
        <x:v>131</x:v>
      </x:c>
      <x:c r="E275" s="23" t="s">
        <x:v>184</x:v>
      </x:c>
      <x:c r="F275" s="23">
        <x:v>20</x:v>
      </x:c>
      <x:c r="G275" s="23">
        <x:v>5</x:v>
      </x:c>
      <x:c r="H275" s="23">
        <x:v>16</x:v>
      </x:c>
      <x:c r="I275" s="23">
        <x:v>9441</x:v>
      </x:c>
      <x:c r="J275" s="23">
        <x:v>2174</x:v>
      </x:c>
      <x:c r="K275" s="23">
        <x:v>4169</x:v>
      </x:c>
      <x:c r="L275" s="23" t="s">
        <x:v>222</x:v>
      </x:c>
      <x:c r="M275" s="23">
        <x:f t="shared" si="4"/>
        <x:v>475.99999999999994</x:v>
      </x:c>
      <x:c r="N275" s="24" t="str">
        <x:f t="array" ref="N275">INDEX('MATCH INFO'!O:O, INT((ROW()-2)/10)+2 + 29+29)</x:f>
        <x:v>260621_O2_CR_S1</x:v>
      </x:c>
    </x:row>
    <x:row r="276">
      <x:c r="A276" s="23" t="s">
        <x:v>6</x:v>
      </x:c>
      <x:c r="B276" s="23" t="s">
        <x:v>10</x:v>
      </x:c>
      <x:c r="C276" s="23" t="s">
        <x:v>11</x:v>
      </x:c>
      <x:c r="D276" s="23" t="s">
        <x:v>131</x:v>
      </x:c>
      <x:c r="E276" s="23" t="s">
        <x:v>184</x:v>
      </x:c>
      <x:c r="F276" s="23">
        <x:v>24</x:v>
      </x:c>
      <x:c r="G276" s="23">
        <x:v>5</x:v>
      </x:c>
      <x:c r="H276" s="23">
        <x:v>0</x:v>
      </x:c>
      <x:c r="I276" s="23">
        <x:v>9620</x:v>
      </x:c>
      <x:c r="J276" s="23">
        <x:v>1589</x:v>
      </x:c>
      <x:c r="K276" s="23">
        <x:v>0</x:v>
      </x:c>
      <x:c r="L276" s="23" t="s">
        <x:v>222</x:v>
      </x:c>
      <x:c r="M276" s="23">
        <x:f t="shared" si="4"/>
        <x:v>475.99999999999994</x:v>
      </x:c>
      <x:c r="N276" s="24" t="str">
        <x:f t="array" ref="N276">INDEX('MATCH INFO'!O:O, INT((ROW()-2)/10)+2 + 29+29)</x:f>
        <x:v>260621_O2_CR_S1</x:v>
      </x:c>
    </x:row>
    <x:row r="277">
      <x:c r="A277" s="23" t="s">
        <x:v>55</x:v>
      </x:c>
      <x:c r="B277" s="23" t="s">
        <x:v>61</x:v>
      </x:c>
      <x:c r="C277" s="23" t="s">
        <x:v>16</x:v>
      </x:c>
      <x:c r="D277" s="23" t="s">
        <x:v>131</x:v>
      </x:c>
      <x:c r="E277" s="23" t="s">
        <x:v>184</x:v>
      </x:c>
      <x:c r="F277" s="23">
        <x:v>9</x:v>
      </x:c>
      <x:c r="G277" s="23">
        <x:v>7</x:v>
      </x:c>
      <x:c r="H277" s="23">
        <x:v>9</x:v>
      </x:c>
      <x:c r="I277" s="23">
        <x:v>5079</x:v>
      </x:c>
      <x:c r="J277" s="23">
        <x:v>5475</x:v>
      </x:c>
      <x:c r="K277" s="23">
        <x:v>971</x:v>
      </x:c>
      <x:c r="L277" s="23" t="s">
        <x:v>222</x:v>
      </x:c>
      <x:c r="M277" s="23">
        <x:f t="shared" si="4"/>
        <x:v>475.99999999999994</x:v>
      </x:c>
      <x:c r="N277" s="24" t="str">
        <x:f t="array" ref="N277">INDEX('MATCH INFO'!O:O, INT((ROW()-2)/10)+2 + 29+29)</x:f>
        <x:v>260621_O2_CR_S1</x:v>
      </x:c>
    </x:row>
    <x:row r="278">
      <x:c r="A278" s="23" t="s">
        <x:v>55</x:v>
      </x:c>
      <x:c r="B278" s="23" t="s">
        <x:v>58</x:v>
      </x:c>
      <x:c r="C278" s="23" t="s">
        <x:v>11</x:v>
      </x:c>
      <x:c r="D278" s="23" t="s">
        <x:v>131</x:v>
      </x:c>
      <x:c r="E278" s="23" t="s">
        <x:v>184</x:v>
      </x:c>
      <x:c r="F278" s="23">
        <x:v>11</x:v>
      </x:c>
      <x:c r="G278" s="23">
        <x:v>8</x:v>
      </x:c>
      <x:c r="H278" s="23">
        <x:v>0</x:v>
      </x:c>
      <x:c r="I278" s="23">
        <x:v>9369</x:v>
      </x:c>
      <x:c r="J278" s="23">
        <x:v>979</x:v>
      </x:c>
      <x:c r="K278" s="23">
        <x:v>0</x:v>
      </x:c>
      <x:c r="L278" s="23" t="s">
        <x:v>222</x:v>
      </x:c>
      <x:c r="M278" s="23">
        <x:f t="shared" si="4"/>
        <x:v>475.99999999999994</x:v>
      </x:c>
      <x:c r="N278" s="24" t="str">
        <x:f t="array" ref="N278">INDEX('MATCH INFO'!O:O, INT((ROW()-2)/10)+2 + 29+29)</x:f>
        <x:v>260621_O2_CR_S1</x:v>
      </x:c>
    </x:row>
    <x:row r="279">
      <x:c r="A279" s="23" t="s">
        <x:v>55</x:v>
      </x:c>
      <x:c r="B279" s="23" t="s">
        <x:v>59</x:v>
      </x:c>
      <x:c r="C279" s="23" t="s">
        <x:v>11</x:v>
      </x:c>
      <x:c r="D279" s="23" t="s">
        <x:v>131</x:v>
      </x:c>
      <x:c r="E279" s="23" t="s">
        <x:v>184</x:v>
      </x:c>
      <x:c r="F279" s="23">
        <x:v>12</x:v>
      </x:c>
      <x:c r="G279" s="23">
        <x:v>9</x:v>
      </x:c>
      <x:c r="H279" s="23">
        <x:v>1</x:v>
      </x:c>
      <x:c r="I279" s="23">
        <x:v>7951</x:v>
      </x:c>
      <x:c r="J279" s="23">
        <x:v>40</x:v>
      </x:c>
      <x:c r="K279" s="23">
        <x:v>231</x:v>
      </x:c>
      <x:c r="L279" s="23" t="s">
        <x:v>222</x:v>
      </x:c>
      <x:c r="M279" s="23">
        <x:f t="shared" si="4"/>
        <x:v>475.99999999999994</x:v>
      </x:c>
      <x:c r="N279" s="24" t="str">
        <x:f t="array" ref="N279">INDEX('MATCH INFO'!O:O, INT((ROW()-2)/10)+2 + 29+29)</x:f>
        <x:v>260621_O2_CR_S1</x:v>
      </x:c>
    </x:row>
    <x:row r="280">
      <x:c r="A280" s="23" t="s">
        <x:v>55</x:v>
      </x:c>
      <x:c r="B280" s="23" t="s">
        <x:v>57</x:v>
      </x:c>
      <x:c r="C280" s="23" t="s">
        <x:v>8</x:v>
      </x:c>
      <x:c r="D280" s="23" t="s">
        <x:v>131</x:v>
      </x:c>
      <x:c r="E280" s="23" t="s">
        <x:v>184</x:v>
      </x:c>
      <x:c r="F280" s="23">
        <x:v>15</x:v>
      </x:c>
      <x:c r="G280" s="23">
        <x:v>6</x:v>
      </x:c>
      <x:c r="H280" s="23">
        <x:v>7</x:v>
      </x:c>
      <x:c r="I280" s="23">
        <x:v>11085</x:v>
      </x:c>
      <x:c r="J280" s="23">
        <x:v>1684</x:v>
      </x:c>
      <x:c r="K280" s="23">
        <x:v>8227</x:v>
      </x:c>
      <x:c r="L280" s="23" t="s">
        <x:v>222</x:v>
      </x:c>
      <x:c r="M280" s="23">
        <x:f t="shared" si="4"/>
        <x:v>475.99999999999994</x:v>
      </x:c>
      <x:c r="N280" s="24" t="str">
        <x:f t="array" ref="N280">INDEX('MATCH INFO'!O:O, INT((ROW()-2)/10)+2 + 29+29)</x:f>
        <x:v>260621_O2_CR_S1</x:v>
      </x:c>
    </x:row>
    <x:row r="281">
      <x:c r="A281" s="23" t="s">
        <x:v>55</x:v>
      </x:c>
      <x:c r="B281" s="23" t="s">
        <x:v>62</x:v>
      </x:c>
      <x:c r="C281" s="23" t="s">
        <x:v>16</x:v>
      </x:c>
      <x:c r="D281" s="23" t="s">
        <x:v>131</x:v>
      </x:c>
      <x:c r="E281" s="23" t="s">
        <x:v>184</x:v>
      </x:c>
      <x:c r="F281" s="23">
        <x:v>9</x:v>
      </x:c>
      <x:c r="G281" s="23">
        <x:v>7</x:v>
      </x:c>
      <x:c r="H281" s="23">
        <x:v>14</x:v>
      </x:c>
      <x:c r="I281" s="23">
        <x:v>3572</x:v>
      </x:c>
      <x:c r="J281" s="23">
        <x:v>11212</x:v>
      </x:c>
      <x:c r="K281" s="23">
        <x:v>0</x:v>
      </x:c>
      <x:c r="L281" s="23" t="s">
        <x:v>222</x:v>
      </x:c>
      <x:c r="M281" s="23">
        <x:f t="shared" si="4"/>
        <x:v>475.99999999999994</x:v>
      </x:c>
      <x:c r="N281" s="24" t="str">
        <x:f t="array" ref="N281">INDEX('MATCH INFO'!O:O, INT((ROW()-2)/10)+2 + 29+29)</x:f>
        <x:v>260621_O2_CR_S1</x:v>
      </x:c>
    </x:row>
    <x:row r="282">
      <x:c r="A282" s="23" t="s">
        <x:v>6</x:v>
      </x:c>
      <x:c r="B282" s="23" t="s">
        <x:v>15</x:v>
      </x:c>
      <x:c r="C282" s="23" t="s">
        <x:v>16</x:v>
      </x:c>
      <x:c r="D282" s="23" t="s">
        <x:v>145</x:v>
      </x:c>
      <x:c r="E282" s="23" t="s">
        <x:v>195</x:v>
      </x:c>
      <x:c r="F282" s="23">
        <x:v>5</x:v>
      </x:c>
      <x:c r="G282" s="23">
        <x:v>7</x:v>
      </x:c>
      <x:c r="H282" s="23">
        <x:v>4</x:v>
      </x:c>
      <x:c r="I282" s="23">
        <x:v>4426</x:v>
      </x:c>
      <x:c r="J282" s="23">
        <x:v>6977</x:v>
      </x:c>
      <x:c r="K282" s="23">
        <x:v>532</x:v>
      </x:c>
      <x:c r="L282" s="23" t="s">
        <x:v>252</x:v>
      </x:c>
      <x:c r="M282" s="23">
        <x:f t="shared" si="4"/>
        <x:v>540</x:v>
      </x:c>
      <x:c r="N282" s="24" t="str">
        <x:f t="array" ref="N282">INDEX('MATCH INFO'!O:O, INT((ROW()-2)/10)+2 + 29+29)</x:f>
        <x:v>260621_O2_CR_S2</x:v>
      </x:c>
    </x:row>
    <x:row r="283">
      <x:c r="A283" s="23" t="s">
        <x:v>6</x:v>
      </x:c>
      <x:c r="B283" s="23" t="s">
        <x:v>18</x:v>
      </x:c>
      <x:c r="C283" s="23" t="s">
        <x:v>16</x:v>
      </x:c>
      <x:c r="D283" s="23" t="s">
        <x:v>145</x:v>
      </x:c>
      <x:c r="E283" s="23" t="s">
        <x:v>195</x:v>
      </x:c>
      <x:c r="F283" s="23">
        <x:v>4</x:v>
      </x:c>
      <x:c r="G283" s="23">
        <x:v>7</x:v>
      </x:c>
      <x:c r="H283" s="23">
        <x:v>6</x:v>
      </x:c>
      <x:c r="I283" s="23">
        <x:v>3913</x:v>
      </x:c>
      <x:c r="J283" s="23">
        <x:v>14499</x:v>
      </x:c>
      <x:c r="K283" s="23">
        <x:v>37</x:v>
      </x:c>
      <x:c r="L283" s="23" t="s">
        <x:v>252</x:v>
      </x:c>
      <x:c r="M283" s="23">
        <x:f t="shared" si="4"/>
        <x:v>540</x:v>
      </x:c>
      <x:c r="N283" s="24" t="str">
        <x:f t="array" ref="N283">INDEX('MATCH INFO'!O:O, INT((ROW()-2)/10)+2 + 29+29)</x:f>
        <x:v>260621_O2_CR_S2</x:v>
      </x:c>
    </x:row>
    <x:row r="284">
      <x:c r="A284" s="23" t="s">
        <x:v>6</x:v>
      </x:c>
      <x:c r="B284" s="23" t="s">
        <x:v>13</x:v>
      </x:c>
      <x:c r="C284" s="23" t="s">
        <x:v>11</x:v>
      </x:c>
      <x:c r="D284" s="23" t="s">
        <x:v>145</x:v>
      </x:c>
      <x:c r="E284" s="23" t="s">
        <x:v>195</x:v>
      </x:c>
      <x:c r="F284" s="23">
        <x:v>7</x:v>
      </x:c>
      <x:c r="G284" s="23">
        <x:v>10</x:v>
      </x:c>
      <x:c r="H284" s="23">
        <x:v>1</x:v>
      </x:c>
      <x:c r="I284" s="23">
        <x:v>6761</x:v>
      </x:c>
      <x:c r="J284" s="23">
        <x:v>0</x:v>
      </x:c>
      <x:c r="K284" s="23">
        <x:v>92</x:v>
      </x:c>
      <x:c r="L284" s="23" t="s">
        <x:v>252</x:v>
      </x:c>
      <x:c r="M284" s="23">
        <x:f t="shared" si="4"/>
        <x:v>540</x:v>
      </x:c>
      <x:c r="N284" s="24" t="str">
        <x:f t="array" ref="N284">INDEX('MATCH INFO'!O:O, INT((ROW()-2)/10)+2 + 29+29)</x:f>
        <x:v>260621_O2_CR_S2</x:v>
      </x:c>
    </x:row>
    <x:row r="285">
      <x:c r="A285" s="23" t="s">
        <x:v>6</x:v>
      </x:c>
      <x:c r="B285" s="23" t="s">
        <x:v>9</x:v>
      </x:c>
      <x:c r="C285" s="23" t="s">
        <x:v>8</x:v>
      </x:c>
      <x:c r="D285" s="23" t="s">
        <x:v>145</x:v>
      </x:c>
      <x:c r="E285" s="23" t="s">
        <x:v>195</x:v>
      </x:c>
      <x:c r="F285" s="23">
        <x:v>7</x:v>
      </x:c>
      <x:c r="G285" s="23">
        <x:v>8</x:v>
      </x:c>
      <x:c r="H285" s="23">
        <x:v>1</x:v>
      </x:c>
      <x:c r="I285" s="23">
        <x:v>9087</x:v>
      </x:c>
      <x:c r="J285" s="23">
        <x:v>94</x:v>
      </x:c>
      <x:c r="K285" s="23">
        <x:v>18237</x:v>
      </x:c>
      <x:c r="L285" s="23" t="s">
        <x:v>252</x:v>
      </x:c>
      <x:c r="M285" s="23">
        <x:f t="shared" si="4"/>
        <x:v>540</x:v>
      </x:c>
      <x:c r="N285" s="24" t="str">
        <x:f t="array" ref="N285">INDEX('MATCH INFO'!O:O, INT((ROW()-2)/10)+2 + 29+29)</x:f>
        <x:v>260621_O2_CR_S2</x:v>
      </x:c>
    </x:row>
    <x:row r="286">
      <x:c r="A286" s="23" t="s">
        <x:v>6</x:v>
      </x:c>
      <x:c r="B286" s="23" t="s">
        <x:v>10</x:v>
      </x:c>
      <x:c r="C286" s="23" t="s">
        <x:v>11</x:v>
      </x:c>
      <x:c r="D286" s="23" t="s">
        <x:v>145</x:v>
      </x:c>
      <x:c r="E286" s="23" t="s">
        <x:v>195</x:v>
      </x:c>
      <x:c r="F286" s="23">
        <x:v>6</x:v>
      </x:c>
      <x:c r="G286" s="23">
        <x:v>8</x:v>
      </x:c>
      <x:c r="H286" s="23">
        <x:v>2</x:v>
      </x:c>
      <x:c r="I286" s="23">
        <x:v>7335</x:v>
      </x:c>
      <x:c r="J286" s="23">
        <x:v>1214</x:v>
      </x:c>
      <x:c r="K286" s="23">
        <x:v>2311</x:v>
      </x:c>
      <x:c r="L286" s="23" t="s">
        <x:v>252</x:v>
      </x:c>
      <x:c r="M286" s="23">
        <x:f t="shared" si="4"/>
        <x:v>540</x:v>
      </x:c>
      <x:c r="N286" s="24" t="str">
        <x:f t="array" ref="N286">INDEX('MATCH INFO'!O:O, INT((ROW()-2)/10)+2 + 29+29)</x:f>
        <x:v>260621_O2_CR_S2</x:v>
      </x:c>
    </x:row>
    <x:row r="287">
      <x:c r="A287" s="23" t="s">
        <x:v>55</x:v>
      </x:c>
      <x:c r="B287" s="23" t="s">
        <x:v>61</x:v>
      </x:c>
      <x:c r="C287" s="23" t="s">
        <x:v>16</x:v>
      </x:c>
      <x:c r="D287" s="23" t="s">
        <x:v>145</x:v>
      </x:c>
      <x:c r="E287" s="23" t="s">
        <x:v>195</x:v>
      </x:c>
      <x:c r="F287" s="23">
        <x:v>22</x:v>
      </x:c>
      <x:c r="G287" s="23">
        <x:v>4</x:v>
      </x:c>
      <x:c r="H287" s="23">
        <x:v>17</x:v>
      </x:c>
      <x:c r="I287" s="23">
        <x:v>4241</x:v>
      </x:c>
      <x:c r="J287" s="23">
        <x:v>8895</x:v>
      </x:c>
      <x:c r="K287" s="23">
        <x:v>0</x:v>
      </x:c>
      <x:c r="L287" s="23" t="s">
        <x:v>252</x:v>
      </x:c>
      <x:c r="M287" s="23">
        <x:f t="shared" si="4"/>
        <x:v>540</x:v>
      </x:c>
      <x:c r="N287" s="24" t="str">
        <x:f t="array" ref="N287">INDEX('MATCH INFO'!O:O, INT((ROW()-2)/10)+2 + 29+29)</x:f>
        <x:v>260621_O2_CR_S2</x:v>
      </x:c>
    </x:row>
    <x:row r="288">
      <x:c r="A288" s="23" t="s">
        <x:v>55</x:v>
      </x:c>
      <x:c r="B288" s="23" t="s">
        <x:v>58</x:v>
      </x:c>
      <x:c r="C288" s="23" t="s">
        <x:v>11</x:v>
      </x:c>
      <x:c r="D288" s="23" t="s">
        <x:v>145</x:v>
      </x:c>
      <x:c r="E288" s="23" t="s">
        <x:v>195</x:v>
      </x:c>
      <x:c r="F288" s="23">
        <x:v>22</x:v>
      </x:c>
      <x:c r="G288" s="23">
        <x:v>2</x:v>
      </x:c>
      <x:c r="H288" s="23">
        <x:v>12</x:v>
      </x:c>
      <x:c r="I288" s="23">
        <x:v>7719</x:v>
      </x:c>
      <x:c r="J288" s="23">
        <x:v>1067</x:v>
      </x:c>
      <x:c r="K288" s="23">
        <x:v>1670</x:v>
      </x:c>
      <x:c r="L288" s="23" t="s">
        <x:v>252</x:v>
      </x:c>
      <x:c r="M288" s="23">
        <x:f t="shared" si="4"/>
        <x:v>540</x:v>
      </x:c>
      <x:c r="N288" s="24" t="str">
        <x:f t="array" ref="N288">INDEX('MATCH INFO'!O:O, INT((ROW()-2)/10)+2 + 29+29)</x:f>
        <x:v>260621_O2_CR_S2</x:v>
      </x:c>
    </x:row>
    <x:row r="289">
      <x:c r="A289" s="23" t="s">
        <x:v>55</x:v>
      </x:c>
      <x:c r="B289" s="23" t="s">
        <x:v>59</x:v>
      </x:c>
      <x:c r="C289" s="23" t="s">
        <x:v>11</x:v>
      </x:c>
      <x:c r="D289" s="23" t="s">
        <x:v>145</x:v>
      </x:c>
      <x:c r="E289" s="23" t="s">
        <x:v>195</x:v>
      </x:c>
      <x:c r="F289" s="23">
        <x:v>29</x:v>
      </x:c>
      <x:c r="G289" s="23">
        <x:v>2</x:v>
      </x:c>
      <x:c r="H289" s="23">
        <x:v>1</x:v>
      </x:c>
      <x:c r="I289" s="23">
        <x:v>10769</x:v>
      </x:c>
      <x:c r="J289" s="23">
        <x:v>38</x:v>
      </x:c>
      <x:c r="K289" s="23">
        <x:v>218</x:v>
      </x:c>
      <x:c r="L289" s="23" t="s">
        <x:v>252</x:v>
      </x:c>
      <x:c r="M289" s="23">
        <x:f t="shared" si="4"/>
        <x:v>540</x:v>
      </x:c>
      <x:c r="N289" s="24" t="str">
        <x:f t="array" ref="N289">INDEX('MATCH INFO'!O:O, INT((ROW()-2)/10)+2 + 29+29)</x:f>
        <x:v>260621_O2_CR_S2</x:v>
      </x:c>
    </x:row>
    <x:row r="290">
      <x:c r="A290" s="23" t="s">
        <x:v>55</x:v>
      </x:c>
      <x:c r="B290" s="23" t="s">
        <x:v>57</x:v>
      </x:c>
      <x:c r="C290" s="23" t="s">
        <x:v>8</x:v>
      </x:c>
      <x:c r="D290" s="23" t="s">
        <x:v>145</x:v>
      </x:c>
      <x:c r="E290" s="23" t="s">
        <x:v>195</x:v>
      </x:c>
      <x:c r="F290" s="23">
        <x:v>29</x:v>
      </x:c>
      <x:c r="G290" s="23">
        <x:v>1</x:v>
      </x:c>
      <x:c r="H290" s="23">
        <x:v>6</x:v>
      </x:c>
      <x:c r="I290" s="23">
        <x:v>14636</x:v>
      </x:c>
      <x:c r="J290" s="23">
        <x:v>0</x:v>
      </x:c>
      <x:c r="K290" s="23">
        <x:v>19772</x:v>
      </x:c>
      <x:c r="L290" s="23" t="s">
        <x:v>252</x:v>
      </x:c>
      <x:c r="M290" s="23">
        <x:f t="shared" si="4"/>
        <x:v>540</x:v>
      </x:c>
      <x:c r="N290" s="24" t="str">
        <x:f t="array" ref="N290">INDEX('MATCH INFO'!O:O, INT((ROW()-2)/10)+2 + 29+29)</x:f>
        <x:v>260621_O2_CR_S2</x:v>
      </x:c>
    </x:row>
    <x:row r="291">
      <x:c r="A291" s="23" t="s">
        <x:v>55</x:v>
      </x:c>
      <x:c r="B291" s="23" t="s">
        <x:v>62</x:v>
      </x:c>
      <x:c r="C291" s="23" t="s">
        <x:v>16</x:v>
      </x:c>
      <x:c r="D291" s="23" t="s">
        <x:v>145</x:v>
      </x:c>
      <x:c r="E291" s="23" t="s">
        <x:v>195</x:v>
      </x:c>
      <x:c r="F291" s="23">
        <x:v>16</x:v>
      </x:c>
      <x:c r="G291" s="23">
        <x:v>1</x:v>
      </x:c>
      <x:c r="H291" s="23">
        <x:v>19</x:v>
      </x:c>
      <x:c r="I291" s="23">
        <x:v>3629</x:v>
      </x:c>
      <x:c r="J291" s="23">
        <x:v>14145</x:v>
      </x:c>
      <x:c r="K291" s="23">
        <x:v>282</x:v>
      </x:c>
      <x:c r="L291" s="23" t="s">
        <x:v>252</x:v>
      </x:c>
      <x:c r="M291" s="23">
        <x:f t="shared" si="4"/>
        <x:v>540</x:v>
      </x:c>
      <x:c r="N291" s="24" t="str">
        <x:f t="array" ref="N291">INDEX('MATCH INFO'!O:O, INT((ROW()-2)/10)+2 + 29+29)</x:f>
        <x:v>260621_O2_CR_S2</x:v>
      </x:c>
    </x:row>
    <x:row r="292">
      <x:c r="A292" s="23" t="s">
        <x:v>55</x:v>
      </x:c>
      <x:c r="B292" s="23" t="s">
        <x:v>61</x:v>
      </x:c>
      <x:c r="C292" s="23" t="s">
        <x:v>16</x:v>
      </x:c>
      <x:c r="D292" s="23" t="s">
        <x:v>124</x:v>
      </x:c>
      <x:c r="E292" s="23" t="s">
        <x:v>186</x:v>
      </x:c>
      <x:c r="F292" s="23">
        <x:v>21</x:v>
      </x:c>
      <x:c r="G292" s="23">
        <x:v>2</x:v>
      </x:c>
      <x:c r="H292" s="23">
        <x:v>22</x:v>
      </x:c>
      <x:c r="I292" s="23">
        <x:v>4530</x:v>
      </x:c>
      <x:c r="J292" s="23">
        <x:v>3704</x:v>
      </x:c>
      <x:c r="K292" s="23">
        <x:v>1029</x:v>
      </x:c>
      <x:c r="L292" s="23" t="s">
        <x:v>273</x:v>
      </x:c>
      <x:c r="M292" s="23">
        <x:f t="shared" si="4"/>
        <x:v>387</x:v>
      </x:c>
      <x:c r="N292" s="24" t="str">
        <x:f t="array" ref="N292">INDEX('MATCH INFO'!O:O, INT((ROW()-2)/10)+2 + 29+29)</x:f>
        <x:v>260621_O2_CR_S3</x:v>
      </x:c>
    </x:row>
    <x:row r="293">
      <x:c r="A293" s="23" t="s">
        <x:v>55</x:v>
      </x:c>
      <x:c r="B293" s="23" t="s">
        <x:v>58</x:v>
      </x:c>
      <x:c r="C293" s="23" t="s">
        <x:v>11</x:v>
      </x:c>
      <x:c r="D293" s="23" t="s">
        <x:v>124</x:v>
      </x:c>
      <x:c r="E293" s="23" t="s">
        <x:v>186</x:v>
      </x:c>
      <x:c r="F293" s="23">
        <x:v>17</x:v>
      </x:c>
      <x:c r="G293" s="23">
        <x:v>5</x:v>
      </x:c>
      <x:c r="H293" s="23">
        <x:v>0</x:v>
      </x:c>
      <x:c r="I293" s="23">
        <x:v>6643</x:v>
      </x:c>
      <x:c r="J293" s="23">
        <x:v>750</x:v>
      </x:c>
      <x:c r="K293" s="23">
        <x:v>0</x:v>
      </x:c>
      <x:c r="L293" s="23" t="s">
        <x:v>273</x:v>
      </x:c>
      <x:c r="M293" s="23">
        <x:f t="shared" si="4"/>
        <x:v>387</x:v>
      </x:c>
      <x:c r="N293" s="24" t="str">
        <x:f t="array" ref="N293">INDEX('MATCH INFO'!O:O, INT((ROW()-2)/10)+2 + 29+29)</x:f>
        <x:v>260621_O2_CR_S3</x:v>
      </x:c>
    </x:row>
    <x:row r="294">
      <x:c r="A294" s="23" t="s">
        <x:v>55</x:v>
      </x:c>
      <x:c r="B294" s="23" t="s">
        <x:v>59</x:v>
      </x:c>
      <x:c r="C294" s="23" t="s">
        <x:v>11</x:v>
      </x:c>
      <x:c r="D294" s="23" t="s">
        <x:v>124</x:v>
      </x:c>
      <x:c r="E294" s="23" t="s">
        <x:v>186</x:v>
      </x:c>
      <x:c r="F294" s="23">
        <x:v>25</x:v>
      </x:c>
      <x:c r="G294" s="23">
        <x:v>2</x:v>
      </x:c>
      <x:c r="H294" s="23">
        <x:v>0</x:v>
      </x:c>
      <x:c r="I294" s="23">
        <x:v>8213</x:v>
      </x:c>
      <x:c r="J294" s="23">
        <x:v>0</x:v>
      </x:c>
      <x:c r="K294" s="23">
        <x:v>0</x:v>
      </x:c>
      <x:c r="L294" s="23" t="s">
        <x:v>273</x:v>
      </x:c>
      <x:c r="M294" s="23">
        <x:f t="shared" si="4"/>
        <x:v>387</x:v>
      </x:c>
      <x:c r="N294" s="24" t="str">
        <x:f t="array" ref="N294">INDEX('MATCH INFO'!O:O, INT((ROW()-2)/10)+2 + 29+29)</x:f>
        <x:v>260621_O2_CR_S3</x:v>
      </x:c>
    </x:row>
    <x:row r="295">
      <x:c r="A295" s="23" t="s">
        <x:v>55</x:v>
      </x:c>
      <x:c r="B295" s="23" t="s">
        <x:v>57</x:v>
      </x:c>
      <x:c r="C295" s="23" t="s">
        <x:v>8</x:v>
      </x:c>
      <x:c r="D295" s="23" t="s">
        <x:v>124</x:v>
      </x:c>
      <x:c r="E295" s="23" t="s">
        <x:v>186</x:v>
      </x:c>
      <x:c r="F295" s="23">
        <x:v>23</x:v>
      </x:c>
      <x:c r="G295" s="23">
        <x:v>4</x:v>
      </x:c>
      <x:c r="H295" s="23">
        <x:v>14</x:v>
      </x:c>
      <x:c r="I295" s="23">
        <x:v>8451</x:v>
      </x:c>
      <x:c r="J295" s="23">
        <x:v>1489</x:v>
      </x:c>
      <x:c r="K295" s="23">
        <x:v>2317</x:v>
      </x:c>
      <x:c r="L295" s="23" t="s">
        <x:v>273</x:v>
      </x:c>
      <x:c r="M295" s="23">
        <x:f t="shared" si="4"/>
        <x:v>387</x:v>
      </x:c>
      <x:c r="N295" s="24" t="str">
        <x:f t="array" ref="N295">INDEX('MATCH INFO'!O:O, INT((ROW()-2)/10)+2 + 29+29)</x:f>
        <x:v>260621_O2_CR_S3</x:v>
      </x:c>
    </x:row>
    <x:row r="296">
      <x:c r="A296" s="23" t="s">
        <x:v>55</x:v>
      </x:c>
      <x:c r="B296" s="23" t="s">
        <x:v>62</x:v>
      </x:c>
      <x:c r="C296" s="23" t="s">
        <x:v>16</x:v>
      </x:c>
      <x:c r="D296" s="23" t="s">
        <x:v>124</x:v>
      </x:c>
      <x:c r="E296" s="23" t="s">
        <x:v>186</x:v>
      </x:c>
      <x:c r="F296" s="23">
        <x:v>16</x:v>
      </x:c>
      <x:c r="G296" s="23">
        <x:v>2</x:v>
      </x:c>
      <x:c r="H296" s="23">
        <x:v>26</x:v>
      </x:c>
      <x:c r="I296" s="23">
        <x:v>4007</x:v>
      </x:c>
      <x:c r="J296" s="23">
        <x:v>8611</x:v>
      </x:c>
      <x:c r="K296" s="23">
        <x:v>0</x:v>
      </x:c>
      <x:c r="L296" s="23" t="s">
        <x:v>273</x:v>
      </x:c>
      <x:c r="M296" s="23">
        <x:f t="shared" si="4"/>
        <x:v>387</x:v>
      </x:c>
      <x:c r="N296" s="24" t="str">
        <x:f t="array" ref="N296">INDEX('MATCH INFO'!O:O, INT((ROW()-2)/10)+2 + 29+29)</x:f>
        <x:v>260621_O2_CR_S3</x:v>
      </x:c>
    </x:row>
    <x:row r="297">
      <x:c r="A297" s="23" t="s">
        <x:v>6</x:v>
      </x:c>
      <x:c r="B297" s="23" t="s">
        <x:v>15</x:v>
      </x:c>
      <x:c r="C297" s="23" t="s">
        <x:v>16</x:v>
      </x:c>
      <x:c r="D297" s="23" t="s">
        <x:v>124</x:v>
      </x:c>
      <x:c r="E297" s="23" t="s">
        <x:v>186</x:v>
      </x:c>
      <x:c r="F297" s="23">
        <x:v>8</x:v>
      </x:c>
      <x:c r="G297" s="23">
        <x:v>6</x:v>
      </x:c>
      <x:c r="H297" s="23">
        <x:v>8</x:v>
      </x:c>
      <x:c r="I297" s="23">
        <x:v>2995</x:v>
      </x:c>
      <x:c r="J297" s="23">
        <x:v>3746</x:v>
      </x:c>
      <x:c r="K297" s="23">
        <x:v>1899</x:v>
      </x:c>
      <x:c r="L297" s="23" t="s">
        <x:v>273</x:v>
      </x:c>
      <x:c r="M297" s="23">
        <x:f t="shared" si="4"/>
        <x:v>387</x:v>
      </x:c>
      <x:c r="N297" s="24" t="str">
        <x:f t="array" ref="N297">INDEX('MATCH INFO'!O:O, INT((ROW()-2)/10)+2 + 29+29)</x:f>
        <x:v>260621_O2_CR_S3</x:v>
      </x:c>
    </x:row>
    <x:row r="298">
      <x:c r="A298" s="23" t="s">
        <x:v>6</x:v>
      </x:c>
      <x:c r="B298" s="23" t="s">
        <x:v>18</x:v>
      </x:c>
      <x:c r="C298" s="23" t="s">
        <x:v>16</x:v>
      </x:c>
      <x:c r="D298" s="23" t="s">
        <x:v>124</x:v>
      </x:c>
      <x:c r="E298" s="23" t="s">
        <x:v>186</x:v>
      </x:c>
      <x:c r="F298" s="23">
        <x:v>10</x:v>
      </x:c>
      <x:c r="G298" s="23">
        <x:v>5</x:v>
      </x:c>
      <x:c r="H298" s="23">
        <x:v>11</x:v>
      </x:c>
      <x:c r="I298" s="23">
        <x:v>3466</x:v>
      </x:c>
      <x:c r="J298" s="23">
        <x:v>8651</x:v>
      </x:c>
      <x:c r="K298" s="23">
        <x:v>0</x:v>
      </x:c>
      <x:c r="L298" s="23" t="s">
        <x:v>273</x:v>
      </x:c>
      <x:c r="M298" s="23">
        <x:f t="shared" si="4"/>
        <x:v>387</x:v>
      </x:c>
      <x:c r="N298" s="24" t="str">
        <x:f t="array" ref="N298">INDEX('MATCH INFO'!O:O, INT((ROW()-2)/10)+2 + 29+29)</x:f>
        <x:v>260621_O2_CR_S3</x:v>
      </x:c>
    </x:row>
    <x:row r="299">
      <x:c r="A299" s="23" t="s">
        <x:v>6</x:v>
      </x:c>
      <x:c r="B299" s="23" t="s">
        <x:v>13</x:v>
      </x:c>
      <x:c r="C299" s="23" t="s">
        <x:v>11</x:v>
      </x:c>
      <x:c r="D299" s="23" t="s">
        <x:v>124</x:v>
      </x:c>
      <x:c r="E299" s="23" t="s">
        <x:v>186</x:v>
      </x:c>
      <x:c r="F299" s="23">
        <x:v>11</x:v>
      </x:c>
      <x:c r="G299" s="23">
        <x:v>7</x:v>
      </x:c>
      <x:c r="H299" s="23">
        <x:v>2</x:v>
      </x:c>
      <x:c r="I299" s="23">
        <x:v>4560</x:v>
      </x:c>
      <x:c r="J299" s="23">
        <x:v>30</x:v>
      </x:c>
      <x:c r="K299" s="23">
        <x:v>250</x:v>
      </x:c>
      <x:c r="L299" s="23" t="s">
        <x:v>273</x:v>
      </x:c>
      <x:c r="M299" s="23">
        <x:f t="shared" si="4"/>
        <x:v>387</x:v>
      </x:c>
      <x:c r="N299" s="24" t="str">
        <x:f t="array" ref="N299">INDEX('MATCH INFO'!O:O, INT((ROW()-2)/10)+2 + 29+29)</x:f>
        <x:v>260621_O2_CR_S3</x:v>
      </x:c>
    </x:row>
    <x:row r="300">
      <x:c r="A300" s="23" t="s">
        <x:v>6</x:v>
      </x:c>
      <x:c r="B300" s="23" t="s">
        <x:v>9</x:v>
      </x:c>
      <x:c r="C300" s="23" t="s">
        <x:v>8</x:v>
      </x:c>
      <x:c r="D300" s="23" t="s">
        <x:v>124</x:v>
      </x:c>
      <x:c r="E300" s="23" t="s">
        <x:v>186</x:v>
      </x:c>
      <x:c r="F300" s="23">
        <x:v>7</x:v>
      </x:c>
      <x:c r="G300" s="23">
        <x:v>6</x:v>
      </x:c>
      <x:c r="H300" s="23">
        <x:v>4</x:v>
      </x:c>
      <x:c r="I300" s="23">
        <x:v>7374</x:v>
      </x:c>
      <x:c r="J300" s="23">
        <x:v>2156</x:v>
      </x:c>
      <x:c r="K300" s="23">
        <x:v>4842</x:v>
      </x:c>
      <x:c r="L300" s="23" t="s">
        <x:v>273</x:v>
      </x:c>
      <x:c r="M300" s="23">
        <x:f t="shared" si="4"/>
        <x:v>387</x:v>
      </x:c>
      <x:c r="N300" s="24" t="str">
        <x:f t="array" ref="N300">INDEX('MATCH INFO'!O:O, INT((ROW()-2)/10)+2 + 29+29)</x:f>
        <x:v>260621_O2_CR_S3</x:v>
      </x:c>
    </x:row>
    <x:row r="301">
      <x:c r="A301" s="23" t="s">
        <x:v>6</x:v>
      </x:c>
      <x:c r="B301" s="23" t="s">
        <x:v>10</x:v>
      </x:c>
      <x:c r="C301" s="23" t="s">
        <x:v>11</x:v>
      </x:c>
      <x:c r="D301" s="23" t="s">
        <x:v>124</x:v>
      </x:c>
      <x:c r="E301" s="23" t="s">
        <x:v>186</x:v>
      </x:c>
      <x:c r="F301" s="23">
        <x:v>12</x:v>
      </x:c>
      <x:c r="G301" s="23">
        <x:v>7</x:v>
      </x:c>
      <x:c r="H301" s="23">
        <x:v>0</x:v>
      </x:c>
      <x:c r="I301" s="23">
        <x:v>6743</x:v>
      </x:c>
      <x:c r="J301" s="23">
        <x:v>999</x:v>
      </x:c>
      <x:c r="K301" s="23">
        <x:v>0</x:v>
      </x:c>
      <x:c r="L301" s="23" t="s">
        <x:v>273</x:v>
      </x:c>
      <x:c r="M301" s="23">
        <x:f t="shared" si="4"/>
        <x:v>387</x:v>
      </x:c>
      <x:c r="N301" s="24" t="str">
        <x:f t="array" ref="N301">INDEX('MATCH INFO'!O:O, INT((ROW()-2)/10)+2 + 29+29)</x:f>
        <x:v>260621_O2_CR_S3</x:v>
      </x:c>
    </x:row>
    <x:row r="302">
      <x:c r="A302" s="23" t="s">
        <x:v>6</x:v>
      </x:c>
      <x:c r="B302" s="23" t="s">
        <x:v>15</x:v>
      </x:c>
      <x:c r="C302" s="23" t="s">
        <x:v>16</x:v>
      </x:c>
      <x:c r="D302" s="23" t="s">
        <x:v>120</x:v>
      </x:c>
      <x:c r="E302" s="23" t="s">
        <x:v>188</x:v>
      </x:c>
      <x:c r="F302" s="23">
        <x:v>6</x:v>
      </x:c>
      <x:c r="G302" s="23">
        <x:v>6</x:v>
      </x:c>
      <x:c r="H302" s="23">
        <x:v>8</x:v>
      </x:c>
      <x:c r="I302" s="23">
        <x:v>2846</x:v>
      </x:c>
      <x:c r="J302" s="23">
        <x:v>6116</x:v>
      </x:c>
      <x:c r="K302" s="23">
        <x:v>5043</x:v>
      </x:c>
      <x:c r="L302" s="23" t="s">
        <x:v>274</x:v>
      </x:c>
      <x:c r="M302" s="23">
        <x:f t="shared" si="4"/>
        <x:v>411</x:v>
      </x:c>
      <x:c r="N302" s="24" t="str">
        <x:f t="array" ref="N302">INDEX('MATCH INFO'!O:O, INT((ROW()-2)/10)+2 + 29+29)</x:f>
        <x:v>260621_O2_CR_S4</x:v>
      </x:c>
    </x:row>
    <x:row r="303">
      <x:c r="A303" s="23" t="s">
        <x:v>6</x:v>
      </x:c>
      <x:c r="B303" s="23" t="s">
        <x:v>7</x:v>
      </x:c>
      <x:c r="C303" s="23" t="s">
        <x:v>8</x:v>
      </x:c>
      <x:c r="D303" s="23" t="s">
        <x:v>120</x:v>
      </x:c>
      <x:c r="E303" s="23" t="s">
        <x:v>188</x:v>
      </x:c>
      <x:c r="F303" s="23">
        <x:v>8</x:v>
      </x:c>
      <x:c r="G303" s="23">
        <x:v>7</x:v>
      </x:c>
      <x:c r="H303" s="23">
        <x:v>4</x:v>
      </x:c>
      <x:c r="I303" s="23">
        <x:v>6366</x:v>
      </x:c>
      <x:c r="J303" s="23">
        <x:v>1204</x:v>
      </x:c>
      <x:c r="K303" s="23">
        <x:v>4136</x:v>
      </x:c>
      <x:c r="L303" s="23" t="s">
        <x:v>274</x:v>
      </x:c>
      <x:c r="M303" s="23">
        <x:f t="shared" si="4"/>
        <x:v>411</x:v>
      </x:c>
      <x:c r="N303" s="24" t="str">
        <x:f t="array" ref="N303">INDEX('MATCH INFO'!O:O, INT((ROW()-2)/10)+2 + 29+29)</x:f>
        <x:v>260621_O2_CR_S4</x:v>
      </x:c>
    </x:row>
    <x:row r="304">
      <x:c r="A304" s="23" t="s">
        <x:v>6</x:v>
      </x:c>
      <x:c r="B304" s="23" t="s">
        <x:v>18</x:v>
      </x:c>
      <x:c r="C304" s="23" t="s">
        <x:v>16</x:v>
      </x:c>
      <x:c r="D304" s="23" t="s">
        <x:v>120</x:v>
      </x:c>
      <x:c r="E304" s="23" t="s">
        <x:v>188</x:v>
      </x:c>
      <x:c r="F304" s="23">
        <x:v>4</x:v>
      </x:c>
      <x:c r="G304" s="23">
        <x:v>8</x:v>
      </x:c>
      <x:c r="H304" s="23">
        <x:v>4</x:v>
      </x:c>
      <x:c r="I304" s="23">
        <x:v>2136</x:v>
      </x:c>
      <x:c r="J304" s="23">
        <x:v>7046</x:v>
      </x:c>
      <x:c r="K304" s="23">
        <x:v>0</x:v>
      </x:c>
      <x:c r="L304" s="23" t="s">
        <x:v>274</x:v>
      </x:c>
      <x:c r="M304" s="23">
        <x:f t="shared" si="4"/>
        <x:v>411</x:v>
      </x:c>
      <x:c r="N304" s="24" t="str">
        <x:f t="array" ref="N304">INDEX('MATCH INFO'!O:O, INT((ROW()-2)/10)+2 + 29+29)</x:f>
        <x:v>260621_O2_CR_S4</x:v>
      </x:c>
    </x:row>
    <x:row r="305">
      <x:c r="A305" s="23" t="s">
        <x:v>6</x:v>
      </x:c>
      <x:c r="B305" s="23" t="s">
        <x:v>13</x:v>
      </x:c>
      <x:c r="C305" s="23" t="s">
        <x:v>11</x:v>
      </x:c>
      <x:c r="D305" s="23" t="s">
        <x:v>120</x:v>
      </x:c>
      <x:c r="E305" s="23" t="s">
        <x:v>188</x:v>
      </x:c>
      <x:c r="F305" s="23">
        <x:v>5</x:v>
      </x:c>
      <x:c r="G305" s="23">
        <x:v>5</x:v>
      </x:c>
      <x:c r="H305" s="23">
        <x:v>0</x:v>
      </x:c>
      <x:c r="I305" s="23">
        <x:v>5784</x:v>
      </x:c>
      <x:c r="J305" s="23">
        <x:v>0</x:v>
      </x:c>
      <x:c r="K305" s="23">
        <x:v>0</x:v>
      </x:c>
      <x:c r="L305" s="23" t="s">
        <x:v>274</x:v>
      </x:c>
      <x:c r="M305" s="23">
        <x:f t="shared" si="4"/>
        <x:v>411</x:v>
      </x:c>
      <x:c r="N305" s="24" t="str">
        <x:f t="array" ref="N305">INDEX('MATCH INFO'!O:O, INT((ROW()-2)/10)+2 + 29+29)</x:f>
        <x:v>260621_O2_CR_S4</x:v>
      </x:c>
    </x:row>
    <x:row r="306">
      <x:c r="A306" s="23" t="s">
        <x:v>6</x:v>
      </x:c>
      <x:c r="B306" s="23" t="s">
        <x:v>10</x:v>
      </x:c>
      <x:c r="C306" s="23" t="s">
        <x:v>11</x:v>
      </x:c>
      <x:c r="D306" s="23" t="s">
        <x:v>120</x:v>
      </x:c>
      <x:c r="E306" s="23" t="s">
        <x:v>188</x:v>
      </x:c>
      <x:c r="F306" s="23">
        <x:v>8</x:v>
      </x:c>
      <x:c r="G306" s="23">
        <x:v>6</x:v>
      </x:c>
      <x:c r="H306" s="23">
        <x:v>2</x:v>
      </x:c>
      <x:c r="I306" s="23">
        <x:v>6618</x:v>
      </x:c>
      <x:c r="J306" s="23">
        <x:v>0</x:v>
      </x:c>
      <x:c r="K306" s="23">
        <x:v>443</x:v>
      </x:c>
      <x:c r="L306" s="23" t="s">
        <x:v>274</x:v>
      </x:c>
      <x:c r="M306" s="23">
        <x:f t="shared" si="4"/>
        <x:v>411</x:v>
      </x:c>
      <x:c r="N306" s="24" t="str">
        <x:f t="array" ref="N306">INDEX('MATCH INFO'!O:O, INT((ROW()-2)/10)+2 + 29+29)</x:f>
        <x:v>260621_O2_CR_S4</x:v>
      </x:c>
    </x:row>
    <x:row r="307">
      <x:c r="A307" s="23" t="s">
        <x:v>55</x:v>
      </x:c>
      <x:c r="B307" s="23" t="s">
        <x:v>61</x:v>
      </x:c>
      <x:c r="C307" s="23" t="s">
        <x:v>16</x:v>
      </x:c>
      <x:c r="D307" s="23" t="s">
        <x:v>120</x:v>
      </x:c>
      <x:c r="E307" s="23" t="s">
        <x:v>188</x:v>
      </x:c>
      <x:c r="F307" s="23">
        <x:v>16</x:v>
      </x:c>
      <x:c r="G307" s="23">
        <x:v>3</x:v>
      </x:c>
      <x:c r="H307" s="23">
        <x:v>16</x:v>
      </x:c>
      <x:c r="I307" s="23">
        <x:v>2802</x:v>
      </x:c>
      <x:c r="J307" s="23">
        <x:v>6394</x:v>
      </x:c>
      <x:c r="K307" s="23">
        <x:v>0</x:v>
      </x:c>
      <x:c r="L307" s="23" t="s">
        <x:v>274</x:v>
      </x:c>
      <x:c r="M307" s="23">
        <x:f t="shared" si="4"/>
        <x:v>411</x:v>
      </x:c>
      <x:c r="N307" s="24" t="str">
        <x:f t="array" ref="N307">INDEX('MATCH INFO'!O:O, INT((ROW()-2)/10)+2 + 29+29)</x:f>
        <x:v>260621_O2_CR_S4</x:v>
      </x:c>
    </x:row>
    <x:row r="308">
      <x:c r="A308" s="23" t="s">
        <x:v>55</x:v>
      </x:c>
      <x:c r="B308" s="23" t="s">
        <x:v>58</x:v>
      </x:c>
      <x:c r="C308" s="23" t="s">
        <x:v>11</x:v>
      </x:c>
      <x:c r="D308" s="23" t="s">
        <x:v>120</x:v>
      </x:c>
      <x:c r="E308" s="23" t="s">
        <x:v>188</x:v>
      </x:c>
      <x:c r="F308" s="23">
        <x:v>18</x:v>
      </x:c>
      <x:c r="G308" s="23">
        <x:v>3</x:v>
      </x:c>
      <x:c r="H308" s="23">
        <x:v>3</x:v>
      </x:c>
      <x:c r="I308" s="23">
        <x:v>9012</x:v>
      </x:c>
      <x:c r="J308" s="23">
        <x:v>345</x:v>
      </x:c>
      <x:c r="K308" s="23">
        <x:v>843</x:v>
      </x:c>
      <x:c r="L308" s="23" t="s">
        <x:v>274</x:v>
      </x:c>
      <x:c r="M308" s="23">
        <x:f t="shared" si="4"/>
        <x:v>411</x:v>
      </x:c>
      <x:c r="N308" s="24" t="str">
        <x:f t="array" ref="N308">INDEX('MATCH INFO'!O:O, INT((ROW()-2)/10)+2 + 29+29)</x:f>
        <x:v>260621_O2_CR_S4</x:v>
      </x:c>
    </x:row>
    <x:row r="309">
      <x:c r="A309" s="23" t="s">
        <x:v>55</x:v>
      </x:c>
      <x:c r="B309" s="23" t="s">
        <x:v>59</x:v>
      </x:c>
      <x:c r="C309" s="23" t="s">
        <x:v>11</x:v>
      </x:c>
      <x:c r="D309" s="23" t="s">
        <x:v>120</x:v>
      </x:c>
      <x:c r="E309" s="23" t="s">
        <x:v>188</x:v>
      </x:c>
      <x:c r="F309" s="23">
        <x:v>18</x:v>
      </x:c>
      <x:c r="G309" s="23">
        <x:v>5</x:v>
      </x:c>
      <x:c r="H309" s="23">
        <x:v>1</x:v>
      </x:c>
      <x:c r="I309" s="23">
        <x:v>8632</x:v>
      </x:c>
      <x:c r="J309" s="23">
        <x:v>0</x:v>
      </x:c>
      <x:c r="K309" s="23">
        <x:v>174</x:v>
      </x:c>
      <x:c r="L309" s="23" t="s">
        <x:v>274</x:v>
      </x:c>
      <x:c r="M309" s="23">
        <x:f t="shared" si="4"/>
        <x:v>411</x:v>
      </x:c>
      <x:c r="N309" s="24" t="str">
        <x:f t="array" ref="N309">INDEX('MATCH INFO'!O:O, INT((ROW()-2)/10)+2 + 29+29)</x:f>
        <x:v>260621_O2_CR_S4</x:v>
      </x:c>
    </x:row>
    <x:row r="310">
      <x:c r="A310" s="23" t="s">
        <x:v>55</x:v>
      </x:c>
      <x:c r="B310" s="23" t="s">
        <x:v>57</x:v>
      </x:c>
      <x:c r="C310" s="23" t="s">
        <x:v>8</x:v>
      </x:c>
      <x:c r="D310" s="23" t="s">
        <x:v>120</x:v>
      </x:c>
      <x:c r="E310" s="23" t="s">
        <x:v>188</x:v>
      </x:c>
      <x:c r="F310" s="23">
        <x:v>26</x:v>
      </x:c>
      <x:c r="G310" s="23">
        <x:v>1</x:v>
      </x:c>
      <x:c r="H310" s="23">
        <x:v>14</x:v>
      </x:c>
      <x:c r="I310" s="23">
        <x:v>6131</x:v>
      </x:c>
      <x:c r="J310" s="23">
        <x:v>1345</x:v>
      </x:c>
      <x:c r="K310" s="23">
        <x:v>10597</x:v>
      </x:c>
      <x:c r="L310" s="23" t="s">
        <x:v>274</x:v>
      </x:c>
      <x:c r="M310" s="23">
        <x:f t="shared" si="4"/>
        <x:v>411</x:v>
      </x:c>
      <x:c r="N310" s="24" t="str">
        <x:f t="array" ref="N310">INDEX('MATCH INFO'!O:O, INT((ROW()-2)/10)+2 + 29+29)</x:f>
        <x:v>260621_O2_CR_S4</x:v>
      </x:c>
    </x:row>
    <x:row r="311">
      <x:c r="A311" s="23" t="s">
        <x:v>55</x:v>
      </x:c>
      <x:c r="B311" s="23" t="s">
        <x:v>62</x:v>
      </x:c>
      <x:c r="C311" s="23" t="s">
        <x:v>16</x:v>
      </x:c>
      <x:c r="D311" s="23" t="s">
        <x:v>120</x:v>
      </x:c>
      <x:c r="E311" s="23" t="s">
        <x:v>188</x:v>
      </x:c>
      <x:c r="F311" s="23">
        <x:v>8</x:v>
      </x:c>
      <x:c r="G311" s="23">
        <x:v>0</x:v>
      </x:c>
      <x:c r="H311" s="23">
        <x:v>23</x:v>
      </x:c>
      <x:c r="I311" s="23">
        <x:v>3254</x:v>
      </x:c>
      <x:c r="J311" s="23">
        <x:v>9864</x:v>
      </x:c>
      <x:c r="K311" s="23">
        <x:v>0</x:v>
      </x:c>
      <x:c r="L311" s="23" t="s">
        <x:v>274</x:v>
      </x:c>
      <x:c r="M311" s="23">
        <x:f t="shared" si="4"/>
        <x:v>411</x:v>
      </x:c>
      <x:c r="N311" s="24" t="str">
        <x:f t="array" ref="N311">INDEX('MATCH INFO'!O:O, INT((ROW()-2)/10)+2 + 29+29)</x:f>
        <x:v>260621_O2_CR_S4</x:v>
      </x:c>
    </x:row>
    <x:row r="312">
      <x:c r="A312" s="23" t="s">
        <x:v>47</x:v>
      </x:c>
      <x:c r="B312" s="23" t="s">
        <x:v>51</x:v>
      </x:c>
      <x:c r="C312" s="23" t="s">
        <x:v>11</x:v>
      </x:c>
      <x:c r="D312" s="23" t="s">
        <x:v>107</x:v>
      </x:c>
      <x:c r="E312" s="23" t="s">
        <x:v>184</x:v>
      </x:c>
      <x:c r="F312" s="23">
        <x:v>11</x:v>
      </x:c>
      <x:c r="G312" s="23">
        <x:v>6</x:v>
      </x:c>
      <x:c r="H312" s="23">
        <x:v>2</x:v>
      </x:c>
      <x:c r="I312" s="23">
        <x:v>9271</x:v>
      </x:c>
      <x:c r="J312" s="23">
        <x:v>85</x:v>
      </x:c>
      <x:c r="K312" s="23">
        <x:v>183</x:v>
      </x:c>
      <x:c r="L312" s="23" t="s">
        <x:v>275</x:v>
      </x:c>
      <x:c r="M312" s="23">
        <x:f t="shared" si="4"/>
        <x:v>533</x:v>
      </x:c>
      <x:c r="N312" s="24" t="str">
        <x:f t="array" ref="N312">INDEX('MATCH INFO'!O:O, INT((ROW()-2)/10)+2 + 29+29)</x:f>
        <x:v>260621_ZETA_PF_S1</x:v>
      </x:c>
    </x:row>
    <x:row r="313">
      <x:c r="A313" s="23" t="s">
        <x:v>47</x:v>
      </x:c>
      <x:c r="B313" s="23" t="s">
        <x:v>48</x:v>
      </x:c>
      <x:c r="C313" s="23" t="s">
        <x:v>8</x:v>
      </x:c>
      <x:c r="D313" s="23" t="s">
        <x:v>107</x:v>
      </x:c>
      <x:c r="E313" s="23" t="s">
        <x:v>184</x:v>
      </x:c>
      <x:c r="F313" s="23">
        <x:v>17</x:v>
      </x:c>
      <x:c r="G313" s="23">
        <x:v>2</x:v>
      </x:c>
      <x:c r="H313" s="23">
        <x:v>4</x:v>
      </x:c>
      <x:c r="I313" s="23">
        <x:v>7759</x:v>
      </x:c>
      <x:c r="J313" s="23">
        <x:v>1601</x:v>
      </x:c>
      <x:c r="K313" s="23">
        <x:v>4951</x:v>
      </x:c>
      <x:c r="L313" s="23" t="s">
        <x:v>275</x:v>
      </x:c>
      <x:c r="M313" s="23">
        <x:f t="shared" si="4"/>
        <x:v>533</x:v>
      </x:c>
      <x:c r="N313" s="24" t="str">
        <x:f t="array" ref="N313">INDEX('MATCH INFO'!O:O, INT((ROW()-2)/10)+2 + 29+29)</x:f>
        <x:v>260621_ZETA_PF_S1</x:v>
      </x:c>
    </x:row>
    <x:row r="314">
      <x:c r="A314" s="23" t="s">
        <x:v>47</x:v>
      </x:c>
      <x:c r="B314" s="23" t="s">
        <x:v>50</x:v>
      </x:c>
      <x:c r="C314" s="23" t="s">
        <x:v>11</x:v>
      </x:c>
      <x:c r="D314" s="23" t="s">
        <x:v>107</x:v>
      </x:c>
      <x:c r="E314" s="23" t="s">
        <x:v>184</x:v>
      </x:c>
      <x:c r="F314" s="23">
        <x:v>15</x:v>
      </x:c>
      <x:c r="G314" s="23">
        <x:v>6</x:v>
      </x:c>
      <x:c r="H314" s="23">
        <x:v>2</x:v>
      </x:c>
      <x:c r="I314" s="23">
        <x:v>10390</x:v>
      </x:c>
      <x:c r="J314" s="23">
        <x:v>0</x:v>
      </x:c>
      <x:c r="K314" s="23">
        <x:v>321</x:v>
      </x:c>
      <x:c r="L314" s="23" t="s">
        <x:v>275</x:v>
      </x:c>
      <x:c r="M314" s="23">
        <x:f t="shared" si="4"/>
        <x:v>533</x:v>
      </x:c>
      <x:c r="N314" s="24" t="str">
        <x:f t="array" ref="N314">INDEX('MATCH INFO'!O:O, INT((ROW()-2)/10)+2 + 29+29)</x:f>
        <x:v>260621_ZETA_PF_S1</x:v>
      </x:c>
    </x:row>
    <x:row r="315">
      <x:c r="A315" s="23" t="s">
        <x:v>47</x:v>
      </x:c>
      <x:c r="B315" s="23" t="s">
        <x:v>53</x:v>
      </x:c>
      <x:c r="C315" s="23" t="s">
        <x:v>16</x:v>
      </x:c>
      <x:c r="D315" s="23" t="s">
        <x:v>107</x:v>
      </x:c>
      <x:c r="E315" s="23" t="s">
        <x:v>184</x:v>
      </x:c>
      <x:c r="F315" s="23">
        <x:v>4</x:v>
      </x:c>
      <x:c r="G315" s="23">
        <x:v>5</x:v>
      </x:c>
      <x:c r="H315" s="23">
        <x:v>14</x:v>
      </x:c>
      <x:c r="I315" s="23">
        <x:v>3462</x:v>
      </x:c>
      <x:c r="J315" s="23">
        <x:v>6204</x:v>
      </x:c>
      <x:c r="K315" s="23">
        <x:v>0</x:v>
      </x:c>
      <x:c r="L315" s="23" t="s">
        <x:v>275</x:v>
      </x:c>
      <x:c r="M315" s="23">
        <x:f t="shared" si="4"/>
        <x:v>533</x:v>
      </x:c>
      <x:c r="N315" s="24" t="str">
        <x:f t="array" ref="N315">INDEX('MATCH INFO'!O:O, INT((ROW()-2)/10)+2 + 29+29)</x:f>
        <x:v>260621_ZETA_PF_S1</x:v>
      </x:c>
    </x:row>
    <x:row r="316">
      <x:c r="A316" s="23" t="s">
        <x:v>47</x:v>
      </x:c>
      <x:c r="B316" s="23" t="s">
        <x:v>52</x:v>
      </x:c>
      <x:c r="C316" s="23" t="s">
        <x:v>16</x:v>
      </x:c>
      <x:c r="D316" s="23" t="s">
        <x:v>107</x:v>
      </x:c>
      <x:c r="E316" s="23" t="s">
        <x:v>184</x:v>
      </x:c>
      <x:c r="F316" s="23">
        <x:v>14</x:v>
      </x:c>
      <x:c r="G316" s="23">
        <x:v>4</x:v>
      </x:c>
      <x:c r="H316" s="23">
        <x:v>13</x:v>
      </x:c>
      <x:c r="I316" s="23">
        <x:v>4388</x:v>
      </x:c>
      <x:c r="J316" s="23">
        <x:v>7364</x:v>
      </x:c>
      <x:c r="K316" s="23">
        <x:v>0</x:v>
      </x:c>
      <x:c r="L316" s="23" t="s">
        <x:v>275</x:v>
      </x:c>
      <x:c r="M316" s="23">
        <x:f t="shared" si="4"/>
        <x:v>533</x:v>
      </x:c>
      <x:c r="N316" s="24" t="str">
        <x:f t="array" ref="N316">INDEX('MATCH INFO'!O:O, INT((ROW()-2)/10)+2 + 29+29)</x:f>
        <x:v>260621_ZETA_PF_S1</x:v>
      </x:c>
    </x:row>
    <x:row r="317">
      <x:c r="A317" s="23" t="s">
        <x:v>39</x:v>
      </x:c>
      <x:c r="B317" s="23" t="s">
        <x:v>45</x:v>
      </x:c>
      <x:c r="C317" s="23" t="s">
        <x:v>16</x:v>
      </x:c>
      <x:c r="D317" s="23" t="s">
        <x:v>107</x:v>
      </x:c>
      <x:c r="E317" s="23" t="s">
        <x:v>184</x:v>
      </x:c>
      <x:c r="F317" s="23">
        <x:v>4</x:v>
      </x:c>
      <x:c r="G317" s="23">
        <x:v>4</x:v>
      </x:c>
      <x:c r="H317" s="23">
        <x:v>12</x:v>
      </x:c>
      <x:c r="I317" s="23">
        <x:v>3325</x:v>
      </x:c>
      <x:c r="J317" s="23">
        <x:v>8342</x:v>
      </x:c>
      <x:c r="K317" s="23">
        <x:v>0</x:v>
      </x:c>
      <x:c r="L317" s="23" t="s">
        <x:v>275</x:v>
      </x:c>
      <x:c r="M317" s="23">
        <x:f t="shared" si="4"/>
        <x:v>533</x:v>
      </x:c>
      <x:c r="N317" s="24" t="str">
        <x:f t="array" ref="N317">INDEX('MATCH INFO'!O:O, INT((ROW()-2)/10)+2 + 29+29)</x:f>
        <x:v>260621_ZETA_PF_S1</x:v>
      </x:c>
    </x:row>
    <x:row r="318">
      <x:c r="A318" s="23" t="s">
        <x:v>39</x:v>
      </x:c>
      <x:c r="B318" s="23" t="s">
        <x:v>42</x:v>
      </x:c>
      <x:c r="C318" s="23" t="s">
        <x:v>11</x:v>
      </x:c>
      <x:c r="D318" s="23" t="s">
        <x:v>107</x:v>
      </x:c>
      <x:c r="E318" s="23" t="s">
        <x:v>184</x:v>
      </x:c>
      <x:c r="F318" s="23">
        <x:v>15</x:v>
      </x:c>
      <x:c r="G318" s="23">
        <x:v>5</x:v>
      </x:c>
      <x:c r="H318" s="23">
        <x:v>0</x:v>
      </x:c>
      <x:c r="I318" s="23">
        <x:v>7428</x:v>
      </x:c>
      <x:c r="J318" s="23">
        <x:v>1049</x:v>
      </x:c>
      <x:c r="K318" s="23">
        <x:v>299</x:v>
      </x:c>
      <x:c r="L318" s="23" t="s">
        <x:v>275</x:v>
      </x:c>
      <x:c r="M318" s="23">
        <x:f t="shared" si="4"/>
        <x:v>533</x:v>
      </x:c>
      <x:c r="N318" s="24" t="str">
        <x:f t="array" ref="N318">INDEX('MATCH INFO'!O:O, INT((ROW()-2)/10)+2 + 29+29)</x:f>
        <x:v>260621_ZETA_PF_S1</x:v>
      </x:c>
    </x:row>
    <x:row r="319">
      <x:c r="A319" s="23" t="s">
        <x:v>39</x:v>
      </x:c>
      <x:c r="B319" s="23" t="s">
        <x:v>40</x:v>
      </x:c>
      <x:c r="C319" s="23" t="s">
        <x:v>8</x:v>
      </x:c>
      <x:c r="D319" s="23" t="s">
        <x:v>107</x:v>
      </x:c>
      <x:c r="E319" s="23" t="s">
        <x:v>184</x:v>
      </x:c>
      <x:c r="F319" s="23">
        <x:v>14</x:v>
      </x:c>
      <x:c r="G319" s="23">
        <x:v>4</x:v>
      </x:c>
      <x:c r="H319" s="23">
        <x:v>4</x:v>
      </x:c>
      <x:c r="I319" s="23">
        <x:v>7207</x:v>
      </x:c>
      <x:c r="J319" s="23">
        <x:v>1744</x:v>
      </x:c>
      <x:c r="K319" s="23">
        <x:v>4931</x:v>
      </x:c>
      <x:c r="L319" s="23" t="s">
        <x:v>275</x:v>
      </x:c>
      <x:c r="M319" s="23">
        <x:f t="shared" si="4"/>
        <x:v>533</x:v>
      </x:c>
      <x:c r="N319" s="24" t="str">
        <x:f t="array" ref="N319">INDEX('MATCH INFO'!O:O, INT((ROW()-2)/10)+2 + 29+29)</x:f>
        <x:v>260621_ZETA_PF_S1</x:v>
      </x:c>
    </x:row>
    <x:row r="320">
      <x:c r="A320" s="23" t="s">
        <x:v>39</x:v>
      </x:c>
      <x:c r="B320" s="23" t="s">
        <x:v>43</x:v>
      </x:c>
      <x:c r="C320" s="23" t="s">
        <x:v>11</x:v>
      </x:c>
      <x:c r="D320" s="23" t="s">
        <x:v>107</x:v>
      </x:c>
      <x:c r="E320" s="23" t="s">
        <x:v>184</x:v>
      </x:c>
      <x:c r="F320" s="23">
        <x:v>10</x:v>
      </x:c>
      <x:c r="G320" s="23">
        <x:v>6</x:v>
      </x:c>
      <x:c r="H320" s="23">
        <x:v>1</x:v>
      </x:c>
      <x:c r="I320" s="23">
        <x:v>8784</x:v>
      </x:c>
      <x:c r="J320" s="23">
        <x:v>158</x:v>
      </x:c>
      <x:c r="K320" s="23">
        <x:v>494</x:v>
      </x:c>
      <x:c r="L320" s="23" t="s">
        <x:v>275</x:v>
      </x:c>
      <x:c r="M320" s="23">
        <x:f t="shared" si="4"/>
        <x:v>533</x:v>
      </x:c>
      <x:c r="N320" s="24" t="str">
        <x:f t="array" ref="N320">INDEX('MATCH INFO'!O:O, INT((ROW()-2)/10)+2 + 29+29)</x:f>
        <x:v>260621_ZETA_PF_S1</x:v>
      </x:c>
    </x:row>
    <x:row r="321">
      <x:c r="A321" s="23" t="s">
        <x:v>39</x:v>
      </x:c>
      <x:c r="B321" s="23" t="s">
        <x:v>44</x:v>
      </x:c>
      <x:c r="C321" s="23" t="s">
        <x:v>16</x:v>
      </x:c>
      <x:c r="D321" s="23" t="s">
        <x:v>107</x:v>
      </x:c>
      <x:c r="E321" s="23" t="s">
        <x:v>184</x:v>
      </x:c>
      <x:c r="F321" s="23">
        <x:v>5</x:v>
      </x:c>
      <x:c r="G321" s="23">
        <x:v>7</x:v>
      </x:c>
      <x:c r="H321" s="23">
        <x:v>6</x:v>
      </x:c>
      <x:c r="I321" s="23">
        <x:v>3077</x:v>
      </x:c>
      <x:c r="J321" s="23">
        <x:v>3908</x:v>
      </x:c>
      <x:c r="K321" s="23">
        <x:v>1143</x:v>
      </x:c>
      <x:c r="L321" s="23" t="s">
        <x:v>275</x:v>
      </x:c>
      <x:c r="M321" s="23">
        <x:f t="shared" si="4"/>
        <x:v>533</x:v>
      </x:c>
      <x:c r="N321" s="24" t="str">
        <x:f t="array" ref="N321">INDEX('MATCH INFO'!O:O, INT((ROW()-2)/10)+2 + 29+29)</x:f>
        <x:v>260621_ZETA_PF_S1</x:v>
      </x:c>
    </x:row>
    <x:row r="322">
      <x:c r="A322" s="23" t="s">
        <x:v>39</x:v>
      </x:c>
      <x:c r="B322" s="23" t="s">
        <x:v>45</x:v>
      </x:c>
      <x:c r="C322" s="23" t="s">
        <x:v>16</x:v>
      </x:c>
      <x:c r="D322" s="23" t="s">
        <x:v>124</x:v>
      </x:c>
      <x:c r="E322" s="23" t="s">
        <x:v>186</x:v>
      </x:c>
      <x:c r="F322" s="23">
        <x:v>4</x:v>
      </x:c>
      <x:c r="G322" s="23">
        <x:v>8</x:v>
      </x:c>
      <x:c r="H322" s="23">
        <x:v>17</x:v>
      </x:c>
      <x:c r="I322" s="23">
        <x:v>2841</x:v>
      </x:c>
      <x:c r="J322" s="23">
        <x:v>7421</x:v>
      </x:c>
      <x:c r="K322" s="23">
        <x:v>0</x:v>
      </x:c>
      <x:c r="L322" s="23" t="s">
        <x:v>276</x:v>
      </x:c>
      <x:c r="M322" s="23" t="e">
        <x:f t="shared" ref="M322:M341" si="5">L322*86400</x:f>
        <x:v>#VALUE!</x:v>
      </x:c>
      <x:c r="N322" s="24" t="str">
        <x:f t="array" ref="N322">INDEX('MATCH INFO'!O:O, INT((ROW()-2)/10)+2 + 29+29)</x:f>
        <x:v>260621_ZETA_PF_S2</x:v>
      </x:c>
    </x:row>
    <x:row r="323">
      <x:c r="A323" s="23" t="s">
        <x:v>39</x:v>
      </x:c>
      <x:c r="B323" s="23" t="s">
        <x:v>42</x:v>
      </x:c>
      <x:c r="C323" s="23" t="s">
        <x:v>11</x:v>
      </x:c>
      <x:c r="D323" s="23" t="s">
        <x:v>124</x:v>
      </x:c>
      <x:c r="E323" s="23" t="s">
        <x:v>186</x:v>
      </x:c>
      <x:c r="F323" s="23">
        <x:v>13</x:v>
      </x:c>
      <x:c r="G323" s="23">
        <x:v>9</x:v>
      </x:c>
      <x:c r="H323" s="23">
        <x:v>0</x:v>
      </x:c>
      <x:c r="I323" s="23">
        <x:v>5766</x:v>
      </x:c>
      <x:c r="J323" s="23">
        <x:v>905</x:v>
      </x:c>
      <x:c r="K323" s="23">
        <x:v>765</x:v>
      </x:c>
      <x:c r="L323" s="23" t="s">
        <x:v>276</x:v>
      </x:c>
      <x:c r="M323" s="23">
        <x:f t="shared" si="5"/>
        <x:v>557</x:v>
      </x:c>
      <x:c r="N323" s="24" t="str">
        <x:f t="array" ref="N323">INDEX('MATCH INFO'!O:O, INT((ROW()-2)/10)+2 + 29+29)</x:f>
        <x:v>260621_ZETA_PF_S2</x:v>
      </x:c>
    </x:row>
    <x:row r="324">
      <x:c r="A324" s="23" t="s">
        <x:v>39</x:v>
      </x:c>
      <x:c r="B324" s="23" t="s">
        <x:v>40</x:v>
      </x:c>
      <x:c r="C324" s="23" t="s">
        <x:v>8</x:v>
      </x:c>
      <x:c r="D324" s="23" t="s">
        <x:v>124</x:v>
      </x:c>
      <x:c r="E324" s="23" t="s">
        <x:v>186</x:v>
      </x:c>
      <x:c r="F324" s="23">
        <x:v>17</x:v>
      </x:c>
      <x:c r="G324" s="23">
        <x:v>7</x:v>
      </x:c>
      <x:c r="H324" s="23">
        <x:v>2</x:v>
      </x:c>
      <x:c r="I324" s="23">
        <x:v>8525</x:v>
      </x:c>
      <x:c r="J324" s="23">
        <x:v>2353</x:v>
      </x:c>
      <x:c r="K324" s="23">
        <x:v>5396</x:v>
      </x:c>
      <x:c r="L324" s="23" t="s">
        <x:v>276</x:v>
      </x:c>
      <x:c r="M324" s="23">
        <x:f t="shared" si="5"/>
        <x:v>557</x:v>
      </x:c>
      <x:c r="N324" s="24" t="str">
        <x:f t="array" ref="N324">INDEX('MATCH INFO'!O:O, INT((ROW()-2)/10)+2 + 29+29)</x:f>
        <x:v>260621_ZETA_PF_S2</x:v>
      </x:c>
    </x:row>
    <x:row r="325">
      <x:c r="A325" s="23" t="s">
        <x:v>39</x:v>
      </x:c>
      <x:c r="B325" s="23" t="s">
        <x:v>43</x:v>
      </x:c>
      <x:c r="C325" s="23" t="s">
        <x:v>11</x:v>
      </x:c>
      <x:c r="D325" s="23" t="s">
        <x:v>124</x:v>
      </x:c>
      <x:c r="E325" s="23" t="s">
        <x:v>186</x:v>
      </x:c>
      <x:c r="F325" s="23">
        <x:v>18</x:v>
      </x:c>
      <x:c r="G325" s="23">
        <x:v>9</x:v>
      </x:c>
      <x:c r="H325" s="23">
        <x:v>0</x:v>
      </x:c>
      <x:c r="I325" s="23">
        <x:v>10355</x:v>
      </x:c>
      <x:c r="J325" s="23">
        <x:v>0</x:v>
      </x:c>
      <x:c r="K325" s="23">
        <x:v>0</x:v>
      </x:c>
      <x:c r="L325" s="23" t="s">
        <x:v>276</x:v>
      </x:c>
      <x:c r="M325" s="23">
        <x:f t="shared" si="5"/>
        <x:v>557</x:v>
      </x:c>
      <x:c r="N325" s="24" t="str">
        <x:f t="array" ref="N325">INDEX('MATCH INFO'!O:O, INT((ROW()-2)/10)+2 + 29+29)</x:f>
        <x:v>260621_ZETA_PF_S2</x:v>
      </x:c>
    </x:row>
    <x:row r="326">
      <x:c r="A326" s="23" t="s">
        <x:v>39</x:v>
      </x:c>
      <x:c r="B326" s="23" t="s">
        <x:v>44</x:v>
      </x:c>
      <x:c r="C326" s="23" t="s">
        <x:v>16</x:v>
      </x:c>
      <x:c r="D326" s="23" t="s">
        <x:v>124</x:v>
      </x:c>
      <x:c r="E326" s="23" t="s">
        <x:v>186</x:v>
      </x:c>
      <x:c r="F326" s="23">
        <x:v>7</x:v>
      </x:c>
      <x:c r="G326" s="23">
        <x:v>7</x:v>
      </x:c>
      <x:c r="H326" s="23">
        <x:v>8</x:v>
      </x:c>
      <x:c r="I326" s="23">
        <x:v>3843</x:v>
      </x:c>
      <x:c r="J326" s="23">
        <x:v>5808</x:v>
      </x:c>
      <x:c r="K326" s="23">
        <x:v>1169</x:v>
      </x:c>
      <x:c r="L326" s="23" t="s">
        <x:v>276</x:v>
      </x:c>
      <x:c r="M326" s="23">
        <x:f t="shared" si="5"/>
        <x:v>557</x:v>
      </x:c>
      <x:c r="N326" s="24" t="str">
        <x:f t="array" ref="N326">INDEX('MATCH INFO'!O:O, INT((ROW()-2)/10)+2 + 29+29)</x:f>
        <x:v>260621_ZETA_PF_S2</x:v>
      </x:c>
    </x:row>
    <x:row r="327">
      <x:c r="A327" s="23" t="s">
        <x:v>47</x:v>
      </x:c>
      <x:c r="B327" s="23" t="s">
        <x:v>49</x:v>
      </x:c>
      <x:c r="C327" s="23" t="s">
        <x:v>8</x:v>
      </x:c>
      <x:c r="D327" s="23" t="s">
        <x:v>124</x:v>
      </x:c>
      <x:c r="E327" s="23" t="s">
        <x:v>186</x:v>
      </x:c>
      <x:c r="F327" s="23">
        <x:v>29</x:v>
      </x:c>
      <x:c r="G327" s="23">
        <x:v>3</x:v>
      </x:c>
      <x:c r="H327" s="23">
        <x:v>5</x:v>
      </x:c>
      <x:c r="I327" s="23">
        <x:v>9221</x:v>
      </x:c>
      <x:c r="J327" s="23">
        <x:v>2247</x:v>
      </x:c>
      <x:c r="K327" s="23">
        <x:v>6228</x:v>
      </x:c>
      <x:c r="L327" s="23" t="s">
        <x:v>276</x:v>
      </x:c>
      <x:c r="M327" s="23">
        <x:f t="shared" si="5"/>
        <x:v>557</x:v>
      </x:c>
      <x:c r="N327" s="24" t="str">
        <x:f t="array" ref="N327">INDEX('MATCH INFO'!O:O, INT((ROW()-2)/10)+2 + 29+29)</x:f>
        <x:v>260621_ZETA_PF_S2</x:v>
      </x:c>
    </x:row>
    <x:row r="328">
      <x:c r="A328" s="23" t="s">
        <x:v>47</x:v>
      </x:c>
      <x:c r="B328" s="23" t="s">
        <x:v>51</x:v>
      </x:c>
      <x:c r="C328" s="23" t="s">
        <x:v>11</x:v>
      </x:c>
      <x:c r="D328" s="23" t="s">
        <x:v>124</x:v>
      </x:c>
      <x:c r="E328" s="23" t="s">
        <x:v>186</x:v>
      </x:c>
      <x:c r="F328" s="23">
        <x:v>18</x:v>
      </x:c>
      <x:c r="G328" s="23">
        <x:v>6</x:v>
      </x:c>
      <x:c r="H328" s="23">
        <x:v>0</x:v>
      </x:c>
      <x:c r="I328" s="23">
        <x:v>7429</x:v>
      </x:c>
      <x:c r="J328" s="23">
        <x:v>1129</x:v>
      </x:c>
      <x:c r="K328" s="23">
        <x:v>0</x:v>
      </x:c>
      <x:c r="L328" s="23" t="s">
        <x:v>276</x:v>
      </x:c>
      <x:c r="M328" s="23">
        <x:f t="shared" si="5"/>
        <x:v>557</x:v>
      </x:c>
      <x:c r="N328" s="24" t="str">
        <x:f t="array" ref="N328">INDEX('MATCH INFO'!O:O, INT((ROW()-2)/10)+2 + 29+29)</x:f>
        <x:v>260621_ZETA_PF_S2</x:v>
      </x:c>
    </x:row>
    <x:row r="329">
      <x:c r="A329" s="23" t="s">
        <x:v>47</x:v>
      </x:c>
      <x:c r="B329" s="23" t="s">
        <x:v>50</x:v>
      </x:c>
      <x:c r="C329" s="23" t="s">
        <x:v>11</x:v>
      </x:c>
      <x:c r="D329" s="23" t="s">
        <x:v>124</x:v>
      </x:c>
      <x:c r="E329" s="23" t="s">
        <x:v>186</x:v>
      </x:c>
      <x:c r="F329" s="23">
        <x:v>29</x:v>
      </x:c>
      <x:c r="G329" s="23">
        <x:v>5</x:v>
      </x:c>
      <x:c r="H329" s="23">
        <x:v>3</x:v>
      </x:c>
      <x:c r="I329" s="23">
        <x:v>8975</x:v>
      </x:c>
      <x:c r="J329" s="23">
        <x:v>75</x:v>
      </x:c>
      <x:c r="K329" s="23">
        <x:v>539</x:v>
      </x:c>
      <x:c r="L329" s="23" t="s">
        <x:v>276</x:v>
      </x:c>
      <x:c r="M329" s="23">
        <x:f t="shared" si="5"/>
        <x:v>557</x:v>
      </x:c>
      <x:c r="N329" s="24" t="str">
        <x:f t="array" ref="N329">INDEX('MATCH INFO'!O:O, INT((ROW()-2)/10)+2 + 29+29)</x:f>
        <x:v>260621_ZETA_PF_S2</x:v>
      </x:c>
    </x:row>
    <x:row r="330">
      <x:c r="A330" s="23" t="s">
        <x:v>47</x:v>
      </x:c>
      <x:c r="B330" s="23" t="s">
        <x:v>53</x:v>
      </x:c>
      <x:c r="C330" s="23" t="s">
        <x:v>16</x:v>
      </x:c>
      <x:c r="D330" s="23" t="s">
        <x:v>124</x:v>
      </x:c>
      <x:c r="E330" s="23" t="s">
        <x:v>186</x:v>
      </x:c>
      <x:c r="F330" s="23">
        <x:v>14</x:v>
      </x:c>
      <x:c r="G330" s="23">
        <x:v>5</x:v>
      </x:c>
      <x:c r="H330" s="23">
        <x:v>30</x:v>
      </x:c>
      <x:c r="I330" s="23">
        <x:v>4360</x:v>
      </x:c>
      <x:c r="J330" s="23">
        <x:v>11228</x:v>
      </x:c>
      <x:c r="K330" s="23">
        <x:v>0</x:v>
      </x:c>
      <x:c r="L330" s="23" t="s">
        <x:v>276</x:v>
      </x:c>
      <x:c r="M330" s="23">
        <x:f t="shared" si="5"/>
        <x:v>557</x:v>
      </x:c>
      <x:c r="N330" s="24" t="str">
        <x:f t="array" ref="N330">INDEX('MATCH INFO'!O:O, INT((ROW()-2)/10)+2 + 29+29)</x:f>
        <x:v>260621_ZETA_PF_S2</x:v>
      </x:c>
    </x:row>
    <x:row r="331">
      <x:c r="A331" s="23" t="s">
        <x:v>47</x:v>
      </x:c>
      <x:c r="B331" s="23" t="s">
        <x:v>52</x:v>
      </x:c>
      <x:c r="C331" s="23" t="s">
        <x:v>16</x:v>
      </x:c>
      <x:c r="D331" s="23" t="s">
        <x:v>124</x:v>
      </x:c>
      <x:c r="E331" s="23" t="s">
        <x:v>186</x:v>
      </x:c>
      <x:c r="F331" s="23">
        <x:v>13</x:v>
      </x:c>
      <x:c r="G331" s="23">
        <x:v>9</x:v>
      </x:c>
      <x:c r="H331" s="23">
        <x:v>13</x:v>
      </x:c>
      <x:c r="I331" s="23">
        <x:v>3060</x:v>
      </x:c>
      <x:c r="J331" s="23">
        <x:v>4644</x:v>
      </x:c>
      <x:c r="K331" s="23">
        <x:v>853</x:v>
      </x:c>
      <x:c r="L331" s="23" t="s">
        <x:v>276</x:v>
      </x:c>
      <x:c r="M331" s="23">
        <x:f t="shared" si="5"/>
        <x:v>557</x:v>
      </x:c>
      <x:c r="N331" s="24" t="str">
        <x:f t="array" ref="N331">INDEX('MATCH INFO'!O:O, INT((ROW()-2)/10)+2 + 29+29)</x:f>
        <x:v>260621_ZETA_PF_S2</x:v>
      </x:c>
    </x:row>
    <x:row r="332">
      <x:c r="A332" s="23" t="s">
        <x:v>39</x:v>
      </x:c>
      <x:c r="B332" s="23" t="s">
        <x:v>45</x:v>
      </x:c>
      <x:c r="C332" s="23" t="s">
        <x:v>16</x:v>
      </x:c>
      <x:c r="D332" s="23" t="s">
        <x:v>113</x:v>
      </x:c>
      <x:c r="E332" s="23" t="s">
        <x:v>188</x:v>
      </x:c>
      <x:c r="F332" s="23">
        <x:v>2</x:v>
      </x:c>
      <x:c r="G332" s="23">
        <x:v>7</x:v>
      </x:c>
      <x:c r="H332" s="23">
        <x:v>7</x:v>
      </x:c>
      <x:c r="I332" s="23">
        <x:v>1734</x:v>
      </x:c>
      <x:c r="J332" s="23">
        <x:v>5122</x:v>
      </x:c>
      <x:c r="K332" s="23">
        <x:v>0</x:v>
      </x:c>
      <x:c r="L332" s="23" t="s">
        <x:v>277</x:v>
      </x:c>
      <x:c r="M332" s="23">
        <x:f t="shared" si="5"/>
        <x:v>347.00000000000006</x:v>
      </x:c>
      <x:c r="N332" s="24" t="str">
        <x:f t="array" ref="N332">INDEX('MATCH INFO'!O:O, INT((ROW()-2)/10)+2 + 29+29)</x:f>
        <x:v>260621_ZETA_PF_S3</x:v>
      </x:c>
    </x:row>
    <x:row r="333">
      <x:c r="A333" s="23" t="s">
        <x:v>39</x:v>
      </x:c>
      <x:c r="B333" s="23" t="s">
        <x:v>42</x:v>
      </x:c>
      <x:c r="C333" s="23" t="s">
        <x:v>11</x:v>
      </x:c>
      <x:c r="D333" s="23" t="s">
        <x:v>113</x:v>
      </x:c>
      <x:c r="E333" s="23" t="s">
        <x:v>188</x:v>
      </x:c>
      <x:c r="F333" s="23">
        <x:v>3</x:v>
      </x:c>
      <x:c r="G333" s="23">
        <x:v>6</x:v>
      </x:c>
      <x:c r="H333" s="23">
        <x:v>0</x:v>
      </x:c>
      <x:c r="I333" s="23">
        <x:v>2855</x:v>
      </x:c>
      <x:c r="J333" s="23">
        <x:v>75</x:v>
      </x:c>
      <x:c r="K333" s="23">
        <x:v>161</x:v>
      </x:c>
      <x:c r="L333" s="23" t="s">
        <x:v>277</x:v>
      </x:c>
      <x:c r="M333" s="23">
        <x:f t="shared" si="5"/>
        <x:v>347.00000000000006</x:v>
      </x:c>
      <x:c r="N333" s="24" t="str">
        <x:f t="array" ref="N333">INDEX('MATCH INFO'!O:O, INT((ROW()-2)/10)+2 + 29+29)</x:f>
        <x:v>260621_ZETA_PF_S3</x:v>
      </x:c>
    </x:row>
    <x:row r="334">
      <x:c r="A334" s="23" t="s">
        <x:v>39</x:v>
      </x:c>
      <x:c r="B334" s="23" t="s">
        <x:v>41</x:v>
      </x:c>
      <x:c r="C334" s="23" t="s">
        <x:v>8</x:v>
      </x:c>
      <x:c r="D334" s="23" t="s">
        <x:v>113</x:v>
      </x:c>
      <x:c r="E334" s="23" t="s">
        <x:v>188</x:v>
      </x:c>
      <x:c r="F334" s="23">
        <x:v>6</x:v>
      </x:c>
      <x:c r="G334" s="23">
        <x:v>8</x:v>
      </x:c>
      <x:c r="H334" s="23">
        <x:v>3</x:v>
      </x:c>
      <x:c r="I334" s="23">
        <x:v>4787</x:v>
      </x:c>
      <x:c r="J334" s="23">
        <x:v>987</x:v>
      </x:c>
      <x:c r="K334" s="23">
        <x:v>2960</x:v>
      </x:c>
      <x:c r="L334" s="23" t="s">
        <x:v>277</x:v>
      </x:c>
      <x:c r="M334" s="23">
        <x:f t="shared" si="5"/>
        <x:v>347.00000000000006</x:v>
      </x:c>
      <x:c r="N334" s="24" t="str">
        <x:f t="array" ref="N334">INDEX('MATCH INFO'!O:O, INT((ROW()-2)/10)+2 + 29+29)</x:f>
        <x:v>260621_ZETA_PF_S3</x:v>
      </x:c>
    </x:row>
    <x:row r="335">
      <x:c r="A335" s="23" t="s">
        <x:v>39</x:v>
      </x:c>
      <x:c r="B335" s="23" t="s">
        <x:v>43</x:v>
      </x:c>
      <x:c r="C335" s="23" t="s">
        <x:v>11</x:v>
      </x:c>
      <x:c r="D335" s="23" t="s">
        <x:v>113</x:v>
      </x:c>
      <x:c r="E335" s="23" t="s">
        <x:v>188</x:v>
      </x:c>
      <x:c r="F335" s="23">
        <x:v>8</x:v>
      </x:c>
      <x:c r="G335" s="23">
        <x:v>6</x:v>
      </x:c>
      <x:c r="H335" s="23">
        <x:v>0</x:v>
      </x:c>
      <x:c r="I335" s="23">
        <x:v>5684</x:v>
      </x:c>
      <x:c r="J335" s="23">
        <x:v>0</x:v>
      </x:c>
      <x:c r="K335" s="23">
        <x:v>0</x:v>
      </x:c>
      <x:c r="L335" s="23" t="s">
        <x:v>277</x:v>
      </x:c>
      <x:c r="M335" s="23">
        <x:f t="shared" si="5"/>
        <x:v>347.00000000000006</x:v>
      </x:c>
      <x:c r="N335" s="24" t="str">
        <x:f t="array" ref="N335">INDEX('MATCH INFO'!O:O, INT((ROW()-2)/10)+2 + 29+29)</x:f>
        <x:v>260621_ZETA_PF_S3</x:v>
      </x:c>
    </x:row>
    <x:row r="336">
      <x:c r="A336" s="23" t="s">
        <x:v>39</x:v>
      </x:c>
      <x:c r="B336" s="23" t="s">
        <x:v>44</x:v>
      </x:c>
      <x:c r="C336" s="23" t="s">
        <x:v>16</x:v>
      </x:c>
      <x:c r="D336" s="23" t="s">
        <x:v>113</x:v>
      </x:c>
      <x:c r="E336" s="23" t="s">
        <x:v>188</x:v>
      </x:c>
      <x:c r="F336" s="23">
        <x:v>4</x:v>
      </x:c>
      <x:c r="G336" s="23">
        <x:v>6</x:v>
      </x:c>
      <x:c r="H336" s="23">
        <x:v>5</x:v>
      </x:c>
      <x:c r="I336" s="23">
        <x:v>1326</x:v>
      </x:c>
      <x:c r="J336" s="23">
        <x:v>3158</x:v>
      </x:c>
      <x:c r="K336" s="23">
        <x:v>701</x:v>
      </x:c>
      <x:c r="L336" s="23" t="s">
        <x:v>277</x:v>
      </x:c>
      <x:c r="M336" s="23">
        <x:f t="shared" si="5"/>
        <x:v>347.00000000000006</x:v>
      </x:c>
      <x:c r="N336" s="24" t="str">
        <x:f t="array" ref="N336">INDEX('MATCH INFO'!O:O, INT((ROW()-2)/10)+2 + 29+29)</x:f>
        <x:v>260621_ZETA_PF_S3</x:v>
      </x:c>
    </x:row>
    <x:row r="337">
      <x:c r="A337" s="23" t="s">
        <x:v>47</x:v>
      </x:c>
      <x:c r="B337" s="23" t="s">
        <x:v>49</x:v>
      </x:c>
      <x:c r="C337" s="23" t="s">
        <x:v>8</x:v>
      </x:c>
      <x:c r="D337" s="23" t="s">
        <x:v>113</x:v>
      </x:c>
      <x:c r="E337" s="23" t="s">
        <x:v>188</x:v>
      </x:c>
      <x:c r="F337" s="23">
        <x:v>24</x:v>
      </x:c>
      <x:c r="G337" s="23">
        <x:v>2</x:v>
      </x:c>
      <x:c r="H337" s="23">
        <x:v>6</x:v>
      </x:c>
      <x:c r="I337" s="23">
        <x:v>5296</x:v>
      </x:c>
      <x:c r="J337" s="23">
        <x:v>1180</x:v>
      </x:c>
      <x:c r="K337" s="23">
        <x:v>3889</x:v>
      </x:c>
      <x:c r="L337" s="23" t="s">
        <x:v>277</x:v>
      </x:c>
      <x:c r="M337" s="23">
        <x:f t="shared" si="5"/>
        <x:v>347.00000000000006</x:v>
      </x:c>
      <x:c r="N337" s="24" t="str">
        <x:f t="array" ref="N337">INDEX('MATCH INFO'!O:O, INT((ROW()-2)/10)+2 + 29+29)</x:f>
        <x:v>260621_ZETA_PF_S3</x:v>
      </x:c>
    </x:row>
    <x:row r="338">
      <x:c r="A338" s="23" t="s">
        <x:v>47</x:v>
      </x:c>
      <x:c r="B338" s="23" t="s">
        <x:v>51</x:v>
      </x:c>
      <x:c r="C338" s="23" t="s">
        <x:v>11</x:v>
      </x:c>
      <x:c r="D338" s="23" t="s">
        <x:v>113</x:v>
      </x:c>
      <x:c r="E338" s="23" t="s">
        <x:v>188</x:v>
      </x:c>
      <x:c r="F338" s="23">
        <x:v>24</x:v>
      </x:c>
      <x:c r="G338" s="23">
        <x:v>1</x:v>
      </x:c>
      <x:c r="H338" s="23">
        <x:v>0</x:v>
      </x:c>
      <x:c r="I338" s="23">
        <x:v>5543</x:v>
      </x:c>
      <x:c r="J338" s="23">
        <x:v>834</x:v>
      </x:c>
      <x:c r="K338" s="23">
        <x:v>0</x:v>
      </x:c>
      <x:c r="L338" s="23" t="s">
        <x:v>277</x:v>
      </x:c>
      <x:c r="M338" s="23">
        <x:f t="shared" si="5"/>
        <x:v>347.00000000000006</x:v>
      </x:c>
      <x:c r="N338" s="24" t="str">
        <x:f t="array" ref="N338">INDEX('MATCH INFO'!O:O, INT((ROW()-2)/10)+2 + 29+29)</x:f>
        <x:v>260621_ZETA_PF_S3</x:v>
      </x:c>
    </x:row>
    <x:row r="339">
      <x:c r="A339" s="23" t="s">
        <x:v>47</x:v>
      </x:c>
      <x:c r="B339" s="23" t="s">
        <x:v>50</x:v>
      </x:c>
      <x:c r="C339" s="23" t="s">
        <x:v>11</x:v>
      </x:c>
      <x:c r="D339" s="23" t="s">
        <x:v>113</x:v>
      </x:c>
      <x:c r="E339" s="23" t="s">
        <x:v>188</x:v>
      </x:c>
      <x:c r="F339" s="23">
        <x:v>25</x:v>
      </x:c>
      <x:c r="G339" s="23">
        <x:v>0</x:v>
      </x:c>
      <x:c r="H339" s="23">
        <x:v>1</x:v>
      </x:c>
      <x:c r="I339" s="23">
        <x:v>7401</x:v>
      </x:c>
      <x:c r="J339" s="23">
        <x:v>0</x:v>
      </x:c>
      <x:c r="K339" s="23">
        <x:v>245</x:v>
      </x:c>
      <x:c r="L339" s="23" t="s">
        <x:v>277</x:v>
      </x:c>
      <x:c r="M339" s="23">
        <x:f t="shared" si="5"/>
        <x:v>347.00000000000006</x:v>
      </x:c>
      <x:c r="N339" s="24" t="str">
        <x:f t="array" ref="N339">INDEX('MATCH INFO'!O:O, INT((ROW()-2)/10)+2 + 29+29)</x:f>
        <x:v>260621_ZETA_PF_S3</x:v>
      </x:c>
    </x:row>
    <x:row r="340">
      <x:c r="A340" s="23" t="s">
        <x:v>47</x:v>
      </x:c>
      <x:c r="B340" s="23" t="s">
        <x:v>53</x:v>
      </x:c>
      <x:c r="C340" s="23" t="s">
        <x:v>16</x:v>
      </x:c>
      <x:c r="D340" s="23" t="s">
        <x:v>113</x:v>
      </x:c>
      <x:c r="E340" s="23" t="s">
        <x:v>188</x:v>
      </x:c>
      <x:c r="F340" s="23">
        <x:v>11</x:v>
      </x:c>
      <x:c r="G340" s="23">
        <x:v>2</x:v>
      </x:c>
      <x:c r="H340" s="23">
        <x:v>28</x:v>
      </x:c>
      <x:c r="I340" s="23">
        <x:v>2246</x:v>
      </x:c>
      <x:c r="J340" s="23">
        <x:v>6583</x:v>
      </x:c>
      <x:c r="K340" s="23">
        <x:v>0</x:v>
      </x:c>
      <x:c r="L340" s="23" t="s">
        <x:v>277</x:v>
      </x:c>
      <x:c r="M340" s="23">
        <x:f t="shared" si="5"/>
        <x:v>347.00000000000006</x:v>
      </x:c>
      <x:c r="N340" s="24" t="str">
        <x:f t="array" ref="N340">INDEX('MATCH INFO'!O:O, INT((ROW()-2)/10)+2 + 29+29)</x:f>
        <x:v>260621_ZETA_PF_S3</x:v>
      </x:c>
    </x:row>
    <x:row r="341">
      <x:c r="A341" s="23" t="s">
        <x:v>47</x:v>
      </x:c>
      <x:c r="B341" s="23" t="s">
        <x:v>52</x:v>
      </x:c>
      <x:c r="C341" s="23" t="s">
        <x:v>16</x:v>
      </x:c>
      <x:c r="D341" s="23" t="s">
        <x:v>113</x:v>
      </x:c>
      <x:c r="E341" s="23" t="s">
        <x:v>188</x:v>
      </x:c>
      <x:c r="F341" s="23">
        <x:v>16</x:v>
      </x:c>
      <x:c r="G341" s="23">
        <x:v>4</x:v>
      </x:c>
      <x:c r="H341" s="23">
        <x:v>17</x:v>
      </x:c>
      <x:c r="I341" s="23">
        <x:v>2727</x:v>
      </x:c>
      <x:c r="J341" s="23">
        <x:v>2754</x:v>
      </x:c>
      <x:c r="K341" s="23">
        <x:v>1086</x:v>
      </x:c>
      <x:c r="L341" s="23" t="s">
        <x:v>277</x:v>
      </x:c>
      <x:c r="M341" s="23">
        <x:f t="shared" si="5"/>
        <x:v>347.00000000000006</x:v>
      </x:c>
      <x:c r="N341" s="24" t="str">
        <x:f t="array" ref="N341">INDEX('MATCH INFO'!O:O, INT((ROW()-2)/10)+2 + 29+29)</x:f>
        <x:v>260621_ZETA_PF_S3</x:v>
      </x:c>
    </x:row>
  </x:sheetData>
  <x:conditionalFormatting sqref="A2:N341">
    <x:cfRule type="expression" dxfId="7" priority="1">
      <x:formula>MOD(ROW()-1, 10)=0</x:formula>
    </x:cfRule>
    <x:cfRule type="expression" dxfId="6" priority="2">
      <x:formula>MOD(INT((ROW()-2)/10), 2)=1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8"/>
  <x:cols>
    <x:col min="2" max="2" width="13.28515625" style="3" customWidth="1"/>
    <x:col min="4" max="4" width="15.28515625" style="3" customWidth="1"/>
    <x:col min="13" max="13" width="16.7109375" style="3" customWidth="1"/>
    <x:col min="14" max="14" width="17.42578125" style="3" customWidth="1"/>
  </x:cols>
  <x:sheetData>
    <x:row r="1">
      <x:c r="A1" s="4" t="s">
        <x:v>171</x:v>
      </x:c>
      <x:c r="B1" s="4" t="s">
        <x:v>172</x:v>
      </x:c>
      <x:c r="C1" s="4" t="s">
        <x:v>173</x:v>
      </x:c>
      <x:c r="D1" s="4" t="s">
        <x:v>174</x:v>
      </x:c>
      <x:c r="E1" s="4" t="s">
        <x:v>175</x:v>
      </x:c>
      <x:c r="F1" s="4" t="s">
        <x:v>176</x:v>
      </x:c>
      <x:c r="G1" s="4" t="s">
        <x:v>177</x:v>
      </x:c>
      <x:c r="H1" s="4" t="s">
        <x:v>178</x:v>
      </x:c>
      <x:c r="I1" s="4" t="s">
        <x:v>179</x:v>
      </x:c>
      <x:c r="J1" s="4" t="s">
        <x:v>180</x:v>
      </x:c>
      <x:c r="K1" s="4" t="s">
        <x:v>181</x:v>
      </x:c>
      <x:c r="L1" s="4" t="s">
        <x:v>182</x:v>
      </x:c>
      <x:c r="M1" s="4" t="s">
        <x:v>183</x:v>
      </x:c>
      <x:c r="N1" s="7" t="s">
        <x:v>103</x:v>
      </x:c>
    </x:row>
    <x:row r="2">
      <x:c r="A2" s="23" t="s">
        <x:v>31</x:v>
      </x:c>
      <x:c r="B2" s="23" t="s">
        <x:v>34</x:v>
      </x:c>
      <x:c r="C2" s="23" t="s">
        <x:v>11</x:v>
      </x:c>
      <x:c r="D2" s="23" t="s">
        <x:v>116</x:v>
      </x:c>
      <x:c r="E2" s="23" t="s">
        <x:v>184</x:v>
      </x:c>
      <x:c r="F2" s="23">
        <x:v>26</x:v>
      </x:c>
      <x:c r="G2" s="23">
        <x:v>7</x:v>
      </x:c>
      <x:c r="H2" s="23">
        <x:v>0</x:v>
      </x:c>
      <x:c r="I2" s="23">
        <x:v>16694</x:v>
      </x:c>
      <x:c r="J2" s="23">
        <x:v>2408</x:v>
      </x:c>
      <x:c r="K2" s="23">
        <x:v>0</x:v>
      </x:c>
      <x:c r="L2" s="23" t="s">
        <x:v>278</x:v>
      </x:c>
      <x:c r="M2" s="23" t="e">
        <x:f t="shared" ref="M2:M65" si="0">L2*86400</x:f>
        <x:v>#VALUE!</x:v>
      </x:c>
      <x:c r="N2" s="24" t="str">
        <x:f t="array" ref="N2">INDEX('MATCH INFO'!O:O, INT((ROW()-2)/10)+2 + 92)</x:f>
        <x:v>260626_CB_O2_S1</x:v>
      </x:c>
    </x:row>
    <x:row r="3">
      <x:c r="A3" s="23" t="s">
        <x:v>31</x:v>
      </x:c>
      <x:c r="B3" s="23" t="s">
        <x:v>33</x:v>
      </x:c>
      <x:c r="C3" s="23" t="s">
        <x:v>8</x:v>
      </x:c>
      <x:c r="D3" s="23" t="s">
        <x:v>116</x:v>
      </x:c>
      <x:c r="E3" s="23" t="s">
        <x:v>184</x:v>
      </x:c>
      <x:c r="F3" s="23">
        <x:v>24</x:v>
      </x:c>
      <x:c r="G3" s="23">
        <x:v>9</x:v>
      </x:c>
      <x:c r="H3" s="23">
        <x:v>15</x:v>
      </x:c>
      <x:c r="I3" s="23">
        <x:v>17799</x:v>
      </x:c>
      <x:c r="J3" s="23">
        <x:v>4725</x:v>
      </x:c>
      <x:c r="K3" s="23">
        <x:v>9927</x:v>
      </x:c>
      <x:c r="L3" s="23" t="s">
        <x:v>278</x:v>
      </x:c>
      <x:c r="M3" s="23">
        <x:f t="shared" si="0"/>
        <x:v>678</x:v>
      </x:c>
      <x:c r="N3" s="24" t="str">
        <x:f t="array" ref="N3">INDEX('MATCH INFO'!O:O, INT((ROW()-2)/10)+2 + 92)</x:f>
        <x:v>260626_CB_O2_S1</x:v>
      </x:c>
    </x:row>
    <x:row r="4">
      <x:c r="A4" s="23" t="s">
        <x:v>31</x:v>
      </x:c>
      <x:c r="B4" s="23" t="s">
        <x:v>35</x:v>
      </x:c>
      <x:c r="C4" s="23" t="s">
        <x:v>11</x:v>
      </x:c>
      <x:c r="D4" s="23" t="s">
        <x:v>116</x:v>
      </x:c>
      <x:c r="E4" s="23" t="s">
        <x:v>184</x:v>
      </x:c>
      <x:c r="F4" s="23">
        <x:v>23</x:v>
      </x:c>
      <x:c r="G4" s="23">
        <x:v>8</x:v>
      </x:c>
      <x:c r="H4" s="23">
        <x:v>2</x:v>
      </x:c>
      <x:c r="I4" s="23">
        <x:v>13842</x:v>
      </x:c>
      <x:c r="J4" s="23">
        <x:v>53</x:v>
      </x:c>
      <x:c r="K4" s="23">
        <x:v>583</x:v>
      </x:c>
      <x:c r="L4" s="23" t="s">
        <x:v>278</x:v>
      </x:c>
      <x:c r="M4" s="23">
        <x:f t="shared" si="0"/>
        <x:v>678</x:v>
      </x:c>
      <x:c r="N4" s="24" t="str">
        <x:f t="array" ref="N4">INDEX('MATCH INFO'!O:O, INT((ROW()-2)/10)+2 + 92)</x:f>
        <x:v>260626_CB_O2_S1</x:v>
      </x:c>
    </x:row>
    <x:row r="5">
      <x:c r="A5" s="23" t="s">
        <x:v>31</x:v>
      </x:c>
      <x:c r="B5" s="23" t="s">
        <x:v>36</x:v>
      </x:c>
      <x:c r="C5" s="23" t="s">
        <x:v>16</x:v>
      </x:c>
      <x:c r="D5" s="23" t="s">
        <x:v>116</x:v>
      </x:c>
      <x:c r="E5" s="23" t="s">
        <x:v>184</x:v>
      </x:c>
      <x:c r="F5" s="23">
        <x:v>13</x:v>
      </x:c>
      <x:c r="G5" s="23">
        <x:v>10</x:v>
      </x:c>
      <x:c r="H5" s="23">
        <x:v>13</x:v>
      </x:c>
      <x:c r="I5" s="23">
        <x:v>5915</x:v>
      </x:c>
      <x:c r="J5" s="23">
        <x:v>9261</x:v>
      </x:c>
      <x:c r="K5" s="23">
        <x:v>1478</x:v>
      </x:c>
      <x:c r="L5" s="23" t="s">
        <x:v>278</x:v>
      </x:c>
      <x:c r="M5" s="23">
        <x:f t="shared" si="0"/>
        <x:v>678</x:v>
      </x:c>
      <x:c r="N5" s="24" t="str">
        <x:f t="array" ref="N5">INDEX('MATCH INFO'!O:O, INT((ROW()-2)/10)+2 + 92)</x:f>
        <x:v>260626_CB_O2_S1</x:v>
      </x:c>
    </x:row>
    <x:row r="6">
      <x:c r="A6" s="23" t="s">
        <x:v>31</x:v>
      </x:c>
      <x:c r="B6" s="23" t="s">
        <x:v>37</x:v>
      </x:c>
      <x:c r="C6" s="23" t="s">
        <x:v>16</x:v>
      </x:c>
      <x:c r="D6" s="23" t="s">
        <x:v>116</x:v>
      </x:c>
      <x:c r="E6" s="23" t="s">
        <x:v>184</x:v>
      </x:c>
      <x:c r="F6" s="23">
        <x:v>15</x:v>
      </x:c>
      <x:c r="G6" s="23">
        <x:v>7</x:v>
      </x:c>
      <x:c r="H6" s="23">
        <x:v>25</x:v>
      </x:c>
      <x:c r="I6" s="23">
        <x:v>7162</x:v>
      </x:c>
      <x:c r="J6" s="23">
        <x:v>19573</x:v>
      </x:c>
      <x:c r="K6" s="23">
        <x:v>0</x:v>
      </x:c>
      <x:c r="L6" s="23" t="s">
        <x:v>278</x:v>
      </x:c>
      <x:c r="M6" s="23">
        <x:f t="shared" si="0"/>
        <x:v>678</x:v>
      </x:c>
      <x:c r="N6" s="24" t="str">
        <x:f t="array" ref="N6">INDEX('MATCH INFO'!O:O, INT((ROW()-2)/10)+2 + 92)</x:f>
        <x:v>260626_CB_O2_S1</x:v>
      </x:c>
    </x:row>
    <x:row r="7">
      <x:c r="A7" s="23" t="s">
        <x:v>6</x:v>
      </x:c>
      <x:c r="B7" s="23" t="s">
        <x:v>15</x:v>
      </x:c>
      <x:c r="C7" s="23" t="s">
        <x:v>16</x:v>
      </x:c>
      <x:c r="D7" s="23" t="s">
        <x:v>116</x:v>
      </x:c>
      <x:c r="E7" s="23" t="s">
        <x:v>184</x:v>
      </x:c>
      <x:c r="F7" s="23">
        <x:v>24</x:v>
      </x:c>
      <x:c r="G7" s="23">
        <x:v>7</x:v>
      </x:c>
      <x:c r="H7" s="23">
        <x:v>22</x:v>
      </x:c>
      <x:c r="I7" s="23">
        <x:v>6497</x:v>
      </x:c>
      <x:c r="J7" s="23">
        <x:v>10324</x:v>
      </x:c>
      <x:c r="K7" s="23">
        <x:v>2337</x:v>
      </x:c>
      <x:c r="L7" s="23" t="s">
        <x:v>278</x:v>
      </x:c>
      <x:c r="M7" s="23">
        <x:f t="shared" si="0"/>
        <x:v>678</x:v>
      </x:c>
      <x:c r="N7" s="24" t="str">
        <x:f t="array" ref="N7">INDEX('MATCH INFO'!O:O, INT((ROW()-2)/10)+2 + 92)</x:f>
        <x:v>260626_CB_O2_S1</x:v>
      </x:c>
    </x:row>
    <x:row r="8">
      <x:c r="A8" s="23" t="s">
        <x:v>6</x:v>
      </x:c>
      <x:c r="B8" s="23" t="s">
        <x:v>7</x:v>
      </x:c>
      <x:c r="C8" s="23" t="s">
        <x:v>8</x:v>
      </x:c>
      <x:c r="D8" s="23" t="s">
        <x:v>116</x:v>
      </x:c>
      <x:c r="E8" s="23" t="s">
        <x:v>184</x:v>
      </x:c>
      <x:c r="F8" s="23">
        <x:v>34</x:v>
      </x:c>
      <x:c r="G8" s="23">
        <x:v>9</x:v>
      </x:c>
      <x:c r="H8" s="23">
        <x:v>20</x:v>
      </x:c>
      <x:c r="I8" s="23">
        <x:v>17468</x:v>
      </x:c>
      <x:c r="J8" s="23">
        <x:v>4174</x:v>
      </x:c>
      <x:c r="K8" s="23">
        <x:v>6792</x:v>
      </x:c>
      <x:c r="L8" s="23" t="s">
        <x:v>278</x:v>
      </x:c>
      <x:c r="M8" s="23">
        <x:f t="shared" si="0"/>
        <x:v>678</x:v>
      </x:c>
      <x:c r="N8" s="24" t="str">
        <x:f t="array" ref="N8">INDEX('MATCH INFO'!O:O, INT((ROW()-2)/10)+2 + 92)</x:f>
        <x:v>260626_CB_O2_S1</x:v>
      </x:c>
    </x:row>
    <x:row r="9">
      <x:c r="A9" s="23" t="s">
        <x:v>6</x:v>
      </x:c>
      <x:c r="B9" s="23" t="s">
        <x:v>20</x:v>
      </x:c>
      <x:c r="C9" s="23" t="s">
        <x:v>16</x:v>
      </x:c>
      <x:c r="D9" s="23" t="s">
        <x:v>116</x:v>
      </x:c>
      <x:c r="E9" s="23" t="s">
        <x:v>184</x:v>
      </x:c>
      <x:c r="F9" s="23">
        <x:v>22</x:v>
      </x:c>
      <x:c r="G9" s="23">
        <x:v>4</x:v>
      </x:c>
      <x:c r="H9" s="23">
        <x:v>33</x:v>
      </x:c>
      <x:c r="I9" s="23">
        <x:v>8266</x:v>
      </x:c>
      <x:c r="J9" s="23">
        <x:v>22785</x:v>
      </x:c>
      <x:c r="K9" s="23">
        <x:v>0</x:v>
      </x:c>
      <x:c r="L9" s="23" t="s">
        <x:v>278</x:v>
      </x:c>
      <x:c r="M9" s="23">
        <x:f t="shared" si="0"/>
        <x:v>678</x:v>
      </x:c>
      <x:c r="N9" s="24" t="str">
        <x:f t="array" ref="N9">INDEX('MATCH INFO'!O:O, INT((ROW()-2)/10)+2 + 92)</x:f>
        <x:v>260626_CB_O2_S1</x:v>
      </x:c>
    </x:row>
    <x:row r="10">
      <x:c r="A10" s="23" t="s">
        <x:v>6</x:v>
      </x:c>
      <x:c r="B10" s="23" t="s">
        <x:v>13</x:v>
      </x:c>
      <x:c r="C10" s="23" t="s">
        <x:v>11</x:v>
      </x:c>
      <x:c r="D10" s="23" t="s">
        <x:v>116</x:v>
      </x:c>
      <x:c r="E10" s="23" t="s">
        <x:v>184</x:v>
      </x:c>
      <x:c r="F10" s="23">
        <x:v>29</x:v>
      </x:c>
      <x:c r="G10" s="23">
        <x:v>3</x:v>
      </x:c>
      <x:c r="H10" s="23">
        <x:v>7</x:v>
      </x:c>
      <x:c r="I10" s="23">
        <x:v>14652</x:v>
      </x:c>
      <x:c r="J10" s="23">
        <x:v>0</x:v>
      </x:c>
      <x:c r="K10" s="23">
        <x:v>383</x:v>
      </x:c>
      <x:c r="L10" s="23" t="s">
        <x:v>278</x:v>
      </x:c>
      <x:c r="M10" s="23">
        <x:f t="shared" si="0"/>
        <x:v>678</x:v>
      </x:c>
      <x:c r="N10" s="24" t="str">
        <x:f t="array" ref="N10">INDEX('MATCH INFO'!O:O, INT((ROW()-2)/10)+2 + 92)</x:f>
        <x:v>260626_CB_O2_S1</x:v>
      </x:c>
    </x:row>
    <x:row r="11">
      <x:c r="A11" s="23" t="s">
        <x:v>6</x:v>
      </x:c>
      <x:c r="B11" s="23" t="s">
        <x:v>10</x:v>
      </x:c>
      <x:c r="C11" s="23" t="s">
        <x:v>11</x:v>
      </x:c>
      <x:c r="D11" s="23" t="s">
        <x:v>116</x:v>
      </x:c>
      <x:c r="E11" s="23" t="s">
        <x:v>184</x:v>
      </x:c>
      <x:c r="F11" s="23">
        <x:v>29</x:v>
      </x:c>
      <x:c r="G11" s="23">
        <x:v>8</x:v>
      </x:c>
      <x:c r="H11" s="23">
        <x:v>0</x:v>
      </x:c>
      <x:c r="I11" s="23">
        <x:v>12656</x:v>
      </x:c>
      <x:c r="J11" s="23">
        <x:v>1942</x:v>
      </x:c>
      <x:c r="K11" s="23">
        <x:v>0</x:v>
      </x:c>
      <x:c r="L11" s="23" t="s">
        <x:v>278</x:v>
      </x:c>
      <x:c r="M11" s="23">
        <x:f t="shared" si="0"/>
        <x:v>678</x:v>
      </x:c>
      <x:c r="N11" s="24" t="str">
        <x:f t="array" ref="N11">INDEX('MATCH INFO'!O:O, INT((ROW()-2)/10)+2 + 92)</x:f>
        <x:v>260626_CB_O2_S1</x:v>
      </x:c>
    </x:row>
    <x:row r="12">
      <x:c r="A12" s="23" t="s">
        <x:v>31</x:v>
      </x:c>
      <x:c r="B12" s="23" t="s">
        <x:v>34</x:v>
      </x:c>
      <x:c r="C12" s="23" t="s">
        <x:v>11</x:v>
      </x:c>
      <x:c r="D12" s="23" t="s">
        <x:v>119</x:v>
      </x:c>
      <x:c r="E12" s="23" t="s">
        <x:v>191</x:v>
      </x:c>
      <x:c r="F12" s="23">
        <x:v>20</x:v>
      </x:c>
      <x:c r="G12" s="23">
        <x:v>9</x:v>
      </x:c>
      <x:c r="H12" s="23">
        <x:v>2</x:v>
      </x:c>
      <x:c r="I12" s="23">
        <x:v>8848</x:v>
      </x:c>
      <x:c r="J12" s="23">
        <x:v>553</x:v>
      </x:c>
      <x:c r="K12" s="23">
        <x:v>2098</x:v>
      </x:c>
      <x:c r="L12" s="23" t="s">
        <x:v>196</x:v>
      </x:c>
      <x:c r="M12" s="23">
        <x:f t="shared" si="0"/>
        <x:v>922</x:v>
      </x:c>
      <x:c r="N12" s="24" t="str">
        <x:f t="array" ref="N12">INDEX('MATCH INFO'!O:O, INT((ROW()-2)/10)+2 + 92)</x:f>
        <x:v>260626_CB_O2_S2</x:v>
      </x:c>
    </x:row>
    <x:row r="13">
      <x:c r="A13" s="23" t="s">
        <x:v>31</x:v>
      </x:c>
      <x:c r="B13" s="23" t="s">
        <x:v>33</x:v>
      </x:c>
      <x:c r="C13" s="23" t="s">
        <x:v>8</x:v>
      </x:c>
      <x:c r="D13" s="23" t="s">
        <x:v>119</x:v>
      </x:c>
      <x:c r="E13" s="23" t="s">
        <x:v>191</x:v>
      </x:c>
      <x:c r="F13" s="23">
        <x:v>11</x:v>
      </x:c>
      <x:c r="G13" s="23">
        <x:v>8</x:v>
      </x:c>
      <x:c r="H13" s="23">
        <x:v>1</x:v>
      </x:c>
      <x:c r="I13" s="23">
        <x:v>15673</x:v>
      </x:c>
      <x:c r="J13" s="23">
        <x:v>0</x:v>
      </x:c>
      <x:c r="K13" s="23">
        <x:v>33071</x:v>
      </x:c>
      <x:c r="L13" s="23" t="s">
        <x:v>196</x:v>
      </x:c>
      <x:c r="M13" s="23">
        <x:f t="shared" si="0"/>
        <x:v>922</x:v>
      </x:c>
      <x:c r="N13" s="24" t="str">
        <x:f t="array" ref="N13">INDEX('MATCH INFO'!O:O, INT((ROW()-2)/10)+2 + 92)</x:f>
        <x:v>260626_CB_O2_S2</x:v>
      </x:c>
    </x:row>
    <x:row r="14">
      <x:c r="A14" s="23" t="s">
        <x:v>31</x:v>
      </x:c>
      <x:c r="B14" s="23" t="s">
        <x:v>35</x:v>
      </x:c>
      <x:c r="C14" s="23" t="s">
        <x:v>11</x:v>
      </x:c>
      <x:c r="D14" s="23" t="s">
        <x:v>119</x:v>
      </x:c>
      <x:c r="E14" s="23" t="s">
        <x:v>191</x:v>
      </x:c>
      <x:c r="F14" s="23">
        <x:v>16</x:v>
      </x:c>
      <x:c r="G14" s="23">
        <x:v>13</x:v>
      </x:c>
      <x:c r="H14" s="23">
        <x:v>1</x:v>
      </x:c>
      <x:c r="I14" s="23">
        <x:v>9397</x:v>
      </x:c>
      <x:c r="J14" s="23">
        <x:v>0</x:v>
      </x:c>
      <x:c r="K14" s="23">
        <x:v>310</x:v>
      </x:c>
      <x:c r="L14" s="23" t="s">
        <x:v>196</x:v>
      </x:c>
      <x:c r="M14" s="23">
        <x:f t="shared" si="0"/>
        <x:v>922</x:v>
      </x:c>
      <x:c r="N14" s="24" t="str">
        <x:f t="array" ref="N14">INDEX('MATCH INFO'!O:O, INT((ROW()-2)/10)+2 + 92)</x:f>
        <x:v>260626_CB_O2_S2</x:v>
      </x:c>
    </x:row>
    <x:row r="15">
      <x:c r="A15" s="23" t="s">
        <x:v>31</x:v>
      </x:c>
      <x:c r="B15" s="23" t="s">
        <x:v>36</x:v>
      </x:c>
      <x:c r="C15" s="23" t="s">
        <x:v>16</x:v>
      </x:c>
      <x:c r="D15" s="23" t="s">
        <x:v>119</x:v>
      </x:c>
      <x:c r="E15" s="23" t="s">
        <x:v>191</x:v>
      </x:c>
      <x:c r="F15" s="23">
        <x:v>21</x:v>
      </x:c>
      <x:c r="G15" s="23">
        <x:v>4</x:v>
      </x:c>
      <x:c r="H15" s="23">
        <x:v>14</x:v>
      </x:c>
      <x:c r="I15" s="23">
        <x:v>14730</x:v>
      </x:c>
      <x:c r="J15" s="23">
        <x:v>10275</x:v>
      </x:c>
      <x:c r="K15" s="23">
        <x:v>1122</x:v>
      </x:c>
      <x:c r="L15" s="23" t="s">
        <x:v>196</x:v>
      </x:c>
      <x:c r="M15" s="23">
        <x:f t="shared" si="0"/>
        <x:v>922</x:v>
      </x:c>
      <x:c r="N15" s="24" t="str">
        <x:f t="array" ref="N15">INDEX('MATCH INFO'!O:O, INT((ROW()-2)/10)+2 + 92)</x:f>
        <x:v>260626_CB_O2_S2</x:v>
      </x:c>
    </x:row>
    <x:row r="16">
      <x:c r="A16" s="23" t="s">
        <x:v>31</x:v>
      </x:c>
      <x:c r="B16" s="23" t="s">
        <x:v>37</x:v>
      </x:c>
      <x:c r="C16" s="23" t="s">
        <x:v>16</x:v>
      </x:c>
      <x:c r="D16" s="23" t="s">
        <x:v>119</x:v>
      </x:c>
      <x:c r="E16" s="23" t="s">
        <x:v>191</x:v>
      </x:c>
      <x:c r="F16" s="23">
        <x:v>8</x:v>
      </x:c>
      <x:c r="G16" s="23">
        <x:v>10</x:v>
      </x:c>
      <x:c r="H16" s="23">
        <x:v>12</x:v>
      </x:c>
      <x:c r="I16" s="23">
        <x:v>3556</x:v>
      </x:c>
      <x:c r="J16" s="23">
        <x:v>20113</x:v>
      </x:c>
      <x:c r="K16" s="23">
        <x:v>0</x:v>
      </x:c>
      <x:c r="L16" s="23" t="s">
        <x:v>196</x:v>
      </x:c>
      <x:c r="M16" s="23">
        <x:f t="shared" si="0"/>
        <x:v>922</x:v>
      </x:c>
      <x:c r="N16" s="24" t="str">
        <x:f t="array" ref="N16">INDEX('MATCH INFO'!O:O, INT((ROW()-2)/10)+2 + 92)</x:f>
        <x:v>260626_CB_O2_S2</x:v>
      </x:c>
    </x:row>
    <x:row r="17">
      <x:c r="A17" s="23" t="s">
        <x:v>6</x:v>
      </x:c>
      <x:c r="B17" s="23" t="s">
        <x:v>15</x:v>
      </x:c>
      <x:c r="C17" s="23" t="s">
        <x:v>16</x:v>
      </x:c>
      <x:c r="D17" s="23" t="s">
        <x:v>119</x:v>
      </x:c>
      <x:c r="E17" s="23" t="s">
        <x:v>191</x:v>
      </x:c>
      <x:c r="F17" s="23">
        <x:v>28</x:v>
      </x:c>
      <x:c r="G17" s="23">
        <x:v>4</x:v>
      </x:c>
      <x:c r="H17" s="23">
        <x:v>19</x:v>
      </x:c>
      <x:c r="I17" s="23">
        <x:v>10147</x:v>
      </x:c>
      <x:c r="J17" s="23">
        <x:v>10406</x:v>
      </x:c>
      <x:c r="K17" s="23">
        <x:v>1442</x:v>
      </x:c>
      <x:c r="L17" s="23" t="s">
        <x:v>196</x:v>
      </x:c>
      <x:c r="M17" s="23">
        <x:f t="shared" si="0"/>
        <x:v>922</x:v>
      </x:c>
      <x:c r="N17" s="24" t="str">
        <x:f t="array" ref="N17">INDEX('MATCH INFO'!O:O, INT((ROW()-2)/10)+2 + 92)</x:f>
        <x:v>260626_CB_O2_S2</x:v>
      </x:c>
    </x:row>
    <x:row r="18">
      <x:c r="A18" s="23" t="s">
        <x:v>6</x:v>
      </x:c>
      <x:c r="B18" s="23" t="s">
        <x:v>20</x:v>
      </x:c>
      <x:c r="C18" s="23" t="s">
        <x:v>16</x:v>
      </x:c>
      <x:c r="D18" s="23" t="s">
        <x:v>119</x:v>
      </x:c>
      <x:c r="E18" s="23" t="s">
        <x:v>191</x:v>
      </x:c>
      <x:c r="F18" s="23">
        <x:v>12</x:v>
      </x:c>
      <x:c r="G18" s="23">
        <x:v>5</x:v>
      </x:c>
      <x:c r="H18" s="23">
        <x:v>33</x:v>
      </x:c>
      <x:c r="I18" s="23">
        <x:v>4771</x:v>
      </x:c>
      <x:c r="J18" s="23">
        <x:v>21653</x:v>
      </x:c>
      <x:c r="K18" s="23">
        <x:v>0</x:v>
      </x:c>
      <x:c r="L18" s="23" t="s">
        <x:v>196</x:v>
      </x:c>
      <x:c r="M18" s="23">
        <x:f t="shared" si="0"/>
        <x:v>922</x:v>
      </x:c>
      <x:c r="N18" s="24" t="str">
        <x:f t="array" ref="N18">INDEX('MATCH INFO'!O:O, INT((ROW()-2)/10)+2 + 92)</x:f>
        <x:v>260626_CB_O2_S2</x:v>
      </x:c>
    </x:row>
    <x:row r="19">
      <x:c r="A19" s="23" t="s">
        <x:v>6</x:v>
      </x:c>
      <x:c r="B19" s="23" t="s">
        <x:v>13</x:v>
      </x:c>
      <x:c r="C19" s="23" t="s">
        <x:v>11</x:v>
      </x:c>
      <x:c r="D19" s="23" t="s">
        <x:v>119</x:v>
      </x:c>
      <x:c r="E19" s="23" t="s">
        <x:v>191</x:v>
      </x:c>
      <x:c r="F19" s="23">
        <x:v>21</x:v>
      </x:c>
      <x:c r="G19" s="23">
        <x:v>9</x:v>
      </x:c>
      <x:c r="H19" s="23">
        <x:v>0</x:v>
      </x:c>
      <x:c r="I19" s="23">
        <x:v>11446</x:v>
      </x:c>
      <x:c r="J19" s="23">
        <x:v>0</x:v>
      </x:c>
      <x:c r="K19" s="23">
        <x:v>129</x:v>
      </x:c>
      <x:c r="L19" s="23" t="s">
        <x:v>196</x:v>
      </x:c>
      <x:c r="M19" s="23">
        <x:f t="shared" si="0"/>
        <x:v>922</x:v>
      </x:c>
      <x:c r="N19" s="24" t="str">
        <x:f t="array" ref="N19">INDEX('MATCH INFO'!O:O, INT((ROW()-2)/10)+2 + 92)</x:f>
        <x:v>260626_CB_O2_S2</x:v>
      </x:c>
    </x:row>
    <x:row r="20">
      <x:c r="A20" s="23" t="s">
        <x:v>6</x:v>
      </x:c>
      <x:c r="B20" s="23" t="s">
        <x:v>9</x:v>
      </x:c>
      <x:c r="C20" s="23" t="s">
        <x:v>8</x:v>
      </x:c>
      <x:c r="D20" s="23" t="s">
        <x:v>119</x:v>
      </x:c>
      <x:c r="E20" s="23" t="s">
        <x:v>191</x:v>
      </x:c>
      <x:c r="F20" s="23">
        <x:v>26</x:v>
      </x:c>
      <x:c r="G20" s="23">
        <x:v>5</x:v>
      </x:c>
      <x:c r="H20" s="23">
        <x:v>5</x:v>
      </x:c>
      <x:c r="I20" s="23">
        <x:v>15639</x:v>
      </x:c>
      <x:c r="J20" s="23">
        <x:v>0</x:v>
      </x:c>
      <x:c r="K20" s="23">
        <x:v>33729</x:v>
      </x:c>
      <x:c r="L20" s="23" t="s">
        <x:v>196</x:v>
      </x:c>
      <x:c r="M20" s="23">
        <x:f t="shared" si="0"/>
        <x:v>922</x:v>
      </x:c>
      <x:c r="N20" s="24" t="str">
        <x:f t="array" ref="N20">INDEX('MATCH INFO'!O:O, INT((ROW()-2)/10)+2 + 92)</x:f>
        <x:v>260626_CB_O2_S2</x:v>
      </x:c>
    </x:row>
    <x:row r="21">
      <x:c r="A21" s="23" t="s">
        <x:v>6</x:v>
      </x:c>
      <x:c r="B21" s="23" t="s">
        <x:v>10</x:v>
      </x:c>
      <x:c r="C21" s="23" t="s">
        <x:v>11</x:v>
      </x:c>
      <x:c r="D21" s="23" t="s">
        <x:v>119</x:v>
      </x:c>
      <x:c r="E21" s="23" t="s">
        <x:v>191</x:v>
      </x:c>
      <x:c r="F21" s="23">
        <x:v>27</x:v>
      </x:c>
      <x:c r="G21" s="23">
        <x:v>8</x:v>
      </x:c>
      <x:c r="H21" s="23">
        <x:v>5</x:v>
      </x:c>
      <x:c r="I21" s="23">
        <x:v>13866</x:v>
      </x:c>
      <x:c r="J21" s="23">
        <x:v>349</x:v>
      </x:c>
      <x:c r="K21" s="23">
        <x:v>1374</x:v>
      </x:c>
      <x:c r="L21" s="23" t="s">
        <x:v>196</x:v>
      </x:c>
      <x:c r="M21" s="23">
        <x:f t="shared" si="0"/>
        <x:v>922</x:v>
      </x:c>
      <x:c r="N21" s="24" t="str">
        <x:f t="array" ref="N21">INDEX('MATCH INFO'!O:O, INT((ROW()-2)/10)+2 + 92)</x:f>
        <x:v>260626_CB_O2_S2</x:v>
      </x:c>
    </x:row>
    <x:row r="22">
      <x:c r="A22" s="23" t="s">
        <x:v>31</x:v>
      </x:c>
      <x:c r="B22" s="23" t="s">
        <x:v>34</x:v>
      </x:c>
      <x:c r="C22" s="23" t="s">
        <x:v>11</x:v>
      </x:c>
      <x:c r="D22" s="23" t="s">
        <x:v>113</x:v>
      </x:c>
      <x:c r="E22" s="23" t="s">
        <x:v>188</x:v>
      </x:c>
      <x:c r="F22" s="23">
        <x:v>19</x:v>
      </x:c>
      <x:c r="G22" s="23">
        <x:v>3</x:v>
      </x:c>
      <x:c r="H22" s="23">
        <x:v>0</x:v>
      </x:c>
      <x:c r="I22" s="23">
        <x:v>8925</x:v>
      </x:c>
      <x:c r="J22" s="23">
        <x:v>1677</x:v>
      </x:c>
      <x:c r="K22" s="23">
        <x:v>0</x:v>
      </x:c>
      <x:c r="L22" s="23" t="s">
        <x:v>279</x:v>
      </x:c>
      <x:c r="M22" s="23">
        <x:f t="shared" si="0"/>
        <x:v>438</x:v>
      </x:c>
      <x:c r="N22" s="24" t="str">
        <x:f t="array" ref="N22">INDEX('MATCH INFO'!O:O, INT((ROW()-2)/10)+2 + 92)</x:f>
        <x:v>260626_CB_O2_S3</x:v>
      </x:c>
    </x:row>
    <x:row r="23">
      <x:c r="A23" s="23" t="s">
        <x:v>31</x:v>
      </x:c>
      <x:c r="B23" s="23" t="s">
        <x:v>33</x:v>
      </x:c>
      <x:c r="C23" s="23" t="s">
        <x:v>8</x:v>
      </x:c>
      <x:c r="D23" s="23" t="s">
        <x:v>113</x:v>
      </x:c>
      <x:c r="E23" s="23" t="s">
        <x:v>188</x:v>
      </x:c>
      <x:c r="F23" s="23">
        <x:v>18</x:v>
      </x:c>
      <x:c r="G23" s="23">
        <x:v>1</x:v>
      </x:c>
      <x:c r="H23" s="23">
        <x:v>13</x:v>
      </x:c>
      <x:c r="I23" s="23">
        <x:v>11754</x:v>
      </x:c>
      <x:c r="J23" s="23">
        <x:v>2945</x:v>
      </x:c>
      <x:c r="K23" s="23">
        <x:v>5811</x:v>
      </x:c>
      <x:c r="L23" s="23" t="s">
        <x:v>279</x:v>
      </x:c>
      <x:c r="M23" s="23">
        <x:f t="shared" si="0"/>
        <x:v>438</x:v>
      </x:c>
      <x:c r="N23" s="24" t="str">
        <x:f t="array" ref="N23">INDEX('MATCH INFO'!O:O, INT((ROW()-2)/10)+2 + 92)</x:f>
        <x:v>260626_CB_O2_S3</x:v>
      </x:c>
    </x:row>
    <x:row r="24">
      <x:c r="A24" s="23" t="s">
        <x:v>31</x:v>
      </x:c>
      <x:c r="B24" s="23" t="s">
        <x:v>35</x:v>
      </x:c>
      <x:c r="C24" s="23" t="s">
        <x:v>11</x:v>
      </x:c>
      <x:c r="D24" s="23" t="s">
        <x:v>113</x:v>
      </x:c>
      <x:c r="E24" s="23" t="s">
        <x:v>188</x:v>
      </x:c>
      <x:c r="F24" s="23">
        <x:v>20</x:v>
      </x:c>
      <x:c r="G24" s="23">
        <x:v>2</x:v>
      </x:c>
      <x:c r="H24" s="23">
        <x:v>2</x:v>
      </x:c>
      <x:c r="I24" s="23">
        <x:v>8964</x:v>
      </x:c>
      <x:c r="J24" s="23">
        <x:v>24</x:v>
      </x:c>
      <x:c r="K24" s="23">
        <x:v>208</x:v>
      </x:c>
      <x:c r="L24" s="23" t="s">
        <x:v>279</x:v>
      </x:c>
      <x:c r="M24" s="23">
        <x:f t="shared" si="0"/>
        <x:v>438</x:v>
      </x:c>
      <x:c r="N24" s="24" t="str">
        <x:f t="array" ref="N24">INDEX('MATCH INFO'!O:O, INT((ROW()-2)/10)+2 + 92)</x:f>
        <x:v>260626_CB_O2_S3</x:v>
      </x:c>
    </x:row>
    <x:row r="25">
      <x:c r="A25" s="23" t="s">
        <x:v>31</x:v>
      </x:c>
      <x:c r="B25" s="23" t="s">
        <x:v>36</x:v>
      </x:c>
      <x:c r="C25" s="23" t="s">
        <x:v>16</x:v>
      </x:c>
      <x:c r="D25" s="23" t="s">
        <x:v>113</x:v>
      </x:c>
      <x:c r="E25" s="23" t="s">
        <x:v>188</x:v>
      </x:c>
      <x:c r="F25" s="23">
        <x:v>17</x:v>
      </x:c>
      <x:c r="G25" s="23">
        <x:v>3</x:v>
      </x:c>
      <x:c r="H25" s="23">
        <x:v>15</x:v>
      </x:c>
      <x:c r="I25" s="23">
        <x:v>4097</x:v>
      </x:c>
      <x:c r="J25" s="23">
        <x:v>6845</x:v>
      </x:c>
      <x:c r="K25" s="23">
        <x:v>2098</x:v>
      </x:c>
      <x:c r="L25" s="23" t="s">
        <x:v>279</x:v>
      </x:c>
      <x:c r="M25" s="23">
        <x:f t="shared" si="0"/>
        <x:v>438</x:v>
      </x:c>
      <x:c r="N25" s="24" t="str">
        <x:f t="array" ref="N25">INDEX('MATCH INFO'!O:O, INT((ROW()-2)/10)+2 + 92)</x:f>
        <x:v>260626_CB_O2_S3</x:v>
      </x:c>
    </x:row>
    <x:row r="26">
      <x:c r="A26" s="23" t="s">
        <x:v>31</x:v>
      </x:c>
      <x:c r="B26" s="23" t="s">
        <x:v>37</x:v>
      </x:c>
      <x:c r="C26" s="23" t="s">
        <x:v>16</x:v>
      </x:c>
      <x:c r="D26" s="23" t="s">
        <x:v>113</x:v>
      </x:c>
      <x:c r="E26" s="23" t="s">
        <x:v>188</x:v>
      </x:c>
      <x:c r="F26" s="23">
        <x:v>14</x:v>
      </x:c>
      <x:c r="G26" s="23">
        <x:v>1</x:v>
      </x:c>
      <x:c r="H26" s="23">
        <x:v>18</x:v>
      </x:c>
      <x:c r="I26" s="23">
        <x:v>5073</x:v>
      </x:c>
      <x:c r="J26" s="23">
        <x:v>12646</x:v>
      </x:c>
      <x:c r="K26" s="23">
        <x:v>0</x:v>
      </x:c>
      <x:c r="L26" s="23" t="s">
        <x:v>279</x:v>
      </x:c>
      <x:c r="M26" s="23">
        <x:f t="shared" si="0"/>
        <x:v>438</x:v>
      </x:c>
      <x:c r="N26" s="24" t="str">
        <x:f t="array" ref="N26">INDEX('MATCH INFO'!O:O, INT((ROW()-2)/10)+2 + 92)</x:f>
        <x:v>260626_CB_O2_S3</x:v>
      </x:c>
    </x:row>
    <x:row r="27">
      <x:c r="A27" s="23" t="s">
        <x:v>6</x:v>
      </x:c>
      <x:c r="B27" s="23" t="s">
        <x:v>15</x:v>
      </x:c>
      <x:c r="C27" s="23" t="s">
        <x:v>16</x:v>
      </x:c>
      <x:c r="D27" s="23" t="s">
        <x:v>113</x:v>
      </x:c>
      <x:c r="E27" s="23" t="s">
        <x:v>188</x:v>
      </x:c>
      <x:c r="F27" s="23">
        <x:v>9</x:v>
      </x:c>
      <x:c r="G27" s="23">
        <x:v>3</x:v>
      </x:c>
      <x:c r="H27" s="23">
        <x:v>7</x:v>
      </x:c>
      <x:c r="I27" s="23">
        <x:v>4490</x:v>
      </x:c>
      <x:c r="J27" s="23">
        <x:v>7265</x:v>
      </x:c>
      <x:c r="K27" s="23">
        <x:v>2253</x:v>
      </x:c>
      <x:c r="L27" s="23" t="s">
        <x:v>279</x:v>
      </x:c>
      <x:c r="M27" s="23">
        <x:f t="shared" si="0"/>
        <x:v>438</x:v>
      </x:c>
      <x:c r="N27" s="24" t="str">
        <x:f t="array" ref="N27">INDEX('MATCH INFO'!O:O, INT((ROW()-2)/10)+2 + 92)</x:f>
        <x:v>260626_CB_O2_S3</x:v>
      </x:c>
    </x:row>
    <x:row r="28">
      <x:c r="A28" s="23" t="s">
        <x:v>6</x:v>
      </x:c>
      <x:c r="B28" s="23" t="s">
        <x:v>7</x:v>
      </x:c>
      <x:c r="C28" s="23" t="s">
        <x:v>8</x:v>
      </x:c>
      <x:c r="D28" s="23" t="s">
        <x:v>113</x:v>
      </x:c>
      <x:c r="E28" s="23" t="s">
        <x:v>188</x:v>
      </x:c>
      <x:c r="F28" s="23">
        <x:v>9</x:v>
      </x:c>
      <x:c r="G28" s="23">
        <x:v>5</x:v>
      </x:c>
      <x:c r="H28" s="23">
        <x:v>7</x:v>
      </x:c>
      <x:c r="I28" s="23">
        <x:v>10695</x:v>
      </x:c>
      <x:c r="J28" s="23">
        <x:v>2630</x:v>
      </x:c>
      <x:c r="K28" s="23">
        <x:v>5307</x:v>
      </x:c>
      <x:c r="L28" s="23" t="s">
        <x:v>279</x:v>
      </x:c>
      <x:c r="M28" s="23">
        <x:f t="shared" si="0"/>
        <x:v>438</x:v>
      </x:c>
      <x:c r="N28" s="24" t="str">
        <x:f t="array" ref="N28">INDEX('MATCH INFO'!O:O, INT((ROW()-2)/10)+2 + 92)</x:f>
        <x:v>260626_CB_O2_S3</x:v>
      </x:c>
    </x:row>
    <x:row r="29">
      <x:c r="A29" s="23" t="s">
        <x:v>6</x:v>
      </x:c>
      <x:c r="B29" s="23" t="s">
        <x:v>20</x:v>
      </x:c>
      <x:c r="C29" s="23" t="s">
        <x:v>16</x:v>
      </x:c>
      <x:c r="D29" s="23" t="s">
        <x:v>113</x:v>
      </x:c>
      <x:c r="E29" s="23" t="s">
        <x:v>188</x:v>
      </x:c>
      <x:c r="F29" s="23">
        <x:v>8</x:v>
      </x:c>
      <x:c r="G29" s="23">
        <x:v>3</x:v>
      </x:c>
      <x:c r="H29" s="23">
        <x:v>8</x:v>
      </x:c>
      <x:c r="I29" s="23">
        <x:v>5043</x:v>
      </x:c>
      <x:c r="J29" s="23">
        <x:v>13263</x:v>
      </x:c>
      <x:c r="K29" s="23">
        <x:v>0</x:v>
      </x:c>
      <x:c r="L29" s="23" t="s">
        <x:v>279</x:v>
      </x:c>
      <x:c r="M29" s="23">
        <x:f t="shared" si="0"/>
        <x:v>438</x:v>
      </x:c>
      <x:c r="N29" s="24" t="str">
        <x:f t="array" ref="N29">INDEX('MATCH INFO'!O:O, INT((ROW()-2)/10)+2 + 92)</x:f>
        <x:v>260626_CB_O2_S3</x:v>
      </x:c>
    </x:row>
    <x:row r="30">
      <x:c r="A30" s="23" t="s">
        <x:v>6</x:v>
      </x:c>
      <x:c r="B30" s="23" t="s">
        <x:v>13</x:v>
      </x:c>
      <x:c r="C30" s="23" t="s">
        <x:v>11</x:v>
      </x:c>
      <x:c r="D30" s="23" t="s">
        <x:v>113</x:v>
      </x:c>
      <x:c r="E30" s="23" t="s">
        <x:v>188</x:v>
      </x:c>
      <x:c r="F30" s="23">
        <x:v>8</x:v>
      </x:c>
      <x:c r="G30" s="23">
        <x:v>5</x:v>
      </x:c>
      <x:c r="H30" s="23">
        <x:v>1</x:v>
      </x:c>
      <x:c r="I30" s="23">
        <x:v>8656</x:v>
      </x:c>
      <x:c r="J30" s="23">
        <x:v>75</x:v>
      </x:c>
      <x:c r="K30" s="23">
        <x:v>208</x:v>
      </x:c>
      <x:c r="L30" s="23" t="s">
        <x:v>279</x:v>
      </x:c>
      <x:c r="M30" s="23">
        <x:f t="shared" si="0"/>
        <x:v>438</x:v>
      </x:c>
      <x:c r="N30" s="24" t="str">
        <x:f t="array" ref="N30">INDEX('MATCH INFO'!O:O, INT((ROW()-2)/10)+2 + 92)</x:f>
        <x:v>260626_CB_O2_S3</x:v>
      </x:c>
    </x:row>
    <x:row r="31">
      <x:c r="A31" s="23" t="s">
        <x:v>6</x:v>
      </x:c>
      <x:c r="B31" s="23" t="s">
        <x:v>10</x:v>
      </x:c>
      <x:c r="C31" s="23" t="s">
        <x:v>11</x:v>
      </x:c>
      <x:c r="D31" s="23" t="s">
        <x:v>113</x:v>
      </x:c>
      <x:c r="E31" s="23" t="s">
        <x:v>188</x:v>
      </x:c>
      <x:c r="F31" s="23">
        <x:v>4</x:v>
      </x:c>
      <x:c r="G31" s="23">
        <x:v>7</x:v>
      </x:c>
      <x:c r="H31" s="23">
        <x:v>0</x:v>
      </x:c>
      <x:c r="I31" s="23">
        <x:v>5575</x:v>
      </x:c>
      <x:c r="J31" s="23">
        <x:v>617</x:v>
      </x:c>
      <x:c r="K31" s="23">
        <x:v>85</x:v>
      </x:c>
      <x:c r="L31" s="23" t="s">
        <x:v>279</x:v>
      </x:c>
      <x:c r="M31" s="23">
        <x:f t="shared" si="0"/>
        <x:v>438</x:v>
      </x:c>
      <x:c r="N31" s="24" t="str">
        <x:f t="array" ref="N31">INDEX('MATCH INFO'!O:O, INT((ROW()-2)/10)+2 + 92)</x:f>
        <x:v>260626_CB_O2_S3</x:v>
      </x:c>
    </x:row>
    <x:row r="32">
      <x:c r="A32" s="23" t="s">
        <x:v>6</x:v>
      </x:c>
      <x:c r="B32" s="23" t="s">
        <x:v>15</x:v>
      </x:c>
      <x:c r="C32" s="23" t="s">
        <x:v>16</x:v>
      </x:c>
      <x:c r="D32" s="23" t="s">
        <x:v>124</x:v>
      </x:c>
      <x:c r="E32" s="23" t="s">
        <x:v>186</x:v>
      </x:c>
      <x:c r="F32" s="23">
        <x:v>20</x:v>
      </x:c>
      <x:c r="G32" s="23">
        <x:v>4</x:v>
      </x:c>
      <x:c r="H32" s="23">
        <x:v>23</x:v>
      </x:c>
      <x:c r="I32" s="23">
        <x:v>6398</x:v>
      </x:c>
      <x:c r="J32" s="23">
        <x:v>9202</x:v>
      </x:c>
      <x:c r="K32" s="23">
        <x:v>2139</x:v>
      </x:c>
      <x:c r="L32" s="23" t="s">
        <x:v>280</x:v>
      </x:c>
      <x:c r="M32" s="23">
        <x:f t="shared" si="0"/>
        <x:v>710</x:v>
      </x:c>
      <x:c r="N32" s="24" t="str">
        <x:f t="array" ref="N32">INDEX('MATCH INFO'!O:O, INT((ROW()-2)/10)+2 + 92)</x:f>
        <x:v>260626_CB_O2_S4</x:v>
      </x:c>
    </x:row>
    <x:row r="33">
      <x:c r="A33" s="23" t="s">
        <x:v>6</x:v>
      </x:c>
      <x:c r="B33" s="23" t="s">
        <x:v>7</x:v>
      </x:c>
      <x:c r="C33" s="23" t="s">
        <x:v>8</x:v>
      </x:c>
      <x:c r="D33" s="23" t="s">
        <x:v>124</x:v>
      </x:c>
      <x:c r="E33" s="23" t="s">
        <x:v>186</x:v>
      </x:c>
      <x:c r="F33" s="23">
        <x:v>26</x:v>
      </x:c>
      <x:c r="G33" s="23">
        <x:v>6</x:v>
      </x:c>
      <x:c r="H33" s="23">
        <x:v>19</x:v>
      </x:c>
      <x:c r="I33" s="23">
        <x:v>16141</x:v>
      </x:c>
      <x:c r="J33" s="23">
        <x:v>4279</x:v>
      </x:c>
      <x:c r="K33" s="23">
        <x:v>9238</x:v>
      </x:c>
      <x:c r="L33" s="23" t="s">
        <x:v>280</x:v>
      </x:c>
      <x:c r="M33" s="23">
        <x:f t="shared" si="0"/>
        <x:v>710</x:v>
      </x:c>
      <x:c r="N33" s="24" t="str">
        <x:f t="array" ref="N33">INDEX('MATCH INFO'!O:O, INT((ROW()-2)/10)+2 + 92)</x:f>
        <x:v>260626_CB_O2_S4</x:v>
      </x:c>
    </x:row>
    <x:row r="34">
      <x:c r="A34" s="23" t="s">
        <x:v>6</x:v>
      </x:c>
      <x:c r="B34" s="23" t="s">
        <x:v>20</x:v>
      </x:c>
      <x:c r="C34" s="23" t="s">
        <x:v>16</x:v>
      </x:c>
      <x:c r="D34" s="23" t="s">
        <x:v>124</x:v>
      </x:c>
      <x:c r="E34" s="23" t="s">
        <x:v>186</x:v>
      </x:c>
      <x:c r="F34" s="23">
        <x:v>17</x:v>
      </x:c>
      <x:c r="G34" s="23">
        <x:v>4</x:v>
      </x:c>
      <x:c r="H34" s="23">
        <x:v>34</x:v>
      </x:c>
      <x:c r="I34" s="23">
        <x:v>7192</x:v>
      </x:c>
      <x:c r="J34" s="23">
        <x:v>17014</x:v>
      </x:c>
      <x:c r="K34" s="23">
        <x:v>0</x:v>
      </x:c>
      <x:c r="L34" s="23" t="s">
        <x:v>280</x:v>
      </x:c>
      <x:c r="M34" s="23">
        <x:f t="shared" si="0"/>
        <x:v>710</x:v>
      </x:c>
      <x:c r="N34" s="24" t="str">
        <x:f t="array" ref="N34">INDEX('MATCH INFO'!O:O, INT((ROW()-2)/10)+2 + 92)</x:f>
        <x:v>260626_CB_O2_S4</x:v>
      </x:c>
    </x:row>
    <x:row r="35">
      <x:c r="A35" s="23" t="s">
        <x:v>6</x:v>
      </x:c>
      <x:c r="B35" s="23" t="s">
        <x:v>13</x:v>
      </x:c>
      <x:c r="C35" s="23" t="s">
        <x:v>11</x:v>
      </x:c>
      <x:c r="D35" s="23" t="s">
        <x:v>124</x:v>
      </x:c>
      <x:c r="E35" s="23" t="s">
        <x:v>186</x:v>
      </x:c>
      <x:c r="F35" s="23">
        <x:v>29</x:v>
      </x:c>
      <x:c r="G35" s="23">
        <x:v>4</x:v>
      </x:c>
      <x:c r="H35" s="23">
        <x:v>5</x:v>
      </x:c>
      <x:c r="I35" s="23">
        <x:v>12122</x:v>
      </x:c>
      <x:c r="J35" s="23">
        <x:v>75</x:v>
      </x:c>
      <x:c r="K35" s="23">
        <x:v>313</x:v>
      </x:c>
      <x:c r="L35" s="23" t="s">
        <x:v>280</x:v>
      </x:c>
      <x:c r="M35" s="23">
        <x:f t="shared" si="0"/>
        <x:v>710</x:v>
      </x:c>
      <x:c r="N35" s="24" t="str">
        <x:f t="array" ref="N35">INDEX('MATCH INFO'!O:O, INT((ROW()-2)/10)+2 + 92)</x:f>
        <x:v>260626_CB_O2_S4</x:v>
      </x:c>
    </x:row>
    <x:row r="36">
      <x:c r="A36" s="23" t="s">
        <x:v>6</x:v>
      </x:c>
      <x:c r="B36" s="23" t="s">
        <x:v>10</x:v>
      </x:c>
      <x:c r="C36" s="23" t="s">
        <x:v>11</x:v>
      </x:c>
      <x:c r="D36" s="23" t="s">
        <x:v>124</x:v>
      </x:c>
      <x:c r="E36" s="23" t="s">
        <x:v>186</x:v>
      </x:c>
      <x:c r="F36" s="23">
        <x:v>31</x:v>
      </x:c>
      <x:c r="G36" s="23">
        <x:v>5</x:v>
      </x:c>
      <x:c r="H36" s="23">
        <x:v>0</x:v>
      </x:c>
      <x:c r="I36" s="23">
        <x:v>13650</x:v>
      </x:c>
      <x:c r="J36" s="23">
        <x:v>2258</x:v>
      </x:c>
      <x:c r="K36" s="23">
        <x:v>0</x:v>
      </x:c>
      <x:c r="L36" s="23" t="s">
        <x:v>280</x:v>
      </x:c>
      <x:c r="M36" s="23">
        <x:f t="shared" si="0"/>
        <x:v>710</x:v>
      </x:c>
      <x:c r="N36" s="24" t="str">
        <x:f t="array" ref="N36">INDEX('MATCH INFO'!O:O, INT((ROW()-2)/10)+2 + 92)</x:f>
        <x:v>260626_CB_O2_S4</x:v>
      </x:c>
    </x:row>
    <x:row r="37">
      <x:c r="A37" s="23" t="s">
        <x:v>31</x:v>
      </x:c>
      <x:c r="B37" s="23" t="s">
        <x:v>34</x:v>
      </x:c>
      <x:c r="C37" s="23" t="s">
        <x:v>11</x:v>
      </x:c>
      <x:c r="D37" s="23" t="s">
        <x:v>124</x:v>
      </x:c>
      <x:c r="E37" s="23" t="s">
        <x:v>186</x:v>
      </x:c>
      <x:c r="F37" s="23">
        <x:v>16</x:v>
      </x:c>
      <x:c r="G37" s="23">
        <x:v>9</x:v>
      </x:c>
      <x:c r="H37" s="23">
        <x:v>0</x:v>
      </x:c>
      <x:c r="I37" s="23">
        <x:v>12357</x:v>
      </x:c>
      <x:c r="J37" s="23">
        <x:v>2006</x:v>
      </x:c>
      <x:c r="K37" s="23">
        <x:v>0</x:v>
      </x:c>
      <x:c r="L37" s="23" t="s">
        <x:v>280</x:v>
      </x:c>
      <x:c r="M37" s="23">
        <x:f t="shared" si="0"/>
        <x:v>710</x:v>
      </x:c>
      <x:c r="N37" s="24" t="str">
        <x:f t="array" ref="N37">INDEX('MATCH INFO'!O:O, INT((ROW()-2)/10)+2 + 92)</x:f>
        <x:v>260626_CB_O2_S4</x:v>
      </x:c>
    </x:row>
    <x:row r="38">
      <x:c r="A38" s="23" t="s">
        <x:v>31</x:v>
      </x:c>
      <x:c r="B38" s="23" t="s">
        <x:v>33</x:v>
      </x:c>
      <x:c r="C38" s="23" t="s">
        <x:v>8</x:v>
      </x:c>
      <x:c r="D38" s="23" t="s">
        <x:v>124</x:v>
      </x:c>
      <x:c r="E38" s="23" t="s">
        <x:v>186</x:v>
      </x:c>
      <x:c r="F38" s="23">
        <x:v>21</x:v>
      </x:c>
      <x:c r="G38" s="23">
        <x:v>8</x:v>
      </x:c>
      <x:c r="H38" s="23">
        <x:v>7</x:v>
      </x:c>
      <x:c r="I38" s="23">
        <x:v>16319</x:v>
      </x:c>
      <x:c r="J38" s="23">
        <x:v>4561</x:v>
      </x:c>
      <x:c r="K38" s="23">
        <x:v>8065</x:v>
      </x:c>
      <x:c r="L38" s="23" t="s">
        <x:v>280</x:v>
      </x:c>
      <x:c r="M38" s="23">
        <x:f t="shared" si="0"/>
        <x:v>710</x:v>
      </x:c>
      <x:c r="N38" s="24" t="str">
        <x:f t="array" ref="N38">INDEX('MATCH INFO'!O:O, INT((ROW()-2)/10)+2 + 92)</x:f>
        <x:v>260626_CB_O2_S4</x:v>
      </x:c>
    </x:row>
    <x:row r="39">
      <x:c r="A39" s="23" t="s">
        <x:v>31</x:v>
      </x:c>
      <x:c r="B39" s="23" t="s">
        <x:v>35</x:v>
      </x:c>
      <x:c r="C39" s="23" t="s">
        <x:v>11</x:v>
      </x:c>
      <x:c r="D39" s="23" t="s">
        <x:v>124</x:v>
      </x:c>
      <x:c r="E39" s="23" t="s">
        <x:v>186</x:v>
      </x:c>
      <x:c r="F39" s="23">
        <x:v>13</x:v>
      </x:c>
      <x:c r="G39" s="23">
        <x:v>8</x:v>
      </x:c>
      <x:c r="H39" s="23">
        <x:v>0</x:v>
      </x:c>
      <x:c r="I39" s="23">
        <x:v>9935</x:v>
      </x:c>
      <x:c r="J39" s="23">
        <x:v>263</x:v>
      </x:c>
      <x:c r="K39" s="23">
        <x:v>471</x:v>
      </x:c>
      <x:c r="L39" s="23" t="s">
        <x:v>280</x:v>
      </x:c>
      <x:c r="M39" s="23">
        <x:f t="shared" si="0"/>
        <x:v>710</x:v>
      </x:c>
      <x:c r="N39" s="24" t="str">
        <x:f t="array" ref="N39">INDEX('MATCH INFO'!O:O, INT((ROW()-2)/10)+2 + 92)</x:f>
        <x:v>260626_CB_O2_S4</x:v>
      </x:c>
    </x:row>
    <x:row r="40">
      <x:c r="A40" s="23" t="s">
        <x:v>31</x:v>
      </x:c>
      <x:c r="B40" s="23" t="s">
        <x:v>36</x:v>
      </x:c>
      <x:c r="C40" s="23" t="s">
        <x:v>16</x:v>
      </x:c>
      <x:c r="D40" s="23" t="s">
        <x:v>124</x:v>
      </x:c>
      <x:c r="E40" s="23" t="s">
        <x:v>186</x:v>
      </x:c>
      <x:c r="F40" s="23">
        <x:v>11</x:v>
      </x:c>
      <x:c r="G40" s="23">
        <x:v>8</x:v>
      </x:c>
      <x:c r="H40" s="23">
        <x:v>20</x:v>
      </x:c>
      <x:c r="I40" s="23">
        <x:v>5438</x:v>
      </x:c>
      <x:c r="J40" s="23">
        <x:v>9130</x:v>
      </x:c>
      <x:c r="K40" s="23">
        <x:v>2940</x:v>
      </x:c>
      <x:c r="L40" s="23" t="s">
        <x:v>280</x:v>
      </x:c>
      <x:c r="M40" s="23">
        <x:f t="shared" si="0"/>
        <x:v>710</x:v>
      </x:c>
      <x:c r="N40" s="24" t="str">
        <x:f t="array" ref="N40">INDEX('MATCH INFO'!O:O, INT((ROW()-2)/10)+2 + 92)</x:f>
        <x:v>260626_CB_O2_S4</x:v>
      </x:c>
    </x:row>
    <x:row r="41">
      <x:c r="A41" s="23" t="s">
        <x:v>31</x:v>
      </x:c>
      <x:c r="B41" s="23" t="s">
        <x:v>37</x:v>
      </x:c>
      <x:c r="C41" s="23" t="s">
        <x:v>16</x:v>
      </x:c>
      <x:c r="D41" s="23" t="s">
        <x:v>124</x:v>
      </x:c>
      <x:c r="E41" s="23" t="s">
        <x:v>186</x:v>
      </x:c>
      <x:c r="F41" s="23">
        <x:v>11</x:v>
      </x:c>
      <x:c r="G41" s="23">
        <x:v>8</x:v>
      </x:c>
      <x:c r="H41" s="23">
        <x:v>17</x:v>
      </x:c>
      <x:c r="I41" s="23">
        <x:v>6050</x:v>
      </x:c>
      <x:c r="J41" s="23">
        <x:v>15732</x:v>
      </x:c>
      <x:c r="K41" s="23">
        <x:v>0</x:v>
      </x:c>
      <x:c r="L41" s="23" t="s">
        <x:v>280</x:v>
      </x:c>
      <x:c r="M41" s="23">
        <x:f t="shared" si="0"/>
        <x:v>710</x:v>
      </x:c>
      <x:c r="N41" s="24" t="str">
        <x:f t="array" ref="N41">INDEX('MATCH INFO'!O:O, INT((ROW()-2)/10)+2 + 92)</x:f>
        <x:v>260626_CB_O2_S4</x:v>
      </x:c>
    </x:row>
    <x:row r="42">
      <x:c r="A42" s="23" t="s">
        <x:v>47</x:v>
      </x:c>
      <x:c r="B42" s="23" t="s">
        <x:v>49</x:v>
      </x:c>
      <x:c r="C42" s="23" t="s">
        <x:v>8</x:v>
      </x:c>
      <x:c r="D42" s="23" t="s">
        <x:v>131</x:v>
      </x:c>
      <x:c r="E42" s="23" t="s">
        <x:v>184</x:v>
      </x:c>
      <x:c r="F42" s="23">
        <x:v>27</x:v>
      </x:c>
      <x:c r="G42" s="23">
        <x:v>3</x:v>
      </x:c>
      <x:c r="H42" s="23">
        <x:v>14</x:v>
      </x:c>
      <x:c r="I42" s="23">
        <x:v>8249</x:v>
      </x:c>
      <x:c r="J42" s="23">
        <x:v>2008</x:v>
      </x:c>
      <x:c r="K42" s="23">
        <x:v>13352</x:v>
      </x:c>
      <x:c r="L42" s="23" t="s">
        <x:v>281</x:v>
      </x:c>
      <x:c r="M42" s="23">
        <x:f t="shared" si="0"/>
        <x:v>516</x:v>
      </x:c>
      <x:c r="N42" s="24" t="str">
        <x:f t="array" ref="N42">INDEX('MATCH INFO'!O:O, INT((ROW()-2)/10)+2 + 92)</x:f>
        <x:v>260626_ZETA_FLC_S1</x:v>
      </x:c>
    </x:row>
    <x:row r="43">
      <x:c r="A43" s="23" t="s">
        <x:v>47</x:v>
      </x:c>
      <x:c r="B43" s="23" t="s">
        <x:v>51</x:v>
      </x:c>
      <x:c r="C43" s="23" t="s">
        <x:v>11</x:v>
      </x:c>
      <x:c r="D43" s="23" t="s">
        <x:v>131</x:v>
      </x:c>
      <x:c r="E43" s="23" t="s">
        <x:v>184</x:v>
      </x:c>
      <x:c r="F43" s="23">
        <x:v>24</x:v>
      </x:c>
      <x:c r="G43" s="23">
        <x:v>3</x:v>
      </x:c>
      <x:c r="H43" s="23">
        <x:v>2</x:v>
      </x:c>
      <x:c r="I43" s="23">
        <x:v>12238</x:v>
      </x:c>
      <x:c r="J43" s="23">
        <x:v>195</x:v>
      </x:c>
      <x:c r="K43" s="23">
        <x:v>844</x:v>
      </x:c>
      <x:c r="L43" s="23" t="s">
        <x:v>281</x:v>
      </x:c>
      <x:c r="M43" s="23">
        <x:f t="shared" si="0"/>
        <x:v>516</x:v>
      </x:c>
      <x:c r="N43" s="24" t="str">
        <x:f t="array" ref="N43">INDEX('MATCH INFO'!O:O, INT((ROW()-2)/10)+2 + 92)</x:f>
        <x:v>260626_ZETA_FLC_S1</x:v>
      </x:c>
    </x:row>
    <x:row r="44">
      <x:c r="A44" s="23" t="s">
        <x:v>47</x:v>
      </x:c>
      <x:c r="B44" s="23" t="s">
        <x:v>50</x:v>
      </x:c>
      <x:c r="C44" s="23" t="s">
        <x:v>11</x:v>
      </x:c>
      <x:c r="D44" s="23" t="s">
        <x:v>131</x:v>
      </x:c>
      <x:c r="E44" s="23" t="s">
        <x:v>184</x:v>
      </x:c>
      <x:c r="F44" s="23">
        <x:v>17</x:v>
      </x:c>
      <x:c r="G44" s="23">
        <x:v>6</x:v>
      </x:c>
      <x:c r="H44" s="23">
        <x:v>0</x:v>
      </x:c>
      <x:c r="I44" s="23">
        <x:v>7897</x:v>
      </x:c>
      <x:c r="J44" s="23">
        <x:v>0</x:v>
      </x:c>
      <x:c r="K44" s="23">
        <x:v>449</x:v>
      </x:c>
      <x:c r="L44" s="23" t="s">
        <x:v>281</x:v>
      </x:c>
      <x:c r="M44" s="23">
        <x:f t="shared" si="0"/>
        <x:v>516</x:v>
      </x:c>
      <x:c r="N44" s="24" t="str">
        <x:f t="array" ref="N44">INDEX('MATCH INFO'!O:O, INT((ROW()-2)/10)+2 + 92)</x:f>
        <x:v>260626_ZETA_FLC_S1</x:v>
      </x:c>
    </x:row>
    <x:row r="45">
      <x:c r="A45" s="23" t="s">
        <x:v>47</x:v>
      </x:c>
      <x:c r="B45" s="23" t="s">
        <x:v>53</x:v>
      </x:c>
      <x:c r="C45" s="23" t="s">
        <x:v>16</x:v>
      </x:c>
      <x:c r="D45" s="23" t="s">
        <x:v>131</x:v>
      </x:c>
      <x:c r="E45" s="23" t="s">
        <x:v>184</x:v>
      </x:c>
      <x:c r="F45" s="23">
        <x:v>14</x:v>
      </x:c>
      <x:c r="G45" s="23">
        <x:v>4</x:v>
      </x:c>
      <x:c r="H45" s="23">
        <x:v>20</x:v>
      </x:c>
      <x:c r="I45" s="23">
        <x:v>3815</x:v>
      </x:c>
      <x:c r="J45" s="23">
        <x:v>8916</x:v>
      </x:c>
      <x:c r="K45" s="23">
        <x:v>0</x:v>
      </x:c>
      <x:c r="L45" s="23" t="s">
        <x:v>281</x:v>
      </x:c>
      <x:c r="M45" s="23">
        <x:f t="shared" si="0"/>
        <x:v>516</x:v>
      </x:c>
      <x:c r="N45" s="24" t="str">
        <x:f t="array" ref="N45">INDEX('MATCH INFO'!O:O, INT((ROW()-2)/10)+2 + 92)</x:f>
        <x:v>260626_ZETA_FLC_S1</x:v>
      </x:c>
    </x:row>
    <x:row r="46">
      <x:c r="A46" s="23" t="s">
        <x:v>47</x:v>
      </x:c>
      <x:c r="B46" s="23" t="s">
        <x:v>52</x:v>
      </x:c>
      <x:c r="C46" s="23" t="s">
        <x:v>16</x:v>
      </x:c>
      <x:c r="D46" s="23" t="s">
        <x:v>131</x:v>
      </x:c>
      <x:c r="E46" s="23" t="s">
        <x:v>184</x:v>
      </x:c>
      <x:c r="F46" s="23">
        <x:v>26</x:v>
      </x:c>
      <x:c r="G46" s="23">
        <x:v>3</x:v>
      </x:c>
      <x:c r="H46" s="23">
        <x:v>16</x:v>
      </x:c>
      <x:c r="I46" s="23">
        <x:v>3845</x:v>
      </x:c>
      <x:c r="J46" s="23">
        <x:v>9753</x:v>
      </x:c>
      <x:c r="K46" s="23">
        <x:v>0</x:v>
      </x:c>
      <x:c r="L46" s="23" t="s">
        <x:v>281</x:v>
      </x:c>
      <x:c r="M46" s="23">
        <x:f t="shared" si="0"/>
        <x:v>516</x:v>
      </x:c>
      <x:c r="N46" s="24" t="str">
        <x:f t="array" ref="N46">INDEX('MATCH INFO'!O:O, INT((ROW()-2)/10)+2 + 92)</x:f>
        <x:v>260626_ZETA_FLC_S1</x:v>
      </x:c>
    </x:row>
    <x:row r="47">
      <x:c r="A47" s="23" t="s">
        <x:v>72</x:v>
      </x:c>
      <x:c r="B47" s="23" t="s">
        <x:v>78</x:v>
      </x:c>
      <x:c r="C47" s="23" t="s">
        <x:v>16</x:v>
      </x:c>
      <x:c r="D47" s="23" t="s">
        <x:v>131</x:v>
      </x:c>
      <x:c r="E47" s="23" t="s">
        <x:v>184</x:v>
      </x:c>
      <x:c r="F47" s="23">
        <x:v>9</x:v>
      </x:c>
      <x:c r="G47" s="23">
        <x:v>7</x:v>
      </x:c>
      <x:c r="H47" s="23">
        <x:v>6</x:v>
      </x:c>
      <x:c r="I47" s="23">
        <x:v>2564</x:v>
      </x:c>
      <x:c r="J47" s="23">
        <x:v>8342</x:v>
      </x:c>
      <x:c r="K47" s="23">
        <x:v>0</x:v>
      </x:c>
      <x:c r="L47" s="23" t="s">
        <x:v>281</x:v>
      </x:c>
      <x:c r="M47" s="23">
        <x:f t="shared" si="0"/>
        <x:v>516</x:v>
      </x:c>
      <x:c r="N47" s="24" t="str">
        <x:f t="array" ref="N47">INDEX('MATCH INFO'!O:O, INT((ROW()-2)/10)+2 + 92)</x:f>
        <x:v>260626_ZETA_FLC_S1</x:v>
      </x:c>
    </x:row>
    <x:row r="48">
      <x:c r="A48" s="23" t="s">
        <x:v>72</x:v>
      </x:c>
      <x:c r="B48" s="23" t="s">
        <x:v>79</x:v>
      </x:c>
      <x:c r="C48" s="23" t="s">
        <x:v>16</x:v>
      </x:c>
      <x:c r="D48" s="23" t="s">
        <x:v>131</x:v>
      </x:c>
      <x:c r="E48" s="23" t="s">
        <x:v>184</x:v>
      </x:c>
      <x:c r="F48" s="23">
        <x:v>6</x:v>
      </x:c>
      <x:c r="G48" s="23">
        <x:v>8</x:v>
      </x:c>
      <x:c r="H48" s="23">
        <x:v>9</x:v>
      </x:c>
      <x:c r="I48" s="23">
        <x:v>3774</x:v>
      </x:c>
      <x:c r="J48" s="23">
        <x:v>6237</x:v>
      </x:c>
      <x:c r="K48" s="23">
        <x:v>0</x:v>
      </x:c>
      <x:c r="L48" s="23" t="s">
        <x:v>281</x:v>
      </x:c>
      <x:c r="M48" s="23">
        <x:f t="shared" si="0"/>
        <x:v>516</x:v>
      </x:c>
      <x:c r="N48" s="24" t="str">
        <x:f t="array" ref="N48">INDEX('MATCH INFO'!O:O, INT((ROW()-2)/10)+2 + 92)</x:f>
        <x:v>260626_ZETA_FLC_S1</x:v>
      </x:c>
    </x:row>
    <x:row r="49">
      <x:c r="A49" s="23" t="s">
        <x:v>72</x:v>
      </x:c>
      <x:c r="B49" s="23" t="s">
        <x:v>74</x:v>
      </x:c>
      <x:c r="C49" s="23" t="s">
        <x:v>8</x:v>
      </x:c>
      <x:c r="D49" s="23" t="s">
        <x:v>131</x:v>
      </x:c>
      <x:c r="E49" s="23" t="s">
        <x:v>184</x:v>
      </x:c>
      <x:c r="F49" s="23">
        <x:v>11</x:v>
      </x:c>
      <x:c r="G49" s="23">
        <x:v>8</x:v>
      </x:c>
      <x:c r="H49" s="23">
        <x:v>7</x:v>
      </x:c>
      <x:c r="I49" s="23">
        <x:v>5978</x:v>
      </x:c>
      <x:c r="J49" s="23">
        <x:v>1389</x:v>
      </x:c>
      <x:c r="K49" s="23">
        <x:v>15919</x:v>
      </x:c>
      <x:c r="L49" s="23" t="s">
        <x:v>281</x:v>
      </x:c>
      <x:c r="M49" s="23">
        <x:f t="shared" si="0"/>
        <x:v>516</x:v>
      </x:c>
      <x:c r="N49" s="24" t="str">
        <x:f t="array" ref="N49">INDEX('MATCH INFO'!O:O, INT((ROW()-2)/10)+2 + 92)</x:f>
        <x:v>260626_ZETA_FLC_S1</x:v>
      </x:c>
    </x:row>
    <x:row r="50">
      <x:c r="A50" s="23" t="s">
        <x:v>72</x:v>
      </x:c>
      <x:c r="B50" s="23" t="s">
        <x:v>77</x:v>
      </x:c>
      <x:c r="C50" s="23" t="s">
        <x:v>11</x:v>
      </x:c>
      <x:c r="D50" s="23" t="s">
        <x:v>131</x:v>
      </x:c>
      <x:c r="E50" s="23" t="s">
        <x:v>184</x:v>
      </x:c>
      <x:c r="F50" s="23">
        <x:v>12</x:v>
      </x:c>
      <x:c r="G50" s="23">
        <x:v>8</x:v>
      </x:c>
      <x:c r="H50" s="23">
        <x:v>2</x:v>
      </x:c>
      <x:c r="I50" s="23">
        <x:v>11398</x:v>
      </x:c>
      <x:c r="J50" s="23">
        <x:v>4</x:v>
      </x:c>
      <x:c r="K50" s="23">
        <x:v>1250</x:v>
      </x:c>
      <x:c r="L50" s="23" t="s">
        <x:v>281</x:v>
      </x:c>
      <x:c r="M50" s="23">
        <x:f t="shared" si="0"/>
        <x:v>516</x:v>
      </x:c>
      <x:c r="N50" s="24" t="str">
        <x:f t="array" ref="N50">INDEX('MATCH INFO'!O:O, INT((ROW()-2)/10)+2 + 92)</x:f>
        <x:v>260626_ZETA_FLC_S1</x:v>
      </x:c>
    </x:row>
    <x:row r="51">
      <x:c r="A51" s="23" t="s">
        <x:v>72</x:v>
      </x:c>
      <x:c r="B51" s="23" t="s">
        <x:v>75</x:v>
      </x:c>
      <x:c r="C51" s="23" t="s">
        <x:v>11</x:v>
      </x:c>
      <x:c r="D51" s="23" t="s">
        <x:v>131</x:v>
      </x:c>
      <x:c r="E51" s="23" t="s">
        <x:v>184</x:v>
      </x:c>
      <x:c r="F51" s="23">
        <x:v>10</x:v>
      </x:c>
      <x:c r="G51" s="23">
        <x:v>9</x:v>
      </x:c>
      <x:c r="H51" s="23">
        <x:v>2</x:v>
      </x:c>
      <x:c r="I51" s="23">
        <x:v>8446</x:v>
      </x:c>
      <x:c r="J51" s="23">
        <x:v>382</x:v>
      </x:c>
      <x:c r="K51" s="23">
        <x:v>584</x:v>
      </x:c>
      <x:c r="L51" s="23" t="s">
        <x:v>281</x:v>
      </x:c>
      <x:c r="M51" s="23">
        <x:f t="shared" si="0"/>
        <x:v>516</x:v>
      </x:c>
      <x:c r="N51" s="24" t="str">
        <x:f t="array" ref="N51">INDEX('MATCH INFO'!O:O, INT((ROW()-2)/10)+2 + 92)</x:f>
        <x:v>260626_ZETA_FLC_S1</x:v>
      </x:c>
    </x:row>
    <x:row r="52">
      <x:c r="A52" s="23" t="s">
        <x:v>72</x:v>
      </x:c>
      <x:c r="B52" s="23" t="s">
        <x:v>78</x:v>
      </x:c>
      <x:c r="C52" s="23" t="s">
        <x:v>16</x:v>
      </x:c>
      <x:c r="D52" s="23" t="s">
        <x:v>124</x:v>
      </x:c>
      <x:c r="E52" s="23" t="s">
        <x:v>186</x:v>
      </x:c>
      <x:c r="F52" s="23">
        <x:v>6</x:v>
      </x:c>
      <x:c r="G52" s="23">
        <x:v>11</x:v>
      </x:c>
      <x:c r="H52" s="23">
        <x:v>6</x:v>
      </x:c>
      <x:c r="I52" s="23">
        <x:v>4519</x:v>
      </x:c>
      <x:c r="J52" s="23">
        <x:v>6964</x:v>
      </x:c>
      <x:c r="K52" s="23">
        <x:v>2426</x:v>
      </x:c>
      <x:c r="L52" s="23" t="s">
        <x:v>282</x:v>
      </x:c>
      <x:c r="M52" s="23">
        <x:f t="shared" si="0"/>
        <x:v>607</x:v>
      </x:c>
      <x:c r="N52" s="24" t="str">
        <x:f t="array" ref="N52">INDEX('MATCH INFO'!O:O, INT((ROW()-2)/10)+2 + 92)</x:f>
        <x:v>260626_ZETA_FLC_S2</x:v>
      </x:c>
    </x:row>
    <x:row r="53">
      <x:c r="A53" s="23" t="s">
        <x:v>72</x:v>
      </x:c>
      <x:c r="B53" s="23" t="s">
        <x:v>79</x:v>
      </x:c>
      <x:c r="C53" s="23" t="s">
        <x:v>16</x:v>
      </x:c>
      <x:c r="D53" s="23" t="s">
        <x:v>124</x:v>
      </x:c>
      <x:c r="E53" s="23" t="s">
        <x:v>186</x:v>
      </x:c>
      <x:c r="F53" s="23">
        <x:v>13</x:v>
      </x:c>
      <x:c r="G53" s="23">
        <x:v>11</x:v>
      </x:c>
      <x:c r="H53" s="23">
        <x:v>13</x:v>
      </x:c>
      <x:c r="I53" s="23">
        <x:v>5917</x:v>
      </x:c>
      <x:c r="J53" s="23">
        <x:v>10088</x:v>
      </x:c>
      <x:c r="K53" s="23">
        <x:v>0</x:v>
      </x:c>
      <x:c r="L53" s="23" t="s">
        <x:v>282</x:v>
      </x:c>
      <x:c r="M53" s="23">
        <x:f t="shared" si="0"/>
        <x:v>607</x:v>
      </x:c>
      <x:c r="N53" s="24" t="str">
        <x:f t="array" ref="N53">INDEX('MATCH INFO'!O:O, INT((ROW()-2)/10)+2 + 92)</x:f>
        <x:v>260626_ZETA_FLC_S2</x:v>
      </x:c>
    </x:row>
    <x:row r="54">
      <x:c r="A54" s="23" t="s">
        <x:v>72</x:v>
      </x:c>
      <x:c r="B54" s="23" t="s">
        <x:v>74</x:v>
      </x:c>
      <x:c r="C54" s="23" t="s">
        <x:v>8</x:v>
      </x:c>
      <x:c r="D54" s="23" t="s">
        <x:v>124</x:v>
      </x:c>
      <x:c r="E54" s="23" t="s">
        <x:v>186</x:v>
      </x:c>
      <x:c r="F54" s="23">
        <x:v>12</x:v>
      </x:c>
      <x:c r="G54" s="23">
        <x:v>11</x:v>
      </x:c>
      <x:c r="H54" s="23">
        <x:v>11</x:v>
      </x:c>
      <x:c r="I54" s="23">
        <x:v>11260</x:v>
      </x:c>
      <x:c r="J54" s="23">
        <x:v>3166</x:v>
      </x:c>
      <x:c r="K54" s="23">
        <x:v>7702</x:v>
      </x:c>
      <x:c r="L54" s="23" t="s">
        <x:v>282</x:v>
      </x:c>
      <x:c r="M54" s="23">
        <x:f t="shared" si="0"/>
        <x:v>607</x:v>
      </x:c>
      <x:c r="N54" s="24" t="str">
        <x:f t="array" ref="N54">INDEX('MATCH INFO'!O:O, INT((ROW()-2)/10)+2 + 92)</x:f>
        <x:v>260626_ZETA_FLC_S2</x:v>
      </x:c>
    </x:row>
    <x:row r="55">
      <x:c r="A55" s="23" t="s">
        <x:v>72</x:v>
      </x:c>
      <x:c r="B55" s="23" t="s">
        <x:v>77</x:v>
      </x:c>
      <x:c r="C55" s="23" t="s">
        <x:v>11</x:v>
      </x:c>
      <x:c r="D55" s="23" t="s">
        <x:v>124</x:v>
      </x:c>
      <x:c r="E55" s="23" t="s">
        <x:v>186</x:v>
      </x:c>
      <x:c r="F55" s="23">
        <x:v>14</x:v>
      </x:c>
      <x:c r="G55" s="23">
        <x:v>10</x:v>
      </x:c>
      <x:c r="H55" s="23">
        <x:v>3</x:v>
      </x:c>
      <x:c r="I55" s="23">
        <x:v>10733</x:v>
      </x:c>
      <x:c r="J55" s="23">
        <x:v>75</x:v>
      </x:c>
      <x:c r="K55" s="23">
        <x:v>734</x:v>
      </x:c>
      <x:c r="L55" s="23" t="s">
        <x:v>282</x:v>
      </x:c>
      <x:c r="M55" s="23">
        <x:f t="shared" si="0"/>
        <x:v>607</x:v>
      </x:c>
      <x:c r="N55" s="24" t="str">
        <x:f t="array" ref="N55">INDEX('MATCH INFO'!O:O, INT((ROW()-2)/10)+2 + 92)</x:f>
        <x:v>260626_ZETA_FLC_S2</x:v>
      </x:c>
    </x:row>
    <x:row r="56">
      <x:c r="A56" s="23" t="s">
        <x:v>72</x:v>
      </x:c>
      <x:c r="B56" s="23" t="s">
        <x:v>75</x:v>
      </x:c>
      <x:c r="C56" s="23" t="s">
        <x:v>11</x:v>
      </x:c>
      <x:c r="D56" s="23" t="s">
        <x:v>124</x:v>
      </x:c>
      <x:c r="E56" s="23" t="s">
        <x:v>186</x:v>
      </x:c>
      <x:c r="F56" s="23">
        <x:v>8</x:v>
      </x:c>
      <x:c r="G56" s="23">
        <x:v>11</x:v>
      </x:c>
      <x:c r="H56" s="23">
        <x:v>1</x:v>
      </x:c>
      <x:c r="I56" s="23">
        <x:v>6403</x:v>
      </x:c>
      <x:c r="J56" s="23">
        <x:v>712</x:v>
      </x:c>
      <x:c r="K56" s="23">
        <x:v>78</x:v>
      </x:c>
      <x:c r="L56" s="23" t="s">
        <x:v>282</x:v>
      </x:c>
      <x:c r="M56" s="23">
        <x:f t="shared" si="0"/>
        <x:v>607</x:v>
      </x:c>
      <x:c r="N56" s="24" t="str">
        <x:f t="array" ref="N56">INDEX('MATCH INFO'!O:O, INT((ROW()-2)/10)+2 + 92)</x:f>
        <x:v>260626_ZETA_FLC_S2</x:v>
      </x:c>
    </x:row>
    <x:row r="57">
      <x:c r="A57" s="23" t="s">
        <x:v>47</x:v>
      </x:c>
      <x:c r="B57" s="23" t="s">
        <x:v>49</x:v>
      </x:c>
      <x:c r="C57" s="23" t="s">
        <x:v>8</x:v>
      </x:c>
      <x:c r="D57" s="23" t="s">
        <x:v>124</x:v>
      </x:c>
      <x:c r="E57" s="23" t="s">
        <x:v>186</x:v>
      </x:c>
      <x:c r="F57" s="23">
        <x:v>35</x:v>
      </x:c>
      <x:c r="G57" s="23">
        <x:v>4</x:v>
      </x:c>
      <x:c r="H57" s="23">
        <x:v>23</x:v>
      </x:c>
      <x:c r="I57" s="23">
        <x:v>14197</x:v>
      </x:c>
      <x:c r="J57" s="23">
        <x:v>3588</x:v>
      </x:c>
      <x:c r="K57" s="23">
        <x:v>5015</x:v>
      </x:c>
      <x:c r="L57" s="23" t="s">
        <x:v>282</x:v>
      </x:c>
      <x:c r="M57" s="23">
        <x:f t="shared" si="0"/>
        <x:v>607</x:v>
      </x:c>
      <x:c r="N57" s="24" t="str">
        <x:f t="array" ref="N57">INDEX('MATCH INFO'!O:O, INT((ROW()-2)/10)+2 + 92)</x:f>
        <x:v>260626_ZETA_FLC_S2</x:v>
      </x:c>
    </x:row>
    <x:row r="58">
      <x:c r="A58" s="23" t="s">
        <x:v>47</x:v>
      </x:c>
      <x:c r="B58" s="23" t="s">
        <x:v>51</x:v>
      </x:c>
      <x:c r="C58" s="23" t="s">
        <x:v>11</x:v>
      </x:c>
      <x:c r="D58" s="23" t="s">
        <x:v>124</x:v>
      </x:c>
      <x:c r="E58" s="23" t="s">
        <x:v>186</x:v>
      </x:c>
      <x:c r="F58" s="23">
        <x:v>36</x:v>
      </x:c>
      <x:c r="G58" s="23">
        <x:v>5</x:v>
      </x:c>
      <x:c r="H58" s="23">
        <x:v>0</x:v>
      </x:c>
      <x:c r="I58" s="23">
        <x:v>11204</x:v>
      </x:c>
      <x:c r="J58" s="23">
        <x:v>1713</x:v>
      </x:c>
      <x:c r="K58" s="23">
        <x:v>0</x:v>
      </x:c>
      <x:c r="L58" s="23" t="s">
        <x:v>282</x:v>
      </x:c>
      <x:c r="M58" s="23">
        <x:f t="shared" si="0"/>
        <x:v>607</x:v>
      </x:c>
      <x:c r="N58" s="24" t="str">
        <x:f t="array" ref="N58">INDEX('MATCH INFO'!O:O, INT((ROW()-2)/10)+2 + 92)</x:f>
        <x:v>260626_ZETA_FLC_S2</x:v>
      </x:c>
    </x:row>
    <x:row r="59">
      <x:c r="A59" s="23" t="s">
        <x:v>47</x:v>
      </x:c>
      <x:c r="B59" s="23" t="s">
        <x:v>50</x:v>
      </x:c>
      <x:c r="C59" s="23" t="s">
        <x:v>11</x:v>
      </x:c>
      <x:c r="D59" s="23" t="s">
        <x:v>124</x:v>
      </x:c>
      <x:c r="E59" s="23" t="s">
        <x:v>186</x:v>
      </x:c>
      <x:c r="F59" s="23">
        <x:v>29</x:v>
      </x:c>
      <x:c r="G59" s="23">
        <x:v>4</x:v>
      </x:c>
      <x:c r="H59" s="23">
        <x:v>4</x:v>
      </x:c>
      <x:c r="I59" s="23">
        <x:v>11584</x:v>
      </x:c>
      <x:c r="J59" s="23">
        <x:v>0</x:v>
      </x:c>
      <x:c r="K59" s="23">
        <x:v>433</x:v>
      </x:c>
      <x:c r="L59" s="23" t="s">
        <x:v>282</x:v>
      </x:c>
      <x:c r="M59" s="23">
        <x:f t="shared" si="0"/>
        <x:v>607</x:v>
      </x:c>
      <x:c r="N59" s="24" t="str">
        <x:f t="array" ref="N59">INDEX('MATCH INFO'!O:O, INT((ROW()-2)/10)+2 + 92)</x:f>
        <x:v>260626_ZETA_FLC_S2</x:v>
      </x:c>
    </x:row>
    <x:row r="60">
      <x:c r="A60" s="23" t="s">
        <x:v>47</x:v>
      </x:c>
      <x:c r="B60" s="23" t="s">
        <x:v>53</x:v>
      </x:c>
      <x:c r="C60" s="23" t="s">
        <x:v>16</x:v>
      </x:c>
      <x:c r="D60" s="23" t="s">
        <x:v>124</x:v>
      </x:c>
      <x:c r="E60" s="23" t="s">
        <x:v>186</x:v>
      </x:c>
      <x:c r="F60" s="23">
        <x:v>25</x:v>
      </x:c>
      <x:c r="G60" s="23">
        <x:v>3</x:v>
      </x:c>
      <x:c r="H60" s="23">
        <x:v>43</x:v>
      </x:c>
      <x:c r="I60" s="23">
        <x:v>4917</x:v>
      </x:c>
      <x:c r="J60" s="23">
        <x:v>12968</x:v>
      </x:c>
      <x:c r="K60" s="23">
        <x:v>0</x:v>
      </x:c>
      <x:c r="L60" s="23" t="s">
        <x:v>282</x:v>
      </x:c>
      <x:c r="M60" s="23">
        <x:f t="shared" si="0"/>
        <x:v>607</x:v>
      </x:c>
      <x:c r="N60" s="24" t="str">
        <x:f t="array" ref="N60">INDEX('MATCH INFO'!O:O, INT((ROW()-2)/10)+2 + 92)</x:f>
        <x:v>260626_ZETA_FLC_S2</x:v>
      </x:c>
    </x:row>
    <x:row r="61">
      <x:c r="A61" s="23" t="s">
        <x:v>47</x:v>
      </x:c>
      <x:c r="B61" s="23" t="s">
        <x:v>52</x:v>
      </x:c>
      <x:c r="C61" s="23" t="s">
        <x:v>16</x:v>
      </x:c>
      <x:c r="D61" s="23" t="s">
        <x:v>124</x:v>
      </x:c>
      <x:c r="E61" s="23" t="s">
        <x:v>186</x:v>
      </x:c>
      <x:c r="F61" s="23">
        <x:v>34</x:v>
      </x:c>
      <x:c r="G61" s="23">
        <x:v>4</x:v>
      </x:c>
      <x:c r="H61" s="23">
        <x:v>21</x:v>
      </x:c>
      <x:c r="I61" s="23">
        <x:v>6437</x:v>
      </x:c>
      <x:c r="J61" s="23">
        <x:v>7478</x:v>
      </x:c>
      <x:c r="K61" s="23">
        <x:v>175</x:v>
      </x:c>
      <x:c r="L61" s="23" t="s">
        <x:v>282</x:v>
      </x:c>
      <x:c r="M61" s="23">
        <x:f t="shared" si="0"/>
        <x:v>607</x:v>
      </x:c>
      <x:c r="N61" s="24" t="str">
        <x:f t="array" ref="N61">INDEX('MATCH INFO'!O:O, INT((ROW()-2)/10)+2 + 92)</x:f>
        <x:v>260626_ZETA_FLC_S2</x:v>
      </x:c>
    </x:row>
    <x:row r="62">
      <x:c r="A62" s="23" t="s">
        <x:v>72</x:v>
      </x:c>
      <x:c r="B62" s="23" t="s">
        <x:v>76</x:v>
      </x:c>
      <x:c r="C62" s="23" t="s">
        <x:v>11</x:v>
      </x:c>
      <x:c r="D62" s="23" t="s">
        <x:v>145</x:v>
      </x:c>
      <x:c r="E62" s="23" t="s">
        <x:v>195</x:v>
      </x:c>
      <x:c r="F62" s="23">
        <x:v>29</x:v>
      </x:c>
      <x:c r="G62" s="23">
        <x:v>14</x:v>
      </x:c>
      <x:c r="H62" s="23">
        <x:v>7</x:v>
      </x:c>
      <x:c r="I62" s="23">
        <x:v>16613</x:v>
      </x:c>
      <x:c r="J62" s="23">
        <x:v>1582</x:v>
      </x:c>
      <x:c r="K62" s="23">
        <x:v>11617</x:v>
      </x:c>
      <x:c r="L62" s="23" t="s">
        <x:v>283</x:v>
      </x:c>
      <x:c r="M62" s="23">
        <x:f t="shared" si="0"/>
        <x:v>1019</x:v>
      </x:c>
      <x:c r="N62" s="24" t="str">
        <x:f t="array" ref="N62">INDEX('MATCH INFO'!O:O, INT((ROW()-2)/10)+2 + 92)</x:f>
        <x:v>260626_ZETA_FLC_S3</x:v>
      </x:c>
    </x:row>
    <x:row r="63">
      <x:c r="A63" s="23" t="s">
        <x:v>72</x:v>
      </x:c>
      <x:c r="B63" s="23" t="s">
        <x:v>78</x:v>
      </x:c>
      <x:c r="C63" s="23" t="s">
        <x:v>16</x:v>
      </x:c>
      <x:c r="D63" s="23" t="s">
        <x:v>145</x:v>
      </x:c>
      <x:c r="E63" s="23" t="s">
        <x:v>195</x:v>
      </x:c>
      <x:c r="F63" s="23">
        <x:v>19</x:v>
      </x:c>
      <x:c r="G63" s="23">
        <x:v>14</x:v>
      </x:c>
      <x:c r="H63" s="23">
        <x:v>23</x:v>
      </x:c>
      <x:c r="I63" s="23">
        <x:v>6983</x:v>
      </x:c>
      <x:c r="J63" s="23">
        <x:v>16839</x:v>
      </x:c>
      <x:c r="K63" s="23">
        <x:v>0</x:v>
      </x:c>
      <x:c r="L63" s="23" t="s">
        <x:v>283</x:v>
      </x:c>
      <x:c r="M63" s="23">
        <x:f t="shared" si="0"/>
        <x:v>1019</x:v>
      </x:c>
      <x:c r="N63" s="24" t="str">
        <x:f t="array" ref="N63">INDEX('MATCH INFO'!O:O, INT((ROW()-2)/10)+2 + 92)</x:f>
        <x:v>260626_ZETA_FLC_S3</x:v>
      </x:c>
    </x:row>
    <x:row r="64">
      <x:c r="A64" s="23" t="s">
        <x:v>72</x:v>
      </x:c>
      <x:c r="B64" s="23" t="s">
        <x:v>79</x:v>
      </x:c>
      <x:c r="C64" s="23" t="s">
        <x:v>16</x:v>
      </x:c>
      <x:c r="D64" s="23" t="s">
        <x:v>145</x:v>
      </x:c>
      <x:c r="E64" s="23" t="s">
        <x:v>195</x:v>
      </x:c>
      <x:c r="F64" s="23">
        <x:v>16</x:v>
      </x:c>
      <x:c r="G64" s="23">
        <x:v>15</x:v>
      </x:c>
      <x:c r="H64" s="23">
        <x:v>23</x:v>
      </x:c>
      <x:c r="I64" s="23">
        <x:v>7474</x:v>
      </x:c>
      <x:c r="J64" s="23">
        <x:v>16236</x:v>
      </x:c>
      <x:c r="K64" s="23">
        <x:v>0</x:v>
      </x:c>
      <x:c r="L64" s="23" t="s">
        <x:v>283</x:v>
      </x:c>
      <x:c r="M64" s="23">
        <x:f t="shared" si="0"/>
        <x:v>1019</x:v>
      </x:c>
      <x:c r="N64" s="24" t="str">
        <x:f t="array" ref="N64">INDEX('MATCH INFO'!O:O, INT((ROW()-2)/10)+2 + 92)</x:f>
        <x:v>260626_ZETA_FLC_S3</x:v>
      </x:c>
    </x:row>
    <x:row r="65">
      <x:c r="A65" s="23" t="s">
        <x:v>72</x:v>
      </x:c>
      <x:c r="B65" s="23" t="s">
        <x:v>77</x:v>
      </x:c>
      <x:c r="C65" s="23" t="s">
        <x:v>11</x:v>
      </x:c>
      <x:c r="D65" s="23" t="s">
        <x:v>145</x:v>
      </x:c>
      <x:c r="E65" s="23" t="s">
        <x:v>195</x:v>
      </x:c>
      <x:c r="F65" s="23">
        <x:v>26</x:v>
      </x:c>
      <x:c r="G65" s="23">
        <x:v>18</x:v>
      </x:c>
      <x:c r="H65" s="23">
        <x:v>0</x:v>
      </x:c>
      <x:c r="I65" s="23">
        <x:v>18943</x:v>
      </x:c>
      <x:c r="J65" s="23">
        <x:v>0</x:v>
      </x:c>
      <x:c r="K65" s="23">
        <x:v>496</x:v>
      </x:c>
      <x:c r="L65" s="23" t="s">
        <x:v>283</x:v>
      </x:c>
      <x:c r="M65" s="23">
        <x:f t="shared" si="0"/>
        <x:v>1019</x:v>
      </x:c>
      <x:c r="N65" s="24" t="str">
        <x:f t="array" ref="N65">INDEX('MATCH INFO'!O:O, INT((ROW()-2)/10)+2 + 92)</x:f>
        <x:v>260626_ZETA_FLC_S3</x:v>
      </x:c>
    </x:row>
    <x:row r="66">
      <x:c r="A66" s="23" t="s">
        <x:v>72</x:v>
      </x:c>
      <x:c r="B66" s="23" t="s">
        <x:v>73</x:v>
      </x:c>
      <x:c r="C66" s="23" t="s">
        <x:v>8</x:v>
      </x:c>
      <x:c r="D66" s="23" t="s">
        <x:v>145</x:v>
      </x:c>
      <x:c r="E66" s="23" t="s">
        <x:v>195</x:v>
      </x:c>
      <x:c r="F66" s="23">
        <x:v>27</x:v>
      </x:c>
      <x:c r="G66" s="23">
        <x:v>12</x:v>
      </x:c>
      <x:c r="H66" s="23">
        <x:v>10</x:v>
      </x:c>
      <x:c r="I66" s="23">
        <x:v>17011</x:v>
      </x:c>
      <x:c r="J66" s="23">
        <x:v>1767</x:v>
      </x:c>
      <x:c r="K66" s="23">
        <x:v>29618</x:v>
      </x:c>
      <x:c r="L66" s="23" t="s">
        <x:v>283</x:v>
      </x:c>
      <x:c r="M66" s="23" t="e">
        <x:f t="shared" ref="M66:M129" si="1">L66*86400</x:f>
        <x:v>#VALUE!</x:v>
      </x:c>
      <x:c r="N66" s="24" t="str">
        <x:f t="array" ref="N66">INDEX('MATCH INFO'!O:O, INT((ROW()-2)/10)+2 + 92)</x:f>
        <x:v>260626_ZETA_FLC_S3</x:v>
      </x:c>
    </x:row>
    <x:row r="67">
      <x:c r="A67" s="23" t="s">
        <x:v>47</x:v>
      </x:c>
      <x:c r="B67" s="23" t="s">
        <x:v>49</x:v>
      </x:c>
      <x:c r="C67" s="23" t="s">
        <x:v>8</x:v>
      </x:c>
      <x:c r="D67" s="23" t="s">
        <x:v>145</x:v>
      </x:c>
      <x:c r="E67" s="23" t="s">
        <x:v>195</x:v>
      </x:c>
      <x:c r="F67" s="23">
        <x:v>47</x:v>
      </x:c>
      <x:c r="G67" s="23">
        <x:v>8</x:v>
      </x:c>
      <x:c r="H67" s="23">
        <x:v>14</x:v>
      </x:c>
      <x:c r="I67" s="23">
        <x:v>18825</x:v>
      </x:c>
      <x:c r="J67" s="23">
        <x:v>1274</x:v>
      </x:c>
      <x:c r="K67" s="23">
        <x:v>20507</x:v>
      </x:c>
      <x:c r="L67" s="23" t="s">
        <x:v>283</x:v>
      </x:c>
      <x:c r="M67" s="23">
        <x:f t="shared" si="1"/>
        <x:v>1019</x:v>
      </x:c>
      <x:c r="N67" s="24" t="str">
        <x:f t="array" ref="N67">INDEX('MATCH INFO'!O:O, INT((ROW()-2)/10)+2 + 92)</x:f>
        <x:v>260626_ZETA_FLC_S3</x:v>
      </x:c>
    </x:row>
    <x:row r="68">
      <x:c r="A68" s="23" t="s">
        <x:v>47</x:v>
      </x:c>
      <x:c r="B68" s="23" t="s">
        <x:v>51</x:v>
      </x:c>
      <x:c r="C68" s="23" t="s">
        <x:v>11</x:v>
      </x:c>
      <x:c r="D68" s="23" t="s">
        <x:v>145</x:v>
      </x:c>
      <x:c r="E68" s="23" t="s">
        <x:v>195</x:v>
      </x:c>
      <x:c r="F68" s="23">
        <x:v>45</x:v>
      </x:c>
      <x:c r="G68" s="23">
        <x:v>10</x:v>
      </x:c>
      <x:c r="H68" s="23">
        <x:v>5</x:v>
      </x:c>
      <x:c r="I68" s="23">
        <x:v>19629</x:v>
      </x:c>
      <x:c r="J68" s="23">
        <x:v>539</x:v>
      </x:c>
      <x:c r="K68" s="23">
        <x:v>989</x:v>
      </x:c>
      <x:c r="L68" s="23" t="s">
        <x:v>283</x:v>
      </x:c>
      <x:c r="M68" s="23">
        <x:f t="shared" si="1"/>
        <x:v>1019</x:v>
      </x:c>
      <x:c r="N68" s="24" t="str">
        <x:f t="array" ref="N68">INDEX('MATCH INFO'!O:O, INT((ROW()-2)/10)+2 + 92)</x:f>
        <x:v>260626_ZETA_FLC_S3</x:v>
      </x:c>
    </x:row>
    <x:row r="69">
      <x:c r="A69" s="23" t="s">
        <x:v>47</x:v>
      </x:c>
      <x:c r="B69" s="23" t="s">
        <x:v>50</x:v>
      </x:c>
      <x:c r="C69" s="23" t="s">
        <x:v>11</x:v>
      </x:c>
      <x:c r="D69" s="23" t="s">
        <x:v>145</x:v>
      </x:c>
      <x:c r="E69" s="23" t="s">
        <x:v>195</x:v>
      </x:c>
      <x:c r="F69" s="23">
        <x:v>40</x:v>
      </x:c>
      <x:c r="G69" s="23">
        <x:v>8</x:v>
      </x:c>
      <x:c r="H69" s="23">
        <x:v>11</x:v>
      </x:c>
      <x:c r="I69" s="23">
        <x:v>14346</x:v>
      </x:c>
      <x:c r="J69" s="23">
        <x:v>3008</x:v>
      </x:c>
      <x:c r="K69" s="23">
        <x:v>4504</x:v>
      </x:c>
      <x:c r="L69" s="23" t="s">
        <x:v>283</x:v>
      </x:c>
      <x:c r="M69" s="23">
        <x:f t="shared" si="1"/>
        <x:v>1019</x:v>
      </x:c>
      <x:c r="N69" s="24" t="str">
        <x:f t="array" ref="N69">INDEX('MATCH INFO'!O:O, INT((ROW()-2)/10)+2 + 92)</x:f>
        <x:v>260626_ZETA_FLC_S3</x:v>
      </x:c>
    </x:row>
    <x:row r="70">
      <x:c r="A70" s="23" t="s">
        <x:v>47</x:v>
      </x:c>
      <x:c r="B70" s="23" t="s">
        <x:v>53</x:v>
      </x:c>
      <x:c r="C70" s="23" t="s">
        <x:v>16</x:v>
      </x:c>
      <x:c r="D70" s="23" t="s">
        <x:v>145</x:v>
      </x:c>
      <x:c r="E70" s="23" t="s">
        <x:v>195</x:v>
      </x:c>
      <x:c r="F70" s="23">
        <x:v>22</x:v>
      </x:c>
      <x:c r="G70" s="23">
        <x:v>9</x:v>
      </x:c>
      <x:c r="H70" s="23">
        <x:v>50</x:v>
      </x:c>
      <x:c r="I70" s="23">
        <x:v>8206</x:v>
      </x:c>
      <x:c r="J70" s="23">
        <x:v>22822</x:v>
      </x:c>
      <x:c r="K70" s="23">
        <x:v>0</x:v>
      </x:c>
      <x:c r="L70" s="23" t="s">
        <x:v>283</x:v>
      </x:c>
      <x:c r="M70" s="23">
        <x:f t="shared" si="1"/>
        <x:v>1019</x:v>
      </x:c>
      <x:c r="N70" s="24" t="str">
        <x:f t="array" ref="N70">INDEX('MATCH INFO'!O:O, INT((ROW()-2)/10)+2 + 92)</x:f>
        <x:v>260626_ZETA_FLC_S3</x:v>
      </x:c>
    </x:row>
    <x:row r="71">
      <x:c r="A71" s="23" t="s">
        <x:v>47</x:v>
      </x:c>
      <x:c r="B71" s="23" t="s">
        <x:v>52</x:v>
      </x:c>
      <x:c r="C71" s="23" t="s">
        <x:v>16</x:v>
      </x:c>
      <x:c r="D71" s="23" t="s">
        <x:v>145</x:v>
      </x:c>
      <x:c r="E71" s="23" t="s">
        <x:v>195</x:v>
      </x:c>
      <x:c r="F71" s="23">
        <x:v>25</x:v>
      </x:c>
      <x:c r="G71" s="23">
        <x:v>11</x:v>
      </x:c>
      <x:c r="H71" s="23">
        <x:v>24</x:v>
      </x:c>
      <x:c r="I71" s="23">
        <x:v>5358</x:v>
      </x:c>
      <x:c r="J71" s="23">
        <x:v>15983</x:v>
      </x:c>
      <x:c r="K71" s="23">
        <x:v>0</x:v>
      </x:c>
      <x:c r="L71" s="23" t="s">
        <x:v>283</x:v>
      </x:c>
      <x:c r="M71" s="23">
        <x:f t="shared" si="1"/>
        <x:v>1019</x:v>
      </x:c>
      <x:c r="N71" s="24" t="str">
        <x:f t="array" ref="N71">INDEX('MATCH INFO'!O:O, INT((ROW()-2)/10)+2 + 92)</x:f>
        <x:v>260626_ZETA_FLC_S3</x:v>
      </x:c>
    </x:row>
    <x:row r="72">
      <x:c r="A72" s="23" t="s">
        <x:v>81</x:v>
      </x:c>
      <x:c r="B72" s="23" t="s">
        <x:v>84</x:v>
      </x:c>
      <x:c r="C72" s="23" t="s">
        <x:v>11</x:v>
      </x:c>
      <x:c r="D72" s="23" t="s">
        <x:v>116</x:v>
      </x:c>
      <x:c r="E72" s="23" t="s">
        <x:v>184</x:v>
      </x:c>
      <x:c r="F72" s="23">
        <x:v>23</x:v>
      </x:c>
      <x:c r="G72" s="23">
        <x:v>11</x:v>
      </x:c>
      <x:c r="H72" s="23">
        <x:v>0</x:v>
      </x:c>
      <x:c r="I72" s="23">
        <x:v>13866</x:v>
      </x:c>
      <x:c r="J72" s="23">
        <x:v>1843</x:v>
      </x:c>
      <x:c r="K72" s="23">
        <x:v>0</x:v>
      </x:c>
      <x:c r="L72" s="23" t="s">
        <x:v>284</x:v>
      </x:c>
      <x:c r="M72" s="23">
        <x:f t="shared" si="1"/>
        <x:v>803</x:v>
      </x:c>
      <x:c r="N72" s="24" t="str">
        <x:f t="array" ref="N72">INDEX('MATCH INFO'!O:O, INT((ROW()-2)/10)+2 + 92)</x:f>
        <x:v>260626_SB_ROZE_S1</x:v>
      </x:c>
    </x:row>
    <x:row r="73">
      <x:c r="A73" s="23" t="s">
        <x:v>81</x:v>
      </x:c>
      <x:c r="B73" s="23" t="s">
        <x:v>82</x:v>
      </x:c>
      <x:c r="C73" s="23" t="s">
        <x:v>8</x:v>
      </x:c>
      <x:c r="D73" s="23" t="s">
        <x:v>116</x:v>
      </x:c>
      <x:c r="E73" s="23" t="s">
        <x:v>184</x:v>
      </x:c>
      <x:c r="F73" s="23">
        <x:v>27</x:v>
      </x:c>
      <x:c r="G73" s="23">
        <x:v>7</x:v>
      </x:c>
      <x:c r="H73" s="23">
        <x:v>3</x:v>
      </x:c>
      <x:c r="I73" s="23">
        <x:v>20318</x:v>
      </x:c>
      <x:c r="J73" s="23">
        <x:v>0</x:v>
      </x:c>
      <x:c r="K73" s="23">
        <x:v>25093</x:v>
      </x:c>
      <x:c r="L73" s="23" t="s">
        <x:v>284</x:v>
      </x:c>
      <x:c r="M73" s="23">
        <x:f t="shared" si="1"/>
        <x:v>803</x:v>
      </x:c>
      <x:c r="N73" s="24" t="str">
        <x:f t="array" ref="N73">INDEX('MATCH INFO'!O:O, INT((ROW()-2)/10)+2 + 92)</x:f>
        <x:v>260626_SB_ROZE_S1</x:v>
      </x:c>
    </x:row>
    <x:row r="74">
      <x:c r="A74" s="23" t="s">
        <x:v>81</x:v>
      </x:c>
      <x:c r="B74" s="23" t="s">
        <x:v>86</x:v>
      </x:c>
      <x:c r="C74" s="23" t="s">
        <x:v>16</x:v>
      </x:c>
      <x:c r="D74" s="23" t="s">
        <x:v>116</x:v>
      </x:c>
      <x:c r="E74" s="23" t="s">
        <x:v>184</x:v>
      </x:c>
      <x:c r="F74" s="23">
        <x:v>23</x:v>
      </x:c>
      <x:c r="G74" s="23">
        <x:v>8</x:v>
      </x:c>
      <x:c r="H74" s="23">
        <x:v>22</x:v>
      </x:c>
      <x:c r="I74" s="23">
        <x:v>4075</x:v>
      </x:c>
      <x:c r="J74" s="23">
        <x:v>15412</x:v>
      </x:c>
      <x:c r="K74" s="23">
        <x:v>0</x:v>
      </x:c>
      <x:c r="L74" s="23" t="s">
        <x:v>284</x:v>
      </x:c>
      <x:c r="M74" s="23">
        <x:f t="shared" si="1"/>
        <x:v>803</x:v>
      </x:c>
      <x:c r="N74" s="24" t="str">
        <x:f t="array" ref="N74">INDEX('MATCH INFO'!O:O, INT((ROW()-2)/10)+2 + 92)</x:f>
        <x:v>260626_SB_ROZE_S1</x:v>
      </x:c>
    </x:row>
    <x:row r="75">
      <x:c r="A75" s="23" t="s">
        <x:v>81</x:v>
      </x:c>
      <x:c r="B75" s="23" t="s">
        <x:v>85</x:v>
      </x:c>
      <x:c r="C75" s="23" t="s">
        <x:v>11</x:v>
      </x:c>
      <x:c r="D75" s="23" t="s">
        <x:v>116</x:v>
      </x:c>
      <x:c r="E75" s="23" t="s">
        <x:v>184</x:v>
      </x:c>
      <x:c r="F75" s="23">
        <x:v>19</x:v>
      </x:c>
      <x:c r="G75" s="23">
        <x:v>12</x:v>
      </x:c>
      <x:c r="H75" s="23">
        <x:v>1</x:v>
      </x:c>
      <x:c r="I75" s="23">
        <x:v>12519</x:v>
      </x:c>
      <x:c r="J75" s="23">
        <x:v>107</x:v>
      </x:c>
      <x:c r="K75" s="23">
        <x:v>531</x:v>
      </x:c>
      <x:c r="L75" s="23" t="s">
        <x:v>284</x:v>
      </x:c>
      <x:c r="M75" s="23">
        <x:f t="shared" si="1"/>
        <x:v>803</x:v>
      </x:c>
      <x:c r="N75" s="24" t="str">
        <x:f t="array" ref="N75">INDEX('MATCH INFO'!O:O, INT((ROW()-2)/10)+2 + 92)</x:f>
        <x:v>260626_SB_ROZE_S1</x:v>
      </x:c>
    </x:row>
    <x:row r="76">
      <x:c r="A76" s="23" t="s">
        <x:v>81</x:v>
      </x:c>
      <x:c r="B76" s="23" t="s">
        <x:v>88</x:v>
      </x:c>
      <x:c r="C76" s="23" t="s">
        <x:v>16</x:v>
      </x:c>
      <x:c r="D76" s="23" t="s">
        <x:v>116</x:v>
      </x:c>
      <x:c r="E76" s="23" t="s">
        <x:v>184</x:v>
      </x:c>
      <x:c r="F76" s="23">
        <x:v>14</x:v>
      </x:c>
      <x:c r="G76" s="23">
        <x:v>8</x:v>
      </x:c>
      <x:c r="H76" s="23">
        <x:v>24</x:v>
      </x:c>
      <x:c r="I76" s="23">
        <x:v>5016</x:v>
      </x:c>
      <x:c r="J76" s="23">
        <x:v>18420</x:v>
      </x:c>
      <x:c r="K76" s="23">
        <x:v>0</x:v>
      </x:c>
      <x:c r="L76" s="23" t="s">
        <x:v>284</x:v>
      </x:c>
      <x:c r="M76" s="23">
        <x:f t="shared" si="1"/>
        <x:v>803</x:v>
      </x:c>
      <x:c r="N76" s="24" t="str">
        <x:f t="array" ref="N76">INDEX('MATCH INFO'!O:O, INT((ROW()-2)/10)+2 + 92)</x:f>
        <x:v>260626_SB_ROZE_S1</x:v>
      </x:c>
    </x:row>
    <x:row r="77">
      <x:c r="A77" s="23" t="s">
        <x:v>22</x:v>
      </x:c>
      <x:c r="B77" s="23" t="s">
        <x:v>25</x:v>
      </x:c>
      <x:c r="C77" s="23" t="s">
        <x:v>11</x:v>
      </x:c>
      <x:c r="D77" s="23" t="s">
        <x:v>116</x:v>
      </x:c>
      <x:c r="E77" s="23" t="s">
        <x:v>184</x:v>
      </x:c>
      <x:c r="F77" s="23">
        <x:v>21</x:v>
      </x:c>
      <x:c r="G77" s="23">
        <x:v>10</x:v>
      </x:c>
      <x:c r="H77" s="23">
        <x:v>2</x:v>
      </x:c>
      <x:c r="I77" s="23">
        <x:v>11100</x:v>
      </x:c>
      <x:c r="J77" s="23">
        <x:v>780</x:v>
      </x:c>
      <x:c r="K77" s="23">
        <x:v>2084</x:v>
      </x:c>
      <x:c r="L77" s="23" t="s">
        <x:v>284</x:v>
      </x:c>
      <x:c r="M77" s="23">
        <x:f t="shared" si="1"/>
        <x:v>803</x:v>
      </x:c>
      <x:c r="N77" s="24" t="str">
        <x:f t="array" ref="N77">INDEX('MATCH INFO'!O:O, INT((ROW()-2)/10)+2 + 92)</x:f>
        <x:v>260626_SB_ROZE_S1</x:v>
      </x:c>
    </x:row>
    <x:row r="78">
      <x:c r="A78" s="23" t="s">
        <x:v>22</x:v>
      </x:c>
      <x:c r="B78" s="23" t="s">
        <x:v>24</x:v>
      </x:c>
      <x:c r="C78" s="23" t="s">
        <x:v>8</x:v>
      </x:c>
      <x:c r="D78" s="23" t="s">
        <x:v>116</x:v>
      </x:c>
      <x:c r="E78" s="23" t="s">
        <x:v>184</x:v>
      </x:c>
      <x:c r="F78" s="23">
        <x:v>22</x:v>
      </x:c>
      <x:c r="G78" s="23">
        <x:v>8</x:v>
      </x:c>
      <x:c r="H78" s="23">
        <x:v>18</x:v>
      </x:c>
      <x:c r="I78" s="23">
        <x:v>14659</x:v>
      </x:c>
      <x:c r="J78" s="23">
        <x:v>2889</x:v>
      </x:c>
      <x:c r="K78" s="23">
        <x:v>6402</x:v>
      </x:c>
      <x:c r="L78" s="23" t="s">
        <x:v>284</x:v>
      </x:c>
      <x:c r="M78" s="23">
        <x:f t="shared" si="1"/>
        <x:v>803</x:v>
      </x:c>
      <x:c r="N78" s="24" t="str">
        <x:f t="array" ref="N78">INDEX('MATCH INFO'!O:O, INT((ROW()-2)/10)+2 + 92)</x:f>
        <x:v>260626_SB_ROZE_S1</x:v>
      </x:c>
    </x:row>
    <x:row r="79">
      <x:c r="A79" s="23" t="s">
        <x:v>22</x:v>
      </x:c>
      <x:c r="B79" s="23" t="s">
        <x:v>29</x:v>
      </x:c>
      <x:c r="C79" s="23" t="s">
        <x:v>16</x:v>
      </x:c>
      <x:c r="D79" s="23" t="s">
        <x:v>116</x:v>
      </x:c>
      <x:c r="E79" s="23" t="s">
        <x:v>184</x:v>
      </x:c>
      <x:c r="F79" s="23">
        <x:v>21</x:v>
      </x:c>
      <x:c r="G79" s="23">
        <x:v>5</x:v>
      </x:c>
      <x:c r="H79" s="23">
        <x:v>23</x:v>
      </x:c>
      <x:c r="I79" s="23">
        <x:v>5055</x:v>
      </x:c>
      <x:c r="J79" s="23">
        <x:v>18247</x:v>
      </x:c>
      <x:c r="K79" s="23">
        <x:v>0</x:v>
      </x:c>
      <x:c r="L79" s="23" t="s">
        <x:v>284</x:v>
      </x:c>
      <x:c r="M79" s="23">
        <x:f t="shared" si="1"/>
        <x:v>803</x:v>
      </x:c>
      <x:c r="N79" s="24" t="str">
        <x:f t="array" ref="N79">INDEX('MATCH INFO'!O:O, INT((ROW()-2)/10)+2 + 92)</x:f>
        <x:v>260626_SB_ROZE_S1</x:v>
      </x:c>
    </x:row>
    <x:row r="80">
      <x:c r="A80" s="23" t="s">
        <x:v>22</x:v>
      </x:c>
      <x:c r="B80" s="23" t="s">
        <x:v>28</x:v>
      </x:c>
      <x:c r="C80" s="23" t="s">
        <x:v>16</x:v>
      </x:c>
      <x:c r="D80" s="23" t="s">
        <x:v>116</x:v>
      </x:c>
      <x:c r="E80" s="23" t="s">
        <x:v>184</x:v>
      </x:c>
      <x:c r="F80" s="23">
        <x:v>25</x:v>
      </x:c>
      <x:c r="G80" s="23">
        <x:v>6</x:v>
      </x:c>
      <x:c r="H80" s="23">
        <x:v>23</x:v>
      </x:c>
      <x:c r="I80" s="23">
        <x:v>6977</x:v>
      </x:c>
      <x:c r="J80" s="23">
        <x:v>10704</x:v>
      </x:c>
      <x:c r="K80" s="23">
        <x:v>6236</x:v>
      </x:c>
      <x:c r="L80" s="23" t="s">
        <x:v>284</x:v>
      </x:c>
      <x:c r="M80" s="23">
        <x:f t="shared" si="1"/>
        <x:v>803</x:v>
      </x:c>
      <x:c r="N80" s="24" t="str">
        <x:f t="array" ref="N80">INDEX('MATCH INFO'!O:O, INT((ROW()-2)/10)+2 + 92)</x:f>
        <x:v>260626_SB_ROZE_S1</x:v>
      </x:c>
    </x:row>
    <x:row r="81">
      <x:c r="A81" s="23" t="s">
        <x:v>22</x:v>
      </x:c>
      <x:c r="B81" s="23" t="s">
        <x:v>27</x:v>
      </x:c>
      <x:c r="C81" s="23" t="s">
        <x:v>11</x:v>
      </x:c>
      <x:c r="D81" s="23" t="s">
        <x:v>116</x:v>
      </x:c>
      <x:c r="E81" s="23" t="s">
        <x:v>184</x:v>
      </x:c>
      <x:c r="F81" s="23">
        <x:v>33</x:v>
      </x:c>
      <x:c r="G81" s="23">
        <x:v>8</x:v>
      </x:c>
      <x:c r="H81" s="23">
        <x:v>5</x:v>
      </x:c>
      <x:c r="I81" s="23">
        <x:v>18423</x:v>
      </x:c>
      <x:c r="J81" s="23">
        <x:v>100</x:v>
      </x:c>
      <x:c r="K81" s="23">
        <x:v>621</x:v>
      </x:c>
      <x:c r="L81" s="23" t="s">
        <x:v>284</x:v>
      </x:c>
      <x:c r="M81" s="23">
        <x:f t="shared" si="1"/>
        <x:v>803</x:v>
      </x:c>
      <x:c r="N81" s="24" t="str">
        <x:f t="array" ref="N81">INDEX('MATCH INFO'!O:O, INT((ROW()-2)/10)+2 + 92)</x:f>
        <x:v>260626_SB_ROZE_S1</x:v>
      </x:c>
    </x:row>
    <x:row r="82">
      <x:c r="A82" s="23" t="s">
        <x:v>81</x:v>
      </x:c>
      <x:c r="B82" s="23" t="s">
        <x:v>84</x:v>
      </x:c>
      <x:c r="C82" s="23" t="s">
        <x:v>11</x:v>
      </x:c>
      <x:c r="D82" s="23" t="s">
        <x:v>138</x:v>
      </x:c>
      <x:c r="E82" s="23" t="s">
        <x:v>191</x:v>
      </x:c>
      <x:c r="F82" s="23">
        <x:v>28</x:v>
      </x:c>
      <x:c r="G82" s="23">
        <x:v>10</x:v>
      </x:c>
      <x:c r="H82" s="23">
        <x:v>3</x:v>
      </x:c>
      <x:c r="I82" s="23">
        <x:v>15281</x:v>
      </x:c>
      <x:c r="J82" s="23">
        <x:v>1568</x:v>
      </x:c>
      <x:c r="K82" s="23">
        <x:v>2561</x:v>
      </x:c>
      <x:c r="L82" s="23" t="s">
        <x:v>285</x:v>
      </x:c>
      <x:c r="M82" s="23">
        <x:f t="shared" si="1"/>
        <x:v>930</x:v>
      </x:c>
      <x:c r="N82" s="24" t="str">
        <x:f t="array" ref="N82">INDEX('MATCH INFO'!O:O, INT((ROW()-2)/10)+2 + 92)</x:f>
        <x:v>260626_SB_ROZE_S2</x:v>
      </x:c>
    </x:row>
    <x:row r="83">
      <x:c r="A83" s="23" t="s">
        <x:v>81</x:v>
      </x:c>
      <x:c r="B83" s="23" t="s">
        <x:v>82</x:v>
      </x:c>
      <x:c r="C83" s="23" t="s">
        <x:v>8</x:v>
      </x:c>
      <x:c r="D83" s="23" t="s">
        <x:v>138</x:v>
      </x:c>
      <x:c r="E83" s="23" t="s">
        <x:v>191</x:v>
      </x:c>
      <x:c r="F83" s="23">
        <x:v>22</x:v>
      </x:c>
      <x:c r="G83" s="23">
        <x:v>9</x:v>
      </x:c>
      <x:c r="H83" s="23">
        <x:v>8</x:v>
      </x:c>
      <x:c r="I83" s="23">
        <x:v>25319</x:v>
      </x:c>
      <x:c r="J83" s="23">
        <x:v>1880</x:v>
      </x:c>
      <x:c r="K83" s="23">
        <x:v>19223</x:v>
      </x:c>
      <x:c r="L83" s="23" t="s">
        <x:v>285</x:v>
      </x:c>
      <x:c r="M83" s="23">
        <x:f t="shared" si="1"/>
        <x:v>930</x:v>
      </x:c>
      <x:c r="N83" s="24" t="str">
        <x:f t="array" ref="N83">INDEX('MATCH INFO'!O:O, INT((ROW()-2)/10)+2 + 92)</x:f>
        <x:v>260626_SB_ROZE_S2</x:v>
      </x:c>
    </x:row>
    <x:row r="84">
      <x:c r="A84" s="23" t="s">
        <x:v>81</x:v>
      </x:c>
      <x:c r="B84" s="23" t="s">
        <x:v>86</x:v>
      </x:c>
      <x:c r="C84" s="23" t="s">
        <x:v>16</x:v>
      </x:c>
      <x:c r="D84" s="23" t="s">
        <x:v>138</x:v>
      </x:c>
      <x:c r="E84" s="23" t="s">
        <x:v>191</x:v>
      </x:c>
      <x:c r="F84" s="23">
        <x:v>15</x:v>
      </x:c>
      <x:c r="G84" s="23">
        <x:v>10</x:v>
      </x:c>
      <x:c r="H84" s="23">
        <x:v>19</x:v>
      </x:c>
      <x:c r="I84" s="23">
        <x:v>5625</x:v>
      </x:c>
      <x:c r="J84" s="23">
        <x:v>17060</x:v>
      </x:c>
      <x:c r="K84" s="23">
        <x:v>2004</x:v>
      </x:c>
      <x:c r="L84" s="23" t="s">
        <x:v>285</x:v>
      </x:c>
      <x:c r="M84" s="23">
        <x:f t="shared" si="1"/>
        <x:v>930</x:v>
      </x:c>
      <x:c r="N84" s="24" t="str">
        <x:f t="array" ref="N84">INDEX('MATCH INFO'!O:O, INT((ROW()-2)/10)+2 + 92)</x:f>
        <x:v>260626_SB_ROZE_S2</x:v>
      </x:c>
    </x:row>
    <x:row r="85">
      <x:c r="A85" s="23" t="s">
        <x:v>81</x:v>
      </x:c>
      <x:c r="B85" s="23" t="s">
        <x:v>85</x:v>
      </x:c>
      <x:c r="C85" s="23" t="s">
        <x:v>11</x:v>
      </x:c>
      <x:c r="D85" s="23" t="s">
        <x:v>138</x:v>
      </x:c>
      <x:c r="E85" s="23" t="s">
        <x:v>191</x:v>
      </x:c>
      <x:c r="F85" s="23">
        <x:v>19</x:v>
      </x:c>
      <x:c r="G85" s="23">
        <x:v>13</x:v>
      </x:c>
      <x:c r="H85" s="23">
        <x:v>3</x:v>
      </x:c>
      <x:c r="I85" s="23">
        <x:v>18628</x:v>
      </x:c>
      <x:c r="J85" s="23">
        <x:v>169</x:v>
      </x:c>
      <x:c r="K85" s="23">
        <x:v>1110</x:v>
      </x:c>
      <x:c r="L85" s="23" t="s">
        <x:v>285</x:v>
      </x:c>
      <x:c r="M85" s="23">
        <x:f t="shared" si="1"/>
        <x:v>930</x:v>
      </x:c>
      <x:c r="N85" s="24" t="str">
        <x:f t="array" ref="N85">INDEX('MATCH INFO'!O:O, INT((ROW()-2)/10)+2 + 92)</x:f>
        <x:v>260626_SB_ROZE_S2</x:v>
      </x:c>
    </x:row>
    <x:row r="86">
      <x:c r="A86" s="23" t="s">
        <x:v>81</x:v>
      </x:c>
      <x:c r="B86" s="23" t="s">
        <x:v>88</x:v>
      </x:c>
      <x:c r="C86" s="23" t="s">
        <x:v>16</x:v>
      </x:c>
      <x:c r="D86" s="23" t="s">
        <x:v>138</x:v>
      </x:c>
      <x:c r="E86" s="23" t="s">
        <x:v>191</x:v>
      </x:c>
      <x:c r="F86" s="23">
        <x:v>18</x:v>
      </x:c>
      <x:c r="G86" s="23">
        <x:v>10</x:v>
      </x:c>
      <x:c r="H86" s="23">
        <x:v>23</x:v>
      </x:c>
      <x:c r="I86" s="23">
        <x:v>6384</x:v>
      </x:c>
      <x:c r="J86" s="23">
        <x:v>21753</x:v>
      </x:c>
      <x:c r="K86" s="23">
        <x:v>0</x:v>
      </x:c>
      <x:c r="L86" s="23" t="s">
        <x:v>285</x:v>
      </x:c>
      <x:c r="M86" s="23">
        <x:f t="shared" si="1"/>
        <x:v>930</x:v>
      </x:c>
      <x:c r="N86" s="24" t="str">
        <x:f t="array" ref="N86">INDEX('MATCH INFO'!O:O, INT((ROW()-2)/10)+2 + 92)</x:f>
        <x:v>260626_SB_ROZE_S2</x:v>
      </x:c>
    </x:row>
    <x:row r="87">
      <x:c r="A87" s="23" t="s">
        <x:v>22</x:v>
      </x:c>
      <x:c r="B87" s="23" t="s">
        <x:v>25</x:v>
      </x:c>
      <x:c r="C87" s="23" t="s">
        <x:v>11</x:v>
      </x:c>
      <x:c r="D87" s="23" t="s">
        <x:v>138</x:v>
      </x:c>
      <x:c r="E87" s="23" t="s">
        <x:v>191</x:v>
      </x:c>
      <x:c r="F87" s="23">
        <x:v>36</x:v>
      </x:c>
      <x:c r="G87" s="23">
        <x:v>7</x:v>
      </x:c>
      <x:c r="H87" s="23">
        <x:v>16</x:v>
      </x:c>
      <x:c r="I87" s="23">
        <x:v>17027</x:v>
      </x:c>
      <x:c r="J87" s="23">
        <x:v>2192</x:v>
      </x:c>
      <x:c r="K87" s="23">
        <x:v>7990</x:v>
      </x:c>
      <x:c r="L87" s="23" t="s">
        <x:v>285</x:v>
      </x:c>
      <x:c r="M87" s="23">
        <x:f t="shared" si="1"/>
        <x:v>930</x:v>
      </x:c>
      <x:c r="N87" s="24" t="str">
        <x:f t="array" ref="N87">INDEX('MATCH INFO'!O:O, INT((ROW()-2)/10)+2 + 92)</x:f>
        <x:v>260626_SB_ROZE_S2</x:v>
      </x:c>
    </x:row>
    <x:row r="88">
      <x:c r="A88" s="23" t="s">
        <x:v>22</x:v>
      </x:c>
      <x:c r="B88" s="23" t="s">
        <x:v>24</x:v>
      </x:c>
      <x:c r="C88" s="23" t="s">
        <x:v>8</x:v>
      </x:c>
      <x:c r="D88" s="23" t="s">
        <x:v>138</x:v>
      </x:c>
      <x:c r="E88" s="23" t="s">
        <x:v>191</x:v>
      </x:c>
      <x:c r="F88" s="23">
        <x:v>32</x:v>
      </x:c>
      <x:c r="G88" s="23">
        <x:v>7</x:v>
      </x:c>
      <x:c r="H88" s="23">
        <x:v>23</x:v>
      </x:c>
      <x:c r="I88" s="23">
        <x:v>21589</x:v>
      </x:c>
      <x:c r="J88" s="23">
        <x:v>4692</x:v>
      </x:c>
      <x:c r="K88" s="23">
        <x:v>10602</x:v>
      </x:c>
      <x:c r="L88" s="23" t="s">
        <x:v>285</x:v>
      </x:c>
      <x:c r="M88" s="23">
        <x:f t="shared" si="1"/>
        <x:v>930</x:v>
      </x:c>
      <x:c r="N88" s="24" t="str">
        <x:f t="array" ref="N88">INDEX('MATCH INFO'!O:O, INT((ROW()-2)/10)+2 + 92)</x:f>
        <x:v>260626_SB_ROZE_S2</x:v>
      </x:c>
    </x:row>
    <x:row r="89">
      <x:c r="A89" s="23" t="s">
        <x:v>22</x:v>
      </x:c>
      <x:c r="B89" s="23" t="s">
        <x:v>29</x:v>
      </x:c>
      <x:c r="C89" s="23" t="s">
        <x:v>16</x:v>
      </x:c>
      <x:c r="D89" s="23" t="s">
        <x:v>138</x:v>
      </x:c>
      <x:c r="E89" s="23" t="s">
        <x:v>191</x:v>
      </x:c>
      <x:c r="F89" s="23">
        <x:v>30</x:v>
      </x:c>
      <x:c r="G89" s="23">
        <x:v>7</x:v>
      </x:c>
      <x:c r="H89" s="23">
        <x:v>31</x:v>
      </x:c>
      <x:c r="I89" s="23">
        <x:v>7156</x:v>
      </x:c>
      <x:c r="J89" s="23">
        <x:v>24514</x:v>
      </x:c>
      <x:c r="K89" s="23">
        <x:v>0</x:v>
      </x:c>
      <x:c r="L89" s="23" t="s">
        <x:v>285</x:v>
      </x:c>
      <x:c r="M89" s="23">
        <x:f t="shared" si="1"/>
        <x:v>930</x:v>
      </x:c>
      <x:c r="N89" s="24" t="str">
        <x:f t="array" ref="N89">INDEX('MATCH INFO'!O:O, INT((ROW()-2)/10)+2 + 92)</x:f>
        <x:v>260626_SB_ROZE_S2</x:v>
      </x:c>
    </x:row>
    <x:row r="90">
      <x:c r="A90" s="23" t="s">
        <x:v>22</x:v>
      </x:c>
      <x:c r="B90" s="23" t="s">
        <x:v>28</x:v>
      </x:c>
      <x:c r="C90" s="23" t="s">
        <x:v>16</x:v>
      </x:c>
      <x:c r="D90" s="23" t="s">
        <x:v>138</x:v>
      </x:c>
      <x:c r="E90" s="23" t="s">
        <x:v>191</x:v>
      </x:c>
      <x:c r="F90" s="23">
        <x:v>24</x:v>
      </x:c>
      <x:c r="G90" s="23">
        <x:v>6</x:v>
      </x:c>
      <x:c r="H90" s="23">
        <x:v>37</x:v>
      </x:c>
      <x:c r="I90" s="23">
        <x:v>6196</x:v>
      </x:c>
      <x:c r="J90" s="23">
        <x:v>13371</x:v>
      </x:c>
      <x:c r="K90" s="23">
        <x:v>7057</x:v>
      </x:c>
      <x:c r="L90" s="23" t="s">
        <x:v>285</x:v>
      </x:c>
      <x:c r="M90" s="23">
        <x:f t="shared" si="1"/>
        <x:v>930</x:v>
      </x:c>
      <x:c r="N90" s="24" t="str">
        <x:f t="array" ref="N90">INDEX('MATCH INFO'!O:O, INT((ROW()-2)/10)+2 + 92)</x:f>
        <x:v>260626_SB_ROZE_S2</x:v>
      </x:c>
    </x:row>
    <x:row r="91">
      <x:c r="A91" s="23" t="s">
        <x:v>22</x:v>
      </x:c>
      <x:c r="B91" s="23" t="s">
        <x:v>27</x:v>
      </x:c>
      <x:c r="C91" s="23" t="s">
        <x:v>11</x:v>
      </x:c>
      <x:c r="D91" s="23" t="s">
        <x:v>138</x:v>
      </x:c>
      <x:c r="E91" s="23" t="s">
        <x:v>191</x:v>
      </x:c>
      <x:c r="F91" s="23">
        <x:v>35</x:v>
      </x:c>
      <x:c r="G91" s="23">
        <x:v>6</x:v>
      </x:c>
      <x:c r="H91" s="23">
        <x:v>2</x:v>
      </x:c>
      <x:c r="I91" s="23">
        <x:v>16937</x:v>
      </x:c>
      <x:c r="J91" s="23">
        <x:v>0</x:v>
      </x:c>
      <x:c r="K91" s="23">
        <x:v>336</x:v>
      </x:c>
      <x:c r="L91" s="23" t="s">
        <x:v>285</x:v>
      </x:c>
      <x:c r="M91" s="23">
        <x:f t="shared" si="1"/>
        <x:v>930</x:v>
      </x:c>
      <x:c r="N91" s="24" t="str">
        <x:f t="array" ref="N91">INDEX('MATCH INFO'!O:O, INT((ROW()-2)/10)+2 + 92)</x:f>
        <x:v>260626_SB_ROZE_S2</x:v>
      </x:c>
    </x:row>
    <x:row r="92">
      <x:c r="A92" s="23" t="s">
        <x:v>81</x:v>
      </x:c>
      <x:c r="B92" s="23" t="s">
        <x:v>84</x:v>
      </x:c>
      <x:c r="C92" s="23" t="s">
        <x:v>11</x:v>
      </x:c>
      <x:c r="D92" s="23" t="s">
        <x:v>145</x:v>
      </x:c>
      <x:c r="E92" s="23" t="s">
        <x:v>195</x:v>
      </x:c>
      <x:c r="F92" s="23">
        <x:v>23</x:v>
      </x:c>
      <x:c r="G92" s="23">
        <x:v>4</x:v>
      </x:c>
      <x:c r="H92" s="23">
        <x:v>12</x:v>
      </x:c>
      <x:c r="I92" s="23">
        <x:v>8865</x:v>
      </x:c>
      <x:c r="J92" s="23">
        <x:v>1645</x:v>
      </x:c>
      <x:c r="K92" s="23">
        <x:v>5981</x:v>
      </x:c>
      <x:c r="L92" s="23" t="s">
        <x:v>286</x:v>
      </x:c>
      <x:c r="M92" s="23">
        <x:f t="shared" si="1"/>
        <x:v>625</x:v>
      </x:c>
      <x:c r="N92" s="24" t="str">
        <x:f t="array" ref="N92">INDEX('MATCH INFO'!O:O, INT((ROW()-2)/10)+2 + 92)</x:f>
        <x:v>260626_SB_ROZE_S3</x:v>
      </x:c>
    </x:row>
    <x:row r="93">
      <x:c r="A93" s="23" t="s">
        <x:v>81</x:v>
      </x:c>
      <x:c r="B93" s="23" t="s">
        <x:v>83</x:v>
      </x:c>
      <x:c r="C93" s="23" t="s">
        <x:v>8</x:v>
      </x:c>
      <x:c r="D93" s="23" t="s">
        <x:v>145</x:v>
      </x:c>
      <x:c r="E93" s="23" t="s">
        <x:v>195</x:v>
      </x:c>
      <x:c r="F93" s="23">
        <x:v>22</x:v>
      </x:c>
      <x:c r="G93" s="23">
        <x:v>4</x:v>
      </x:c>
      <x:c r="H93" s="23">
        <x:v>5</x:v>
      </x:c>
      <x:c r="I93" s="23">
        <x:v>13753</x:v>
      </x:c>
      <x:c r="J93" s="23">
        <x:v>0</x:v>
      </x:c>
      <x:c r="K93" s="23">
        <x:v>20164</x:v>
      </x:c>
      <x:c r="L93" s="23" t="s">
        <x:v>286</x:v>
      </x:c>
      <x:c r="M93" s="23">
        <x:f t="shared" si="1"/>
        <x:v>625</x:v>
      </x:c>
      <x:c r="N93" s="24" t="str">
        <x:f t="array" ref="N93">INDEX('MATCH INFO'!O:O, INT((ROW()-2)/10)+2 + 92)</x:f>
        <x:v>260626_SB_ROZE_S3</x:v>
      </x:c>
    </x:row>
    <x:row r="94">
      <x:c r="A94" s="23" t="s">
        <x:v>81</x:v>
      </x:c>
      <x:c r="B94" s="23" t="s">
        <x:v>86</x:v>
      </x:c>
      <x:c r="C94" s="23" t="s">
        <x:v>16</x:v>
      </x:c>
      <x:c r="D94" s="23" t="s">
        <x:v>145</x:v>
      </x:c>
      <x:c r="E94" s="23" t="s">
        <x:v>195</x:v>
      </x:c>
      <x:c r="F94" s="23">
        <x:v>23</x:v>
      </x:c>
      <x:c r="G94" s="23">
        <x:v>3</x:v>
      </x:c>
      <x:c r="H94" s="23">
        <x:v>20</x:v>
      </x:c>
      <x:c r="I94" s="23">
        <x:v>6439</x:v>
      </x:c>
      <x:c r="J94" s="23">
        <x:v>12603</x:v>
      </x:c>
      <x:c r="K94" s="23">
        <x:v>1768</x:v>
      </x:c>
      <x:c r="L94" s="23" t="s">
        <x:v>286</x:v>
      </x:c>
      <x:c r="M94" s="23">
        <x:f t="shared" si="1"/>
        <x:v>625</x:v>
      </x:c>
      <x:c r="N94" s="24" t="str">
        <x:f t="array" ref="N94">INDEX('MATCH INFO'!O:O, INT((ROW()-2)/10)+2 + 92)</x:f>
        <x:v>260626_SB_ROZE_S3</x:v>
      </x:c>
    </x:row>
    <x:row r="95">
      <x:c r="A95" s="23" t="s">
        <x:v>81</x:v>
      </x:c>
      <x:c r="B95" s="23" t="s">
        <x:v>85</x:v>
      </x:c>
      <x:c r="C95" s="23" t="s">
        <x:v>11</x:v>
      </x:c>
      <x:c r="D95" s="23" t="s">
        <x:v>145</x:v>
      </x:c>
      <x:c r="E95" s="23" t="s">
        <x:v>195</x:v>
      </x:c>
      <x:c r="F95" s="23">
        <x:v>20</x:v>
      </x:c>
      <x:c r="G95" s="23">
        <x:v>3</x:v>
      </x:c>
      <x:c r="H95" s="23">
        <x:v>0</x:v>
      </x:c>
      <x:c r="I95" s="23">
        <x:v>8579</x:v>
      </x:c>
      <x:c r="J95" s="23">
        <x:v>0</x:v>
      </x:c>
      <x:c r="K95" s="23">
        <x:v>0</x:v>
      </x:c>
      <x:c r="L95" s="23" t="s">
        <x:v>286</x:v>
      </x:c>
      <x:c r="M95" s="23">
        <x:f t="shared" si="1"/>
        <x:v>625</x:v>
      </x:c>
      <x:c r="N95" s="24" t="str">
        <x:f t="array" ref="N95">INDEX('MATCH INFO'!O:O, INT((ROW()-2)/10)+2 + 92)</x:f>
        <x:v>260626_SB_ROZE_S3</x:v>
      </x:c>
    </x:row>
    <x:row r="96">
      <x:c r="A96" s="23" t="s">
        <x:v>81</x:v>
      </x:c>
      <x:c r="B96" s="23" t="s">
        <x:v>88</x:v>
      </x:c>
      <x:c r="C96" s="23" t="s">
        <x:v>16</x:v>
      </x:c>
      <x:c r="D96" s="23" t="s">
        <x:v>145</x:v>
      </x:c>
      <x:c r="E96" s="23" t="s">
        <x:v>195</x:v>
      </x:c>
      <x:c r="F96" s="23">
        <x:v>15</x:v>
      </x:c>
      <x:c r="G96" s="23">
        <x:v>3</x:v>
      </x:c>
      <x:c r="H96" s="23">
        <x:v>23</x:v>
      </x:c>
      <x:c r="I96" s="23">
        <x:v>2611</x:v>
      </x:c>
      <x:c r="J96" s="23">
        <x:v>16423</x:v>
      </x:c>
      <x:c r="K96" s="23">
        <x:v>0</x:v>
      </x:c>
      <x:c r="L96" s="23" t="s">
        <x:v>286</x:v>
      </x:c>
      <x:c r="M96" s="23">
        <x:f t="shared" si="1"/>
        <x:v>625</x:v>
      </x:c>
      <x:c r="N96" s="24" t="str">
        <x:f t="array" ref="N96">INDEX('MATCH INFO'!O:O, INT((ROW()-2)/10)+2 + 92)</x:f>
        <x:v>260626_SB_ROZE_S3</x:v>
      </x:c>
    </x:row>
    <x:row r="97">
      <x:c r="A97" s="23" t="s">
        <x:v>22</x:v>
      </x:c>
      <x:c r="B97" s="23" t="s">
        <x:v>25</x:v>
      </x:c>
      <x:c r="C97" s="23" t="s">
        <x:v>11</x:v>
      </x:c>
      <x:c r="D97" s="23" t="s">
        <x:v>145</x:v>
      </x:c>
      <x:c r="E97" s="23" t="s">
        <x:v>195</x:v>
      </x:c>
      <x:c r="F97" s="23">
        <x:v>12</x:v>
      </x:c>
      <x:c r="G97" s="23">
        <x:v>10</x:v>
      </x:c>
      <x:c r="H97" s="23">
        <x:v>1</x:v>
      </x:c>
      <x:c r="I97" s="23">
        <x:v>8906</x:v>
      </x:c>
      <x:c r="J97" s="23">
        <x:v>848</x:v>
      </x:c>
      <x:c r="K97" s="23">
        <x:v>5744</x:v>
      </x:c>
      <x:c r="L97" s="23" t="s">
        <x:v>286</x:v>
      </x:c>
      <x:c r="M97" s="23">
        <x:f t="shared" si="1"/>
        <x:v>625</x:v>
      </x:c>
      <x:c r="N97" s="24" t="str">
        <x:f t="array" ref="N97">INDEX('MATCH INFO'!O:O, INT((ROW()-2)/10)+2 + 92)</x:f>
        <x:v>260626_SB_ROZE_S3</x:v>
      </x:c>
    </x:row>
    <x:row r="98">
      <x:c r="A98" s="23" t="s">
        <x:v>22</x:v>
      </x:c>
      <x:c r="B98" s="23" t="s">
        <x:v>24</x:v>
      </x:c>
      <x:c r="C98" s="23" t="s">
        <x:v>8</x:v>
      </x:c>
      <x:c r="D98" s="23" t="s">
        <x:v>145</x:v>
      </x:c>
      <x:c r="E98" s="23" t="s">
        <x:v>195</x:v>
      </x:c>
      <x:c r="F98" s="23">
        <x:v>10</x:v>
      </x:c>
      <x:c r="G98" s="23">
        <x:v>7</x:v>
      </x:c>
      <x:c r="H98" s="23">
        <x:v>9</x:v>
      </x:c>
      <x:c r="I98" s="23">
        <x:v>11414</x:v>
      </x:c>
      <x:c r="J98" s="23">
        <x:v>0</x:v>
      </x:c>
      <x:c r="K98" s="23">
        <x:v>14329</x:v>
      </x:c>
      <x:c r="L98" s="23" t="s">
        <x:v>286</x:v>
      </x:c>
      <x:c r="M98" s="23">
        <x:f t="shared" si="1"/>
        <x:v>625</x:v>
      </x:c>
      <x:c r="N98" s="24" t="str">
        <x:f t="array" ref="N98">INDEX('MATCH INFO'!O:O, INT((ROW()-2)/10)+2 + 92)</x:f>
        <x:v>260626_SB_ROZE_S3</x:v>
      </x:c>
    </x:row>
    <x:row r="99">
      <x:c r="A99" s="23" t="s">
        <x:v>22</x:v>
      </x:c>
      <x:c r="B99" s="23" t="s">
        <x:v>29</x:v>
      </x:c>
      <x:c r="C99" s="23" t="s">
        <x:v>16</x:v>
      </x:c>
      <x:c r="D99" s="23" t="s">
        <x:v>145</x:v>
      </x:c>
      <x:c r="E99" s="23" t="s">
        <x:v>195</x:v>
      </x:c>
      <x:c r="F99" s="23">
        <x:v>4</x:v>
      </x:c>
      <x:c r="G99" s="23">
        <x:v>7</x:v>
      </x:c>
      <x:c r="H99" s="23">
        <x:v>13</x:v>
      </x:c>
      <x:c r="I99" s="23">
        <x:v>4640</x:v>
      </x:c>
      <x:c r="J99" s="23">
        <x:v>15480</x:v>
      </x:c>
      <x:c r="K99" s="23">
        <x:v>0</x:v>
      </x:c>
      <x:c r="L99" s="23" t="s">
        <x:v>286</x:v>
      </x:c>
      <x:c r="M99" s="23">
        <x:f t="shared" si="1"/>
        <x:v>625</x:v>
      </x:c>
      <x:c r="N99" s="24" t="str">
        <x:f t="array" ref="N99">INDEX('MATCH INFO'!O:O, INT((ROW()-2)/10)+2 + 92)</x:f>
        <x:v>260626_SB_ROZE_S3</x:v>
      </x:c>
    </x:row>
    <x:row r="100">
      <x:c r="A100" s="23" t="s">
        <x:v>22</x:v>
      </x:c>
      <x:c r="B100" s="23" t="s">
        <x:v>28</x:v>
      </x:c>
      <x:c r="C100" s="23" t="s">
        <x:v>16</x:v>
      </x:c>
      <x:c r="D100" s="23" t="s">
        <x:v>145</x:v>
      </x:c>
      <x:c r="E100" s="23" t="s">
        <x:v>195</x:v>
      </x:c>
      <x:c r="F100" s="23">
        <x:v>11</x:v>
      </x:c>
      <x:c r="G100" s="23">
        <x:v>6</x:v>
      </x:c>
      <x:c r="H100" s="23">
        <x:v>11</x:v>
      </x:c>
      <x:c r="I100" s="23">
        <x:v>4812</x:v>
      </x:c>
      <x:c r="J100" s="23">
        <x:v>9516</x:v>
      </x:c>
      <x:c r="K100" s="23">
        <x:v>1110</x:v>
      </x:c>
      <x:c r="L100" s="23" t="s">
        <x:v>286</x:v>
      </x:c>
      <x:c r="M100" s="23">
        <x:f t="shared" si="1"/>
        <x:v>625</x:v>
      </x:c>
      <x:c r="N100" s="24" t="str">
        <x:f t="array" ref="N100">INDEX('MATCH INFO'!O:O, INT((ROW()-2)/10)+2 + 92)</x:f>
        <x:v>260626_SB_ROZE_S3</x:v>
      </x:c>
    </x:row>
    <x:row r="101">
      <x:c r="A101" s="23" t="s">
        <x:v>22</x:v>
      </x:c>
      <x:c r="B101" s="23" t="s">
        <x:v>27</x:v>
      </x:c>
      <x:c r="C101" s="23" t="s">
        <x:v>11</x:v>
      </x:c>
      <x:c r="D101" s="23" t="s">
        <x:v>145</x:v>
      </x:c>
      <x:c r="E101" s="23" t="s">
        <x:v>195</x:v>
      </x:c>
      <x:c r="F101" s="23">
        <x:v>11</x:v>
      </x:c>
      <x:c r="G101" s="23">
        <x:v>4</x:v>
      </x:c>
      <x:c r="H101" s="23">
        <x:v>0</x:v>
      </x:c>
      <x:c r="I101" s="23">
        <x:v>10231</x:v>
      </x:c>
      <x:c r="J101" s="23">
        <x:v>0</x:v>
      </x:c>
      <x:c r="K101" s="23">
        <x:v>0</x:v>
      </x:c>
      <x:c r="L101" s="23" t="s">
        <x:v>286</x:v>
      </x:c>
      <x:c r="M101" s="23">
        <x:f t="shared" si="1"/>
        <x:v>625</x:v>
      </x:c>
      <x:c r="N101" s="24" t="str">
        <x:f t="array" ref="N101">INDEX('MATCH INFO'!O:O, INT((ROW()-2)/10)+2 + 92)</x:f>
        <x:v>260626_SB_ROZE_S3</x:v>
      </x:c>
    </x:row>
    <x:row r="102">
      <x:c r="A102" s="23" t="s">
        <x:v>22</x:v>
      </x:c>
      <x:c r="B102" s="23" t="s">
        <x:v>25</x:v>
      </x:c>
      <x:c r="C102" s="23" t="s">
        <x:v>11</x:v>
      </x:c>
      <x:c r="D102" s="23" t="s">
        <x:v>113</x:v>
      </x:c>
      <x:c r="E102" s="23" t="s">
        <x:v>188</x:v>
      </x:c>
      <x:c r="F102" s="23">
        <x:v>18</x:v>
      </x:c>
      <x:c r="G102" s="23">
        <x:v>5</x:v>
      </x:c>
      <x:c r="H102" s="23">
        <x:v>4</x:v>
      </x:c>
      <x:c r="I102" s="23">
        <x:v>8584</x:v>
      </x:c>
      <x:c r="J102" s="23">
        <x:v>531</x:v>
      </x:c>
      <x:c r="K102" s="23">
        <x:v>990</x:v>
      </x:c>
      <x:c r="L102" s="23" t="s">
        <x:v>287</x:v>
      </x:c>
      <x:c r="M102" s="23">
        <x:f t="shared" si="1"/>
        <x:v>609</x:v>
      </x:c>
      <x:c r="N102" s="24" t="str">
        <x:f t="array" ref="N102">INDEX('MATCH INFO'!O:O, INT((ROW()-2)/10)+2 + 92)</x:f>
        <x:v>260626_SB_ROZE_S4</x:v>
      </x:c>
    </x:row>
    <x:row r="103">
      <x:c r="A103" s="23" t="s">
        <x:v>22</x:v>
      </x:c>
      <x:c r="B103" s="23" t="s">
        <x:v>24</x:v>
      </x:c>
      <x:c r="C103" s="23" t="s">
        <x:v>8</x:v>
      </x:c>
      <x:c r="D103" s="23" t="s">
        <x:v>113</x:v>
      </x:c>
      <x:c r="E103" s="23" t="s">
        <x:v>188</x:v>
      </x:c>
      <x:c r="F103" s="23">
        <x:v>23</x:v>
      </x:c>
      <x:c r="G103" s="23">
        <x:v>5</x:v>
      </x:c>
      <x:c r="H103" s="23">
        <x:v>15</x:v>
      </x:c>
      <x:c r="I103" s="23">
        <x:v>12470</x:v>
      </x:c>
      <x:c r="J103" s="23">
        <x:v>2213</x:v>
      </x:c>
      <x:c r="K103" s="23">
        <x:v>6264</x:v>
      </x:c>
      <x:c r="L103" s="23" t="s">
        <x:v>287</x:v>
      </x:c>
      <x:c r="M103" s="23">
        <x:f t="shared" si="1"/>
        <x:v>609</x:v>
      </x:c>
      <x:c r="N103" s="24" t="str">
        <x:f t="array" ref="N103">INDEX('MATCH INFO'!O:O, INT((ROW()-2)/10)+2 + 92)</x:f>
        <x:v>260626_SB_ROZE_S4</x:v>
      </x:c>
    </x:row>
    <x:row r="104">
      <x:c r="A104" s="23" t="s">
        <x:v>22</x:v>
      </x:c>
      <x:c r="B104" s="23" t="s">
        <x:v>29</x:v>
      </x:c>
      <x:c r="C104" s="23" t="s">
        <x:v>16</x:v>
      </x:c>
      <x:c r="D104" s="23" t="s">
        <x:v>113</x:v>
      </x:c>
      <x:c r="E104" s="23" t="s">
        <x:v>188</x:v>
      </x:c>
      <x:c r="F104" s="23">
        <x:v>15</x:v>
      </x:c>
      <x:c r="G104" s="23">
        <x:v>5</x:v>
      </x:c>
      <x:c r="H104" s="23">
        <x:v>22</x:v>
      </x:c>
      <x:c r="I104" s="23">
        <x:v>4618</x:v>
      </x:c>
      <x:c r="J104" s="23">
        <x:v>16196</x:v>
      </x:c>
      <x:c r="K104" s="23">
        <x:v>0</x:v>
      </x:c>
      <x:c r="L104" s="23" t="s">
        <x:v>287</x:v>
      </x:c>
      <x:c r="M104" s="23">
        <x:f t="shared" si="1"/>
        <x:v>609</x:v>
      </x:c>
      <x:c r="N104" s="24" t="str">
        <x:f t="array" ref="N104">INDEX('MATCH INFO'!O:O, INT((ROW()-2)/10)+2 + 92)</x:f>
        <x:v>260626_SB_ROZE_S4</x:v>
      </x:c>
    </x:row>
    <x:row r="105">
      <x:c r="A105" s="23" t="s">
        <x:v>22</x:v>
      </x:c>
      <x:c r="B105" s="23" t="s">
        <x:v>28</x:v>
      </x:c>
      <x:c r="C105" s="23" t="s">
        <x:v>16</x:v>
      </x:c>
      <x:c r="D105" s="23" t="s">
        <x:v>113</x:v>
      </x:c>
      <x:c r="E105" s="23" t="s">
        <x:v>188</x:v>
      </x:c>
      <x:c r="F105" s="23">
        <x:v>11</x:v>
      </x:c>
      <x:c r="G105" s="23">
        <x:v>8</x:v>
      </x:c>
      <x:c r="H105" s="23">
        <x:v>16</x:v>
      </x:c>
      <x:c r="I105" s="23">
        <x:v>4246</x:v>
      </x:c>
      <x:c r="J105" s="23">
        <x:v>6231</x:v>
      </x:c>
      <x:c r="K105" s="23">
        <x:v>1703</x:v>
      </x:c>
      <x:c r="L105" s="23" t="s">
        <x:v>287</x:v>
      </x:c>
      <x:c r="M105" s="23">
        <x:f t="shared" si="1"/>
        <x:v>609</x:v>
      </x:c>
      <x:c r="N105" s="24" t="str">
        <x:f t="array" ref="N105">INDEX('MATCH INFO'!O:O, INT((ROW()-2)/10)+2 + 92)</x:f>
        <x:v>260626_SB_ROZE_S4</x:v>
      </x:c>
    </x:row>
    <x:row r="106">
      <x:c r="A106" s="23" t="s">
        <x:v>22</x:v>
      </x:c>
      <x:c r="B106" s="23" t="s">
        <x:v>27</x:v>
      </x:c>
      <x:c r="C106" s="23" t="s">
        <x:v>11</x:v>
      </x:c>
      <x:c r="D106" s="23" t="s">
        <x:v>113</x:v>
      </x:c>
      <x:c r="E106" s="23" t="s">
        <x:v>188</x:v>
      </x:c>
      <x:c r="F106" s="23">
        <x:v>15</x:v>
      </x:c>
      <x:c r="G106" s="23">
        <x:v>4</x:v>
      </x:c>
      <x:c r="H106" s="23">
        <x:v>1</x:v>
      </x:c>
      <x:c r="I106" s="23">
        <x:v>10987</x:v>
      </x:c>
      <x:c r="J106" s="23">
        <x:v>2</x:v>
      </x:c>
      <x:c r="K106" s="23">
        <x:v>59</x:v>
      </x:c>
      <x:c r="L106" s="23" t="s">
        <x:v>287</x:v>
      </x:c>
      <x:c r="M106" s="23">
        <x:f t="shared" si="1"/>
        <x:v>609</x:v>
      </x:c>
      <x:c r="N106" s="24" t="str">
        <x:f t="array" ref="N106">INDEX('MATCH INFO'!O:O, INT((ROW()-2)/10)+2 + 92)</x:f>
        <x:v>260626_SB_ROZE_S4</x:v>
      </x:c>
    </x:row>
    <x:row r="107">
      <x:c r="A107" s="23" t="s">
        <x:v>81</x:v>
      </x:c>
      <x:c r="B107" s="23" t="s">
        <x:v>84</x:v>
      </x:c>
      <x:c r="C107" s="23" t="s">
        <x:v>11</x:v>
      </x:c>
      <x:c r="D107" s="23" t="s">
        <x:v>113</x:v>
      </x:c>
      <x:c r="E107" s="23" t="s">
        <x:v>188</x:v>
      </x:c>
      <x:c r="F107" s="23">
        <x:v>21</x:v>
      </x:c>
      <x:c r="G107" s="23">
        <x:v>7</x:v>
      </x:c>
      <x:c r="H107" s="23">
        <x:v>5</x:v>
      </x:c>
      <x:c r="I107" s="23">
        <x:v>7433</x:v>
      </x:c>
      <x:c r="J107" s="23">
        <x:v>703</x:v>
      </x:c>
      <x:c r="K107" s="23">
        <x:v>458</x:v>
      </x:c>
      <x:c r="L107" s="23" t="s">
        <x:v>287</x:v>
      </x:c>
      <x:c r="M107" s="23">
        <x:f t="shared" si="1"/>
        <x:v>609</x:v>
      </x:c>
      <x:c r="N107" s="24" t="str">
        <x:f t="array" ref="N107">INDEX('MATCH INFO'!O:O, INT((ROW()-2)/10)+2 + 92)</x:f>
        <x:v>260626_SB_ROZE_S4</x:v>
      </x:c>
    </x:row>
    <x:row r="108">
      <x:c r="A108" s="23" t="s">
        <x:v>81</x:v>
      </x:c>
      <x:c r="B108" s="23" t="s">
        <x:v>82</x:v>
      </x:c>
      <x:c r="C108" s="23" t="s">
        <x:v>8</x:v>
      </x:c>
      <x:c r="D108" s="23" t="s">
        <x:v>113</x:v>
      </x:c>
      <x:c r="E108" s="23" t="s">
        <x:v>188</x:v>
      </x:c>
      <x:c r="F108" s="23">
        <x:v>22</x:v>
      </x:c>
      <x:c r="G108" s="23">
        <x:v>4</x:v>
      </x:c>
      <x:c r="H108" s="23">
        <x:v>2</x:v>
      </x:c>
      <x:c r="I108" s="23">
        <x:v>13296</x:v>
      </x:c>
      <x:c r="J108" s="23">
        <x:v>275</x:v>
      </x:c>
      <x:c r="K108" s="23">
        <x:v>18981</x:v>
      </x:c>
      <x:c r="L108" s="23" t="s">
        <x:v>287</x:v>
      </x:c>
      <x:c r="M108" s="23">
        <x:f t="shared" si="1"/>
        <x:v>609</x:v>
      </x:c>
      <x:c r="N108" s="24" t="str">
        <x:f t="array" ref="N108">INDEX('MATCH INFO'!O:O, INT((ROW()-2)/10)+2 + 92)</x:f>
        <x:v>260626_SB_ROZE_S4</x:v>
      </x:c>
    </x:row>
    <x:row r="109">
      <x:c r="A109" s="23" t="s">
        <x:v>81</x:v>
      </x:c>
      <x:c r="B109" s="23" t="s">
        <x:v>86</x:v>
      </x:c>
      <x:c r="C109" s="23" t="s">
        <x:v>16</x:v>
      </x:c>
      <x:c r="D109" s="23" t="s">
        <x:v>113</x:v>
      </x:c>
      <x:c r="E109" s="23" t="s">
        <x:v>188</x:v>
      </x:c>
      <x:c r="F109" s="23">
        <x:v>9</x:v>
      </x:c>
      <x:c r="G109" s="23">
        <x:v>6</x:v>
      </x:c>
      <x:c r="H109" s="23">
        <x:v>19</x:v>
      </x:c>
      <x:c r="I109" s="23">
        <x:v>6780</x:v>
      </x:c>
      <x:c r="J109" s="23">
        <x:v>12159</x:v>
      </x:c>
      <x:c r="K109" s="23">
        <x:v>2944</x:v>
      </x:c>
      <x:c r="L109" s="23" t="s">
        <x:v>287</x:v>
      </x:c>
      <x:c r="M109" s="23">
        <x:f t="shared" si="1"/>
        <x:v>609</x:v>
      </x:c>
      <x:c r="N109" s="24" t="str">
        <x:f t="array" ref="N109">INDEX('MATCH INFO'!O:O, INT((ROW()-2)/10)+2 + 92)</x:f>
        <x:v>260626_SB_ROZE_S4</x:v>
      </x:c>
    </x:row>
    <x:row r="110">
      <x:c r="A110" s="23" t="s">
        <x:v>81</x:v>
      </x:c>
      <x:c r="B110" s="23" t="s">
        <x:v>85</x:v>
      </x:c>
      <x:c r="C110" s="23" t="s">
        <x:v>11</x:v>
      </x:c>
      <x:c r="D110" s="23" t="s">
        <x:v>113</x:v>
      </x:c>
      <x:c r="E110" s="23" t="s">
        <x:v>188</x:v>
      </x:c>
      <x:c r="F110" s="23">
        <x:v>18</x:v>
      </x:c>
      <x:c r="G110" s="23">
        <x:v>8</x:v>
      </x:c>
      <x:c r="H110" s="23">
        <x:v>1</x:v>
      </x:c>
      <x:c r="I110" s="23">
        <x:v>10205</x:v>
      </x:c>
      <x:c r="J110" s="23">
        <x:v>137</x:v>
      </x:c>
      <x:c r="K110" s="23">
        <x:v>136</x:v>
      </x:c>
      <x:c r="L110" s="23" t="s">
        <x:v>287</x:v>
      </x:c>
      <x:c r="M110" s="23">
        <x:f t="shared" si="1"/>
        <x:v>609</x:v>
      </x:c>
      <x:c r="N110" s="24" t="str">
        <x:f t="array" ref="N110">INDEX('MATCH INFO'!O:O, INT((ROW()-2)/10)+2 + 92)</x:f>
        <x:v>260626_SB_ROZE_S4</x:v>
      </x:c>
    </x:row>
    <x:row r="111">
      <x:c r="A111" s="23" t="s">
        <x:v>81</x:v>
      </x:c>
      <x:c r="B111" s="23" t="s">
        <x:v>88</x:v>
      </x:c>
      <x:c r="C111" s="23" t="s">
        <x:v>16</x:v>
      </x:c>
      <x:c r="D111" s="23" t="s">
        <x:v>113</x:v>
      </x:c>
      <x:c r="E111" s="23" t="s">
        <x:v>188</x:v>
      </x:c>
      <x:c r="F111" s="23">
        <x:v>10</x:v>
      </x:c>
      <x:c r="G111" s="23">
        <x:v>6</x:v>
      </x:c>
      <x:c r="H111" s="23">
        <x:v>20</x:v>
      </x:c>
      <x:c r="I111" s="23">
        <x:v>2895</x:v>
      </x:c>
      <x:c r="J111" s="23">
        <x:v>14229</x:v>
      </x:c>
      <x:c r="K111" s="23">
        <x:v>0</x:v>
      </x:c>
      <x:c r="L111" s="23" t="s">
        <x:v>287</x:v>
      </x:c>
      <x:c r="M111" s="23">
        <x:f t="shared" si="1"/>
        <x:v>609</x:v>
      </x:c>
      <x:c r="N111" s="24" t="str">
        <x:f t="array" ref="N111">INDEX('MATCH INFO'!O:O, INT((ROW()-2)/10)+2 + 92)</x:f>
        <x:v>260626_SB_ROZE_S4</x:v>
      </x:c>
    </x:row>
    <x:row r="112">
      <x:c r="A112" s="23" t="s">
        <x:v>39</x:v>
      </x:c>
      <x:c r="B112" s="23" t="s">
        <x:v>45</x:v>
      </x:c>
      <x:c r="C112" s="23" t="s">
        <x:v>16</x:v>
      </x:c>
      <x:c r="D112" s="23" t="s">
        <x:v>131</x:v>
      </x:c>
      <x:c r="E112" s="23" t="s">
        <x:v>184</x:v>
      </x:c>
      <x:c r="F112" s="23">
        <x:v>2</x:v>
      </x:c>
      <x:c r="G112" s="23">
        <x:v>7</x:v>
      </x:c>
      <x:c r="H112" s="23">
        <x:v>7</x:v>
      </x:c>
      <x:c r="I112" s="23">
        <x:v>3088</x:v>
      </x:c>
      <x:c r="J112" s="23">
        <x:v>6758</x:v>
      </x:c>
      <x:c r="K112" s="23">
        <x:v>0</x:v>
      </x:c>
      <x:c r="L112" s="23" t="s">
        <x:v>190</x:v>
      </x:c>
      <x:c r="M112" s="23">
        <x:f t="shared" si="1"/>
        <x:v>450</x:v>
      </x:c>
      <x:c r="N112" s="24" t="str">
        <x:f t="array" ref="N112">INDEX('MATCH INFO'!O:O, INT((ROW()-2)/10)+2 + 92)</x:f>
        <x:v>260627_PF_T1_S1</x:v>
      </x:c>
    </x:row>
    <x:row r="113">
      <x:c r="A113" s="23" t="s">
        <x:v>39</x:v>
      </x:c>
      <x:c r="B113" s="23" t="s">
        <x:v>42</x:v>
      </x:c>
      <x:c r="C113" s="23" t="s">
        <x:v>11</x:v>
      </x:c>
      <x:c r="D113" s="23" t="s">
        <x:v>131</x:v>
      </x:c>
      <x:c r="E113" s="23" t="s">
        <x:v>184</x:v>
      </x:c>
      <x:c r="F113" s="23">
        <x:v>4</x:v>
      </x:c>
      <x:c r="G113" s="23">
        <x:v>8</x:v>
      </x:c>
      <x:c r="H113" s="23">
        <x:v>0</x:v>
      </x:c>
      <x:c r="I113" s="23">
        <x:v>3715</x:v>
      </x:c>
      <x:c r="J113" s="23">
        <x:v>349</x:v>
      </x:c>
      <x:c r="K113" s="23">
        <x:v>231</x:v>
      </x:c>
      <x:c r="L113" s="23" t="s">
        <x:v>190</x:v>
      </x:c>
      <x:c r="M113" s="23">
        <x:f t="shared" si="1"/>
        <x:v>450</x:v>
      </x:c>
      <x:c r="N113" s="24" t="str">
        <x:f t="array" ref="N113">INDEX('MATCH INFO'!O:O, INT((ROW()-2)/10)+2 + 92)</x:f>
        <x:v>260627_PF_T1_S1</x:v>
      </x:c>
    </x:row>
    <x:row r="114">
      <x:c r="A114" s="23" t="s">
        <x:v>39</x:v>
      </x:c>
      <x:c r="B114" s="23" t="s">
        <x:v>40</x:v>
      </x:c>
      <x:c r="C114" s="23" t="s">
        <x:v>8</x:v>
      </x:c>
      <x:c r="D114" s="23" t="s">
        <x:v>131</x:v>
      </x:c>
      <x:c r="E114" s="23" t="s">
        <x:v>184</x:v>
      </x:c>
      <x:c r="F114" s="23">
        <x:v>4</x:v>
      </x:c>
      <x:c r="G114" s="23">
        <x:v>8</x:v>
      </x:c>
      <x:c r="H114" s="23">
        <x:v>3</x:v>
      </x:c>
      <x:c r="I114" s="23">
        <x:v>5801</x:v>
      </x:c>
      <x:c r="J114" s="23">
        <x:v>1099</x:v>
      </x:c>
      <x:c r="K114" s="23">
        <x:v>2200</x:v>
      </x:c>
      <x:c r="L114" s="23" t="s">
        <x:v>190</x:v>
      </x:c>
      <x:c r="M114" s="23">
        <x:f t="shared" si="1"/>
        <x:v>450</x:v>
      </x:c>
      <x:c r="N114" s="24" t="str">
        <x:f t="array" ref="N114">INDEX('MATCH INFO'!O:O, INT((ROW()-2)/10)+2 + 92)</x:f>
        <x:v>260627_PF_T1_S1</x:v>
      </x:c>
    </x:row>
    <x:row r="115">
      <x:c r="A115" s="23" t="s">
        <x:v>39</x:v>
      </x:c>
      <x:c r="B115" s="23" t="s">
        <x:v>43</x:v>
      </x:c>
      <x:c r="C115" s="23" t="s">
        <x:v>11</x:v>
      </x:c>
      <x:c r="D115" s="23" t="s">
        <x:v>131</x:v>
      </x:c>
      <x:c r="E115" s="23" t="s">
        <x:v>184</x:v>
      </x:c>
      <x:c r="F115" s="23">
        <x:v>8</x:v>
      </x:c>
      <x:c r="G115" s="23">
        <x:v>7</x:v>
      </x:c>
      <x:c r="H115" s="23">
        <x:v>0</x:v>
      </x:c>
      <x:c r="I115" s="23">
        <x:v>8929</x:v>
      </x:c>
      <x:c r="J115" s="23">
        <x:v>75</x:v>
      </x:c>
      <x:c r="K115" s="23">
        <x:v>690</x:v>
      </x:c>
      <x:c r="L115" s="23" t="s">
        <x:v>190</x:v>
      </x:c>
      <x:c r="M115" s="23">
        <x:f t="shared" si="1"/>
        <x:v>450</x:v>
      </x:c>
      <x:c r="N115" s="24" t="str">
        <x:f t="array" ref="N115">INDEX('MATCH INFO'!O:O, INT((ROW()-2)/10)+2 + 92)</x:f>
        <x:v>260627_PF_T1_S1</x:v>
      </x:c>
    </x:row>
    <x:row r="116">
      <x:c r="A116" s="23" t="s">
        <x:v>39</x:v>
      </x:c>
      <x:c r="B116" s="23" t="s">
        <x:v>44</x:v>
      </x:c>
      <x:c r="C116" s="23" t="s">
        <x:v>16</x:v>
      </x:c>
      <x:c r="D116" s="23" t="s">
        <x:v>131</x:v>
      </x:c>
      <x:c r="E116" s="23" t="s">
        <x:v>184</x:v>
      </x:c>
      <x:c r="F116" s="23">
        <x:v>5</x:v>
      </x:c>
      <x:c r="G116" s="23">
        <x:v>5</x:v>
      </x:c>
      <x:c r="H116" s="23">
        <x:v>9</x:v>
      </x:c>
      <x:c r="I116" s="23">
        <x:v>3499</x:v>
      </x:c>
      <x:c r="J116" s="23">
        <x:v>6786</x:v>
      </x:c>
      <x:c r="K116" s="23">
        <x:v>0</x:v>
      </x:c>
      <x:c r="L116" s="23" t="s">
        <x:v>190</x:v>
      </x:c>
      <x:c r="M116" s="23">
        <x:f t="shared" si="1"/>
        <x:v>450</x:v>
      </x:c>
      <x:c r="N116" s="24" t="str">
        <x:f t="array" ref="N116">INDEX('MATCH INFO'!O:O, INT((ROW()-2)/10)+2 + 92)</x:f>
        <x:v>260627_PF_T1_S1</x:v>
      </x:c>
    </x:row>
    <x:row r="117">
      <x:c r="A117" s="23" t="s">
        <x:v>63</x:v>
      </x:c>
      <x:c r="B117" s="23" t="s">
        <x:v>69</x:v>
      </x:c>
      <x:c r="C117" s="23" t="s">
        <x:v>16</x:v>
      </x:c>
      <x:c r="D117" s="23" t="s">
        <x:v>131</x:v>
      </x:c>
      <x:c r="E117" s="23" t="s">
        <x:v>184</x:v>
      </x:c>
      <x:c r="F117" s="23">
        <x:v>16</x:v>
      </x:c>
      <x:c r="G117" s="23">
        <x:v>2</x:v>
      </x:c>
      <x:c r="H117" s="23">
        <x:v>19</x:v>
      </x:c>
      <x:c r="I117" s="23">
        <x:v>3402</x:v>
      </x:c>
      <x:c r="J117" s="23">
        <x:v>6091</x:v>
      </x:c>
      <x:c r="K117" s="23">
        <x:v>504</x:v>
      </x:c>
      <x:c r="L117" s="23" t="s">
        <x:v>190</x:v>
      </x:c>
      <x:c r="M117" s="23">
        <x:f t="shared" si="1"/>
        <x:v>450</x:v>
      </x:c>
      <x:c r="N117" s="24" t="str">
        <x:f t="array" ref="N117">INDEX('MATCH INFO'!O:O, INT((ROW()-2)/10)+2 + 92)</x:f>
        <x:v>260627_PF_T1_S1</x:v>
      </x:c>
    </x:row>
    <x:row r="118">
      <x:c r="A118" s="23" t="s">
        <x:v>63</x:v>
      </x:c>
      <x:c r="B118" s="23" t="s">
        <x:v>65</x:v>
      </x:c>
      <x:c r="C118" s="23" t="s">
        <x:v>8</x:v>
      </x:c>
      <x:c r="D118" s="23" t="s">
        <x:v>131</x:v>
      </x:c>
      <x:c r="E118" s="23" t="s">
        <x:v>184</x:v>
      </x:c>
      <x:c r="F118" s="23">
        <x:v>25</x:v>
      </x:c>
      <x:c r="G118" s="23">
        <x:v>1</x:v>
      </x:c>
      <x:c r="H118" s="23">
        <x:v>1</x:v>
      </x:c>
      <x:c r="I118" s="23">
        <x:v>8754</x:v>
      </x:c>
      <x:c r="J118" s="23">
        <x:v>1188</x:v>
      </x:c>
      <x:c r="K118" s="23">
        <x:v>11348</x:v>
      </x:c>
      <x:c r="L118" s="23" t="s">
        <x:v>190</x:v>
      </x:c>
      <x:c r="M118" s="23">
        <x:f t="shared" si="1"/>
        <x:v>450</x:v>
      </x:c>
      <x:c r="N118" s="24" t="str">
        <x:f t="array" ref="N118">INDEX('MATCH INFO'!O:O, INT((ROW()-2)/10)+2 + 92)</x:f>
        <x:v>260627_PF_T1_S1</x:v>
      </x:c>
    </x:row>
    <x:row r="119">
      <x:c r="A119" s="23" t="s">
        <x:v>63</x:v>
      </x:c>
      <x:c r="B119" s="23" t="s">
        <x:v>67</x:v>
      </x:c>
      <x:c r="C119" s="23" t="s">
        <x:v>11</x:v>
      </x:c>
      <x:c r="D119" s="23" t="s">
        <x:v>131</x:v>
      </x:c>
      <x:c r="E119" s="23" t="s">
        <x:v>184</x:v>
      </x:c>
      <x:c r="F119" s="23">
        <x:v>15</x:v>
      </x:c>
      <x:c r="G119" s="23">
        <x:v>5</x:v>
      </x:c>
      <x:c r="H119" s="23">
        <x:v>1</x:v>
      </x:c>
      <x:c r="I119" s="23">
        <x:v>7590</x:v>
      </x:c>
      <x:c r="J119" s="23">
        <x:v>0</x:v>
      </x:c>
      <x:c r="K119" s="23">
        <x:v>118</x:v>
      </x:c>
      <x:c r="L119" s="23" t="s">
        <x:v>190</x:v>
      </x:c>
      <x:c r="M119" s="23">
        <x:f t="shared" si="1"/>
        <x:v>450</x:v>
      </x:c>
      <x:c r="N119" s="24" t="str">
        <x:f t="array" ref="N119">INDEX('MATCH INFO'!O:O, INT((ROW()-2)/10)+2 + 92)</x:f>
        <x:v>260627_PF_T1_S1</x:v>
      </x:c>
    </x:row>
    <x:row r="120">
      <x:c r="A120" s="23" t="s">
        <x:v>63</x:v>
      </x:c>
      <x:c r="B120" s="23" t="s">
        <x:v>70</x:v>
      </x:c>
      <x:c r="C120" s="23" t="s">
        <x:v>16</x:v>
      </x:c>
      <x:c r="D120" s="23" t="s">
        <x:v>131</x:v>
      </x:c>
      <x:c r="E120" s="23" t="s">
        <x:v>184</x:v>
      </x:c>
      <x:c r="F120" s="23">
        <x:v>14</x:v>
      </x:c>
      <x:c r="G120" s="23">
        <x:v>1</x:v>
      </x:c>
      <x:c r="H120" s="23">
        <x:v>25</x:v>
      </x:c>
      <x:c r="I120" s="23">
        <x:v>4682</x:v>
      </x:c>
      <x:c r="J120" s="23">
        <x:v>11477</x:v>
      </x:c>
      <x:c r="K120" s="23">
        <x:v>0</x:v>
      </x:c>
      <x:c r="L120" s="23" t="s">
        <x:v>190</x:v>
      </x:c>
      <x:c r="M120" s="23">
        <x:f t="shared" si="1"/>
        <x:v>450</x:v>
      </x:c>
      <x:c r="N120" s="24" t="str">
        <x:f t="array" ref="N120">INDEX('MATCH INFO'!O:O, INT((ROW()-2)/10)+2 + 92)</x:f>
        <x:v>260627_PF_T1_S1</x:v>
      </x:c>
    </x:row>
    <x:row r="121">
      <x:c r="A121" s="23" t="s">
        <x:v>63</x:v>
      </x:c>
      <x:c r="B121" s="23" t="s">
        <x:v>66</x:v>
      </x:c>
      <x:c r="C121" s="23" t="s">
        <x:v>11</x:v>
      </x:c>
      <x:c r="D121" s="23" t="s">
        <x:v>131</x:v>
      </x:c>
      <x:c r="E121" s="23" t="s">
        <x:v>184</x:v>
      </x:c>
      <x:c r="F121" s="23">
        <x:v>23</x:v>
      </x:c>
      <x:c r="G121" s="23">
        <x:v>1</x:v>
      </x:c>
      <x:c r="H121" s="23">
        <x:v>0</x:v>
      </x:c>
      <x:c r="I121" s="23">
        <x:v>7714</x:v>
      </x:c>
      <x:c r="J121" s="23">
        <x:v>1074</x:v>
      </x:c>
      <x:c r="K121" s="23">
        <x:v>0</x:v>
      </x:c>
      <x:c r="L121" s="23" t="s">
        <x:v>190</x:v>
      </x:c>
      <x:c r="M121" s="23">
        <x:f t="shared" si="1"/>
        <x:v>450</x:v>
      </x:c>
      <x:c r="N121" s="24" t="str">
        <x:f t="array" ref="N121">INDEX('MATCH INFO'!O:O, INT((ROW()-2)/10)+2 + 92)</x:f>
        <x:v>260627_PF_T1_S1</x:v>
      </x:c>
    </x:row>
    <x:row r="122">
      <x:c r="A122" s="23" t="s">
        <x:v>63</x:v>
      </x:c>
      <x:c r="B122" s="23" t="s">
        <x:v>69</x:v>
      </x:c>
      <x:c r="C122" s="23" t="s">
        <x:v>16</x:v>
      </x:c>
      <x:c r="D122" s="23" t="s">
        <x:v>124</x:v>
      </x:c>
      <x:c r="E122" s="23" t="s">
        <x:v>186</x:v>
      </x:c>
      <x:c r="F122" s="23">
        <x:v>21</x:v>
      </x:c>
      <x:c r="G122" s="23">
        <x:v>8</x:v>
      </x:c>
      <x:c r="H122" s="23">
        <x:v>17</x:v>
      </x:c>
      <x:c r="I122" s="23">
        <x:v>4174</x:v>
      </x:c>
      <x:c r="J122" s="23">
        <x:v>6869</x:v>
      </x:c>
      <x:c r="K122" s="23">
        <x:v>1853</x:v>
      </x:c>
      <x:c r="L122" s="23" t="s">
        <x:v>288</x:v>
      </x:c>
      <x:c r="M122" s="23">
        <x:f t="shared" si="1"/>
        <x:v>652</x:v>
      </x:c>
      <x:c r="N122" s="24" t="str">
        <x:f t="array" ref="N122">INDEX('MATCH INFO'!O:O, INT((ROW()-2)/10)+2 + 92)</x:f>
        <x:v>260627_PF_T1_S2</x:v>
      </x:c>
    </x:row>
    <x:row r="123">
      <x:c r="A123" s="23" t="s">
        <x:v>63</x:v>
      </x:c>
      <x:c r="B123" s="23" t="s">
        <x:v>65</x:v>
      </x:c>
      <x:c r="C123" s="23" t="s">
        <x:v>8</x:v>
      </x:c>
      <x:c r="D123" s="23" t="s">
        <x:v>124</x:v>
      </x:c>
      <x:c r="E123" s="23" t="s">
        <x:v>186</x:v>
      </x:c>
      <x:c r="F123" s="23">
        <x:v>26</x:v>
      </x:c>
      <x:c r="G123" s="23">
        <x:v>2</x:v>
      </x:c>
      <x:c r="H123" s="23">
        <x:v>15</x:v>
      </x:c>
      <x:c r="I123" s="23">
        <x:v>14804</x:v>
      </x:c>
      <x:c r="J123" s="23">
        <x:v>2167</x:v>
      </x:c>
      <x:c r="K123" s="23">
        <x:v>5147</x:v>
      </x:c>
      <x:c r="L123" s="23" t="s">
        <x:v>288</x:v>
      </x:c>
      <x:c r="M123" s="23">
        <x:f t="shared" si="1"/>
        <x:v>652</x:v>
      </x:c>
      <x:c r="N123" s="24" t="str">
        <x:f t="array" ref="N123">INDEX('MATCH INFO'!O:O, INT((ROW()-2)/10)+2 + 92)</x:f>
        <x:v>260627_PF_T1_S2</x:v>
      </x:c>
    </x:row>
    <x:row r="124">
      <x:c r="A124" s="23" t="s">
        <x:v>63</x:v>
      </x:c>
      <x:c r="B124" s="23" t="s">
        <x:v>67</x:v>
      </x:c>
      <x:c r="C124" s="23" t="s">
        <x:v>11</x:v>
      </x:c>
      <x:c r="D124" s="23" t="s">
        <x:v>124</x:v>
      </x:c>
      <x:c r="E124" s="23" t="s">
        <x:v>186</x:v>
      </x:c>
      <x:c r="F124" s="23">
        <x:v>33</x:v>
      </x:c>
      <x:c r="G124" s="23">
        <x:v>4</x:v>
      </x:c>
      <x:c r="H124" s="23">
        <x:v>0</x:v>
      </x:c>
      <x:c r="I124" s="23">
        <x:v>15065</x:v>
      </x:c>
      <x:c r="J124" s="23">
        <x:v>0</x:v>
      </x:c>
      <x:c r="K124" s="23">
        <x:v>0</x:v>
      </x:c>
      <x:c r="L124" s="23" t="s">
        <x:v>288</x:v>
      </x:c>
      <x:c r="M124" s="23">
        <x:f t="shared" si="1"/>
        <x:v>652</x:v>
      </x:c>
      <x:c r="N124" s="24" t="str">
        <x:f t="array" ref="N124">INDEX('MATCH INFO'!O:O, INT((ROW()-2)/10)+2 + 92)</x:f>
        <x:v>260627_PF_T1_S2</x:v>
      </x:c>
    </x:row>
    <x:row r="125">
      <x:c r="A125" s="23" t="s">
        <x:v>63</x:v>
      </x:c>
      <x:c r="B125" s="23" t="s">
        <x:v>70</x:v>
      </x:c>
      <x:c r="C125" s="23" t="s">
        <x:v>16</x:v>
      </x:c>
      <x:c r="D125" s="23" t="s">
        <x:v>124</x:v>
      </x:c>
      <x:c r="E125" s="23" t="s">
        <x:v>186</x:v>
      </x:c>
      <x:c r="F125" s="23">
        <x:v>22</x:v>
      </x:c>
      <x:c r="G125" s="23">
        <x:v>4</x:v>
      </x:c>
      <x:c r="H125" s="23">
        <x:v>32</x:v>
      </x:c>
      <x:c r="I125" s="23">
        <x:v>6897</x:v>
      </x:c>
      <x:c r="J125" s="23">
        <x:v>13293</x:v>
      </x:c>
      <x:c r="K125" s="23">
        <x:v>0</x:v>
      </x:c>
      <x:c r="L125" s="23" t="s">
        <x:v>288</x:v>
      </x:c>
      <x:c r="M125" s="23">
        <x:f t="shared" si="1"/>
        <x:v>652</x:v>
      </x:c>
      <x:c r="N125" s="24" t="str">
        <x:f t="array" ref="N125">INDEX('MATCH INFO'!O:O, INT((ROW()-2)/10)+2 + 92)</x:f>
        <x:v>260627_PF_T1_S2</x:v>
      </x:c>
    </x:row>
    <x:row r="126">
      <x:c r="A126" s="23" t="s">
        <x:v>63</x:v>
      </x:c>
      <x:c r="B126" s="23" t="s">
        <x:v>66</x:v>
      </x:c>
      <x:c r="C126" s="23" t="s">
        <x:v>11</x:v>
      </x:c>
      <x:c r="D126" s="23" t="s">
        <x:v>124</x:v>
      </x:c>
      <x:c r="E126" s="23" t="s">
        <x:v>186</x:v>
      </x:c>
      <x:c r="F126" s="23">
        <x:v>24</x:v>
      </x:c>
      <x:c r="G126" s="23">
        <x:v>6</x:v>
      </x:c>
      <x:c r="H126" s="23">
        <x:v>3</x:v>
      </x:c>
      <x:c r="I126" s="23">
        <x:v>12879</x:v>
      </x:c>
      <x:c r="J126" s="23">
        <x:v>360</x:v>
      </x:c>
      <x:c r="K126" s="23">
        <x:v>602</x:v>
      </x:c>
      <x:c r="L126" s="23" t="s">
        <x:v>288</x:v>
      </x:c>
      <x:c r="M126" s="23">
        <x:f t="shared" si="1"/>
        <x:v>652</x:v>
      </x:c>
      <x:c r="N126" s="24" t="str">
        <x:f t="array" ref="N126">INDEX('MATCH INFO'!O:O, INT((ROW()-2)/10)+2 + 92)</x:f>
        <x:v>260627_PF_T1_S2</x:v>
      </x:c>
    </x:row>
    <x:row r="127">
      <x:c r="A127" s="23" t="s">
        <x:v>39</x:v>
      </x:c>
      <x:c r="B127" s="23" t="s">
        <x:v>45</x:v>
      </x:c>
      <x:c r="C127" s="23" t="s">
        <x:v>16</x:v>
      </x:c>
      <x:c r="D127" s="23" t="s">
        <x:v>124</x:v>
      </x:c>
      <x:c r="E127" s="23" t="s">
        <x:v>186</x:v>
      </x:c>
      <x:c r="F127" s="23">
        <x:v>9</x:v>
      </x:c>
      <x:c r="G127" s="23">
        <x:v>9</x:v>
      </x:c>
      <x:c r="H127" s="23">
        <x:v>18</x:v>
      </x:c>
      <x:c r="I127" s="23">
        <x:v>3930</x:v>
      </x:c>
      <x:c r="J127" s="23">
        <x:v>17102</x:v>
      </x:c>
      <x:c r="K127" s="23">
        <x:v>0</x:v>
      </x:c>
      <x:c r="L127" s="23" t="s">
        <x:v>288</x:v>
      </x:c>
      <x:c r="M127" s="23">
        <x:f t="shared" si="1"/>
        <x:v>652</x:v>
      </x:c>
      <x:c r="N127" s="24" t="str">
        <x:f t="array" ref="N127">INDEX('MATCH INFO'!O:O, INT((ROW()-2)/10)+2 + 92)</x:f>
        <x:v>260627_PF_T1_S2</x:v>
      </x:c>
    </x:row>
    <x:row r="128">
      <x:c r="A128" s="23" t="s">
        <x:v>39</x:v>
      </x:c>
      <x:c r="B128" s="23" t="s">
        <x:v>42</x:v>
      </x:c>
      <x:c r="C128" s="23" t="s">
        <x:v>11</x:v>
      </x:c>
      <x:c r="D128" s="23" t="s">
        <x:v>124</x:v>
      </x:c>
      <x:c r="E128" s="23" t="s">
        <x:v>186</x:v>
      </x:c>
      <x:c r="F128" s="23">
        <x:v>16</x:v>
      </x:c>
      <x:c r="G128" s="23">
        <x:v>10</x:v>
      </x:c>
      <x:c r="H128" s="23">
        <x:v>3</x:v>
      </x:c>
      <x:c r="I128" s="23">
        <x:v>9051</x:v>
      </x:c>
      <x:c r="J128" s="23">
        <x:v>300</x:v>
      </x:c>
      <x:c r="K128" s="23">
        <x:v>234</x:v>
      </x:c>
      <x:c r="L128" s="23" t="s">
        <x:v>288</x:v>
      </x:c>
      <x:c r="M128" s="23">
        <x:f t="shared" si="1"/>
        <x:v>652</x:v>
      </x:c>
      <x:c r="N128" s="24" t="str">
        <x:f t="array" ref="N128">INDEX('MATCH INFO'!O:O, INT((ROW()-2)/10)+2 + 92)</x:f>
        <x:v>260627_PF_T1_S2</x:v>
      </x:c>
    </x:row>
    <x:row r="129">
      <x:c r="A129" s="23" t="s">
        <x:v>39</x:v>
      </x:c>
      <x:c r="B129" s="23" t="s">
        <x:v>40</x:v>
      </x:c>
      <x:c r="C129" s="23" t="s">
        <x:v>8</x:v>
      </x:c>
      <x:c r="D129" s="23" t="s">
        <x:v>124</x:v>
      </x:c>
      <x:c r="E129" s="23" t="s">
        <x:v>186</x:v>
      </x:c>
      <x:c r="F129" s="23">
        <x:v>11</x:v>
      </x:c>
      <x:c r="G129" s="23">
        <x:v>8</x:v>
      </x:c>
      <x:c r="H129" s="23">
        <x:v>8</x:v>
      </x:c>
      <x:c r="I129" s="23">
        <x:v>12636</x:v>
      </x:c>
      <x:c r="J129" s="23">
        <x:v>4260</x:v>
      </x:c>
      <x:c r="K129" s="23">
        <x:v>7693</x:v>
      </x:c>
      <x:c r="L129" s="23" t="s">
        <x:v>288</x:v>
      </x:c>
      <x:c r="M129" s="23">
        <x:f t="shared" si="1"/>
        <x:v>652</x:v>
      </x:c>
      <x:c r="N129" s="24" t="str">
        <x:f t="array" ref="N129">INDEX('MATCH INFO'!O:O, INT((ROW()-2)/10)+2 + 92)</x:f>
        <x:v>260627_PF_T1_S2</x:v>
      </x:c>
    </x:row>
    <x:row r="130">
      <x:c r="A130" s="23" t="s">
        <x:v>39</x:v>
      </x:c>
      <x:c r="B130" s="23" t="s">
        <x:v>43</x:v>
      </x:c>
      <x:c r="C130" s="23" t="s">
        <x:v>11</x:v>
      </x:c>
      <x:c r="D130" s="23" t="s">
        <x:v>124</x:v>
      </x:c>
      <x:c r="E130" s="23" t="s">
        <x:v>186</x:v>
      </x:c>
      <x:c r="F130" s="23">
        <x:v>17</x:v>
      </x:c>
      <x:c r="G130" s="23">
        <x:v>9</x:v>
      </x:c>
      <x:c r="H130" s="23">
        <x:v>2</x:v>
      </x:c>
      <x:c r="I130" s="23">
        <x:v>8566</x:v>
      </x:c>
      <x:c r="J130" s="23">
        <x:v>0</x:v>
      </x:c>
      <x:c r="K130" s="23">
        <x:v>471</x:v>
      </x:c>
      <x:c r="L130" s="23" t="s">
        <x:v>288</x:v>
      </x:c>
      <x:c r="M130" s="23" t="e">
        <x:f t="shared" ref="M130:M193" si="2">L130*86400</x:f>
        <x:v>#VALUE!</x:v>
      </x:c>
      <x:c r="N130" s="24" t="str">
        <x:f t="array" ref="N130">INDEX('MATCH INFO'!O:O, INT((ROW()-2)/10)+2 + 92)</x:f>
        <x:v>260627_PF_T1_S2</x:v>
      </x:c>
    </x:row>
    <x:row r="131">
      <x:c r="A131" s="23" t="s">
        <x:v>39</x:v>
      </x:c>
      <x:c r="B131" s="23" t="s">
        <x:v>44</x:v>
      </x:c>
      <x:c r="C131" s="23" t="s">
        <x:v>16</x:v>
      </x:c>
      <x:c r="D131" s="23" t="s">
        <x:v>124</x:v>
      </x:c>
      <x:c r="E131" s="23" t="s">
        <x:v>186</x:v>
      </x:c>
      <x:c r="F131" s="23">
        <x:v>10</x:v>
      </x:c>
      <x:c r="G131" s="23">
        <x:v>9</x:v>
      </x:c>
      <x:c r="H131" s="23">
        <x:v>11</x:v>
      </x:c>
      <x:c r="I131" s="23">
        <x:v>5587</x:v>
      </x:c>
      <x:c r="J131" s="23">
        <x:v>7880</x:v>
      </x:c>
      <x:c r="K131" s="23">
        <x:v>3216</x:v>
      </x:c>
      <x:c r="L131" s="23" t="s">
        <x:v>288</x:v>
      </x:c>
      <x:c r="M131" s="23">
        <x:f t="shared" si="2"/>
        <x:v>652</x:v>
      </x:c>
      <x:c r="N131" s="24" t="str">
        <x:f t="array" ref="N131">INDEX('MATCH INFO'!O:O, INT((ROW()-2)/10)+2 + 92)</x:f>
        <x:v>260627_PF_T1_S2</x:v>
      </x:c>
    </x:row>
    <x:row r="132">
      <x:c r="A132" s="23" t="s">
        <x:v>63</x:v>
      </x:c>
      <x:c r="B132" s="23" t="s">
        <x:v>69</x:v>
      </x:c>
      <x:c r="C132" s="23" t="s">
        <x:v>16</x:v>
      </x:c>
      <x:c r="D132" s="23" t="s">
        <x:v>113</x:v>
      </x:c>
      <x:c r="E132" s="23" t="s">
        <x:v>188</x:v>
      </x:c>
      <x:c r="F132" s="23">
        <x:v>12</x:v>
      </x:c>
      <x:c r="G132" s="23">
        <x:v>0</x:v>
      </x:c>
      <x:c r="H132" s="23">
        <x:v>20</x:v>
      </x:c>
      <x:c r="I132" s="23">
        <x:v>2432</x:v>
      </x:c>
      <x:c r="J132" s="23">
        <x:v>4573</x:v>
      </x:c>
      <x:c r="K132" s="23">
        <x:v>1371</x:v>
      </x:c>
      <x:c r="L132" s="23" t="s">
        <x:v>289</x:v>
      </x:c>
      <x:c r="M132" s="23">
        <x:f t="shared" si="2"/>
        <x:v>325</x:v>
      </x:c>
      <x:c r="N132" s="24" t="str">
        <x:f t="array" ref="N132">INDEX('MATCH INFO'!O:O, INT((ROW()-2)/10)+2 + 92)</x:f>
        <x:v>260627_PF_T1_S3</x:v>
      </x:c>
    </x:row>
    <x:row r="133">
      <x:c r="A133" s="23" t="s">
        <x:v>63</x:v>
      </x:c>
      <x:c r="B133" s="23" t="s">
        <x:v>65</x:v>
      </x:c>
      <x:c r="C133" s="23" t="s">
        <x:v>8</x:v>
      </x:c>
      <x:c r="D133" s="23" t="s">
        <x:v>113</x:v>
      </x:c>
      <x:c r="E133" s="23" t="s">
        <x:v>188</x:v>
      </x:c>
      <x:c r="F133" s="23">
        <x:v>13</x:v>
      </x:c>
      <x:c r="G133" s="23">
        <x:v>2</x:v>
      </x:c>
      <x:c r="H133" s="23">
        <x:v>10</x:v>
      </x:c>
      <x:c r="I133" s="23">
        <x:v>5753</x:v>
      </x:c>
      <x:c r="J133" s="23">
        <x:v>1201</x:v>
      </x:c>
      <x:c r="K133" s="23">
        <x:v>1158</x:v>
      </x:c>
      <x:c r="L133" s="23" t="s">
        <x:v>289</x:v>
      </x:c>
      <x:c r="M133" s="23">
        <x:f t="shared" si="2"/>
        <x:v>325</x:v>
      </x:c>
      <x:c r="N133" s="24" t="str">
        <x:f t="array" ref="N133">INDEX('MATCH INFO'!O:O, INT((ROW()-2)/10)+2 + 92)</x:f>
        <x:v>260627_PF_T1_S3</x:v>
      </x:c>
    </x:row>
    <x:row r="134">
      <x:c r="A134" s="23" t="s">
        <x:v>63</x:v>
      </x:c>
      <x:c r="B134" s="23" t="s">
        <x:v>67</x:v>
      </x:c>
      <x:c r="C134" s="23" t="s">
        <x:v>11</x:v>
      </x:c>
      <x:c r="D134" s="23" t="s">
        <x:v>113</x:v>
      </x:c>
      <x:c r="E134" s="23" t="s">
        <x:v>188</x:v>
      </x:c>
      <x:c r="F134" s="23">
        <x:v>21</x:v>
      </x:c>
      <x:c r="G134" s="23">
        <x:v>1</x:v>
      </x:c>
      <x:c r="H134" s="23">
        <x:v>0</x:v>
      </x:c>
      <x:c r="I134" s="23">
        <x:v>7975</x:v>
      </x:c>
      <x:c r="J134" s="23">
        <x:v>0</x:v>
      </x:c>
      <x:c r="K134" s="23">
        <x:v>0</x:v>
      </x:c>
      <x:c r="L134" s="23" t="s">
        <x:v>289</x:v>
      </x:c>
      <x:c r="M134" s="23">
        <x:f t="shared" si="2"/>
        <x:v>325</x:v>
      </x:c>
      <x:c r="N134" s="24" t="str">
        <x:f t="array" ref="N134">INDEX('MATCH INFO'!O:O, INT((ROW()-2)/10)+2 + 92)</x:f>
        <x:v>260627_PF_T1_S3</x:v>
      </x:c>
    </x:row>
    <x:row r="135">
      <x:c r="A135" s="23" t="s">
        <x:v>63</x:v>
      </x:c>
      <x:c r="B135" s="23" t="s">
        <x:v>70</x:v>
      </x:c>
      <x:c r="C135" s="23" t="s">
        <x:v>16</x:v>
      </x:c>
      <x:c r="D135" s="23" t="s">
        <x:v>113</x:v>
      </x:c>
      <x:c r="E135" s="23" t="s">
        <x:v>188</x:v>
      </x:c>
      <x:c r="F135" s="23">
        <x:v>8</x:v>
      </x:c>
      <x:c r="G135" s="23">
        <x:v>1</x:v>
      </x:c>
      <x:c r="H135" s="23">
        <x:v>19</x:v>
      </x:c>
      <x:c r="I135" s="23">
        <x:v>2441</x:v>
      </x:c>
      <x:c r="J135" s="23">
        <x:v>6940</x:v>
      </x:c>
      <x:c r="K135" s="23">
        <x:v>0</x:v>
      </x:c>
      <x:c r="L135" s="23" t="s">
        <x:v>289</x:v>
      </x:c>
      <x:c r="M135" s="23">
        <x:f t="shared" si="2"/>
        <x:v>325</x:v>
      </x:c>
      <x:c r="N135" s="24" t="str">
        <x:f t="array" ref="N135">INDEX('MATCH INFO'!O:O, INT((ROW()-2)/10)+2 + 92)</x:f>
        <x:v>260627_PF_T1_S3</x:v>
      </x:c>
    </x:row>
    <x:row r="136">
      <x:c r="A136" s="23" t="s">
        <x:v>63</x:v>
      </x:c>
      <x:c r="B136" s="23" t="s">
        <x:v>66</x:v>
      </x:c>
      <x:c r="C136" s="23" t="s">
        <x:v>11</x:v>
      </x:c>
      <x:c r="D136" s="23" t="s">
        <x:v>113</x:v>
      </x:c>
      <x:c r="E136" s="23" t="s">
        <x:v>188</x:v>
      </x:c>
      <x:c r="F136" s="23">
        <x:v>17</x:v>
      </x:c>
      <x:c r="G136" s="23">
        <x:v>1</x:v>
      </x:c>
      <x:c r="H136" s="23">
        <x:v>2</x:v>
      </x:c>
      <x:c r="I136" s="23">
        <x:v>4611</x:v>
      </x:c>
      <x:c r="J136" s="23">
        <x:v>0</x:v>
      </x:c>
      <x:c r="K136" s="23">
        <x:v>179</x:v>
      </x:c>
      <x:c r="L136" s="23" t="s">
        <x:v>289</x:v>
      </x:c>
      <x:c r="M136" s="23">
        <x:f t="shared" si="2"/>
        <x:v>325</x:v>
      </x:c>
      <x:c r="N136" s="24" t="str">
        <x:f t="array" ref="N136">INDEX('MATCH INFO'!O:O, INT((ROW()-2)/10)+2 + 92)</x:f>
        <x:v>260627_PF_T1_S3</x:v>
      </x:c>
    </x:row>
    <x:row r="137">
      <x:c r="A137" s="23" t="s">
        <x:v>39</x:v>
      </x:c>
      <x:c r="B137" s="23" t="s">
        <x:v>45</x:v>
      </x:c>
      <x:c r="C137" s="23" t="s">
        <x:v>16</x:v>
      </x:c>
      <x:c r="D137" s="23" t="s">
        <x:v>113</x:v>
      </x:c>
      <x:c r="E137" s="23" t="s">
        <x:v>188</x:v>
      </x:c>
      <x:c r="F137" s="23">
        <x:v>2</x:v>
      </x:c>
      <x:c r="G137" s="23">
        <x:v>4</x:v>
      </x:c>
      <x:c r="H137" s="23">
        <x:v>5</x:v>
      </x:c>
      <x:c r="I137" s="23">
        <x:v>2082</x:v>
      </x:c>
      <x:c r="J137" s="23">
        <x:v>5335</x:v>
      </x:c>
      <x:c r="K137" s="23">
        <x:v>0</x:v>
      </x:c>
      <x:c r="L137" s="23" t="s">
        <x:v>289</x:v>
      </x:c>
      <x:c r="M137" s="23">
        <x:f t="shared" si="2"/>
        <x:v>325</x:v>
      </x:c>
      <x:c r="N137" s="24" t="str">
        <x:f t="array" ref="N137">INDEX('MATCH INFO'!O:O, INT((ROW()-2)/10)+2 + 92)</x:f>
        <x:v>260627_PF_T1_S3</x:v>
      </x:c>
    </x:row>
    <x:row r="138">
      <x:c r="A138" s="23" t="s">
        <x:v>39</x:v>
      </x:c>
      <x:c r="B138" s="23" t="s">
        <x:v>42</x:v>
      </x:c>
      <x:c r="C138" s="23" t="s">
        <x:v>11</x:v>
      </x:c>
      <x:c r="D138" s="23" t="s">
        <x:v>113</x:v>
      </x:c>
      <x:c r="E138" s="23" t="s">
        <x:v>188</x:v>
      </x:c>
      <x:c r="F138" s="23">
        <x:v>2</x:v>
      </x:c>
      <x:c r="G138" s="23">
        <x:v>4</x:v>
      </x:c>
      <x:c r="H138" s="23">
        <x:v>0</x:v>
      </x:c>
      <x:c r="I138" s="23">
        <x:v>3675</x:v>
      </x:c>
      <x:c r="J138" s="23">
        <x:v>10</x:v>
      </x:c>
      <x:c r="K138" s="23">
        <x:v>316</x:v>
      </x:c>
      <x:c r="L138" s="23" t="s">
        <x:v>289</x:v>
      </x:c>
      <x:c r="M138" s="23">
        <x:f t="shared" si="2"/>
        <x:v>325</x:v>
      </x:c>
      <x:c r="N138" s="24" t="str">
        <x:f t="array" ref="N138">INDEX('MATCH INFO'!O:O, INT((ROW()-2)/10)+2 + 92)</x:f>
        <x:v>260627_PF_T1_S3</x:v>
      </x:c>
    </x:row>
    <x:row r="139">
      <x:c r="A139" s="23" t="s">
        <x:v>39</x:v>
      </x:c>
      <x:c r="B139" s="23" t="s">
        <x:v>40</x:v>
      </x:c>
      <x:c r="C139" s="23" t="s">
        <x:v>8</x:v>
      </x:c>
      <x:c r="D139" s="23" t="s">
        <x:v>113</x:v>
      </x:c>
      <x:c r="E139" s="23" t="s">
        <x:v>188</x:v>
      </x:c>
      <x:c r="F139" s="23">
        <x:v>3</x:v>
      </x:c>
      <x:c r="G139" s="23">
        <x:v>6</x:v>
      </x:c>
      <x:c r="H139" s="23">
        <x:v>3</x:v>
      </x:c>
      <x:c r="I139" s="23">
        <x:v>6359</x:v>
      </x:c>
      <x:c r="J139" s="23">
        <x:v>1455</x:v>
      </x:c>
      <x:c r="K139" s="23">
        <x:v>3181</x:v>
      </x:c>
      <x:c r="L139" s="23" t="s">
        <x:v>289</x:v>
      </x:c>
      <x:c r="M139" s="23">
        <x:f t="shared" si="2"/>
        <x:v>325</x:v>
      </x:c>
      <x:c r="N139" s="24" t="str">
        <x:f t="array" ref="N139">INDEX('MATCH INFO'!O:O, INT((ROW()-2)/10)+2 + 92)</x:f>
        <x:v>260627_PF_T1_S3</x:v>
      </x:c>
    </x:row>
    <x:row r="140">
      <x:c r="A140" s="23" t="s">
        <x:v>39</x:v>
      </x:c>
      <x:c r="B140" s="23" t="s">
        <x:v>43</x:v>
      </x:c>
      <x:c r="C140" s="23" t="s">
        <x:v>11</x:v>
      </x:c>
      <x:c r="D140" s="23" t="s">
        <x:v>113</x:v>
      </x:c>
      <x:c r="E140" s="23" t="s">
        <x:v>188</x:v>
      </x:c>
      <x:c r="F140" s="23">
        <x:v>3</x:v>
      </x:c>
      <x:c r="G140" s="23">
        <x:v>6</x:v>
      </x:c>
      <x:c r="H140" s="23">
        <x:v>0</x:v>
      </x:c>
      <x:c r="I140" s="23">
        <x:v>4633</x:v>
      </x:c>
      <x:c r="J140" s="23">
        <x:v>0</x:v>
      </x:c>
      <x:c r="K140" s="23">
        <x:v>0</x:v>
      </x:c>
      <x:c r="L140" s="23" t="s">
        <x:v>289</x:v>
      </x:c>
      <x:c r="M140" s="23">
        <x:f t="shared" si="2"/>
        <x:v>325</x:v>
      </x:c>
      <x:c r="N140" s="24" t="str">
        <x:f t="array" ref="N140">INDEX('MATCH INFO'!O:O, INT((ROW()-2)/10)+2 + 92)</x:f>
        <x:v>260627_PF_T1_S3</x:v>
      </x:c>
    </x:row>
    <x:row r="141">
      <x:c r="A141" s="23" t="s">
        <x:v>39</x:v>
      </x:c>
      <x:c r="B141" s="23" t="s">
        <x:v>44</x:v>
      </x:c>
      <x:c r="C141" s="23" t="s">
        <x:v>16</x:v>
      </x:c>
      <x:c r="D141" s="23" t="s">
        <x:v>113</x:v>
      </x:c>
      <x:c r="E141" s="23" t="s">
        <x:v>188</x:v>
      </x:c>
      <x:c r="F141" s="23">
        <x:v>5</x:v>
      </x:c>
      <x:c r="G141" s="23">
        <x:v>4</x:v>
      </x:c>
      <x:c r="H141" s="23">
        <x:v>3</x:v>
      </x:c>
      <x:c r="I141" s="23">
        <x:v>2344</x:v>
      </x:c>
      <x:c r="J141" s="23">
        <x:v>4302</x:v>
      </x:c>
      <x:c r="K141" s="23">
        <x:v>0</x:v>
      </x:c>
      <x:c r="L141" s="23" t="s">
        <x:v>289</x:v>
      </x:c>
      <x:c r="M141" s="23">
        <x:f t="shared" si="2"/>
        <x:v>325</x:v>
      </x:c>
      <x:c r="N141" s="24" t="str">
        <x:f t="array" ref="N141">INDEX('MATCH INFO'!O:O, INT((ROW()-2)/10)+2 + 92)</x:f>
        <x:v>260627_PF_T1_S3</x:v>
      </x:c>
    </x:row>
    <x:row r="142">
      <x:c r="A142" s="23" t="s">
        <x:v>31</x:v>
      </x:c>
      <x:c r="B142" s="23" t="s">
        <x:v>34</x:v>
      </x:c>
      <x:c r="C142" s="23" t="s">
        <x:v>11</x:v>
      </x:c>
      <x:c r="D142" s="23" t="s">
        <x:v>107</x:v>
      </x:c>
      <x:c r="E142" s="23" t="s">
        <x:v>184</x:v>
      </x:c>
      <x:c r="F142" s="23">
        <x:v>3</x:v>
      </x:c>
      <x:c r="G142" s="23">
        <x:v>6</x:v>
      </x:c>
      <x:c r="H142" s="23">
        <x:v>0</x:v>
      </x:c>
      <x:c r="I142" s="23">
        <x:v>5139</x:v>
      </x:c>
      <x:c r="J142" s="23">
        <x:v>1126</x:v>
      </x:c>
      <x:c r="K142" s="23">
        <x:v>0</x:v>
      </x:c>
      <x:c r="L142" s="23" t="s">
        <x:v>290</x:v>
      </x:c>
      <x:c r="M142" s="23">
        <x:f t="shared" si="2"/>
        <x:v>429</x:v>
      </x:c>
      <x:c r="N142" s="24" t="str">
        <x:f t="array" ref="N142">INDEX('MATCH INFO'!O:O, INT((ROW()-2)/10)+2 + 92)</x:f>
        <x:v>260627_CB_FLC_S1</x:v>
      </x:c>
    </x:row>
    <x:row r="143">
      <x:c r="A143" s="23" t="s">
        <x:v>31</x:v>
      </x:c>
      <x:c r="B143" s="23" t="s">
        <x:v>32</x:v>
      </x:c>
      <x:c r="C143" s="23" t="s">
        <x:v>8</x:v>
      </x:c>
      <x:c r="D143" s="23" t="s">
        <x:v>107</x:v>
      </x:c>
      <x:c r="E143" s="23" t="s">
        <x:v>184</x:v>
      </x:c>
      <x:c r="F143" s="23">
        <x:v>1</x:v>
      </x:c>
      <x:c r="G143" s="23">
        <x:v>7</x:v>
      </x:c>
      <x:c r="H143" s="23">
        <x:v>1</x:v>
      </x:c>
      <x:c r="I143" s="23">
        <x:v>5439</x:v>
      </x:c>
      <x:c r="J143" s="23">
        <x:v>3594</x:v>
      </x:c>
      <x:c r="K143" s="23">
        <x:v>1840</x:v>
      </x:c>
      <x:c r="L143" s="23" t="s">
        <x:v>290</x:v>
      </x:c>
      <x:c r="M143" s="23">
        <x:f t="shared" si="2"/>
        <x:v>429</x:v>
      </x:c>
      <x:c r="N143" s="24" t="str">
        <x:f t="array" ref="N143">INDEX('MATCH INFO'!O:O, INT((ROW()-2)/10)+2 + 92)</x:f>
        <x:v>260627_CB_FLC_S1</x:v>
      </x:c>
    </x:row>
    <x:row r="144">
      <x:c r="A144" s="23" t="s">
        <x:v>31</x:v>
      </x:c>
      <x:c r="B144" s="23" t="s">
        <x:v>35</x:v>
      </x:c>
      <x:c r="C144" s="23" t="s">
        <x:v>11</x:v>
      </x:c>
      <x:c r="D144" s="23" t="s">
        <x:v>107</x:v>
      </x:c>
      <x:c r="E144" s="23" t="s">
        <x:v>184</x:v>
      </x:c>
      <x:c r="F144" s="23">
        <x:v>3</x:v>
      </x:c>
      <x:c r="G144" s="23">
        <x:v>7</x:v>
      </x:c>
      <x:c r="H144" s="23">
        <x:v>1</x:v>
      </x:c>
      <x:c r="I144" s="23">
        <x:v>5896</x:v>
      </x:c>
      <x:c r="J144" s="23">
        <x:v>239</x:v>
      </x:c>
      <x:c r="K144" s="23">
        <x:v>1015</x:v>
      </x:c>
      <x:c r="L144" s="23" t="s">
        <x:v>290</x:v>
      </x:c>
      <x:c r="M144" s="23">
        <x:f t="shared" si="2"/>
        <x:v>429</x:v>
      </x:c>
      <x:c r="N144" s="24" t="str">
        <x:f t="array" ref="N144">INDEX('MATCH INFO'!O:O, INT((ROW()-2)/10)+2 + 92)</x:f>
        <x:v>260627_CB_FLC_S1</x:v>
      </x:c>
    </x:row>
    <x:row r="145">
      <x:c r="A145" s="23" t="s">
        <x:v>31</x:v>
      </x:c>
      <x:c r="B145" s="23" t="s">
        <x:v>36</x:v>
      </x:c>
      <x:c r="C145" s="23" t="s">
        <x:v>16</x:v>
      </x:c>
      <x:c r="D145" s="23" t="s">
        <x:v>107</x:v>
      </x:c>
      <x:c r="E145" s="23" t="s">
        <x:v>184</x:v>
      </x:c>
      <x:c r="F145" s="23">
        <x:v>2</x:v>
      </x:c>
      <x:c r="G145" s="23">
        <x:v>5</x:v>
      </x:c>
      <x:c r="H145" s="23">
        <x:v>2</x:v>
      </x:c>
      <x:c r="I145" s="23">
        <x:v>1648</x:v>
      </x:c>
      <x:c r="J145" s="23">
        <x:v>6358</x:v>
      </x:c>
      <x:c r="K145" s="23">
        <x:v>0</x:v>
      </x:c>
      <x:c r="L145" s="23" t="s">
        <x:v>290</x:v>
      </x:c>
      <x:c r="M145" s="23">
        <x:f t="shared" si="2"/>
        <x:v>429</x:v>
      </x:c>
      <x:c r="N145" s="24" t="str">
        <x:f t="array" ref="N145">INDEX('MATCH INFO'!O:O, INT((ROW()-2)/10)+2 + 92)</x:f>
        <x:v>260627_CB_FLC_S1</x:v>
      </x:c>
    </x:row>
    <x:row r="146">
      <x:c r="A146" s="23" t="s">
        <x:v>31</x:v>
      </x:c>
      <x:c r="B146" s="23" t="s">
        <x:v>37</x:v>
      </x:c>
      <x:c r="C146" s="23" t="s">
        <x:v>16</x:v>
      </x:c>
      <x:c r="D146" s="23" t="s">
        <x:v>107</x:v>
      </x:c>
      <x:c r="E146" s="23" t="s">
        <x:v>184</x:v>
      </x:c>
      <x:c r="F146" s="23">
        <x:v>1</x:v>
      </x:c>
      <x:c r="G146" s="23">
        <x:v>4</x:v>
      </x:c>
      <x:c r="H146" s="23">
        <x:v>3</x:v>
      </x:c>
      <x:c r="I146" s="23">
        <x:v>3270</x:v>
      </x:c>
      <x:c r="J146" s="23">
        <x:v>7554</x:v>
      </x:c>
      <x:c r="K146" s="23">
        <x:v>0</x:v>
      </x:c>
      <x:c r="L146" s="23" t="s">
        <x:v>290</x:v>
      </x:c>
      <x:c r="M146" s="23">
        <x:f t="shared" si="2"/>
        <x:v>429</x:v>
      </x:c>
      <x:c r="N146" s="24" t="str">
        <x:f t="array" ref="N146">INDEX('MATCH INFO'!O:O, INT((ROW()-2)/10)+2 + 92)</x:f>
        <x:v>260627_CB_FLC_S1</x:v>
      </x:c>
    </x:row>
    <x:row r="147">
      <x:c r="A147" s="23" t="s">
        <x:v>72</x:v>
      </x:c>
      <x:c r="B147" s="23" t="s">
        <x:v>78</x:v>
      </x:c>
      <x:c r="C147" s="23" t="s">
        <x:v>16</x:v>
      </x:c>
      <x:c r="D147" s="23" t="s">
        <x:v>107</x:v>
      </x:c>
      <x:c r="E147" s="23" t="s">
        <x:v>184</x:v>
      </x:c>
      <x:c r="F147" s="23">
        <x:v>18</x:v>
      </x:c>
      <x:c r="G147" s="23">
        <x:v>0</x:v>
      </x:c>
      <x:c r="H147" s="23">
        <x:v>15</x:v>
      </x:c>
      <x:c r="I147" s="23">
        <x:v>3013</x:v>
      </x:c>
      <x:c r="J147" s="23">
        <x:v>5441</x:v>
      </x:c>
      <x:c r="K147" s="23">
        <x:v>0</x:v>
      </x:c>
      <x:c r="L147" s="23" t="s">
        <x:v>290</x:v>
      </x:c>
      <x:c r="M147" s="23">
        <x:f t="shared" si="2"/>
        <x:v>429</x:v>
      </x:c>
      <x:c r="N147" s="24" t="str">
        <x:f t="array" ref="N147">INDEX('MATCH INFO'!O:O, INT((ROW()-2)/10)+2 + 92)</x:f>
        <x:v>260627_CB_FLC_S1</x:v>
      </x:c>
    </x:row>
    <x:row r="148">
      <x:c r="A148" s="23" t="s">
        <x:v>72</x:v>
      </x:c>
      <x:c r="B148" s="23" t="s">
        <x:v>79</x:v>
      </x:c>
      <x:c r="C148" s="23" t="s">
        <x:v>16</x:v>
      </x:c>
      <x:c r="D148" s="23" t="s">
        <x:v>107</x:v>
      </x:c>
      <x:c r="E148" s="23" t="s">
        <x:v>184</x:v>
      </x:c>
      <x:c r="F148" s="23">
        <x:v>8</x:v>
      </x:c>
      <x:c r="G148" s="23">
        <x:v>0</x:v>
      </x:c>
      <x:c r="H148" s="23">
        <x:v>19</x:v>
      </x:c>
      <x:c r="I148" s="23">
        <x:v>3453</x:v>
      </x:c>
      <x:c r="J148" s="23">
        <x:v>9099</x:v>
      </x:c>
      <x:c r="K148" s="23">
        <x:v>0</x:v>
      </x:c>
      <x:c r="L148" s="23" t="s">
        <x:v>290</x:v>
      </x:c>
      <x:c r="M148" s="23">
        <x:f t="shared" si="2"/>
        <x:v>429</x:v>
      </x:c>
      <x:c r="N148" s="24" t="str">
        <x:f t="array" ref="N148">INDEX('MATCH INFO'!O:O, INT((ROW()-2)/10)+2 + 92)</x:f>
        <x:v>260627_CB_FLC_S1</x:v>
      </x:c>
    </x:row>
    <x:row r="149">
      <x:c r="A149" s="23" t="s">
        <x:v>72</x:v>
      </x:c>
      <x:c r="B149" s="23" t="s">
        <x:v>74</x:v>
      </x:c>
      <x:c r="C149" s="23" t="s">
        <x:v>8</x:v>
      </x:c>
      <x:c r="D149" s="23" t="s">
        <x:v>107</x:v>
      </x:c>
      <x:c r="E149" s="23" t="s">
        <x:v>184</x:v>
      </x:c>
      <x:c r="F149" s="23">
        <x:v>23</x:v>
      </x:c>
      <x:c r="G149" s="23">
        <x:v>0</x:v>
      </x:c>
      <x:c r="H149" s="23">
        <x:v>12</x:v>
      </x:c>
      <x:c r="I149" s="23">
        <x:v>7822</x:v>
      </x:c>
      <x:c r="J149" s="23">
        <x:v>1393</x:v>
      </x:c>
      <x:c r="K149" s="23">
        <x:v>15822</x:v>
      </x:c>
      <x:c r="L149" s="23" t="s">
        <x:v>290</x:v>
      </x:c>
      <x:c r="M149" s="23">
        <x:f t="shared" si="2"/>
        <x:v>429</x:v>
      </x:c>
      <x:c r="N149" s="24" t="str">
        <x:f t="array" ref="N149">INDEX('MATCH INFO'!O:O, INT((ROW()-2)/10)+2 + 92)</x:f>
        <x:v>260627_CB_FLC_S1</x:v>
      </x:c>
    </x:row>
    <x:row r="150">
      <x:c r="A150" s="23" t="s">
        <x:v>72</x:v>
      </x:c>
      <x:c r="B150" s="23" t="s">
        <x:v>77</x:v>
      </x:c>
      <x:c r="C150" s="23" t="s">
        <x:v>11</x:v>
      </x:c>
      <x:c r="D150" s="23" t="s">
        <x:v>107</x:v>
      </x:c>
      <x:c r="E150" s="23" t="s">
        <x:v>184</x:v>
      </x:c>
      <x:c r="F150" s="23">
        <x:v>14</x:v>
      </x:c>
      <x:c r="G150" s="23">
        <x:v>3</x:v>
      </x:c>
      <x:c r="H150" s="23">
        <x:v>3</x:v>
      </x:c>
      <x:c r="I150" s="23">
        <x:v>11048</x:v>
      </x:c>
      <x:c r="J150" s="23">
        <x:v>568</x:v>
      </x:c>
      <x:c r="K150" s="23">
        <x:v>695</x:v>
      </x:c>
      <x:c r="L150" s="23" t="s">
        <x:v>290</x:v>
      </x:c>
      <x:c r="M150" s="23">
        <x:f t="shared" si="2"/>
        <x:v>429</x:v>
      </x:c>
      <x:c r="N150" s="24" t="str">
        <x:f t="array" ref="N150">INDEX('MATCH INFO'!O:O, INT((ROW()-2)/10)+2 + 92)</x:f>
        <x:v>260627_CB_FLC_S1</x:v>
      </x:c>
    </x:row>
    <x:row r="151">
      <x:c r="A151" s="23" t="s">
        <x:v>72</x:v>
      </x:c>
      <x:c r="B151" s="23" t="s">
        <x:v>75</x:v>
      </x:c>
      <x:c r="C151" s="23" t="s">
        <x:v>11</x:v>
      </x:c>
      <x:c r="D151" s="23" t="s">
        <x:v>107</x:v>
      </x:c>
      <x:c r="E151" s="23" t="s">
        <x:v>184</x:v>
      </x:c>
      <x:c r="F151" s="23">
        <x:v>14</x:v>
      </x:c>
      <x:c r="G151" s="23">
        <x:v>1</x:v>
      </x:c>
      <x:c r="H151" s="23">
        <x:v>0</x:v>
      </x:c>
      <x:c r="I151" s="23">
        <x:v>7360</x:v>
      </x:c>
      <x:c r="J151" s="23">
        <x:v>75</x:v>
      </x:c>
      <x:c r="K151" s="23">
        <x:v>213</x:v>
      </x:c>
      <x:c r="L151" s="23" t="s">
        <x:v>290</x:v>
      </x:c>
      <x:c r="M151" s="23">
        <x:f t="shared" si="2"/>
        <x:v>429</x:v>
      </x:c>
      <x:c r="N151" s="24" t="str">
        <x:f t="array" ref="N151">INDEX('MATCH INFO'!O:O, INT((ROW()-2)/10)+2 + 92)</x:f>
        <x:v>260627_CB_FLC_S1</x:v>
      </x:c>
    </x:row>
    <x:row r="152">
      <x:c r="A152" s="23" t="s">
        <x:v>31</x:v>
      </x:c>
      <x:c r="B152" s="23" t="s">
        <x:v>34</x:v>
      </x:c>
      <x:c r="C152" s="23" t="s">
        <x:v>11</x:v>
      </x:c>
      <x:c r="D152" s="23" t="s">
        <x:v>124</x:v>
      </x:c>
      <x:c r="E152" s="23" t="s">
        <x:v>186</x:v>
      </x:c>
      <x:c r="F152" s="23">
        <x:v>15</x:v>
      </x:c>
      <x:c r="G152" s="23">
        <x:v>9</x:v>
      </x:c>
      <x:c r="H152" s="23">
        <x:v>0</x:v>
      </x:c>
      <x:c r="I152" s="23">
        <x:v>9182</x:v>
      </x:c>
      <x:c r="J152" s="23">
        <x:v>1537</x:v>
      </x:c>
      <x:c r="K152" s="23">
        <x:v>0</x:v>
      </x:c>
      <x:c r="L152" s="23" t="s">
        <x:v>291</x:v>
      </x:c>
      <x:c r="M152" s="23">
        <x:f t="shared" si="2"/>
        <x:v>528</x:v>
      </x:c>
      <x:c r="N152" s="24" t="str">
        <x:f t="array" ref="N152">INDEX('MATCH INFO'!O:O, INT((ROW()-2)/10)+2 + 92)</x:f>
        <x:v>260627_CB_FLC_S2</x:v>
      </x:c>
    </x:row>
    <x:row r="153">
      <x:c r="A153" s="23" t="s">
        <x:v>31</x:v>
      </x:c>
      <x:c r="B153" s="23" t="s">
        <x:v>32</x:v>
      </x:c>
      <x:c r="C153" s="23" t="s">
        <x:v>8</x:v>
      </x:c>
      <x:c r="D153" s="23" t="s">
        <x:v>124</x:v>
      </x:c>
      <x:c r="E153" s="23" t="s">
        <x:v>186</x:v>
      </x:c>
      <x:c r="F153" s="23">
        <x:v>18</x:v>
      </x:c>
      <x:c r="G153" s="23">
        <x:v>8</x:v>
      </x:c>
      <x:c r="H153" s="23">
        <x:v>13</x:v>
      </x:c>
      <x:c r="I153" s="23">
        <x:v>10511</x:v>
      </x:c>
      <x:c r="J153" s="23">
        <x:v>3161</x:v>
      </x:c>
      <x:c r="K153" s="23">
        <x:v>7071</x:v>
      </x:c>
      <x:c r="L153" s="23" t="s">
        <x:v>291</x:v>
      </x:c>
      <x:c r="M153" s="23">
        <x:f t="shared" si="2"/>
        <x:v>528</x:v>
      </x:c>
      <x:c r="N153" s="24" t="str">
        <x:f t="array" ref="N153">INDEX('MATCH INFO'!O:O, INT((ROW()-2)/10)+2 + 92)</x:f>
        <x:v>260627_CB_FLC_S2</x:v>
      </x:c>
    </x:row>
    <x:row r="154">
      <x:c r="A154" s="23" t="s">
        <x:v>31</x:v>
      </x:c>
      <x:c r="B154" s="23" t="s">
        <x:v>35</x:v>
      </x:c>
      <x:c r="C154" s="23" t="s">
        <x:v>11</x:v>
      </x:c>
      <x:c r="D154" s="23" t="s">
        <x:v>124</x:v>
      </x:c>
      <x:c r="E154" s="23" t="s">
        <x:v>186</x:v>
      </x:c>
      <x:c r="F154" s="23">
        <x:v>16</x:v>
      </x:c>
      <x:c r="G154" s="23">
        <x:v>10</x:v>
      </x:c>
      <x:c r="H154" s="23">
        <x:v>4</x:v>
      </x:c>
      <x:c r="I154" s="23">
        <x:v>7511</x:v>
      </x:c>
      <x:c r="J154" s="23">
        <x:v>125</x:v>
      </x:c>
      <x:c r="K154" s="23">
        <x:v>632</x:v>
      </x:c>
      <x:c r="L154" s="23" t="s">
        <x:v>291</x:v>
      </x:c>
      <x:c r="M154" s="23">
        <x:f t="shared" si="2"/>
        <x:v>528</x:v>
      </x:c>
      <x:c r="N154" s="24" t="str">
        <x:f t="array" ref="N154">INDEX('MATCH INFO'!O:O, INT((ROW()-2)/10)+2 + 92)</x:f>
        <x:v>260627_CB_FLC_S2</x:v>
      </x:c>
    </x:row>
    <x:row r="155">
      <x:c r="A155" s="23" t="s">
        <x:v>31</x:v>
      </x:c>
      <x:c r="B155" s="23" t="s">
        <x:v>36</x:v>
      </x:c>
      <x:c r="C155" s="23" t="s">
        <x:v>16</x:v>
      </x:c>
      <x:c r="D155" s="23" t="s">
        <x:v>124</x:v>
      </x:c>
      <x:c r="E155" s="23" t="s">
        <x:v>186</x:v>
      </x:c>
      <x:c r="F155" s="23">
        <x:v>15</x:v>
      </x:c>
      <x:c r="G155" s="23">
        <x:v>7</x:v>
      </x:c>
      <x:c r="H155" s="23">
        <x:v>12</x:v>
      </x:c>
      <x:c r="I155" s="23">
        <x:v>4698</x:v>
      </x:c>
      <x:c r="J155" s="23">
        <x:v>6401</x:v>
      </x:c>
      <x:c r="K155" s="23">
        <x:v>2150</x:v>
      </x:c>
      <x:c r="L155" s="23" t="s">
        <x:v>291</x:v>
      </x:c>
      <x:c r="M155" s="23">
        <x:f t="shared" si="2"/>
        <x:v>528</x:v>
      </x:c>
      <x:c r="N155" s="24" t="str">
        <x:f t="array" ref="N155">INDEX('MATCH INFO'!O:O, INT((ROW()-2)/10)+2 + 92)</x:f>
        <x:v>260627_CB_FLC_S2</x:v>
      </x:c>
    </x:row>
    <x:row r="156">
      <x:c r="A156" s="23" t="s">
        <x:v>31</x:v>
      </x:c>
      <x:c r="B156" s="23" t="s">
        <x:v>37</x:v>
      </x:c>
      <x:c r="C156" s="23" t="s">
        <x:v>16</x:v>
      </x:c>
      <x:c r="D156" s="23" t="s">
        <x:v>124</x:v>
      </x:c>
      <x:c r="E156" s="23" t="s">
        <x:v>186</x:v>
      </x:c>
      <x:c r="F156" s="23">
        <x:v>8</x:v>
      </x:c>
      <x:c r="G156" s="23">
        <x:v>7</x:v>
      </x:c>
      <x:c r="H156" s="23">
        <x:v>11</x:v>
      </x:c>
      <x:c r="I156" s="23">
        <x:v>4479</x:v>
      </x:c>
      <x:c r="J156" s="23">
        <x:v>8410</x:v>
      </x:c>
      <x:c r="K156" s="23">
        <x:v>0</x:v>
      </x:c>
      <x:c r="L156" s="23" t="s">
        <x:v>291</x:v>
      </x:c>
      <x:c r="M156" s="23">
        <x:f t="shared" si="2"/>
        <x:v>528</x:v>
      </x:c>
      <x:c r="N156" s="24" t="str">
        <x:f t="array" ref="N156">INDEX('MATCH INFO'!O:O, INT((ROW()-2)/10)+2 + 92)</x:f>
        <x:v>260627_CB_FLC_S2</x:v>
      </x:c>
    </x:row>
    <x:row r="157">
      <x:c r="A157" s="23" t="s">
        <x:v>72</x:v>
      </x:c>
      <x:c r="B157" s="23" t="s">
        <x:v>78</x:v>
      </x:c>
      <x:c r="C157" s="23" t="s">
        <x:v>16</x:v>
      </x:c>
      <x:c r="D157" s="23" t="s">
        <x:v>124</x:v>
      </x:c>
      <x:c r="E157" s="23" t="s">
        <x:v>186</x:v>
      </x:c>
      <x:c r="F157" s="23">
        <x:v>23</x:v>
      </x:c>
      <x:c r="G157" s="23">
        <x:v>4</x:v>
      </x:c>
      <x:c r="H157" s="23">
        <x:v>19</x:v>
      </x:c>
      <x:c r="I157" s="23">
        <x:v>6073</x:v>
      </x:c>
      <x:c r="J157" s="23">
        <x:v>5668</x:v>
      </x:c>
      <x:c r="K157" s="23">
        <x:v>1872</x:v>
      </x:c>
      <x:c r="L157" s="23" t="s">
        <x:v>291</x:v>
      </x:c>
      <x:c r="M157" s="23">
        <x:f t="shared" si="2"/>
        <x:v>528</x:v>
      </x:c>
      <x:c r="N157" s="24" t="str">
        <x:f t="array" ref="N157">INDEX('MATCH INFO'!O:O, INT((ROW()-2)/10)+2 + 92)</x:f>
        <x:v>260627_CB_FLC_S2</x:v>
      </x:c>
    </x:row>
    <x:row r="158">
      <x:c r="A158" s="23" t="s">
        <x:v>72</x:v>
      </x:c>
      <x:c r="B158" s="23" t="s">
        <x:v>79</x:v>
      </x:c>
      <x:c r="C158" s="23" t="s">
        <x:v>16</x:v>
      </x:c>
      <x:c r="D158" s="23" t="s">
        <x:v>124</x:v>
      </x:c>
      <x:c r="E158" s="23" t="s">
        <x:v>186</x:v>
      </x:c>
      <x:c r="F158" s="23">
        <x:v>14</x:v>
      </x:c>
      <x:c r="G158" s="23">
        <x:v>5</x:v>
      </x:c>
      <x:c r="H158" s="23">
        <x:v>28</x:v>
      </x:c>
      <x:c r="I158" s="23">
        <x:v>4661</x:v>
      </x:c>
      <x:c r="J158" s="23">
        <x:v>11585</x:v>
      </x:c>
      <x:c r="K158" s="23">
        <x:v>0</x:v>
      </x:c>
      <x:c r="L158" s="23" t="s">
        <x:v>291</x:v>
      </x:c>
      <x:c r="M158" s="23">
        <x:f t="shared" si="2"/>
        <x:v>528</x:v>
      </x:c>
      <x:c r="N158" s="24" t="str">
        <x:f t="array" ref="N158">INDEX('MATCH INFO'!O:O, INT((ROW()-2)/10)+2 + 92)</x:f>
        <x:v>260627_CB_FLC_S2</x:v>
      </x:c>
    </x:row>
    <x:row r="159">
      <x:c r="A159" s="23" t="s">
        <x:v>72</x:v>
      </x:c>
      <x:c r="B159" s="23" t="s">
        <x:v>74</x:v>
      </x:c>
      <x:c r="C159" s="23" t="s">
        <x:v>8</x:v>
      </x:c>
      <x:c r="D159" s="23" t="s">
        <x:v>124</x:v>
      </x:c>
      <x:c r="E159" s="23" t="s">
        <x:v>186</x:v>
      </x:c>
      <x:c r="F159" s="23">
        <x:v>27</x:v>
      </x:c>
      <x:c r="G159" s="23">
        <x:v>4</x:v>
      </x:c>
      <x:c r="H159" s="23">
        <x:v>21</x:v>
      </x:c>
      <x:c r="I159" s="23">
        <x:v>10290</x:v>
      </x:c>
      <x:c r="J159" s="23">
        <x:v>3049</x:v>
      </x:c>
      <x:c r="K159" s="23">
        <x:v>6321</x:v>
      </x:c>
      <x:c r="L159" s="23" t="s">
        <x:v>291</x:v>
      </x:c>
      <x:c r="M159" s="23">
        <x:f t="shared" si="2"/>
        <x:v>528</x:v>
      </x:c>
      <x:c r="N159" s="24" t="str">
        <x:f t="array" ref="N159">INDEX('MATCH INFO'!O:O, INT((ROW()-2)/10)+2 + 92)</x:f>
        <x:v>260627_CB_FLC_S2</x:v>
      </x:c>
    </x:row>
    <x:row r="160">
      <x:c r="A160" s="23" t="s">
        <x:v>72</x:v>
      </x:c>
      <x:c r="B160" s="23" t="s">
        <x:v>77</x:v>
      </x:c>
      <x:c r="C160" s="23" t="s">
        <x:v>11</x:v>
      </x:c>
      <x:c r="D160" s="23" t="s">
        <x:v>124</x:v>
      </x:c>
      <x:c r="E160" s="23" t="s">
        <x:v>186</x:v>
      </x:c>
      <x:c r="F160" s="23">
        <x:v>28</x:v>
      </x:c>
      <x:c r="G160" s="23">
        <x:v>6</x:v>
      </x:c>
      <x:c r="H160" s="23">
        <x:v>4</x:v>
      </x:c>
      <x:c r="I160" s="23">
        <x:v>10779</x:v>
      </x:c>
      <x:c r="J160" s="23">
        <x:v>3</x:v>
      </x:c>
      <x:c r="K160" s="23">
        <x:v>542</x:v>
      </x:c>
      <x:c r="L160" s="23" t="s">
        <x:v>291</x:v>
      </x:c>
      <x:c r="M160" s="23">
        <x:f t="shared" si="2"/>
        <x:v>528</x:v>
      </x:c>
      <x:c r="N160" s="24" t="str">
        <x:f t="array" ref="N160">INDEX('MATCH INFO'!O:O, INT((ROW()-2)/10)+2 + 92)</x:f>
        <x:v>260627_CB_FLC_S2</x:v>
      </x:c>
    </x:row>
    <x:row r="161">
      <x:c r="A161" s="23" t="s">
        <x:v>72</x:v>
      </x:c>
      <x:c r="B161" s="23" t="s">
        <x:v>75</x:v>
      </x:c>
      <x:c r="C161" s="23" t="s">
        <x:v>11</x:v>
      </x:c>
      <x:c r="D161" s="23" t="s">
        <x:v>124</x:v>
      </x:c>
      <x:c r="E161" s="23" t="s">
        <x:v>186</x:v>
      </x:c>
      <x:c r="F161" s="23">
        <x:v>21</x:v>
      </x:c>
      <x:c r="G161" s="23">
        <x:v>5</x:v>
      </x:c>
      <x:c r="H161" s="23">
        <x:v>0</x:v>
      </x:c>
      <x:c r="I161" s="23">
        <x:v>9727</x:v>
      </x:c>
      <x:c r="J161" s="23">
        <x:v>1454</x:v>
      </x:c>
      <x:c r="K161" s="23">
        <x:v>0</x:v>
      </x:c>
      <x:c r="L161" s="23" t="s">
        <x:v>291</x:v>
      </x:c>
      <x:c r="M161" s="23">
        <x:f t="shared" si="2"/>
        <x:v>528</x:v>
      </x:c>
      <x:c r="N161" s="24" t="str">
        <x:f t="array" ref="N161">INDEX('MATCH INFO'!O:O, INT((ROW()-2)/10)+2 + 92)</x:f>
        <x:v>260627_CB_FLC_S2</x:v>
      </x:c>
    </x:row>
    <x:row r="162">
      <x:c r="A162" s="23" t="s">
        <x:v>31</x:v>
      </x:c>
      <x:c r="B162" s="23" t="s">
        <x:v>34</x:v>
      </x:c>
      <x:c r="C162" s="23" t="s">
        <x:v>11</x:v>
      </x:c>
      <x:c r="D162" s="23" t="s">
        <x:v>113</x:v>
      </x:c>
      <x:c r="E162" s="23" t="s">
        <x:v>188</x:v>
      </x:c>
      <x:c r="F162" s="23">
        <x:v>2</x:v>
      </x:c>
      <x:c r="G162" s="23">
        <x:v>5</x:v>
      </x:c>
      <x:c r="H162" s="23">
        <x:v>0</x:v>
      </x:c>
      <x:c r="I162" s="23">
        <x:v>4741</x:v>
      </x:c>
      <x:c r="J162" s="23">
        <x:v>703</x:v>
      </x:c>
      <x:c r="K162" s="23">
        <x:v>0</x:v>
      </x:c>
      <x:c r="L162" s="23" t="s">
        <x:v>292</x:v>
      </x:c>
      <x:c r="M162" s="23">
        <x:f t="shared" si="2"/>
        <x:v>283</x:v>
      </x:c>
      <x:c r="N162" s="24" t="str">
        <x:f t="array" ref="N162">INDEX('MATCH INFO'!O:O, INT((ROW()-2)/10)+2 + 92)</x:f>
        <x:v>260627_CB_FLC_S3</x:v>
      </x:c>
    </x:row>
    <x:row r="163">
      <x:c r="A163" s="23" t="s">
        <x:v>31</x:v>
      </x:c>
      <x:c r="B163" s="23" t="s">
        <x:v>33</x:v>
      </x:c>
      <x:c r="C163" s="23" t="s">
        <x:v>8</x:v>
      </x:c>
      <x:c r="D163" s="23" t="s">
        <x:v>113</x:v>
      </x:c>
      <x:c r="E163" s="23" t="s">
        <x:v>188</x:v>
      </x:c>
      <x:c r="F163" s="23">
        <x:v>3</x:v>
      </x:c>
      <x:c r="G163" s="23">
        <x:v>5</x:v>
      </x:c>
      <x:c r="H163" s="23">
        <x:v>2</x:v>
      </x:c>
      <x:c r="I163" s="23">
        <x:v>4239</x:v>
      </x:c>
      <x:c r="J163" s="23">
        <x:v>1031</x:v>
      </x:c>
      <x:c r="K163" s="23">
        <x:v>6069</x:v>
      </x:c>
      <x:c r="L163" s="23" t="s">
        <x:v>292</x:v>
      </x:c>
      <x:c r="M163" s="23">
        <x:f t="shared" si="2"/>
        <x:v>283</x:v>
      </x:c>
      <x:c r="N163" s="24" t="str">
        <x:f t="array" ref="N163">INDEX('MATCH INFO'!O:O, INT((ROW()-2)/10)+2 + 92)</x:f>
        <x:v>260627_CB_FLC_S3</x:v>
      </x:c>
    </x:row>
    <x:row r="164">
      <x:c r="A164" s="23" t="s">
        <x:v>31</x:v>
      </x:c>
      <x:c r="B164" s="23" t="s">
        <x:v>35</x:v>
      </x:c>
      <x:c r="C164" s="23" t="s">
        <x:v>11</x:v>
      </x:c>
      <x:c r="D164" s="23" t="s">
        <x:v>113</x:v>
      </x:c>
      <x:c r="E164" s="23" t="s">
        <x:v>188</x:v>
      </x:c>
      <x:c r="F164" s="23">
        <x:v>2</x:v>
      </x:c>
      <x:c r="G164" s="23">
        <x:v>6</x:v>
      </x:c>
      <x:c r="H164" s="23">
        <x:v>0</x:v>
      </x:c>
      <x:c r="I164" s="23">
        <x:v>3205</x:v>
      </x:c>
      <x:c r="J164" s="23">
        <x:v>0</x:v>
      </x:c>
      <x:c r="K164" s="23">
        <x:v>255</x:v>
      </x:c>
      <x:c r="L164" s="23" t="s">
        <x:v>292</x:v>
      </x:c>
      <x:c r="M164" s="23">
        <x:f t="shared" si="2"/>
        <x:v>283</x:v>
      </x:c>
      <x:c r="N164" s="24" t="str">
        <x:f t="array" ref="N164">INDEX('MATCH INFO'!O:O, INT((ROW()-2)/10)+2 + 92)</x:f>
        <x:v>260627_CB_FLC_S3</x:v>
      </x:c>
    </x:row>
    <x:row r="165">
      <x:c r="A165" s="23" t="s">
        <x:v>31</x:v>
      </x:c>
      <x:c r="B165" s="23" t="s">
        <x:v>36</x:v>
      </x:c>
      <x:c r="C165" s="23" t="s">
        <x:v>16</x:v>
      </x:c>
      <x:c r="D165" s="23" t="s">
        <x:v>113</x:v>
      </x:c>
      <x:c r="E165" s="23" t="s">
        <x:v>188</x:v>
      </x:c>
      <x:c r="F165" s="23">
        <x:v>2</x:v>
      </x:c>
      <x:c r="G165" s="23">
        <x:v>5</x:v>
      </x:c>
      <x:c r="H165" s="23">
        <x:v>3</x:v>
      </x:c>
      <x:c r="I165" s="23">
        <x:v>1346</x:v>
      </x:c>
      <x:c r="J165" s="23">
        <x:v>3360</x:v>
      </x:c>
      <x:c r="K165" s="23">
        <x:v>246</x:v>
      </x:c>
      <x:c r="L165" s="23" t="s">
        <x:v>292</x:v>
      </x:c>
      <x:c r="M165" s="23">
        <x:f t="shared" si="2"/>
        <x:v>283</x:v>
      </x:c>
      <x:c r="N165" s="24" t="str">
        <x:f t="array" ref="N165">INDEX('MATCH INFO'!O:O, INT((ROW()-2)/10)+2 + 92)</x:f>
        <x:v>260627_CB_FLC_S3</x:v>
      </x:c>
    </x:row>
    <x:row r="166">
      <x:c r="A166" s="23" t="s">
        <x:v>31</x:v>
      </x:c>
      <x:c r="B166" s="23" t="s">
        <x:v>37</x:v>
      </x:c>
      <x:c r="C166" s="23" t="s">
        <x:v>16</x:v>
      </x:c>
      <x:c r="D166" s="23" t="s">
        <x:v>113</x:v>
      </x:c>
      <x:c r="E166" s="23" t="s">
        <x:v>188</x:v>
      </x:c>
      <x:c r="F166" s="23">
        <x:v>2</x:v>
      </x:c>
      <x:c r="G166" s="23">
        <x:v>5</x:v>
      </x:c>
      <x:c r="H166" s="23">
        <x:v>2</x:v>
      </x:c>
      <x:c r="I166" s="23">
        <x:v>2653</x:v>
      </x:c>
      <x:c r="J166" s="23">
        <x:v>6231</x:v>
      </x:c>
      <x:c r="K166" s="23">
        <x:v>0</x:v>
      </x:c>
      <x:c r="L166" s="23" t="s">
        <x:v>292</x:v>
      </x:c>
      <x:c r="M166" s="23">
        <x:f t="shared" si="2"/>
        <x:v>283</x:v>
      </x:c>
      <x:c r="N166" s="24" t="str">
        <x:f t="array" ref="N166">INDEX('MATCH INFO'!O:O, INT((ROW()-2)/10)+2 + 92)</x:f>
        <x:v>260627_CB_FLC_S3</x:v>
      </x:c>
    </x:row>
    <x:row r="167">
      <x:c r="A167" s="23" t="s">
        <x:v>72</x:v>
      </x:c>
      <x:c r="B167" s="23" t="s">
        <x:v>78</x:v>
      </x:c>
      <x:c r="C167" s="23" t="s">
        <x:v>16</x:v>
      </x:c>
      <x:c r="D167" s="23" t="s">
        <x:v>113</x:v>
      </x:c>
      <x:c r="E167" s="23" t="s">
        <x:v>188</x:v>
      </x:c>
      <x:c r="F167" s="23">
        <x:v>10</x:v>
      </x:c>
      <x:c r="G167" s="23">
        <x:v>0</x:v>
      </x:c>
      <x:c r="H167" s="23">
        <x:v>11</x:v>
      </x:c>
      <x:c r="I167" s="23">
        <x:v>1694</x:v>
      </x:c>
      <x:c r="J167" s="23">
        <x:v>6280</x:v>
      </x:c>
      <x:c r="K167" s="23">
        <x:v>0</x:v>
      </x:c>
      <x:c r="L167" s="23" t="s">
        <x:v>292</x:v>
      </x:c>
      <x:c r="M167" s="23">
        <x:f t="shared" si="2"/>
        <x:v>283</x:v>
      </x:c>
      <x:c r="N167" s="24" t="str">
        <x:f t="array" ref="N167">INDEX('MATCH INFO'!O:O, INT((ROW()-2)/10)+2 + 92)</x:f>
        <x:v>260627_CB_FLC_S3</x:v>
      </x:c>
    </x:row>
    <x:row r="168">
      <x:c r="A168" s="23" t="s">
        <x:v>72</x:v>
      </x:c>
      <x:c r="B168" s="23" t="s">
        <x:v>79</x:v>
      </x:c>
      <x:c r="C168" s="23" t="s">
        <x:v>16</x:v>
      </x:c>
      <x:c r="D168" s="23" t="s">
        <x:v>113</x:v>
      </x:c>
      <x:c r="E168" s="23" t="s">
        <x:v>188</x:v>
      </x:c>
      <x:c r="F168" s="23">
        <x:v>10</x:v>
      </x:c>
      <x:c r="G168" s="23">
        <x:v>0</x:v>
      </x:c>
      <x:c r="H168" s="23">
        <x:v>20</x:v>
      </x:c>
      <x:c r="I168" s="23">
        <x:v>2015</x:v>
      </x:c>
      <x:c r="J168" s="23">
        <x:v>5526</x:v>
      </x:c>
      <x:c r="K168" s="23">
        <x:v>0</x:v>
      </x:c>
      <x:c r="L168" s="23" t="s">
        <x:v>292</x:v>
      </x:c>
      <x:c r="M168" s="23">
        <x:f t="shared" si="2"/>
        <x:v>283</x:v>
      </x:c>
      <x:c r="N168" s="24" t="str">
        <x:f t="array" ref="N168">INDEX('MATCH INFO'!O:O, INT((ROW()-2)/10)+2 + 92)</x:f>
        <x:v>260627_CB_FLC_S3</x:v>
      </x:c>
    </x:row>
    <x:row r="169">
      <x:c r="A169" s="23" t="s">
        <x:v>72</x:v>
      </x:c>
      <x:c r="B169" s="23" t="s">
        <x:v>74</x:v>
      </x:c>
      <x:c r="C169" s="23" t="s">
        <x:v>8</x:v>
      </x:c>
      <x:c r="D169" s="23" t="s">
        <x:v>113</x:v>
      </x:c>
      <x:c r="E169" s="23" t="s">
        <x:v>188</x:v>
      </x:c>
      <x:c r="F169" s="23">
        <x:v>15</x:v>
      </x:c>
      <x:c r="G169" s="23">
        <x:v>0</x:v>
      </x:c>
      <x:c r="H169" s="23">
        <x:v>7</x:v>
      </x:c>
      <x:c r="I169" s="23">
        <x:v>3302</x:v>
      </x:c>
      <x:c r="J169" s="23">
        <x:v>700</x:v>
      </x:c>
      <x:c r="K169" s="23">
        <x:v>9021</x:v>
      </x:c>
      <x:c r="L169" s="23" t="s">
        <x:v>292</x:v>
      </x:c>
      <x:c r="M169" s="23">
        <x:f t="shared" si="2"/>
        <x:v>283</x:v>
      </x:c>
      <x:c r="N169" s="24" t="str">
        <x:f t="array" ref="N169">INDEX('MATCH INFO'!O:O, INT((ROW()-2)/10)+2 + 92)</x:f>
        <x:v>260627_CB_FLC_S3</x:v>
      </x:c>
    </x:row>
    <x:row r="170">
      <x:c r="A170" s="23" t="s">
        <x:v>72</x:v>
      </x:c>
      <x:c r="B170" s="23" t="s">
        <x:v>77</x:v>
      </x:c>
      <x:c r="C170" s="23" t="s">
        <x:v>11</x:v>
      </x:c>
      <x:c r="D170" s="23" t="s">
        <x:v>113</x:v>
      </x:c>
      <x:c r="E170" s="23" t="s">
        <x:v>188</x:v>
      </x:c>
      <x:c r="F170" s="23">
        <x:v>17</x:v>
      </x:c>
      <x:c r="G170" s="23">
        <x:v>2</x:v>
      </x:c>
      <x:c r="H170" s="23">
        <x:v>3</x:v>
      </x:c>
      <x:c r="I170" s="23">
        <x:v>8030</x:v>
      </x:c>
      <x:c r="J170" s="23">
        <x:v>21</x:v>
      </x:c>
      <x:c r="K170" s="23">
        <x:v>798</x:v>
      </x:c>
      <x:c r="L170" s="23" t="s">
        <x:v>292</x:v>
      </x:c>
      <x:c r="M170" s="23">
        <x:f t="shared" si="2"/>
        <x:v>283</x:v>
      </x:c>
      <x:c r="N170" s="24" t="str">
        <x:f t="array" ref="N170">INDEX('MATCH INFO'!O:O, INT((ROW()-2)/10)+2 + 92)</x:f>
        <x:v>260627_CB_FLC_S3</x:v>
      </x:c>
    </x:row>
    <x:row r="171">
      <x:c r="A171" s="23" t="s">
        <x:v>72</x:v>
      </x:c>
      <x:c r="B171" s="23" t="s">
        <x:v>75</x:v>
      </x:c>
      <x:c r="C171" s="23" t="s">
        <x:v>11</x:v>
      </x:c>
      <x:c r="D171" s="23" t="s">
        <x:v>113</x:v>
      </x:c>
      <x:c r="E171" s="23" t="s">
        <x:v>188</x:v>
      </x:c>
      <x:c r="F171" s="23">
        <x:v>21</x:v>
      </x:c>
      <x:c r="G171" s="23">
        <x:v>1</x:v>
      </x:c>
      <x:c r="H171" s="23">
        <x:v>2</x:v>
      </x:c>
      <x:c r="I171" s="23">
        <x:v>7342</x:v>
      </x:c>
      <x:c r="J171" s="23">
        <x:v>0</x:v>
      </x:c>
      <x:c r="K171" s="23">
        <x:v>72</x:v>
      </x:c>
      <x:c r="L171" s="23" t="s">
        <x:v>292</x:v>
      </x:c>
      <x:c r="M171" s="23">
        <x:f t="shared" si="2"/>
        <x:v>283</x:v>
      </x:c>
      <x:c r="N171" s="24" t="str">
        <x:f t="array" ref="N171">INDEX('MATCH INFO'!O:O, INT((ROW()-2)/10)+2 + 92)</x:f>
        <x:v>260627_CB_FLC_S3</x:v>
      </x:c>
    </x:row>
    <x:row r="172">
      <x:c r="A172" s="23" t="s">
        <x:v>81</x:v>
      </x:c>
      <x:c r="B172" s="23" t="s">
        <x:v>84</x:v>
      </x:c>
      <x:c r="C172" s="23" t="s">
        <x:v>11</x:v>
      </x:c>
      <x:c r="D172" s="23" t="s">
        <x:v>107</x:v>
      </x:c>
      <x:c r="E172" s="23" t="s">
        <x:v>184</x:v>
      </x:c>
      <x:c r="F172" s="23">
        <x:v>2</x:v>
      </x:c>
      <x:c r="G172" s="23">
        <x:v>7</x:v>
      </x:c>
      <x:c r="H172" s="23">
        <x:v>0</x:v>
      </x:c>
      <x:c r="I172" s="23">
        <x:v>5603</x:v>
      </x:c>
      <x:c r="J172" s="23">
        <x:v>747</x:v>
      </x:c>
      <x:c r="K172" s="23">
        <x:v>3325</x:v>
      </x:c>
      <x:c r="L172" s="23" t="s">
        <x:v>293</x:v>
      </x:c>
      <x:c r="M172" s="23">
        <x:f t="shared" si="2"/>
        <x:v>306</x:v>
      </x:c>
      <x:c r="N172" s="24" t="str">
        <x:f t="array" ref="N172">INDEX('MATCH INFO'!O:O, INT((ROW()-2)/10)+2 + 92)</x:f>
        <x:v>260627_SB_CR_S1</x:v>
      </x:c>
    </x:row>
    <x:row r="173">
      <x:c r="A173" s="23" t="s">
        <x:v>81</x:v>
      </x:c>
      <x:c r="B173" s="23" t="s">
        <x:v>82</x:v>
      </x:c>
      <x:c r="C173" s="23" t="s">
        <x:v>8</x:v>
      </x:c>
      <x:c r="D173" s="23" t="s">
        <x:v>107</x:v>
      </x:c>
      <x:c r="E173" s="23" t="s">
        <x:v>184</x:v>
      </x:c>
      <x:c r="F173" s="23">
        <x:v>4</x:v>
      </x:c>
      <x:c r="G173" s="23">
        <x:v>4</x:v>
      </x:c>
      <x:c r="H173" s="23">
        <x:v>1</x:v>
      </x:c>
      <x:c r="I173" s="23">
        <x:v>5206</x:v>
      </x:c>
      <x:c r="J173" s="23">
        <x:v>1056</x:v>
      </x:c>
      <x:c r="K173" s="23">
        <x:v>8595</x:v>
      </x:c>
      <x:c r="L173" s="23" t="s">
        <x:v>293</x:v>
      </x:c>
      <x:c r="M173" s="23">
        <x:f t="shared" si="2"/>
        <x:v>306</x:v>
      </x:c>
      <x:c r="N173" s="24" t="str">
        <x:f t="array" ref="N173">INDEX('MATCH INFO'!O:O, INT((ROW()-2)/10)+2 + 92)</x:f>
        <x:v>260627_SB_CR_S1</x:v>
      </x:c>
    </x:row>
    <x:row r="174">
      <x:c r="A174" s="23" t="s">
        <x:v>81</x:v>
      </x:c>
      <x:c r="B174" s="23" t="s">
        <x:v>86</x:v>
      </x:c>
      <x:c r="C174" s="23" t="s">
        <x:v>16</x:v>
      </x:c>
      <x:c r="D174" s="23" t="s">
        <x:v>107</x:v>
      </x:c>
      <x:c r="E174" s="23" t="s">
        <x:v>184</x:v>
      </x:c>
      <x:c r="F174" s="23">
        <x:v>3</x:v>
      </x:c>
      <x:c r="G174" s="23">
        <x:v>5</x:v>
      </x:c>
      <x:c r="H174" s="23">
        <x:v>7</x:v>
      </x:c>
      <x:c r="I174" s="23">
        <x:v>1874</x:v>
      </x:c>
      <x:c r="J174" s="23">
        <x:v>5498</x:v>
      </x:c>
      <x:c r="K174" s="23">
        <x:v>0</x:v>
      </x:c>
      <x:c r="L174" s="23" t="s">
        <x:v>293</x:v>
      </x:c>
      <x:c r="M174" s="23">
        <x:f t="shared" si="2"/>
        <x:v>306</x:v>
      </x:c>
      <x:c r="N174" s="24" t="str">
        <x:f t="array" ref="N174">INDEX('MATCH INFO'!O:O, INT((ROW()-2)/10)+2 + 92)</x:f>
        <x:v>260627_SB_CR_S1</x:v>
      </x:c>
    </x:row>
    <x:row r="175">
      <x:c r="A175" s="23" t="s">
        <x:v>81</x:v>
      </x:c>
      <x:c r="B175" s="23" t="s">
        <x:v>85</x:v>
      </x:c>
      <x:c r="C175" s="23" t="s">
        <x:v>11</x:v>
      </x:c>
      <x:c r="D175" s="23" t="s">
        <x:v>107</x:v>
      </x:c>
      <x:c r="E175" s="23" t="s">
        <x:v>184</x:v>
      </x:c>
      <x:c r="F175" s="23">
        <x:v>8</x:v>
      </x:c>
      <x:c r="G175" s="23">
        <x:v>4</x:v>
      </x:c>
      <x:c r="H175" s="23">
        <x:v>2</x:v>
      </x:c>
      <x:c r="I175" s="23">
        <x:v>8236</x:v>
      </x:c>
      <x:c r="J175" s="23">
        <x:v>86</x:v>
      </x:c>
      <x:c r="K175" s="23">
        <x:v>934</x:v>
      </x:c>
      <x:c r="L175" s="23" t="s">
        <x:v>293</x:v>
      </x:c>
      <x:c r="M175" s="23">
        <x:f t="shared" si="2"/>
        <x:v>306</x:v>
      </x:c>
      <x:c r="N175" s="24" t="str">
        <x:f t="array" ref="N175">INDEX('MATCH INFO'!O:O, INT((ROW()-2)/10)+2 + 92)</x:f>
        <x:v>260627_SB_CR_S1</x:v>
      </x:c>
    </x:row>
    <x:row r="176">
      <x:c r="A176" s="23" t="s">
        <x:v>81</x:v>
      </x:c>
      <x:c r="B176" s="23" t="s">
        <x:v>88</x:v>
      </x:c>
      <x:c r="C176" s="23" t="s">
        <x:v>16</x:v>
      </x:c>
      <x:c r="D176" s="23" t="s">
        <x:v>107</x:v>
      </x:c>
      <x:c r="E176" s="23" t="s">
        <x:v>184</x:v>
      </x:c>
      <x:c r="F176" s="23">
        <x:v>1</x:v>
      </x:c>
      <x:c r="G176" s="23">
        <x:v>8</x:v>
      </x:c>
      <x:c r="H176" s="23">
        <x:v>4</x:v>
      </x:c>
      <x:c r="I176" s="23">
        <x:v>2787</x:v>
      </x:c>
      <x:c r="J176" s="23">
        <x:v>9771</x:v>
      </x:c>
      <x:c r="K176" s="23">
        <x:v>0</x:v>
      </x:c>
      <x:c r="L176" s="23" t="s">
        <x:v>293</x:v>
      </x:c>
      <x:c r="M176" s="23">
        <x:f t="shared" si="2"/>
        <x:v>306</x:v>
      </x:c>
      <x:c r="N176" s="24" t="str">
        <x:f t="array" ref="N176">INDEX('MATCH INFO'!O:O, INT((ROW()-2)/10)+2 + 92)</x:f>
        <x:v>260627_SB_CR_S1</x:v>
      </x:c>
    </x:row>
    <x:row r="177">
      <x:c r="A177" s="23" t="s">
        <x:v>55</x:v>
      </x:c>
      <x:c r="B177" s="23" t="s">
        <x:v>61</x:v>
      </x:c>
      <x:c r="C177" s="23" t="s">
        <x:v>16</x:v>
      </x:c>
      <x:c r="D177" s="23" t="s">
        <x:v>107</x:v>
      </x:c>
      <x:c r="E177" s="23" t="s">
        <x:v>184</x:v>
      </x:c>
      <x:c r="F177" s="23">
        <x:v>14</x:v>
      </x:c>
      <x:c r="G177" s="23">
        <x:v>2</x:v>
      </x:c>
      <x:c r="H177" s="23">
        <x:v>11</x:v>
      </x:c>
      <x:c r="I177" s="23">
        <x:v>4563</x:v>
      </x:c>
      <x:c r="J177" s="23">
        <x:v>4336</x:v>
      </x:c>
      <x:c r="K177" s="23">
        <x:v>0</x:v>
      </x:c>
      <x:c r="L177" s="23" t="s">
        <x:v>293</x:v>
      </x:c>
      <x:c r="M177" s="23">
        <x:f t="shared" si="2"/>
        <x:v>306</x:v>
      </x:c>
      <x:c r="N177" s="24" t="str">
        <x:f t="array" ref="N177">INDEX('MATCH INFO'!O:O, INT((ROW()-2)/10)+2 + 92)</x:f>
        <x:v>260627_SB_CR_S1</x:v>
      </x:c>
    </x:row>
    <x:row r="178">
      <x:c r="A178" s="23" t="s">
        <x:v>55</x:v>
      </x:c>
      <x:c r="B178" s="23" t="s">
        <x:v>59</x:v>
      </x:c>
      <x:c r="C178" s="23" t="s">
        <x:v>11</x:v>
      </x:c>
      <x:c r="D178" s="23" t="s">
        <x:v>107</x:v>
      </x:c>
      <x:c r="E178" s="23" t="s">
        <x:v>184</x:v>
      </x:c>
      <x:c r="F178" s="23">
        <x:v>14</x:v>
      </x:c>
      <x:c r="G178" s="23">
        <x:v>3</x:v>
      </x:c>
      <x:c r="H178" s="23">
        <x:v>0</x:v>
      </x:c>
      <x:c r="I178" s="23">
        <x:v>9074</x:v>
      </x:c>
      <x:c r="J178" s="23">
        <x:v>0</x:v>
      </x:c>
      <x:c r="K178" s="23">
        <x:v>635</x:v>
      </x:c>
      <x:c r="L178" s="23" t="s">
        <x:v>293</x:v>
      </x:c>
      <x:c r="M178" s="23">
        <x:f t="shared" si="2"/>
        <x:v>306</x:v>
      </x:c>
      <x:c r="N178" s="24" t="str">
        <x:f t="array" ref="N178">INDEX('MATCH INFO'!O:O, INT((ROW()-2)/10)+2 + 92)</x:f>
        <x:v>260627_SB_CR_S1</x:v>
      </x:c>
    </x:row>
    <x:row r="179">
      <x:c r="A179" s="23" t="s">
        <x:v>55</x:v>
      </x:c>
      <x:c r="B179" s="23" t="s">
        <x:v>57</x:v>
      </x:c>
      <x:c r="C179" s="23" t="s">
        <x:v>8</x:v>
      </x:c>
      <x:c r="D179" s="23" t="s">
        <x:v>107</x:v>
      </x:c>
      <x:c r="E179" s="23" t="s">
        <x:v>184</x:v>
      </x:c>
      <x:c r="F179" s="23">
        <x:v>16</x:v>
      </x:c>
      <x:c r="G179" s="23">
        <x:v>2</x:v>
      </x:c>
      <x:c r="H179" s="23">
        <x:v>6</x:v>
      </x:c>
      <x:c r="I179" s="23">
        <x:v>6942</x:v>
      </x:c>
      <x:c r="J179" s="23">
        <x:v>870</x:v>
      </x:c>
      <x:c r="K179" s="23">
        <x:v>7642</x:v>
      </x:c>
      <x:c r="L179" s="23" t="s">
        <x:v>293</x:v>
      </x:c>
      <x:c r="M179" s="23">
        <x:f t="shared" si="2"/>
        <x:v>306</x:v>
      </x:c>
      <x:c r="N179" s="24" t="str">
        <x:f t="array" ref="N179">INDEX('MATCH INFO'!O:O, INT((ROW()-2)/10)+2 + 92)</x:f>
        <x:v>260627_SB_CR_S1</x:v>
      </x:c>
    </x:row>
    <x:row r="180">
      <x:c r="A180" s="23" t="s">
        <x:v>55</x:v>
      </x:c>
      <x:c r="B180" s="23" t="s">
        <x:v>60</x:v>
      </x:c>
      <x:c r="C180" s="23" t="s">
        <x:v>11</x:v>
      </x:c>
      <x:c r="D180" s="23" t="s">
        <x:v>107</x:v>
      </x:c>
      <x:c r="E180" s="23" t="s">
        <x:v>184</x:v>
      </x:c>
      <x:c r="F180" s="23">
        <x:v>19</x:v>
      </x:c>
      <x:c r="G180" s="23">
        <x:v>0</x:v>
      </x:c>
      <x:c r="H180" s="23">
        <x:v>1</x:v>
      </x:c>
      <x:c r="I180" s="23">
        <x:v>10072</x:v>
      </x:c>
      <x:c r="J180" s="23">
        <x:v>29</x:v>
      </x:c>
      <x:c r="K180" s="23">
        <x:v>227</x:v>
      </x:c>
      <x:c r="L180" s="23" t="s">
        <x:v>293</x:v>
      </x:c>
      <x:c r="M180" s="23">
        <x:f t="shared" si="2"/>
        <x:v>306</x:v>
      </x:c>
      <x:c r="N180" s="24" t="str">
        <x:f t="array" ref="N180">INDEX('MATCH INFO'!O:O, INT((ROW()-2)/10)+2 + 92)</x:f>
        <x:v>260627_SB_CR_S1</x:v>
      </x:c>
    </x:row>
    <x:row r="181">
      <x:c r="A181" s="23" t="s">
        <x:v>55</x:v>
      </x:c>
      <x:c r="B181" s="23" t="s">
        <x:v>62</x:v>
      </x:c>
      <x:c r="C181" s="23" t="s">
        <x:v>16</x:v>
      </x:c>
      <x:c r="D181" s="23" t="s">
        <x:v>107</x:v>
      </x:c>
      <x:c r="E181" s="23" t="s">
        <x:v>184</x:v>
      </x:c>
      <x:c r="F181" s="23">
        <x:v>6</x:v>
      </x:c>
      <x:c r="G181" s="23">
        <x:v>1</x:v>
      </x:c>
      <x:c r="H181" s="23">
        <x:v>15</x:v>
      </x:c>
      <x:c r="I181" s="23">
        <x:v>3307</x:v>
      </x:c>
      <x:c r="J181" s="23">
        <x:v>8310</x:v>
      </x:c>
      <x:c r="K181" s="23">
        <x:v>0</x:v>
      </x:c>
      <x:c r="L181" s="23" t="s">
        <x:v>293</x:v>
      </x:c>
      <x:c r="M181" s="23">
        <x:f t="shared" si="2"/>
        <x:v>306</x:v>
      </x:c>
      <x:c r="N181" s="24" t="str">
        <x:f t="array" ref="N181">INDEX('MATCH INFO'!O:O, INT((ROW()-2)/10)+2 + 92)</x:f>
        <x:v>260627_SB_CR_S1</x:v>
      </x:c>
    </x:row>
    <x:row r="182">
      <x:c r="A182" s="23" t="s">
        <x:v>81</x:v>
      </x:c>
      <x:c r="B182" s="23" t="s">
        <x:v>87</x:v>
      </x:c>
      <x:c r="C182" s="23" t="s">
        <x:v>16</x:v>
      </x:c>
      <x:c r="D182" s="23" t="s">
        <x:v>124</x:v>
      </x:c>
      <x:c r="E182" s="23" t="s">
        <x:v>186</x:v>
      </x:c>
      <x:c r="F182" s="23">
        <x:v>11</x:v>
      </x:c>
      <x:c r="G182" s="23">
        <x:v>8</x:v>
      </x:c>
      <x:c r="H182" s="23">
        <x:v>10</x:v>
      </x:c>
      <x:c r="I182" s="23">
        <x:v>5406</x:v>
      </x:c>
      <x:c r="J182" s="23">
        <x:v>9650</x:v>
      </x:c>
      <x:c r="K182" s="23">
        <x:v>1978</x:v>
      </x:c>
      <x:c r="L182" s="23" t="s">
        <x:v>294</x:v>
      </x:c>
      <x:c r="M182" s="23">
        <x:f t="shared" si="2"/>
        <x:v>605</x:v>
      </x:c>
      <x:c r="N182" s="24" t="str">
        <x:f t="array" ref="N182">INDEX('MATCH INFO'!O:O, INT((ROW()-2)/10)+2 + 92)</x:f>
        <x:v>260627_SB_CR_S2</x:v>
      </x:c>
    </x:row>
    <x:row r="183">
      <x:c r="A183" s="23" t="s">
        <x:v>81</x:v>
      </x:c>
      <x:c r="B183" s="23" t="s">
        <x:v>83</x:v>
      </x:c>
      <x:c r="C183" s="23" t="s">
        <x:v>8</x:v>
      </x:c>
      <x:c r="D183" s="23" t="s">
        <x:v>124</x:v>
      </x:c>
      <x:c r="E183" s="23" t="s">
        <x:v>186</x:v>
      </x:c>
      <x:c r="F183" s="23">
        <x:v>11</x:v>
      </x:c>
      <x:c r="G183" s="23">
        <x:v>7</x:v>
      </x:c>
      <x:c r="H183" s="23">
        <x:v>4</x:v>
      </x:c>
      <x:c r="I183" s="23">
        <x:v>10568</x:v>
      </x:c>
      <x:c r="J183" s="23">
        <x:v>1764</x:v>
      </x:c>
      <x:c r="K183" s="23">
        <x:v>7680</x:v>
      </x:c>
      <x:c r="L183" s="23" t="s">
        <x:v>294</x:v>
      </x:c>
      <x:c r="M183" s="23">
        <x:f t="shared" si="2"/>
        <x:v>605</x:v>
      </x:c>
      <x:c r="N183" s="24" t="str">
        <x:f t="array" ref="N183">INDEX('MATCH INFO'!O:O, INT((ROW()-2)/10)+2 + 92)</x:f>
        <x:v>260627_SB_CR_S2</x:v>
      </x:c>
    </x:row>
    <x:row r="184">
      <x:c r="A184" s="23" t="s">
        <x:v>81</x:v>
      </x:c>
      <x:c r="B184" s="23" t="s">
        <x:v>86</x:v>
      </x:c>
      <x:c r="C184" s="23" t="s">
        <x:v>16</x:v>
      </x:c>
      <x:c r="D184" s="23" t="s">
        <x:v>124</x:v>
      </x:c>
      <x:c r="E184" s="23" t="s">
        <x:v>186</x:v>
      </x:c>
      <x:c r="F184" s="23">
        <x:v>13</x:v>
      </x:c>
      <x:c r="G184" s="23">
        <x:v>6</x:v>
      </x:c>
      <x:c r="H184" s="23">
        <x:v>4</x:v>
      </x:c>
      <x:c r="I184" s="23">
        <x:v>9038</x:v>
      </x:c>
      <x:c r="J184" s="23">
        <x:v>501</x:v>
      </x:c>
      <x:c r="K184" s="23">
        <x:v>4426</x:v>
      </x:c>
      <x:c r="L184" s="23" t="s">
        <x:v>294</x:v>
      </x:c>
      <x:c r="M184" s="23">
        <x:f t="shared" si="2"/>
        <x:v>605</x:v>
      </x:c>
      <x:c r="N184" s="24" t="str">
        <x:f t="array" ref="N184">INDEX('MATCH INFO'!O:O, INT((ROW()-2)/10)+2 + 92)</x:f>
        <x:v>260627_SB_CR_S2</x:v>
      </x:c>
    </x:row>
    <x:row r="185">
      <x:c r="A185" s="23" t="s">
        <x:v>81</x:v>
      </x:c>
      <x:c r="B185" s="23" t="s">
        <x:v>85</x:v>
      </x:c>
      <x:c r="C185" s="23" t="s">
        <x:v>11</x:v>
      </x:c>
      <x:c r="D185" s="23" t="s">
        <x:v>124</x:v>
      </x:c>
      <x:c r="E185" s="23" t="s">
        <x:v>186</x:v>
      </x:c>
      <x:c r="F185" s="23">
        <x:v>11</x:v>
      </x:c>
      <x:c r="G185" s="23">
        <x:v>13</x:v>
      </x:c>
      <x:c r="H185" s="23">
        <x:v>0</x:v>
      </x:c>
      <x:c r="I185" s="23">
        <x:v>8382</x:v>
      </x:c>
      <x:c r="J185" s="23">
        <x:v>0</x:v>
      </x:c>
      <x:c r="K185" s="23">
        <x:v>40</x:v>
      </x:c>
      <x:c r="L185" s="23" t="s">
        <x:v>294</x:v>
      </x:c>
      <x:c r="M185" s="23">
        <x:f t="shared" si="2"/>
        <x:v>605</x:v>
      </x:c>
      <x:c r="N185" s="24" t="str">
        <x:f t="array" ref="N185">INDEX('MATCH INFO'!O:O, INT((ROW()-2)/10)+2 + 92)</x:f>
        <x:v>260627_SB_CR_S2</x:v>
      </x:c>
    </x:row>
    <x:row r="186">
      <x:c r="A186" s="23" t="s">
        <x:v>81</x:v>
      </x:c>
      <x:c r="B186" s="23" t="s">
        <x:v>88</x:v>
      </x:c>
      <x:c r="C186" s="23" t="s">
        <x:v>16</x:v>
      </x:c>
      <x:c r="D186" s="23" t="s">
        <x:v>124</x:v>
      </x:c>
      <x:c r="E186" s="23" t="s">
        <x:v>186</x:v>
      </x:c>
      <x:c r="F186" s="23">
        <x:v>8</x:v>
      </x:c>
      <x:c r="G186" s="23">
        <x:v>7</x:v>
      </x:c>
      <x:c r="H186" s="23">
        <x:v>15</x:v>
      </x:c>
      <x:c r="I186" s="23">
        <x:v>3867</x:v>
      </x:c>
      <x:c r="J186" s="23">
        <x:v>10696</x:v>
      </x:c>
      <x:c r="K186" s="23">
        <x:v>0</x:v>
      </x:c>
      <x:c r="L186" s="23" t="s">
        <x:v>294</x:v>
      </x:c>
      <x:c r="M186" s="23">
        <x:f t="shared" si="2"/>
        <x:v>605</x:v>
      </x:c>
      <x:c r="N186" s="24" t="str">
        <x:f t="array" ref="N186">INDEX('MATCH INFO'!O:O, INT((ROW()-2)/10)+2 + 92)</x:f>
        <x:v>260627_SB_CR_S2</x:v>
      </x:c>
    </x:row>
    <x:row r="187">
      <x:c r="A187" s="23" t="s">
        <x:v>55</x:v>
      </x:c>
      <x:c r="B187" s="23" t="s">
        <x:v>61</x:v>
      </x:c>
      <x:c r="C187" s="23" t="s">
        <x:v>16</x:v>
      </x:c>
      <x:c r="D187" s="23" t="s">
        <x:v>124</x:v>
      </x:c>
      <x:c r="E187" s="23" t="s">
        <x:v>186</x:v>
      </x:c>
      <x:c r="F187" s="23">
        <x:v>22</x:v>
      </x:c>
      <x:c r="G187" s="23">
        <x:v>2</x:v>
      </x:c>
      <x:c r="H187" s="23">
        <x:v>24</x:v>
      </x:c>
      <x:c r="I187" s="23">
        <x:v>6379</x:v>
      </x:c>
      <x:c r="J187" s="23">
        <x:v>7846</x:v>
      </x:c>
      <x:c r="K187" s="23">
        <x:v>2131</x:v>
      </x:c>
      <x:c r="L187" s="23" t="s">
        <x:v>294</x:v>
      </x:c>
      <x:c r="M187" s="23">
        <x:f t="shared" si="2"/>
        <x:v>605</x:v>
      </x:c>
      <x:c r="N187" s="24" t="str">
        <x:f t="array" ref="N187">INDEX('MATCH INFO'!O:O, INT((ROW()-2)/10)+2 + 92)</x:f>
        <x:v>260627_SB_CR_S2</x:v>
      </x:c>
    </x:row>
    <x:row r="188">
      <x:c r="A188" s="23" t="s">
        <x:v>55</x:v>
      </x:c>
      <x:c r="B188" s="23" t="s">
        <x:v>59</x:v>
      </x:c>
      <x:c r="C188" s="23" t="s">
        <x:v>11</x:v>
      </x:c>
      <x:c r="D188" s="23" t="s">
        <x:v>124</x:v>
      </x:c>
      <x:c r="E188" s="23" t="s">
        <x:v>186</x:v>
      </x:c>
      <x:c r="F188" s="23">
        <x:v>20</x:v>
      </x:c>
      <x:c r="G188" s="23">
        <x:v>5</x:v>
      </x:c>
      <x:c r="H188" s="23">
        <x:v>0</x:v>
      </x:c>
      <x:c r="I188" s="23">
        <x:v>11192</x:v>
      </x:c>
      <x:c r="J188" s="23">
        <x:v>0</x:v>
      </x:c>
      <x:c r="K188" s="23">
        <x:v>0</x:v>
      </x:c>
      <x:c r="L188" s="23" t="s">
        <x:v>294</x:v>
      </x:c>
      <x:c r="M188" s="23">
        <x:f t="shared" si="2"/>
        <x:v>605</x:v>
      </x:c>
      <x:c r="N188" s="24" t="str">
        <x:f t="array" ref="N188">INDEX('MATCH INFO'!O:O, INT((ROW()-2)/10)+2 + 92)</x:f>
        <x:v>260627_SB_CR_S2</x:v>
      </x:c>
    </x:row>
    <x:row r="189">
      <x:c r="A189" s="23" t="s">
        <x:v>55</x:v>
      </x:c>
      <x:c r="B189" s="23" t="s">
        <x:v>57</x:v>
      </x:c>
      <x:c r="C189" s="23" t="s">
        <x:v>8</x:v>
      </x:c>
      <x:c r="D189" s="23" t="s">
        <x:v>124</x:v>
      </x:c>
      <x:c r="E189" s="23" t="s">
        <x:v>186</x:v>
      </x:c>
      <x:c r="F189" s="23">
        <x:v>24</x:v>
      </x:c>
      <x:c r="G189" s="23">
        <x:v>6</x:v>
      </x:c>
      <x:c r="H189" s="23">
        <x:v>15</x:v>
      </x:c>
      <x:c r="I189" s="23">
        <x:v>9326</x:v>
      </x:c>
      <x:c r="J189" s="23">
        <x:v>1992</x:v>
      </x:c>
      <x:c r="K189" s="23">
        <x:v>4913</x:v>
      </x:c>
      <x:c r="L189" s="23" t="s">
        <x:v>294</x:v>
      </x:c>
      <x:c r="M189" s="23">
        <x:f t="shared" si="2"/>
        <x:v>605</x:v>
      </x:c>
      <x:c r="N189" s="24" t="str">
        <x:f t="array" ref="N189">INDEX('MATCH INFO'!O:O, INT((ROW()-2)/10)+2 + 92)</x:f>
        <x:v>260627_SB_CR_S2</x:v>
      </x:c>
    </x:row>
    <x:row r="190">
      <x:c r="A190" s="23" t="s">
        <x:v>55</x:v>
      </x:c>
      <x:c r="B190" s="23" t="s">
        <x:v>60</x:v>
      </x:c>
      <x:c r="C190" s="23" t="s">
        <x:v>11</x:v>
      </x:c>
      <x:c r="D190" s="23" t="s">
        <x:v>124</x:v>
      </x:c>
      <x:c r="E190" s="23" t="s">
        <x:v>186</x:v>
      </x:c>
      <x:c r="F190" s="23">
        <x:v>29</x:v>
      </x:c>
      <x:c r="G190" s="23">
        <x:v>2</x:v>
      </x:c>
      <x:c r="H190" s="23">
        <x:v>6</x:v>
      </x:c>
      <x:c r="I190" s="23">
        <x:v>9207</x:v>
      </x:c>
      <x:c r="J190" s="23">
        <x:v>387</x:v>
      </x:c>
      <x:c r="K190" s="23">
        <x:v>775</x:v>
      </x:c>
      <x:c r="L190" s="23" t="s">
        <x:v>294</x:v>
      </x:c>
      <x:c r="M190" s="23">
        <x:f t="shared" si="2"/>
        <x:v>605</x:v>
      </x:c>
      <x:c r="N190" s="24" t="str">
        <x:f t="array" ref="N190">INDEX('MATCH INFO'!O:O, INT((ROW()-2)/10)+2 + 92)</x:f>
        <x:v>260627_SB_CR_S2</x:v>
      </x:c>
    </x:row>
    <x:row r="191">
      <x:c r="A191" s="23" t="s">
        <x:v>55</x:v>
      </x:c>
      <x:c r="B191" s="23" t="s">
        <x:v>62</x:v>
      </x:c>
      <x:c r="C191" s="23" t="s">
        <x:v>16</x:v>
      </x:c>
      <x:c r="D191" s="23" t="s">
        <x:v>124</x:v>
      </x:c>
      <x:c r="E191" s="23" t="s">
        <x:v>186</x:v>
      </x:c>
      <x:c r="F191" s="23">
        <x:v>15</x:v>
      </x:c>
      <x:c r="G191" s="23">
        <x:v>5</x:v>
      </x:c>
      <x:c r="H191" s="23">
        <x:v>27</x:v>
      </x:c>
      <x:c r="I191" s="23">
        <x:v>4322</x:v>
      </x:c>
      <x:c r="J191" s="23">
        <x:v>12464</x:v>
      </x:c>
      <x:c r="K191" s="23">
        <x:v>0</x:v>
      </x:c>
      <x:c r="L191" s="23" t="s">
        <x:v>294</x:v>
      </x:c>
      <x:c r="M191" s="23">
        <x:f t="shared" si="2"/>
        <x:v>605</x:v>
      </x:c>
      <x:c r="N191" s="24" t="str">
        <x:f t="array" ref="N191">INDEX('MATCH INFO'!O:O, INT((ROW()-2)/10)+2 + 92)</x:f>
        <x:v>260627_SB_CR_S2</x:v>
      </x:c>
    </x:row>
    <x:row r="192">
      <x:c r="A192" s="23" t="s">
        <x:v>55</x:v>
      </x:c>
      <x:c r="B192" s="23" t="s">
        <x:v>61</x:v>
      </x:c>
      <x:c r="C192" s="23" t="s">
        <x:v>16</x:v>
      </x:c>
      <x:c r="D192" s="23" t="s">
        <x:v>145</x:v>
      </x:c>
      <x:c r="E192" s="23" t="s">
        <x:v>195</x:v>
      </x:c>
      <x:c r="F192" s="23">
        <x:v>12</x:v>
      </x:c>
      <x:c r="G192" s="23">
        <x:v>4</x:v>
      </x:c>
      <x:c r="H192" s="23">
        <x:v>19</x:v>
      </x:c>
      <x:c r="I192" s="23">
        <x:v>5181</x:v>
      </x:c>
      <x:c r="J192" s="23">
        <x:v>6309</x:v>
      </x:c>
      <x:c r="K192" s="23">
        <x:v>361</x:v>
      </x:c>
      <x:c r="L192" s="23" t="s">
        <x:v>288</x:v>
      </x:c>
      <x:c r="M192" s="23">
        <x:f t="shared" si="2"/>
        <x:v>652</x:v>
      </x:c>
      <x:c r="N192" s="24" t="str">
        <x:f t="array" ref="N192">INDEX('MATCH INFO'!O:O, INT((ROW()-2)/10)+2 + 92)</x:f>
        <x:v>260627_SB_CR_S3</x:v>
      </x:c>
    </x:row>
    <x:row r="193">
      <x:c r="A193" s="23" t="s">
        <x:v>55</x:v>
      </x:c>
      <x:c r="B193" s="23" t="s">
        <x:v>59</x:v>
      </x:c>
      <x:c r="C193" s="23" t="s">
        <x:v>11</x:v>
      </x:c>
      <x:c r="D193" s="23" t="s">
        <x:v>145</x:v>
      </x:c>
      <x:c r="E193" s="23" t="s">
        <x:v>195</x:v>
      </x:c>
      <x:c r="F193" s="23">
        <x:v>14</x:v>
      </x:c>
      <x:c r="G193" s="23">
        <x:v>3</x:v>
      </x:c>
      <x:c r="H193" s="23">
        <x:v>6</x:v>
      </x:c>
      <x:c r="I193" s="23">
        <x:v>7882</x:v>
      </x:c>
      <x:c r="J193" s="23">
        <x:v>70</x:v>
      </x:c>
      <x:c r="K193" s="23">
        <x:v>240</x:v>
      </x:c>
      <x:c r="L193" s="23" t="s">
        <x:v>288</x:v>
      </x:c>
      <x:c r="M193" s="23">
        <x:f t="shared" si="2"/>
        <x:v>652</x:v>
      </x:c>
      <x:c r="N193" s="24" t="str">
        <x:f t="array" ref="N193">INDEX('MATCH INFO'!O:O, INT((ROW()-2)/10)+2 + 92)</x:f>
        <x:v>260627_SB_CR_S3</x:v>
      </x:c>
    </x:row>
    <x:row r="194">
      <x:c r="A194" s="23" t="s">
        <x:v>55</x:v>
      </x:c>
      <x:c r="B194" s="23" t="s">
        <x:v>57</x:v>
      </x:c>
      <x:c r="C194" s="23" t="s">
        <x:v>8</x:v>
      </x:c>
      <x:c r="D194" s="23" t="s">
        <x:v>145</x:v>
      </x:c>
      <x:c r="E194" s="23" t="s">
        <x:v>195</x:v>
      </x:c>
      <x:c r="F194" s="23">
        <x:v>24</x:v>
      </x:c>
      <x:c r="G194" s="23">
        <x:v>3</x:v>
      </x:c>
      <x:c r="H194" s="23">
        <x:v>4</x:v>
      </x:c>
      <x:c r="I194" s="23">
        <x:v>13532</x:v>
      </x:c>
      <x:c r="J194" s="23">
        <x:v>0</x:v>
      </x:c>
      <x:c r="K194" s="23">
        <x:v>22585</x:v>
      </x:c>
      <x:c r="L194" s="23" t="s">
        <x:v>288</x:v>
      </x:c>
      <x:c r="M194" s="23" t="e">
        <x:f t="shared" ref="M194:M257" si="3">L194*86400</x:f>
        <x:v>#VALUE!</x:v>
      </x:c>
      <x:c r="N194" s="24" t="str">
        <x:f t="array" ref="N194">INDEX('MATCH INFO'!O:O, INT((ROW()-2)/10)+2 + 92)</x:f>
        <x:v>260627_SB_CR_S3</x:v>
      </x:c>
    </x:row>
    <x:row r="195">
      <x:c r="A195" s="23" t="s">
        <x:v>55</x:v>
      </x:c>
      <x:c r="B195" s="23" t="s">
        <x:v>60</x:v>
      </x:c>
      <x:c r="C195" s="23" t="s">
        <x:v>11</x:v>
      </x:c>
      <x:c r="D195" s="23" t="s">
        <x:v>145</x:v>
      </x:c>
      <x:c r="E195" s="23" t="s">
        <x:v>195</x:v>
      </x:c>
      <x:c r="F195" s="23">
        <x:v>22</x:v>
      </x:c>
      <x:c r="G195" s="23">
        <x:v>4</x:v>
      </x:c>
      <x:c r="H195" s="23">
        <x:v>0</x:v>
      </x:c>
      <x:c r="I195" s="23">
        <x:v>10244</x:v>
      </x:c>
      <x:c r="J195" s="23">
        <x:v>272</x:v>
      </x:c>
      <x:c r="K195" s="23">
        <x:v>1788</x:v>
      </x:c>
      <x:c r="L195" s="23" t="s">
        <x:v>288</x:v>
      </x:c>
      <x:c r="M195" s="23">
        <x:f t="shared" si="3"/>
        <x:v>652</x:v>
      </x:c>
      <x:c r="N195" s="24" t="str">
        <x:f t="array" ref="N195">INDEX('MATCH INFO'!O:O, INT((ROW()-2)/10)+2 + 92)</x:f>
        <x:v>260627_SB_CR_S3</x:v>
      </x:c>
    </x:row>
    <x:row r="196">
      <x:c r="A196" s="23" t="s">
        <x:v>55</x:v>
      </x:c>
      <x:c r="B196" s="23" t="s">
        <x:v>62</x:v>
      </x:c>
      <x:c r="C196" s="23" t="s">
        <x:v>16</x:v>
      </x:c>
      <x:c r="D196" s="23" t="s">
        <x:v>145</x:v>
      </x:c>
      <x:c r="E196" s="23" t="s">
        <x:v>195</x:v>
      </x:c>
      <x:c r="F196" s="23">
        <x:v>11</x:v>
      </x:c>
      <x:c r="G196" s="23">
        <x:v>3</x:v>
      </x:c>
      <x:c r="H196" s="23">
        <x:v>22</x:v>
      </x:c>
      <x:c r="I196" s="23">
        <x:v>3308</x:v>
      </x:c>
      <x:c r="J196" s="23">
        <x:v>12009</x:v>
      </x:c>
      <x:c r="K196" s="23">
        <x:v>287</x:v>
      </x:c>
      <x:c r="L196" s="23" t="s">
        <x:v>288</x:v>
      </x:c>
      <x:c r="M196" s="23">
        <x:f t="shared" si="3"/>
        <x:v>652</x:v>
      </x:c>
      <x:c r="N196" s="24" t="str">
        <x:f t="array" ref="N196">INDEX('MATCH INFO'!O:O, INT((ROW()-2)/10)+2 + 92)</x:f>
        <x:v>260627_SB_CR_S3</x:v>
      </x:c>
    </x:row>
    <x:row r="197">
      <x:c r="A197" s="23" t="s">
        <x:v>81</x:v>
      </x:c>
      <x:c r="B197" s="23" t="s">
        <x:v>84</x:v>
      </x:c>
      <x:c r="C197" s="23" t="s">
        <x:v>11</x:v>
      </x:c>
      <x:c r="D197" s="23" t="s">
        <x:v>145</x:v>
      </x:c>
      <x:c r="E197" s="23" t="s">
        <x:v>195</x:v>
      </x:c>
      <x:c r="F197" s="23">
        <x:v>11</x:v>
      </x:c>
      <x:c r="G197" s="23">
        <x:v>8</x:v>
      </x:c>
      <x:c r="H197" s="23">
        <x:v>0</x:v>
      </x:c>
      <x:c r="I197" s="23">
        <x:v>8288</x:v>
      </x:c>
      <x:c r="J197" s="23">
        <x:v>0</x:v>
      </x:c>
      <x:c r="K197" s="23">
        <x:v>0</x:v>
      </x:c>
      <x:c r="L197" s="23" t="s">
        <x:v>288</x:v>
      </x:c>
      <x:c r="M197" s="23">
        <x:f t="shared" si="3"/>
        <x:v>652</x:v>
      </x:c>
      <x:c r="N197" s="24" t="str">
        <x:f t="array" ref="N197">INDEX('MATCH INFO'!O:O, INT((ROW()-2)/10)+2 + 92)</x:f>
        <x:v>260627_SB_CR_S3</x:v>
      </x:c>
    </x:row>
    <x:row r="198">
      <x:c r="A198" s="23" t="s">
        <x:v>81</x:v>
      </x:c>
      <x:c r="B198" s="23" t="s">
        <x:v>83</x:v>
      </x:c>
      <x:c r="C198" s="23" t="s">
        <x:v>8</x:v>
      </x:c>
      <x:c r="D198" s="23" t="s">
        <x:v>145</x:v>
      </x:c>
      <x:c r="E198" s="23" t="s">
        <x:v>195</x:v>
      </x:c>
      <x:c r="F198" s="23">
        <x:v>9</x:v>
      </x:c>
      <x:c r="G198" s="23">
        <x:v>6</x:v>
      </x:c>
      <x:c r="H198" s="23">
        <x:v>2</x:v>
      </x:c>
      <x:c r="I198" s="23">
        <x:v>11227</x:v>
      </x:c>
      <x:c r="J198" s="23">
        <x:v>0</x:v>
      </x:c>
      <x:c r="K198" s="23">
        <x:v>23292</x:v>
      </x:c>
      <x:c r="L198" s="23" t="s">
        <x:v>288</x:v>
      </x:c>
      <x:c r="M198" s="23">
        <x:f t="shared" si="3"/>
        <x:v>652</x:v>
      </x:c>
      <x:c r="N198" s="24" t="str">
        <x:f t="array" ref="N198">INDEX('MATCH INFO'!O:O, INT((ROW()-2)/10)+2 + 92)</x:f>
        <x:v>260627_SB_CR_S3</x:v>
      </x:c>
    </x:row>
    <x:row r="199">
      <x:c r="A199" s="23" t="s">
        <x:v>81</x:v>
      </x:c>
      <x:c r="B199" s="23" t="s">
        <x:v>86</x:v>
      </x:c>
      <x:c r="C199" s="23" t="s">
        <x:v>16</x:v>
      </x:c>
      <x:c r="D199" s="23" t="s">
        <x:v>145</x:v>
      </x:c>
      <x:c r="E199" s="23" t="s">
        <x:v>195</x:v>
      </x:c>
      <x:c r="F199" s="23">
        <x:v>7</x:v>
      </x:c>
      <x:c r="G199" s="23">
        <x:v>7</x:v>
      </x:c>
      <x:c r="H199" s="23">
        <x:v>9</x:v>
      </x:c>
      <x:c r="I199" s="23">
        <x:v>2318</x:v>
      </x:c>
      <x:c r="J199" s="23">
        <x:v>9542</x:v>
      </x:c>
      <x:c r="K199" s="23">
        <x:v>475</x:v>
      </x:c>
      <x:c r="L199" s="23" t="s">
        <x:v>288</x:v>
      </x:c>
      <x:c r="M199" s="23">
        <x:f t="shared" si="3"/>
        <x:v>652</x:v>
      </x:c>
      <x:c r="N199" s="24" t="str">
        <x:f t="array" ref="N199">INDEX('MATCH INFO'!O:O, INT((ROW()-2)/10)+2 + 92)</x:f>
        <x:v>260627_SB_CR_S3</x:v>
      </x:c>
    </x:row>
    <x:row r="200">
      <x:c r="A200" s="23" t="s">
        <x:v>81</x:v>
      </x:c>
      <x:c r="B200" s="23" t="s">
        <x:v>85</x:v>
      </x:c>
      <x:c r="C200" s="23" t="s">
        <x:v>11</x:v>
      </x:c>
      <x:c r="D200" s="23" t="s">
        <x:v>145</x:v>
      </x:c>
      <x:c r="E200" s="23" t="s">
        <x:v>195</x:v>
      </x:c>
      <x:c r="F200" s="23">
        <x:v>10</x:v>
      </x:c>
      <x:c r="G200" s="23">
        <x:v>9</x:v>
      </x:c>
      <x:c r="H200" s="23">
        <x:v>1</x:v>
      </x:c>
      <x:c r="I200" s="23">
        <x:v>6880</x:v>
      </x:c>
      <x:c r="J200" s="23">
        <x:v>0</x:v>
      </x:c>
      <x:c r="K200" s="23">
        <x:v>200</x:v>
      </x:c>
      <x:c r="L200" s="23" t="s">
        <x:v>288</x:v>
      </x:c>
      <x:c r="M200" s="23">
        <x:f t="shared" si="3"/>
        <x:v>652</x:v>
      </x:c>
      <x:c r="N200" s="24" t="str">
        <x:f t="array" ref="N200">INDEX('MATCH INFO'!O:O, INT((ROW()-2)/10)+2 + 92)</x:f>
        <x:v>260627_SB_CR_S3</x:v>
      </x:c>
    </x:row>
    <x:row r="201">
      <x:c r="A201" s="23" t="s">
        <x:v>81</x:v>
      </x:c>
      <x:c r="B201" s="23" t="s">
        <x:v>88</x:v>
      </x:c>
      <x:c r="C201" s="23" t="s">
        <x:v>16</x:v>
      </x:c>
      <x:c r="D201" s="23" t="s">
        <x:v>145</x:v>
      </x:c>
      <x:c r="E201" s="23" t="s">
        <x:v>195</x:v>
      </x:c>
      <x:c r="F201" s="23">
        <x:v>5</x:v>
      </x:c>
      <x:c r="G201" s="23">
        <x:v>5</x:v>
      </x:c>
      <x:c r="H201" s="23">
        <x:v>13</x:v>
      </x:c>
      <x:c r="I201" s="23">
        <x:v>1716</x:v>
      </x:c>
      <x:c r="J201" s="23">
        <x:v>14099</x:v>
      </x:c>
      <x:c r="K201" s="23">
        <x:v>0</x:v>
      </x:c>
      <x:c r="L201" s="23" t="s">
        <x:v>288</x:v>
      </x:c>
      <x:c r="M201" s="23">
        <x:f t="shared" si="3"/>
        <x:v>652</x:v>
      </x:c>
      <x:c r="N201" s="24" t="str">
        <x:f t="array" ref="N201">INDEX('MATCH INFO'!O:O, INT((ROW()-2)/10)+2 + 92)</x:f>
        <x:v>260627_SB_CR_S3</x:v>
      </x:c>
    </x:row>
    <x:row r="202">
      <x:c r="A202" s="23" t="s">
        <x:v>6</x:v>
      </x:c>
      <x:c r="B202" s="23" t="s">
        <x:v>15</x:v>
      </x:c>
      <x:c r="C202" s="23" t="s">
        <x:v>16</x:v>
      </x:c>
      <x:c r="D202" s="23" t="s">
        <x:v>116</x:v>
      </x:c>
      <x:c r="E202" s="23" t="s">
        <x:v>184</x:v>
      </x:c>
      <x:c r="F202" s="23">
        <x:v>15</x:v>
      </x:c>
      <x:c r="G202" s="23">
        <x:v>6</x:v>
      </x:c>
      <x:c r="H202" s="23">
        <x:v>23</x:v>
      </x:c>
      <x:c r="I202" s="23">
        <x:v>3468</x:v>
      </x:c>
      <x:c r="J202" s="23">
        <x:v>6627</x:v>
      </x:c>
      <x:c r="K202" s="23">
        <x:v>1019</x:v>
      </x:c>
      <x:c r="L202" s="23" t="s">
        <x:v>223</x:v>
      </x:c>
      <x:c r="M202" s="23">
        <x:f t="shared" si="3"/>
        <x:v>555</x:v>
      </x:c>
      <x:c r="N202" s="24" t="str">
        <x:f t="array" ref="N202">INDEX('MATCH INFO'!O:O, INT((ROW()-2)/10)+2 + 92)</x:f>
        <x:v>260628_O2_PF_S1</x:v>
      </x:c>
    </x:row>
    <x:row r="203">
      <x:c r="A203" s="23" t="s">
        <x:v>6</x:v>
      </x:c>
      <x:c r="B203" s="23" t="s">
        <x:v>7</x:v>
      </x:c>
      <x:c r="C203" s="23" t="s">
        <x:v>8</x:v>
      </x:c>
      <x:c r="D203" s="23" t="s">
        <x:v>116</x:v>
      </x:c>
      <x:c r="E203" s="23" t="s">
        <x:v>184</x:v>
      </x:c>
      <x:c r="F203" s="23">
        <x:v>19</x:v>
      </x:c>
      <x:c r="G203" s="23">
        <x:v>4</x:v>
      </x:c>
      <x:c r="H203" s="23">
        <x:v>15</x:v>
      </x:c>
      <x:c r="I203" s="23">
        <x:v>15295</x:v>
      </x:c>
      <x:c r="J203" s="23">
        <x:v>3984</x:v>
      </x:c>
      <x:c r="K203" s="23">
        <x:v>6948</x:v>
      </x:c>
      <x:c r="L203" s="23" t="s">
        <x:v>223</x:v>
      </x:c>
      <x:c r="M203" s="23">
        <x:f t="shared" si="3"/>
        <x:v>555</x:v>
      </x:c>
      <x:c r="N203" s="24" t="str">
        <x:f t="array" ref="N203">INDEX('MATCH INFO'!O:O, INT((ROW()-2)/10)+2 + 92)</x:f>
        <x:v>260628_O2_PF_S1</x:v>
      </x:c>
    </x:row>
    <x:row r="204">
      <x:c r="A204" s="23" t="s">
        <x:v>6</x:v>
      </x:c>
      <x:c r="B204" s="23" t="s">
        <x:v>20</x:v>
      </x:c>
      <x:c r="C204" s="23" t="s">
        <x:v>16</x:v>
      </x:c>
      <x:c r="D204" s="23" t="s">
        <x:v>116</x:v>
      </x:c>
      <x:c r="E204" s="23" t="s">
        <x:v>184</x:v>
      </x:c>
      <x:c r="F204" s="23">
        <x:v>12</x:v>
      </x:c>
      <x:c r="G204" s="23">
        <x:v>3</x:v>
      </x:c>
      <x:c r="H204" s="23">
        <x:v>24</x:v>
      </x:c>
      <x:c r="I204" s="23">
        <x:v>5733</x:v>
      </x:c>
      <x:c r="J204" s="23">
        <x:v>15115</x:v>
      </x:c>
      <x:c r="K204" s="23">
        <x:v>0</x:v>
      </x:c>
      <x:c r="L204" s="23" t="s">
        <x:v>223</x:v>
      </x:c>
      <x:c r="M204" s="23">
        <x:f t="shared" si="3"/>
        <x:v>555</x:v>
      </x:c>
      <x:c r="N204" s="24" t="str">
        <x:f t="array" ref="N204">INDEX('MATCH INFO'!O:O, INT((ROW()-2)/10)+2 + 92)</x:f>
        <x:v>260628_O2_PF_S1</x:v>
      </x:c>
    </x:row>
    <x:row r="205">
      <x:c r="A205" s="23" t="s">
        <x:v>6</x:v>
      </x:c>
      <x:c r="B205" s="23" t="s">
        <x:v>13</x:v>
      </x:c>
      <x:c r="C205" s="23" t="s">
        <x:v>11</x:v>
      </x:c>
      <x:c r="D205" s="23" t="s">
        <x:v>116</x:v>
      </x:c>
      <x:c r="E205" s="23" t="s">
        <x:v>184</x:v>
      </x:c>
      <x:c r="F205" s="23">
        <x:v>28</x:v>
      </x:c>
      <x:c r="G205" s="23">
        <x:v>3</x:v>
      </x:c>
      <x:c r="H205" s="23">
        <x:v>3</x:v>
      </x:c>
      <x:c r="I205" s="23">
        <x:v>11033</x:v>
      </x:c>
      <x:c r="J205" s="23">
        <x:v>75</x:v>
      </x:c>
      <x:c r="K205" s="23">
        <x:v>504</x:v>
      </x:c>
      <x:c r="L205" s="23" t="s">
        <x:v>223</x:v>
      </x:c>
      <x:c r="M205" s="23">
        <x:f t="shared" si="3"/>
        <x:v>555</x:v>
      </x:c>
      <x:c r="N205" s="24" t="str">
        <x:f t="array" ref="N205">INDEX('MATCH INFO'!O:O, INT((ROW()-2)/10)+2 + 92)</x:f>
        <x:v>260628_O2_PF_S1</x:v>
      </x:c>
    </x:row>
    <x:row r="206">
      <x:c r="A206" s="23" t="s">
        <x:v>6</x:v>
      </x:c>
      <x:c r="B206" s="23" t="s">
        <x:v>10</x:v>
      </x:c>
      <x:c r="C206" s="23" t="s">
        <x:v>11</x:v>
      </x:c>
      <x:c r="D206" s="23" t="s">
        <x:v>116</x:v>
      </x:c>
      <x:c r="E206" s="23" t="s">
        <x:v>184</x:v>
      </x:c>
      <x:c r="F206" s="23">
        <x:v>19</x:v>
      </x:c>
      <x:c r="G206" s="23">
        <x:v>8</x:v>
      </x:c>
      <x:c r="H206" s="23">
        <x:v>3</x:v>
      </x:c>
      <x:c r="I206" s="23">
        <x:v>6283</x:v>
      </x:c>
      <x:c r="J206" s="23">
        <x:v>107</x:v>
      </x:c>
      <x:c r="K206" s="23">
        <x:v>666</x:v>
      </x:c>
      <x:c r="L206" s="23" t="s">
        <x:v>223</x:v>
      </x:c>
      <x:c r="M206" s="23">
        <x:f t="shared" si="3"/>
        <x:v>555</x:v>
      </x:c>
      <x:c r="N206" s="24" t="str">
        <x:f t="array" ref="N206">INDEX('MATCH INFO'!O:O, INT((ROW()-2)/10)+2 + 92)</x:f>
        <x:v>260628_O2_PF_S1</x:v>
      </x:c>
    </x:row>
    <x:row r="207">
      <x:c r="A207" s="23" t="s">
        <x:v>39</x:v>
      </x:c>
      <x:c r="B207" s="23" t="s">
        <x:v>45</x:v>
      </x:c>
      <x:c r="C207" s="23" t="s">
        <x:v>16</x:v>
      </x:c>
      <x:c r="D207" s="23" t="s">
        <x:v>116</x:v>
      </x:c>
      <x:c r="E207" s="23" t="s">
        <x:v>184</x:v>
      </x:c>
      <x:c r="F207" s="23">
        <x:v>12</x:v>
      </x:c>
      <x:c r="G207" s="23">
        <x:v>8</x:v>
      </x:c>
      <x:c r="H207" s="23">
        <x:v>17</x:v>
      </x:c>
      <x:c r="I207" s="23">
        <x:v>3906</x:v>
      </x:c>
      <x:c r="J207" s="23">
        <x:v>8226</x:v>
      </x:c>
      <x:c r="K207" s="23">
        <x:v>0</x:v>
      </x:c>
      <x:c r="L207" s="23" t="s">
        <x:v>223</x:v>
      </x:c>
      <x:c r="M207" s="23">
        <x:f t="shared" si="3"/>
        <x:v>555</x:v>
      </x:c>
      <x:c r="N207" s="24" t="str">
        <x:f t="array" ref="N207">INDEX('MATCH INFO'!O:O, INT((ROW()-2)/10)+2 + 92)</x:f>
        <x:v>260628_O2_PF_S1</x:v>
      </x:c>
    </x:row>
    <x:row r="208">
      <x:c r="A208" s="23" t="s">
        <x:v>39</x:v>
      </x:c>
      <x:c r="B208" s="23" t="s">
        <x:v>42</x:v>
      </x:c>
      <x:c r="C208" s="23" t="s">
        <x:v>11</x:v>
      </x:c>
      <x:c r="D208" s="23" t="s">
        <x:v>116</x:v>
      </x:c>
      <x:c r="E208" s="23" t="s">
        <x:v>184</x:v>
      </x:c>
      <x:c r="F208" s="23">
        <x:v>15</x:v>
      </x:c>
      <x:c r="G208" s="23">
        <x:v>6</x:v>
      </x:c>
      <x:c r="H208" s="23">
        <x:v>1</x:v>
      </x:c>
      <x:c r="I208" s="23">
        <x:v>9681</x:v>
      </x:c>
      <x:c r="J208" s="23">
        <x:v>508</x:v>
      </x:c>
      <x:c r="K208" s="23">
        <x:v>194</x:v>
      </x:c>
      <x:c r="L208" s="23" t="s">
        <x:v>223</x:v>
      </x:c>
      <x:c r="M208" s="23">
        <x:f t="shared" si="3"/>
        <x:v>555</x:v>
      </x:c>
      <x:c r="N208" s="24" t="str">
        <x:f t="array" ref="N208">INDEX('MATCH INFO'!O:O, INT((ROW()-2)/10)+2 + 92)</x:f>
        <x:v>260628_O2_PF_S1</x:v>
      </x:c>
    </x:row>
    <x:row r="209">
      <x:c r="A209" s="23" t="s">
        <x:v>39</x:v>
      </x:c>
      <x:c r="B209" s="23" t="s">
        <x:v>40</x:v>
      </x:c>
      <x:c r="C209" s="23" t="s">
        <x:v>8</x:v>
      </x:c>
      <x:c r="D209" s="23" t="s">
        <x:v>116</x:v>
      </x:c>
      <x:c r="E209" s="23" t="s">
        <x:v>184</x:v>
      </x:c>
      <x:c r="F209" s="23">
        <x:v>13</x:v>
      </x:c>
      <x:c r="G209" s="23">
        <x:v>8</x:v>
      </x:c>
      <x:c r="H209" s="23">
        <x:v>12</x:v>
      </x:c>
      <x:c r="I209" s="23">
        <x:v>13554</x:v>
      </x:c>
      <x:c r="J209" s="23">
        <x:v>3047</x:v>
      </x:c>
      <x:c r="K209" s="23">
        <x:v>5574</x:v>
      </x:c>
      <x:c r="L209" s="23" t="s">
        <x:v>223</x:v>
      </x:c>
      <x:c r="M209" s="23">
        <x:f t="shared" si="3"/>
        <x:v>555</x:v>
      </x:c>
      <x:c r="N209" s="24" t="str">
        <x:f t="array" ref="N209">INDEX('MATCH INFO'!O:O, INT((ROW()-2)/10)+2 + 92)</x:f>
        <x:v>260628_O2_PF_S1</x:v>
      </x:c>
    </x:row>
    <x:row r="210">
      <x:c r="A210" s="23" t="s">
        <x:v>39</x:v>
      </x:c>
      <x:c r="B210" s="23" t="s">
        <x:v>43</x:v>
      </x:c>
      <x:c r="C210" s="23" t="s">
        <x:v>11</x:v>
      </x:c>
      <x:c r="D210" s="23" t="s">
        <x:v>116</x:v>
      </x:c>
      <x:c r="E210" s="23" t="s">
        <x:v>184</x:v>
      </x:c>
      <x:c r="F210" s="23">
        <x:v>18</x:v>
      </x:c>
      <x:c r="G210" s="23">
        <x:v>6</x:v>
      </x:c>
      <x:c r="H210" s="23">
        <x:v>7</x:v>
      </x:c>
      <x:c r="I210" s="23">
        <x:v>10530</x:v>
      </x:c>
      <x:c r="J210" s="23">
        <x:v>58</x:v>
      </x:c>
      <x:c r="K210" s="23">
        <x:v>503</x:v>
      </x:c>
      <x:c r="L210" s="23" t="s">
        <x:v>223</x:v>
      </x:c>
      <x:c r="M210" s="23">
        <x:f t="shared" si="3"/>
        <x:v>555</x:v>
      </x:c>
      <x:c r="N210" s="24" t="str">
        <x:f t="array" ref="N210">INDEX('MATCH INFO'!O:O, INT((ROW()-2)/10)+2 + 92)</x:f>
        <x:v>260628_O2_PF_S1</x:v>
      </x:c>
    </x:row>
    <x:row r="211">
      <x:c r="A211" s="23" t="s">
        <x:v>39</x:v>
      </x:c>
      <x:c r="B211" s="23" t="s">
        <x:v>44</x:v>
      </x:c>
      <x:c r="C211" s="23" t="s">
        <x:v>16</x:v>
      </x:c>
      <x:c r="D211" s="23" t="s">
        <x:v>116</x:v>
      </x:c>
      <x:c r="E211" s="23" t="s">
        <x:v>184</x:v>
      </x:c>
      <x:c r="F211" s="23">
        <x:v>8</x:v>
      </x:c>
      <x:c r="G211" s="23">
        <x:v>7</x:v>
      </x:c>
      <x:c r="H211" s="23">
        <x:v>16</x:v>
      </x:c>
      <x:c r="I211" s="23">
        <x:v>4108</x:v>
      </x:c>
      <x:c r="J211" s="23">
        <x:v>11194</x:v>
      </x:c>
      <x:c r="K211" s="23">
        <x:v>0</x:v>
      </x:c>
      <x:c r="L211" s="23" t="s">
        <x:v>223</x:v>
      </x:c>
      <x:c r="M211" s="23">
        <x:f t="shared" si="3"/>
        <x:v>555</x:v>
      </x:c>
      <x:c r="N211" s="24" t="str">
        <x:f t="array" ref="N211">INDEX('MATCH INFO'!O:O, INT((ROW()-2)/10)+2 + 92)</x:f>
        <x:v>260628_O2_PF_S1</x:v>
      </x:c>
    </x:row>
    <x:row r="212">
      <x:c r="A212" s="23" t="s">
        <x:v>6</x:v>
      </x:c>
      <x:c r="B212" s="23" t="s">
        <x:v>15</x:v>
      </x:c>
      <x:c r="C212" s="23" t="s">
        <x:v>16</x:v>
      </x:c>
      <x:c r="D212" s="23" t="s">
        <x:v>124</x:v>
      </x:c>
      <x:c r="E212" s="23" t="s">
        <x:v>186</x:v>
      </x:c>
      <x:c r="F212" s="23">
        <x:v>19</x:v>
      </x:c>
      <x:c r="G212" s="23">
        <x:v>5</x:v>
      </x:c>
      <x:c r="H212" s="23">
        <x:v>21</x:v>
      </x:c>
      <x:c r="I212" s="23">
        <x:v>3812</x:v>
      </x:c>
      <x:c r="J212" s="23">
        <x:v>8107</x:v>
      </x:c>
      <x:c r="K212" s="23">
        <x:v>1753</x:v>
      </x:c>
      <x:c r="L212" s="23" t="s">
        <x:v>295</x:v>
      </x:c>
      <x:c r="M212" s="23">
        <x:f t="shared" si="3"/>
        <x:v>738</x:v>
      </x:c>
      <x:c r="N212" s="24" t="str">
        <x:f t="array" ref="N212">INDEX('MATCH INFO'!O:O, INT((ROW()-2)/10)+2 + 92)</x:f>
        <x:v>260628_O2_PF_S2</x:v>
      </x:c>
    </x:row>
    <x:row r="213">
      <x:c r="A213" s="23" t="s">
        <x:v>6</x:v>
      </x:c>
      <x:c r="B213" s="23" t="s">
        <x:v>7</x:v>
      </x:c>
      <x:c r="C213" s="23" t="s">
        <x:v>8</x:v>
      </x:c>
      <x:c r="D213" s="23" t="s">
        <x:v>124</x:v>
      </x:c>
      <x:c r="E213" s="23" t="s">
        <x:v>186</x:v>
      </x:c>
      <x:c r="F213" s="23">
        <x:v>25</x:v>
      </x:c>
      <x:c r="G213" s="23">
        <x:v>6</x:v>
      </x:c>
      <x:c r="H213" s="23">
        <x:v>19</x:v>
      </x:c>
      <x:c r="I213" s="23">
        <x:v>14385</x:v>
      </x:c>
      <x:c r="J213" s="23">
        <x:v>2348</x:v>
      </x:c>
      <x:c r="K213" s="23">
        <x:v>7047</x:v>
      </x:c>
      <x:c r="L213" s="23" t="s">
        <x:v>295</x:v>
      </x:c>
      <x:c r="M213" s="23">
        <x:f t="shared" si="3"/>
        <x:v>738</x:v>
      </x:c>
      <x:c r="N213" s="24" t="str">
        <x:f t="array" ref="N213">INDEX('MATCH INFO'!O:O, INT((ROW()-2)/10)+2 + 92)</x:f>
        <x:v>260628_O2_PF_S2</x:v>
      </x:c>
    </x:row>
    <x:row r="214">
      <x:c r="A214" s="23" t="s">
        <x:v>6</x:v>
      </x:c>
      <x:c r="B214" s="23" t="s">
        <x:v>20</x:v>
      </x:c>
      <x:c r="C214" s="23" t="s">
        <x:v>16</x:v>
      </x:c>
      <x:c r="D214" s="23" t="s">
        <x:v>124</x:v>
      </x:c>
      <x:c r="E214" s="23" t="s">
        <x:v>186</x:v>
      </x:c>
      <x:c r="F214" s="23">
        <x:v>16</x:v>
      </x:c>
      <x:c r="G214" s="23">
        <x:v>7</x:v>
      </x:c>
      <x:c r="H214" s="23">
        <x:v>25</x:v>
      </x:c>
      <x:c r="I214" s="23">
        <x:v>5091</x:v>
      </x:c>
      <x:c r="J214" s="23">
        <x:v>14186</x:v>
      </x:c>
      <x:c r="K214" s="23">
        <x:v>0</x:v>
      </x:c>
      <x:c r="L214" s="23" t="s">
        <x:v>295</x:v>
      </x:c>
      <x:c r="M214" s="23">
        <x:f t="shared" si="3"/>
        <x:v>738</x:v>
      </x:c>
      <x:c r="N214" s="24" t="str">
        <x:f t="array" ref="N214">INDEX('MATCH INFO'!O:O, INT((ROW()-2)/10)+2 + 92)</x:f>
        <x:v>260628_O2_PF_S2</x:v>
      </x:c>
    </x:row>
    <x:row r="215">
      <x:c r="A215" s="23" t="s">
        <x:v>6</x:v>
      </x:c>
      <x:c r="B215" s="23" t="s">
        <x:v>13</x:v>
      </x:c>
      <x:c r="C215" s="23" t="s">
        <x:v>11</x:v>
      </x:c>
      <x:c r="D215" s="23" t="s">
        <x:v>124</x:v>
      </x:c>
      <x:c r="E215" s="23" t="s">
        <x:v>186</x:v>
      </x:c>
      <x:c r="F215" s="23">
        <x:v>22</x:v>
      </x:c>
      <x:c r="G215" s="23">
        <x:v>9</x:v>
      </x:c>
      <x:c r="H215" s="23">
        <x:v>0</x:v>
      </x:c>
      <x:c r="I215" s="23">
        <x:v>11830</x:v>
      </x:c>
      <x:c r="J215" s="23">
        <x:v>0</x:v>
      </x:c>
      <x:c r="K215" s="23">
        <x:v>0</x:v>
      </x:c>
      <x:c r="L215" s="23" t="s">
        <x:v>295</x:v>
      </x:c>
      <x:c r="M215" s="23">
        <x:f t="shared" si="3"/>
        <x:v>738</x:v>
      </x:c>
      <x:c r="N215" s="24" t="str">
        <x:f t="array" ref="N215">INDEX('MATCH INFO'!O:O, INT((ROW()-2)/10)+2 + 92)</x:f>
        <x:v>260628_O2_PF_S2</x:v>
      </x:c>
    </x:row>
    <x:row r="216">
      <x:c r="A216" s="23" t="s">
        <x:v>6</x:v>
      </x:c>
      <x:c r="B216" s="23" t="s">
        <x:v>10</x:v>
      </x:c>
      <x:c r="C216" s="23" t="s">
        <x:v>11</x:v>
      </x:c>
      <x:c r="D216" s="23" t="s">
        <x:v>124</x:v>
      </x:c>
      <x:c r="E216" s="23" t="s">
        <x:v>186</x:v>
      </x:c>
      <x:c r="F216" s="23">
        <x:v>27</x:v>
      </x:c>
      <x:c r="G216" s="23">
        <x:v>5</x:v>
      </x:c>
      <x:c r="H216" s="23">
        <x:v>0</x:v>
      </x:c>
      <x:c r="I216" s="23">
        <x:v>9770</x:v>
      </x:c>
      <x:c r="J216" s="23">
        <x:v>1504</x:v>
      </x:c>
      <x:c r="K216" s="23">
        <x:v>0</x:v>
      </x:c>
      <x:c r="L216" s="23" t="s">
        <x:v>295</x:v>
      </x:c>
      <x:c r="M216" s="23">
        <x:f t="shared" si="3"/>
        <x:v>738</x:v>
      </x:c>
      <x:c r="N216" s="24" t="str">
        <x:f t="array" ref="N216">INDEX('MATCH INFO'!O:O, INT((ROW()-2)/10)+2 + 92)</x:f>
        <x:v>260628_O2_PF_S2</x:v>
      </x:c>
    </x:row>
    <x:row r="217">
      <x:c r="A217" s="23" t="s">
        <x:v>39</x:v>
      </x:c>
      <x:c r="B217" s="23" t="s">
        <x:v>45</x:v>
      </x:c>
      <x:c r="C217" s="23" t="s">
        <x:v>16</x:v>
      </x:c>
      <x:c r="D217" s="23" t="s">
        <x:v>124</x:v>
      </x:c>
      <x:c r="E217" s="23" t="s">
        <x:v>186</x:v>
      </x:c>
      <x:c r="F217" s="23">
        <x:v>12</x:v>
      </x:c>
      <x:c r="G217" s="23">
        <x:v>7</x:v>
      </x:c>
      <x:c r="H217" s="23">
        <x:v>22</x:v>
      </x:c>
      <x:c r="I217" s="23">
        <x:v>4069</x:v>
      </x:c>
      <x:c r="J217" s="23">
        <x:v>14999</x:v>
      </x:c>
      <x:c r="K217" s="23">
        <x:v>0</x:v>
      </x:c>
      <x:c r="L217" s="23" t="s">
        <x:v>295</x:v>
      </x:c>
      <x:c r="M217" s="23">
        <x:f t="shared" si="3"/>
        <x:v>738</x:v>
      </x:c>
      <x:c r="N217" s="24" t="str">
        <x:f t="array" ref="N217">INDEX('MATCH INFO'!O:O, INT((ROW()-2)/10)+2 + 92)</x:f>
        <x:v>260628_O2_PF_S2</x:v>
      </x:c>
    </x:row>
    <x:row r="218">
      <x:c r="A218" s="23" t="s">
        <x:v>39</x:v>
      </x:c>
      <x:c r="B218" s="23" t="s">
        <x:v>42</x:v>
      </x:c>
      <x:c r="C218" s="23" t="s">
        <x:v>11</x:v>
      </x:c>
      <x:c r="D218" s="23" t="s">
        <x:v>124</x:v>
      </x:c>
      <x:c r="E218" s="23" t="s">
        <x:v>186</x:v>
      </x:c>
      <x:c r="F218" s="23">
        <x:v>19</x:v>
      </x:c>
      <x:c r="G218" s="23">
        <x:v>8</x:v>
      </x:c>
      <x:c r="H218" s="23">
        <x:v>5</x:v>
      </x:c>
      <x:c r="I218" s="23">
        <x:v>9403</x:v>
      </x:c>
      <x:c r="J218" s="23">
        <x:v>150</x:v>
      </x:c>
      <x:c r="K218" s="23">
        <x:v>583</x:v>
      </x:c>
      <x:c r="L218" s="23" t="s">
        <x:v>295</x:v>
      </x:c>
      <x:c r="M218" s="23">
        <x:f t="shared" si="3"/>
        <x:v>738</x:v>
      </x:c>
      <x:c r="N218" s="24" t="str">
        <x:f t="array" ref="N218">INDEX('MATCH INFO'!O:O, INT((ROW()-2)/10)+2 + 92)</x:f>
        <x:v>260628_O2_PF_S2</x:v>
      </x:c>
    </x:row>
    <x:row r="219">
      <x:c r="A219" s="23" t="s">
        <x:v>39</x:v>
      </x:c>
      <x:c r="B219" s="23" t="s">
        <x:v>40</x:v>
      </x:c>
      <x:c r="C219" s="23" t="s">
        <x:v>8</x:v>
      </x:c>
      <x:c r="D219" s="23" t="s">
        <x:v>124</x:v>
      </x:c>
      <x:c r="E219" s="23" t="s">
        <x:v>186</x:v>
      </x:c>
      <x:c r="F219" s="23">
        <x:v>21</x:v>
      </x:c>
      <x:c r="G219" s="23">
        <x:v>9</x:v>
      </x:c>
      <x:c r="H219" s="23">
        <x:v>9</x:v>
      </x:c>
      <x:c r="I219" s="23">
        <x:v>11328</x:v>
      </x:c>
      <x:c r="J219" s="23">
        <x:v>2936</x:v>
      </x:c>
      <x:c r="K219" s="23">
        <x:v>7002</x:v>
      </x:c>
      <x:c r="L219" s="23" t="s">
        <x:v>295</x:v>
      </x:c>
      <x:c r="M219" s="23">
        <x:f t="shared" si="3"/>
        <x:v>738</x:v>
      </x:c>
      <x:c r="N219" s="24" t="str">
        <x:f t="array" ref="N219">INDEX('MATCH INFO'!O:O, INT((ROW()-2)/10)+2 + 92)</x:f>
        <x:v>260628_O2_PF_S2</x:v>
      </x:c>
    </x:row>
    <x:row r="220">
      <x:c r="A220" s="23" t="s">
        <x:v>39</x:v>
      </x:c>
      <x:c r="B220" s="23" t="s">
        <x:v>43</x:v>
      </x:c>
      <x:c r="C220" s="23" t="s">
        <x:v>11</x:v>
      </x:c>
      <x:c r="D220" s="23" t="s">
        <x:v>124</x:v>
      </x:c>
      <x:c r="E220" s="23" t="s">
        <x:v>186</x:v>
      </x:c>
      <x:c r="F220" s="23">
        <x:v>23</x:v>
      </x:c>
      <x:c r="G220" s="23">
        <x:v>4</x:v>
      </x:c>
      <x:c r="H220" s="23">
        <x:v>0</x:v>
      </x:c>
      <x:c r="I220" s="23">
        <x:v>15854</x:v>
      </x:c>
      <x:c r="J220" s="23">
        <x:v>0</x:v>
      </x:c>
      <x:c r="K220" s="23">
        <x:v>0</x:v>
      </x:c>
      <x:c r="L220" s="23" t="s">
        <x:v>295</x:v>
      </x:c>
      <x:c r="M220" s="23">
        <x:f t="shared" si="3"/>
        <x:v>738</x:v>
      </x:c>
      <x:c r="N220" s="24" t="str">
        <x:f t="array" ref="N220">INDEX('MATCH INFO'!O:O, INT((ROW()-2)/10)+2 + 92)</x:f>
        <x:v>260628_O2_PF_S2</x:v>
      </x:c>
    </x:row>
    <x:row r="221">
      <x:c r="A221" s="23" t="s">
        <x:v>39</x:v>
      </x:c>
      <x:c r="B221" s="23" t="s">
        <x:v>44</x:v>
      </x:c>
      <x:c r="C221" s="23" t="s">
        <x:v>16</x:v>
      </x:c>
      <x:c r="D221" s="23" t="s">
        <x:v>124</x:v>
      </x:c>
      <x:c r="E221" s="23" t="s">
        <x:v>186</x:v>
      </x:c>
      <x:c r="F221" s="23">
        <x:v>17</x:v>
      </x:c>
      <x:c r="G221" s="23">
        <x:v>6</x:v>
      </x:c>
      <x:c r="H221" s="23">
        <x:v>20</x:v>
      </x:c>
      <x:c r="I221" s="23">
        <x:v>5860</x:v>
      </x:c>
      <x:c r="J221" s="23">
        <x:v>7631</x:v>
      </x:c>
      <x:c r="K221" s="23">
        <x:v>1157</x:v>
      </x:c>
      <x:c r="L221" s="23" t="s">
        <x:v>295</x:v>
      </x:c>
      <x:c r="M221" s="23">
        <x:f t="shared" si="3"/>
        <x:v>738</x:v>
      </x:c>
      <x:c r="N221" s="24" t="str">
        <x:f t="array" ref="N221">INDEX('MATCH INFO'!O:O, INT((ROW()-2)/10)+2 + 92)</x:f>
        <x:v>260628_O2_PF_S2</x:v>
      </x:c>
    </x:row>
    <x:row r="222">
      <x:c r="A222" s="23" t="s">
        <x:v>6</x:v>
      </x:c>
      <x:c r="B222" s="23" t="s">
        <x:v>15</x:v>
      </x:c>
      <x:c r="C222" s="23" t="s">
        <x:v>16</x:v>
      </x:c>
      <x:c r="D222" s="23" t="s">
        <x:v>113</x:v>
      </x:c>
      <x:c r="E222" s="23" t="s">
        <x:v>188</x:v>
      </x:c>
      <x:c r="F222" s="23">
        <x:v>3</x:v>
      </x:c>
      <x:c r="G222" s="23">
        <x:v>9</x:v>
      </x:c>
      <x:c r="H222" s="23">
        <x:v>5</x:v>
      </x:c>
      <x:c r="I222" s="23">
        <x:v>2318</x:v>
      </x:c>
      <x:c r="J222" s="23">
        <x:v>5421</x:v>
      </x:c>
      <x:c r="K222" s="23">
        <x:v>1906</x:v>
      </x:c>
      <x:c r="L222" s="23" t="s">
        <x:v>253</x:v>
      </x:c>
      <x:c r="M222" s="23">
        <x:f t="shared" si="3"/>
        <x:v>600</x:v>
      </x:c>
      <x:c r="N222" s="24" t="str">
        <x:f t="array" ref="N222">INDEX('MATCH INFO'!O:O, INT((ROW()-2)/10)+2 + 92)</x:f>
        <x:v>260628_O2_PF_S3</x:v>
      </x:c>
    </x:row>
    <x:row r="223">
      <x:c r="A223" s="23" t="s">
        <x:v>6</x:v>
      </x:c>
      <x:c r="B223" s="23" t="s">
        <x:v>7</x:v>
      </x:c>
      <x:c r="C223" s="23" t="s">
        <x:v>8</x:v>
      </x:c>
      <x:c r="D223" s="23" t="s">
        <x:v>113</x:v>
      </x:c>
      <x:c r="E223" s="23" t="s">
        <x:v>188</x:v>
      </x:c>
      <x:c r="F223" s="23">
        <x:v>12</x:v>
      </x:c>
      <x:c r="G223" s="23">
        <x:v>6</x:v>
      </x:c>
      <x:c r="H223" s="23">
        <x:v>5</x:v>
      </x:c>
      <x:c r="I223" s="23">
        <x:v>13264</x:v>
      </x:c>
      <x:c r="J223" s="23">
        <x:v>2706</x:v>
      </x:c>
      <x:c r="K223" s="23">
        <x:v>5109</x:v>
      </x:c>
      <x:c r="L223" s="23" t="s">
        <x:v>253</x:v>
      </x:c>
      <x:c r="M223" s="23">
        <x:f t="shared" si="3"/>
        <x:v>600</x:v>
      </x:c>
      <x:c r="N223" s="24" t="str">
        <x:f t="array" ref="N223">INDEX('MATCH INFO'!O:O, INT((ROW()-2)/10)+2 + 92)</x:f>
        <x:v>260628_O2_PF_S3</x:v>
      </x:c>
    </x:row>
    <x:row r="224">
      <x:c r="A224" s="23" t="s">
        <x:v>6</x:v>
      </x:c>
      <x:c r="B224" s="23" t="s">
        <x:v>20</x:v>
      </x:c>
      <x:c r="C224" s="23" t="s">
        <x:v>16</x:v>
      </x:c>
      <x:c r="D224" s="23" t="s">
        <x:v>113</x:v>
      </x:c>
      <x:c r="E224" s="23" t="s">
        <x:v>188</x:v>
      </x:c>
      <x:c r="F224" s="23">
        <x:v>7</x:v>
      </x:c>
      <x:c r="G224" s="23">
        <x:v>10</x:v>
      </x:c>
      <x:c r="H224" s="23">
        <x:v>8</x:v>
      </x:c>
      <x:c r="I224" s="23">
        <x:v>4050</x:v>
      </x:c>
      <x:c r="J224" s="23">
        <x:v>12484</x:v>
      </x:c>
      <x:c r="K224" s="23">
        <x:v>0</x:v>
      </x:c>
      <x:c r="L224" s="23" t="s">
        <x:v>253</x:v>
      </x:c>
      <x:c r="M224" s="23">
        <x:f t="shared" si="3"/>
        <x:v>600</x:v>
      </x:c>
      <x:c r="N224" s="24" t="str">
        <x:f t="array" ref="N224">INDEX('MATCH INFO'!O:O, INT((ROW()-2)/10)+2 + 92)</x:f>
        <x:v>260628_O2_PF_S3</x:v>
      </x:c>
    </x:row>
    <x:row r="225">
      <x:c r="A225" s="23" t="s">
        <x:v>6</x:v>
      </x:c>
      <x:c r="B225" s="23" t="s">
        <x:v>13</x:v>
      </x:c>
      <x:c r="C225" s="23" t="s">
        <x:v>11</x:v>
      </x:c>
      <x:c r="D225" s="23" t="s">
        <x:v>113</x:v>
      </x:c>
      <x:c r="E225" s="23" t="s">
        <x:v>188</x:v>
      </x:c>
      <x:c r="F225" s="23">
        <x:v>6</x:v>
      </x:c>
      <x:c r="G225" s="23">
        <x:v>9</x:v>
      </x:c>
      <x:c r="H225" s="23">
        <x:v>1</x:v>
      </x:c>
      <x:c r="I225" s="23">
        <x:v>7280</x:v>
      </x:c>
      <x:c r="J225" s="23">
        <x:v>0</x:v>
      </x:c>
      <x:c r="K225" s="23">
        <x:v>182</x:v>
      </x:c>
      <x:c r="L225" s="23" t="s">
        <x:v>253</x:v>
      </x:c>
      <x:c r="M225" s="23">
        <x:f t="shared" si="3"/>
        <x:v>600</x:v>
      </x:c>
      <x:c r="N225" s="24" t="str">
        <x:f t="array" ref="N225">INDEX('MATCH INFO'!O:O, INT((ROW()-2)/10)+2 + 92)</x:f>
        <x:v>260628_O2_PF_S3</x:v>
      </x:c>
    </x:row>
    <x:row r="226">
      <x:c r="A226" s="23" t="s">
        <x:v>6</x:v>
      </x:c>
      <x:c r="B226" s="23" t="s">
        <x:v>10</x:v>
      </x:c>
      <x:c r="C226" s="23" t="s">
        <x:v>11</x:v>
      </x:c>
      <x:c r="D226" s="23" t="s">
        <x:v>113</x:v>
      </x:c>
      <x:c r="E226" s="23" t="s">
        <x:v>188</x:v>
      </x:c>
      <x:c r="F226" s="23">
        <x:v>6</x:v>
      </x:c>
      <x:c r="G226" s="23">
        <x:v>10</x:v>
      </x:c>
      <x:c r="H226" s="23">
        <x:v>1</x:v>
      </x:c>
      <x:c r="I226" s="23">
        <x:v>7636</x:v>
      </x:c>
      <x:c r="J226" s="23">
        <x:v>813</x:v>
      </x:c>
      <x:c r="K226" s="23">
        <x:v>105</x:v>
      </x:c>
      <x:c r="L226" s="23" t="s">
        <x:v>253</x:v>
      </x:c>
      <x:c r="M226" s="23">
        <x:f t="shared" si="3"/>
        <x:v>600</x:v>
      </x:c>
      <x:c r="N226" s="24" t="str">
        <x:f t="array" ref="N226">INDEX('MATCH INFO'!O:O, INT((ROW()-2)/10)+2 + 92)</x:f>
        <x:v>260628_O2_PF_S3</x:v>
      </x:c>
    </x:row>
    <x:row r="227">
      <x:c r="A227" s="23" t="s">
        <x:v>39</x:v>
      </x:c>
      <x:c r="B227" s="23" t="s">
        <x:v>45</x:v>
      </x:c>
      <x:c r="C227" s="23" t="s">
        <x:v>16</x:v>
      </x:c>
      <x:c r="D227" s="23" t="s">
        <x:v>113</x:v>
      </x:c>
      <x:c r="E227" s="23" t="s">
        <x:v>188</x:v>
      </x:c>
      <x:c r="F227" s="23">
        <x:v>13</x:v>
      </x:c>
      <x:c r="G227" s="23">
        <x:v>2</x:v>
      </x:c>
      <x:c r="H227" s="23">
        <x:v>31</x:v>
      </x:c>
      <x:c r="I227" s="23">
        <x:v>3240</x:v>
      </x:c>
      <x:c r="J227" s="23">
        <x:v>11749</x:v>
      </x:c>
      <x:c r="K227" s="23">
        <x:v>0</x:v>
      </x:c>
      <x:c r="L227" s="23" t="s">
        <x:v>253</x:v>
      </x:c>
      <x:c r="M227" s="23">
        <x:f t="shared" si="3"/>
        <x:v>600</x:v>
      </x:c>
      <x:c r="N227" s="24" t="str">
        <x:f t="array" ref="N227">INDEX('MATCH INFO'!O:O, INT((ROW()-2)/10)+2 + 92)</x:f>
        <x:v>260628_O2_PF_S3</x:v>
      </x:c>
    </x:row>
    <x:row r="228">
      <x:c r="A228" s="23" t="s">
        <x:v>39</x:v>
      </x:c>
      <x:c r="B228" s="23" t="s">
        <x:v>42</x:v>
      </x:c>
      <x:c r="C228" s="23" t="s">
        <x:v>11</x:v>
      </x:c>
      <x:c r="D228" s="23" t="s">
        <x:v>113</x:v>
      </x:c>
      <x:c r="E228" s="23" t="s">
        <x:v>188</x:v>
      </x:c>
      <x:c r="F228" s="23">
        <x:v>30</x:v>
      </x:c>
      <x:c r="G228" s="23">
        <x:v>2</x:v>
      </x:c>
      <x:c r="H228" s="23">
        <x:v>6</x:v>
      </x:c>
      <x:c r="I228" s="23">
        <x:v>9658</x:v>
      </x:c>
      <x:c r="J228" s="23">
        <x:v>0</x:v>
      </x:c>
      <x:c r="K228" s="23">
        <x:v>47</x:v>
      </x:c>
      <x:c r="L228" s="23" t="s">
        <x:v>253</x:v>
      </x:c>
      <x:c r="M228" s="23">
        <x:f t="shared" si="3"/>
        <x:v>600</x:v>
      </x:c>
      <x:c r="N228" s="24" t="str">
        <x:f t="array" ref="N228">INDEX('MATCH INFO'!O:O, INT((ROW()-2)/10)+2 + 92)</x:f>
        <x:v>260628_O2_PF_S3</x:v>
      </x:c>
    </x:row>
    <x:row r="229">
      <x:c r="A229" s="23" t="s">
        <x:v>39</x:v>
      </x:c>
      <x:c r="B229" s="23" t="s">
        <x:v>40</x:v>
      </x:c>
      <x:c r="C229" s="23" t="s">
        <x:v>8</x:v>
      </x:c>
      <x:c r="D229" s="23" t="s">
        <x:v>113</x:v>
      </x:c>
      <x:c r="E229" s="23" t="s">
        <x:v>188</x:v>
      </x:c>
      <x:c r="F229" s="23">
        <x:v>21</x:v>
      </x:c>
      <x:c r="G229" s="23">
        <x:v>5</x:v>
      </x:c>
      <x:c r="H229" s="23">
        <x:v>13</x:v>
      </x:c>
      <x:c r="I229" s="23">
        <x:v>12342</x:v>
      </x:c>
      <x:c r="J229" s="23">
        <x:v>2161</x:v>
      </x:c>
      <x:c r="K229" s="23">
        <x:v>5477</x:v>
      </x:c>
      <x:c r="L229" s="23" t="s">
        <x:v>253</x:v>
      </x:c>
      <x:c r="M229" s="23">
        <x:f t="shared" si="3"/>
        <x:v>600</x:v>
      </x:c>
      <x:c r="N229" s="24" t="str">
        <x:f t="array" ref="N229">INDEX('MATCH INFO'!O:O, INT((ROW()-2)/10)+2 + 92)</x:f>
        <x:v>260628_O2_PF_S3</x:v>
      </x:c>
    </x:row>
    <x:row r="230">
      <x:c r="A230" s="23" t="s">
        <x:v>39</x:v>
      </x:c>
      <x:c r="B230" s="23" t="s">
        <x:v>43</x:v>
      </x:c>
      <x:c r="C230" s="23" t="s">
        <x:v>11</x:v>
      </x:c>
      <x:c r="D230" s="23" t="s">
        <x:v>113</x:v>
      </x:c>
      <x:c r="E230" s="23" t="s">
        <x:v>188</x:v>
      </x:c>
      <x:c r="F230" s="23">
        <x:v>29</x:v>
      </x:c>
      <x:c r="G230" s="23">
        <x:v>2</x:v>
      </x:c>
      <x:c r="H230" s="23">
        <x:v>0</x:v>
      </x:c>
      <x:c r="I230" s="23">
        <x:v>12560</x:v>
      </x:c>
      <x:c r="J230" s="23">
        <x:v>0</x:v>
      </x:c>
      <x:c r="K230" s="23">
        <x:v>0</x:v>
      </x:c>
      <x:c r="L230" s="23" t="s">
        <x:v>253</x:v>
      </x:c>
      <x:c r="M230" s="23">
        <x:f t="shared" si="3"/>
        <x:v>600</x:v>
      </x:c>
      <x:c r="N230" s="24" t="str">
        <x:f t="array" ref="N230">INDEX('MATCH INFO'!O:O, INT((ROW()-2)/10)+2 + 92)</x:f>
        <x:v>260628_O2_PF_S3</x:v>
      </x:c>
    </x:row>
    <x:row r="231">
      <x:c r="A231" s="23" t="s">
        <x:v>39</x:v>
      </x:c>
      <x:c r="B231" s="23" t="s">
        <x:v>44</x:v>
      </x:c>
      <x:c r="C231" s="23" t="s">
        <x:v>16</x:v>
      </x:c>
      <x:c r="D231" s="23" t="s">
        <x:v>113</x:v>
      </x:c>
      <x:c r="E231" s="23" t="s">
        <x:v>188</x:v>
      </x:c>
      <x:c r="F231" s="23">
        <x:v>26</x:v>
      </x:c>
      <x:c r="G231" s="23">
        <x:v>3</x:v>
      </x:c>
      <x:c r="H231" s="23">
        <x:v>24</x:v>
      </x:c>
      <x:c r="I231" s="23">
        <x:v>5762</x:v>
      </x:c>
      <x:c r="J231" s="23">
        <x:v>7821</x:v>
      </x:c>
      <x:c r="K231" s="23">
        <x:v>2980</x:v>
      </x:c>
      <x:c r="L231" s="23" t="s">
        <x:v>253</x:v>
      </x:c>
      <x:c r="M231" s="23">
        <x:f t="shared" si="3"/>
        <x:v>600</x:v>
      </x:c>
      <x:c r="N231" s="24" t="str">
        <x:f t="array" ref="N231">INDEX('MATCH INFO'!O:O, INT((ROW()-2)/10)+2 + 92)</x:f>
        <x:v>260628_O2_PF_S3</x:v>
      </x:c>
    </x:row>
    <x:row r="232">
      <x:c r="A232" s="23" t="s">
        <x:v>6</x:v>
      </x:c>
      <x:c r="B232" s="23" t="s">
        <x:v>15</x:v>
      </x:c>
      <x:c r="C232" s="23" t="s">
        <x:v>16</x:v>
      </x:c>
      <x:c r="D232" s="23" t="s">
        <x:v>119</x:v>
      </x:c>
      <x:c r="E232" s="23" t="s">
        <x:v>191</x:v>
      </x:c>
      <x:c r="F232" s="23">
        <x:v>17</x:v>
      </x:c>
      <x:c r="G232" s="23">
        <x:v>8</x:v>
      </x:c>
      <x:c r="H232" s="23">
        <x:v>15</x:v>
      </x:c>
      <x:c r="I232" s="23">
        <x:v>10890</x:v>
      </x:c>
      <x:c r="J232" s="23">
        <x:v>9359</x:v>
      </x:c>
      <x:c r="K232" s="23">
        <x:v>766</x:v>
      </x:c>
      <x:c r="L232" s="23" t="s">
        <x:v>296</x:v>
      </x:c>
      <x:c r="M232" s="23">
        <x:f t="shared" si="3"/>
        <x:v>1128</x:v>
      </x:c>
      <x:c r="N232" s="24" t="str">
        <x:f t="array" ref="N232">INDEX('MATCH INFO'!O:O, INT((ROW()-2)/10)+2 + 92)</x:f>
        <x:v>260628_O2_PF_S4</x:v>
      </x:c>
    </x:row>
    <x:row r="233">
      <x:c r="A233" s="23" t="s">
        <x:v>6</x:v>
      </x:c>
      <x:c r="B233" s="23" t="s">
        <x:v>20</x:v>
      </x:c>
      <x:c r="C233" s="23" t="s">
        <x:v>16</x:v>
      </x:c>
      <x:c r="D233" s="23" t="s">
        <x:v>119</x:v>
      </x:c>
      <x:c r="E233" s="23" t="s">
        <x:v>191</x:v>
      </x:c>
      <x:c r="F233" s="23">
        <x:v>14</x:v>
      </x:c>
      <x:c r="G233" s="23">
        <x:v>10</x:v>
      </x:c>
      <x:c r="H233" s="23">
        <x:v>24</x:v>
      </x:c>
      <x:c r="I233" s="23">
        <x:v>7636</x:v>
      </x:c>
      <x:c r="J233" s="23">
        <x:v>20374</x:v>
      </x:c>
      <x:c r="K233" s="23">
        <x:v>0</x:v>
      </x:c>
      <x:c r="L233" s="23" t="s">
        <x:v>296</x:v>
      </x:c>
      <x:c r="M233" s="23">
        <x:f t="shared" si="3"/>
        <x:v>1128</x:v>
      </x:c>
      <x:c r="N233" s="24" t="str">
        <x:f t="array" ref="N233">INDEX('MATCH INFO'!O:O, INT((ROW()-2)/10)+2 + 92)</x:f>
        <x:v>260628_O2_PF_S4</x:v>
      </x:c>
    </x:row>
    <x:row r="234">
      <x:c r="A234" s="23" t="s">
        <x:v>6</x:v>
      </x:c>
      <x:c r="B234" s="23" t="s">
        <x:v>13</x:v>
      </x:c>
      <x:c r="C234" s="23" t="s">
        <x:v>11</x:v>
      </x:c>
      <x:c r="D234" s="23" t="s">
        <x:v>119</x:v>
      </x:c>
      <x:c r="E234" s="23" t="s">
        <x:v>191</x:v>
      </x:c>
      <x:c r="F234" s="23">
        <x:v>20</x:v>
      </x:c>
      <x:c r="G234" s="23">
        <x:v>13</x:v>
      </x:c>
      <x:c r="H234" s="23">
        <x:v>1</x:v>
      </x:c>
      <x:c r="I234" s="23">
        <x:v>13792</x:v>
      </x:c>
      <x:c r="J234" s="23">
        <x:v>226</x:v>
      </x:c>
      <x:c r="K234" s="23">
        <x:v>342</x:v>
      </x:c>
      <x:c r="L234" s="23" t="s">
        <x:v>296</x:v>
      </x:c>
      <x:c r="M234" s="23">
        <x:f t="shared" si="3"/>
        <x:v>1128</x:v>
      </x:c>
      <x:c r="N234" s="24" t="str">
        <x:f t="array" ref="N234">INDEX('MATCH INFO'!O:O, INT((ROW()-2)/10)+2 + 92)</x:f>
        <x:v>260628_O2_PF_S4</x:v>
      </x:c>
    </x:row>
    <x:row r="235">
      <x:c r="A235" s="23" t="s">
        <x:v>6</x:v>
      </x:c>
      <x:c r="B235" s="23" t="s">
        <x:v>9</x:v>
      </x:c>
      <x:c r="C235" s="23" t="s">
        <x:v>8</x:v>
      </x:c>
      <x:c r="D235" s="23" t="s">
        <x:v>119</x:v>
      </x:c>
      <x:c r="E235" s="23" t="s">
        <x:v>191</x:v>
      </x:c>
      <x:c r="F235" s="23">
        <x:v>32</x:v>
      </x:c>
      <x:c r="G235" s="23">
        <x:v>7</x:v>
      </x:c>
      <x:c r="H235" s="23">
        <x:v>4</x:v>
      </x:c>
      <x:c r="I235" s="23">
        <x:v>19121</x:v>
      </x:c>
      <x:c r="J235" s="23">
        <x:v>825</x:v>
      </x:c>
      <x:c r="K235" s="23">
        <x:v>33446</x:v>
      </x:c>
      <x:c r="L235" s="23" t="s">
        <x:v>296</x:v>
      </x:c>
      <x:c r="M235" s="23">
        <x:f t="shared" si="3"/>
        <x:v>1128</x:v>
      </x:c>
      <x:c r="N235" s="24" t="str">
        <x:f t="array" ref="N235">INDEX('MATCH INFO'!O:O, INT((ROW()-2)/10)+2 + 92)</x:f>
        <x:v>260628_O2_PF_S4</x:v>
      </x:c>
    </x:row>
    <x:row r="236">
      <x:c r="A236" s="23" t="s">
        <x:v>6</x:v>
      </x:c>
      <x:c r="B236" s="23" t="s">
        <x:v>10</x:v>
      </x:c>
      <x:c r="C236" s="23" t="s">
        <x:v>11</x:v>
      </x:c>
      <x:c r="D236" s="23" t="s">
        <x:v>119</x:v>
      </x:c>
      <x:c r="E236" s="23" t="s">
        <x:v>191</x:v>
      </x:c>
      <x:c r="F236" s="23">
        <x:v>22</x:v>
      </x:c>
      <x:c r="G236" s="23">
        <x:v>11</x:v>
      </x:c>
      <x:c r="H236" s="23">
        <x:v>3</x:v>
      </x:c>
      <x:c r="I236" s="23">
        <x:v>14815</x:v>
      </x:c>
      <x:c r="J236" s="23">
        <x:v>1479</x:v>
      </x:c>
      <x:c r="K236" s="23">
        <x:v>5629</x:v>
      </x:c>
      <x:c r="L236" s="23" t="s">
        <x:v>296</x:v>
      </x:c>
      <x:c r="M236" s="23">
        <x:f t="shared" si="3"/>
        <x:v>1128</x:v>
      </x:c>
      <x:c r="N236" s="24" t="str">
        <x:f t="array" ref="N236">INDEX('MATCH INFO'!O:O, INT((ROW()-2)/10)+2 + 92)</x:f>
        <x:v>260628_O2_PF_S4</x:v>
      </x:c>
    </x:row>
    <x:row r="237">
      <x:c r="A237" s="23" t="s">
        <x:v>39</x:v>
      </x:c>
      <x:c r="B237" s="23" t="s">
        <x:v>45</x:v>
      </x:c>
      <x:c r="C237" s="23" t="s">
        <x:v>16</x:v>
      </x:c>
      <x:c r="D237" s="23" t="s">
        <x:v>119</x:v>
      </x:c>
      <x:c r="E237" s="23" t="s">
        <x:v>191</x:v>
      </x:c>
      <x:c r="F237" s="23">
        <x:v>10</x:v>
      </x:c>
      <x:c r="G237" s="23">
        <x:v>8</x:v>
      </x:c>
      <x:c r="H237" s="23">
        <x:v>30</x:v>
      </x:c>
      <x:c r="I237" s="23">
        <x:v>3465</x:v>
      </x:c>
      <x:c r="J237" s="23">
        <x:v>24981</x:v>
      </x:c>
      <x:c r="K237" s="23">
        <x:v>0</x:v>
      </x:c>
      <x:c r="L237" s="23" t="s">
        <x:v>296</x:v>
      </x:c>
      <x:c r="M237" s="23">
        <x:f t="shared" si="3"/>
        <x:v>1128</x:v>
      </x:c>
      <x:c r="N237" s="24" t="str">
        <x:f t="array" ref="N237">INDEX('MATCH INFO'!O:O, INT((ROW()-2)/10)+2 + 92)</x:f>
        <x:v>260628_O2_PF_S4</x:v>
      </x:c>
    </x:row>
    <x:row r="238">
      <x:c r="A238" s="23" t="s">
        <x:v>39</x:v>
      </x:c>
      <x:c r="B238" s="23" t="s">
        <x:v>42</x:v>
      </x:c>
      <x:c r="C238" s="23" t="s">
        <x:v>11</x:v>
      </x:c>
      <x:c r="D238" s="23" t="s">
        <x:v>119</x:v>
      </x:c>
      <x:c r="E238" s="23" t="s">
        <x:v>191</x:v>
      </x:c>
      <x:c r="F238" s="23">
        <x:v>27</x:v>
      </x:c>
      <x:c r="G238" s="23">
        <x:v>8</x:v>
      </x:c>
      <x:c r="H238" s="23">
        <x:v>0</x:v>
      </x:c>
      <x:c r="I238" s="23">
        <x:v>14870</x:v>
      </x:c>
      <x:c r="J238" s="23">
        <x:v>309</x:v>
      </x:c>
      <x:c r="K238" s="23">
        <x:v>3717</x:v>
      </x:c>
      <x:c r="L238" s="23" t="s">
        <x:v>296</x:v>
      </x:c>
      <x:c r="M238" s="23">
        <x:f t="shared" si="3"/>
        <x:v>1128</x:v>
      </x:c>
      <x:c r="N238" s="24" t="str">
        <x:f t="array" ref="N238">INDEX('MATCH INFO'!O:O, INT((ROW()-2)/10)+2 + 92)</x:f>
        <x:v>260628_O2_PF_S4</x:v>
      </x:c>
    </x:row>
    <x:row r="239">
      <x:c r="A239" s="23" t="s">
        <x:v>39</x:v>
      </x:c>
      <x:c r="B239" s="23" t="s">
        <x:v>40</x:v>
      </x:c>
      <x:c r="C239" s="23" t="s">
        <x:v>8</x:v>
      </x:c>
      <x:c r="D239" s="23" t="s">
        <x:v>119</x:v>
      </x:c>
      <x:c r="E239" s="23" t="s">
        <x:v>191</x:v>
      </x:c>
      <x:c r="F239" s="23">
        <x:v>25</x:v>
      </x:c>
      <x:c r="G239" s="23">
        <x:v>9</x:v>
      </x:c>
      <x:c r="H239" s="23">
        <x:v>5</x:v>
      </x:c>
      <x:c r="I239" s="23">
        <x:v>17290</x:v>
      </x:c>
      <x:c r="J239" s="23">
        <x:v>231</x:v>
      </x:c>
      <x:c r="K239" s="23">
        <x:v>31122</x:v>
      </x:c>
      <x:c r="L239" s="23" t="s">
        <x:v>296</x:v>
      </x:c>
      <x:c r="M239" s="23">
        <x:f t="shared" si="3"/>
        <x:v>1128</x:v>
      </x:c>
      <x:c r="N239" s="24" t="str">
        <x:f t="array" ref="N239">INDEX('MATCH INFO'!O:O, INT((ROW()-2)/10)+2 + 92)</x:f>
        <x:v>260628_O2_PF_S4</x:v>
      </x:c>
    </x:row>
    <x:row r="240">
      <x:c r="A240" s="23" t="s">
        <x:v>39</x:v>
      </x:c>
      <x:c r="B240" s="23" t="s">
        <x:v>43</x:v>
      </x:c>
      <x:c r="C240" s="23" t="s">
        <x:v>11</x:v>
      </x:c>
      <x:c r="D240" s="23" t="s">
        <x:v>119</x:v>
      </x:c>
      <x:c r="E240" s="23" t="s">
        <x:v>191</x:v>
      </x:c>
      <x:c r="F240" s="23">
        <x:v>39</x:v>
      </x:c>
      <x:c r="G240" s="23">
        <x:v>8</x:v>
      </x:c>
      <x:c r="H240" s="23">
        <x:v>0</x:v>
      </x:c>
      <x:c r="I240" s="23">
        <x:v>17100</x:v>
      </x:c>
      <x:c r="J240" s="23">
        <x:v>0</x:v>
      </x:c>
      <x:c r="K240" s="23">
        <x:v>131</x:v>
      </x:c>
      <x:c r="L240" s="23" t="s">
        <x:v>296</x:v>
      </x:c>
      <x:c r="M240" s="23">
        <x:f t="shared" si="3"/>
        <x:v>1128</x:v>
      </x:c>
      <x:c r="N240" s="24" t="str">
        <x:f t="array" ref="N240">INDEX('MATCH INFO'!O:O, INT((ROW()-2)/10)+2 + 92)</x:f>
        <x:v>260628_O2_PF_S4</x:v>
      </x:c>
    </x:row>
    <x:row r="241">
      <x:c r="A241" s="23" t="s">
        <x:v>39</x:v>
      </x:c>
      <x:c r="B241" s="23" t="s">
        <x:v>44</x:v>
      </x:c>
      <x:c r="C241" s="23" t="s">
        <x:v>16</x:v>
      </x:c>
      <x:c r="D241" s="23" t="s">
        <x:v>119</x:v>
      </x:c>
      <x:c r="E241" s="23" t="s">
        <x:v>191</x:v>
      </x:c>
      <x:c r="F241" s="23">
        <x:v>17</x:v>
      </x:c>
      <x:c r="G241" s="23">
        <x:v>11</x:v>
      </x:c>
      <x:c r="H241" s="23">
        <x:v>21</x:v>
      </x:c>
      <x:c r="I241" s="23">
        <x:v>5526</x:v>
      </x:c>
      <x:c r="J241" s="23">
        <x:v>11734</x:v>
      </x:c>
      <x:c r="K241" s="23">
        <x:v>2997</x:v>
      </x:c>
      <x:c r="L241" s="23" t="s">
        <x:v>296</x:v>
      </x:c>
      <x:c r="M241" s="23">
        <x:f t="shared" si="3"/>
        <x:v>1128</x:v>
      </x:c>
      <x:c r="N241" s="24" t="str">
        <x:f t="array" ref="N241">INDEX('MATCH INFO'!O:O, INT((ROW()-2)/10)+2 + 92)</x:f>
        <x:v>260628_O2_PF_S4</x:v>
      </x:c>
    </x:row>
    <x:row r="242">
      <x:c r="A242" s="23" t="s">
        <x:v>22</x:v>
      </x:c>
      <x:c r="B242" s="23" t="s">
        <x:v>25</x:v>
      </x:c>
      <x:c r="C242" s="23" t="s">
        <x:v>11</x:v>
      </x:c>
      <x:c r="D242" s="23" t="s">
        <x:v>116</x:v>
      </x:c>
      <x:c r="E242" s="23" t="s">
        <x:v>184</x:v>
      </x:c>
      <x:c r="F242" s="23">
        <x:v>22</x:v>
      </x:c>
      <x:c r="G242" s="23">
        <x:v>11</x:v>
      </x:c>
      <x:c r="H242" s="23">
        <x:v>2</x:v>
      </x:c>
      <x:c r="I242" s="23">
        <x:v>12625</x:v>
      </x:c>
      <x:c r="J242" s="23">
        <x:v>761</x:v>
      </x:c>
      <x:c r="K242" s="23">
        <x:v>1657</x:v>
      </x:c>
      <x:c r="L242" s="23" t="s">
        <x:v>297</x:v>
      </x:c>
      <x:c r="M242" s="23">
        <x:f t="shared" si="3"/>
        <x:v>776</x:v>
      </x:c>
      <x:c r="N242" s="24" t="str">
        <x:f t="array" ref="N242">INDEX('MATCH INFO'!O:O, INT((ROW()-2)/10)+2 + 92)</x:f>
        <x:v>260628_ROZE_T1_S1</x:v>
      </x:c>
    </x:row>
    <x:row r="243">
      <x:c r="A243" s="23" t="s">
        <x:v>22</x:v>
      </x:c>
      <x:c r="B243" s="23" t="s">
        <x:v>24</x:v>
      </x:c>
      <x:c r="C243" s="23" t="s">
        <x:v>8</x:v>
      </x:c>
      <x:c r="D243" s="23" t="s">
        <x:v>116</x:v>
      </x:c>
      <x:c r="E243" s="23" t="s">
        <x:v>184</x:v>
      </x:c>
      <x:c r="F243" s="23">
        <x:v>26</x:v>
      </x:c>
      <x:c r="G243" s="23">
        <x:v>11</x:v>
      </x:c>
      <x:c r="H243" s="23">
        <x:v>17</x:v>
      </x:c>
      <x:c r="I243" s="23">
        <x:v>18664</x:v>
      </x:c>
      <x:c r="J243" s="23">
        <x:v>4807</x:v>
      </x:c>
      <x:c r="K243" s="23">
        <x:v>9803</x:v>
      </x:c>
      <x:c r="L243" s="23" t="s">
        <x:v>297</x:v>
      </x:c>
      <x:c r="M243" s="23">
        <x:f t="shared" si="3"/>
        <x:v>776</x:v>
      </x:c>
      <x:c r="N243" s="24" t="str">
        <x:f t="array" ref="N243">INDEX('MATCH INFO'!O:O, INT((ROW()-2)/10)+2 + 92)</x:f>
        <x:v>260628_ROZE_T1_S1</x:v>
      </x:c>
    </x:row>
    <x:row r="244">
      <x:c r="A244" s="23" t="s">
        <x:v>22</x:v>
      </x:c>
      <x:c r="B244" s="23" t="s">
        <x:v>29</x:v>
      </x:c>
      <x:c r="C244" s="23" t="s">
        <x:v>16</x:v>
      </x:c>
      <x:c r="D244" s="23" t="s">
        <x:v>116</x:v>
      </x:c>
      <x:c r="E244" s="23" t="s">
        <x:v>184</x:v>
      </x:c>
      <x:c r="F244" s="23">
        <x:v>14</x:v>
      </x:c>
      <x:c r="G244" s="23">
        <x:v>7</x:v>
      </x:c>
      <x:c r="H244" s="23">
        <x:v>30</x:v>
      </x:c>
      <x:c r="I244" s="23">
        <x:v>6923</x:v>
      </x:c>
      <x:c r="J244" s="23">
        <x:v>17513</x:v>
      </x:c>
      <x:c r="K244" s="23">
        <x:v>0</x:v>
      </x:c>
      <x:c r="L244" s="23" t="s">
        <x:v>297</x:v>
      </x:c>
      <x:c r="M244" s="23">
        <x:f t="shared" si="3"/>
        <x:v>776</x:v>
      </x:c>
      <x:c r="N244" s="24" t="str">
        <x:f t="array" ref="N244">INDEX('MATCH INFO'!O:O, INT((ROW()-2)/10)+2 + 92)</x:f>
        <x:v>260628_ROZE_T1_S1</x:v>
      </x:c>
    </x:row>
    <x:row r="245">
      <x:c r="A245" s="23" t="s">
        <x:v>22</x:v>
      </x:c>
      <x:c r="B245" s="23" t="s">
        <x:v>28</x:v>
      </x:c>
      <x:c r="C245" s="23" t="s">
        <x:v>16</x:v>
      </x:c>
      <x:c r="D245" s="23" t="s">
        <x:v>116</x:v>
      </x:c>
      <x:c r="E245" s="23" t="s">
        <x:v>184</x:v>
      </x:c>
      <x:c r="F245" s="23">
        <x:v>15</x:v>
      </x:c>
      <x:c r="G245" s="23">
        <x:v>11</x:v>
      </x:c>
      <x:c r="H245" s="23">
        <x:v>16</x:v>
      </x:c>
      <x:c r="I245" s="23">
        <x:v>6078</x:v>
      </x:c>
      <x:c r="J245" s="23">
        <x:v>9414</x:v>
      </x:c>
      <x:c r="K245" s="23">
        <x:v>1695</x:v>
      </x:c>
      <x:c r="L245" s="23" t="s">
        <x:v>297</x:v>
      </x:c>
      <x:c r="M245" s="23">
        <x:f t="shared" si="3"/>
        <x:v>776</x:v>
      </x:c>
      <x:c r="N245" s="24" t="str">
        <x:f t="array" ref="N245">INDEX('MATCH INFO'!O:O, INT((ROW()-2)/10)+2 + 92)</x:f>
        <x:v>260628_ROZE_T1_S1</x:v>
      </x:c>
    </x:row>
    <x:row r="246">
      <x:c r="A246" s="23" t="s">
        <x:v>22</x:v>
      </x:c>
      <x:c r="B246" s="23" t="s">
        <x:v>27</x:v>
      </x:c>
      <x:c r="C246" s="23" t="s">
        <x:v>11</x:v>
      </x:c>
      <x:c r="D246" s="23" t="s">
        <x:v>116</x:v>
      </x:c>
      <x:c r="E246" s="23" t="s">
        <x:v>184</x:v>
      </x:c>
      <x:c r="F246" s="23">
        <x:v>29</x:v>
      </x:c>
      <x:c r="G246" s="23">
        <x:v>8</x:v>
      </x:c>
      <x:c r="H246" s="23">
        <x:v>3</x:v>
      </x:c>
      <x:c r="I246" s="23">
        <x:v>17357</x:v>
      </x:c>
      <x:c r="J246" s="23">
        <x:v>216</x:v>
      </x:c>
      <x:c r="K246" s="23">
        <x:v>736</x:v>
      </x:c>
      <x:c r="L246" s="23" t="s">
        <x:v>297</x:v>
      </x:c>
      <x:c r="M246" s="23">
        <x:f t="shared" si="3"/>
        <x:v>776</x:v>
      </x:c>
      <x:c r="N246" s="24" t="str">
        <x:f t="array" ref="N246">INDEX('MATCH INFO'!O:O, INT((ROW()-2)/10)+2 + 92)</x:f>
        <x:v>260628_ROZE_T1_S1</x:v>
      </x:c>
    </x:row>
    <x:row r="247">
      <x:c r="A247" s="23" t="s">
        <x:v>63</x:v>
      </x:c>
      <x:c r="B247" s="23" t="s">
        <x:v>69</x:v>
      </x:c>
      <x:c r="C247" s="23" t="s">
        <x:v>16</x:v>
      </x:c>
      <x:c r="D247" s="23" t="s">
        <x:v>116</x:v>
      </x:c>
      <x:c r="E247" s="23" t="s">
        <x:v>184</x:v>
      </x:c>
      <x:c r="F247" s="23">
        <x:v>27</x:v>
      </x:c>
      <x:c r="G247" s="23">
        <x:v>8</x:v>
      </x:c>
      <x:c r="H247" s="23">
        <x:v>21</x:v>
      </x:c>
      <x:c r="I247" s="23">
        <x:v>6838</x:v>
      </x:c>
      <x:c r="J247" s="23">
        <x:v>10603</x:v>
      </x:c>
      <x:c r="K247" s="23">
        <x:v>2228</x:v>
      </x:c>
      <x:c r="L247" s="23" t="s">
        <x:v>297</x:v>
      </x:c>
      <x:c r="M247" s="23">
        <x:f t="shared" si="3"/>
        <x:v>776</x:v>
      </x:c>
      <x:c r="N247" s="24" t="str">
        <x:f t="array" ref="N247">INDEX('MATCH INFO'!O:O, INT((ROW()-2)/10)+2 + 92)</x:f>
        <x:v>260628_ROZE_T1_S1</x:v>
      </x:c>
    </x:row>
    <x:row r="248">
      <x:c r="A248" s="23" t="s">
        <x:v>63</x:v>
      </x:c>
      <x:c r="B248" s="23" t="s">
        <x:v>64</x:v>
      </x:c>
      <x:c r="C248" s="23" t="s">
        <x:v>8</x:v>
      </x:c>
      <x:c r="D248" s="23" t="s">
        <x:v>116</x:v>
      </x:c>
      <x:c r="E248" s="23" t="s">
        <x:v>184</x:v>
      </x:c>
      <x:c r="F248" s="23">
        <x:v>33</x:v>
      </x:c>
      <x:c r="G248" s="23">
        <x:v>7</x:v>
      </x:c>
      <x:c r="H248" s="23">
        <x:v>21</x:v>
      </x:c>
      <x:c r="I248" s="23">
        <x:v>20561</x:v>
      </x:c>
      <x:c r="J248" s="23">
        <x:v>5227</x:v>
      </x:c>
      <x:c r="K248" s="23">
        <x:v>10383</x:v>
      </x:c>
      <x:c r="L248" s="23" t="s">
        <x:v>297</x:v>
      </x:c>
      <x:c r="M248" s="23">
        <x:f t="shared" si="3"/>
        <x:v>776</x:v>
      </x:c>
      <x:c r="N248" s="24" t="str">
        <x:f t="array" ref="N248">INDEX('MATCH INFO'!O:O, INT((ROW()-2)/10)+2 + 92)</x:f>
        <x:v>260628_ROZE_T1_S1</x:v>
      </x:c>
    </x:row>
    <x:row r="249">
      <x:c r="A249" s="23" t="s">
        <x:v>63</x:v>
      </x:c>
      <x:c r="B249" s="23" t="s">
        <x:v>67</x:v>
      </x:c>
      <x:c r="C249" s="23" t="s">
        <x:v>11</x:v>
      </x:c>
      <x:c r="D249" s="23" t="s">
        <x:v>116</x:v>
      </x:c>
      <x:c r="E249" s="23" t="s">
        <x:v>184</x:v>
      </x:c>
      <x:c r="F249" s="23">
        <x:v>31</x:v>
      </x:c>
      <x:c r="G249" s="23">
        <x:v>9</x:v>
      </x:c>
      <x:c r="H249" s="23">
        <x:v>2</x:v>
      </x:c>
      <x:c r="I249" s="23">
        <x:v>16531</x:v>
      </x:c>
      <x:c r="J249" s="23">
        <x:v>0</x:v>
      </x:c>
      <x:c r="K249" s="23">
        <x:v>725</x:v>
      </x:c>
      <x:c r="L249" s="23" t="s">
        <x:v>297</x:v>
      </x:c>
      <x:c r="M249" s="23">
        <x:f t="shared" si="3"/>
        <x:v>776</x:v>
      </x:c>
      <x:c r="N249" s="24" t="str">
        <x:f t="array" ref="N249">INDEX('MATCH INFO'!O:O, INT((ROW()-2)/10)+2 + 92)</x:f>
        <x:v>260628_ROZE_T1_S1</x:v>
      </x:c>
    </x:row>
    <x:row r="250">
      <x:c r="A250" s="23" t="s">
        <x:v>63</x:v>
      </x:c>
      <x:c r="B250" s="23" t="s">
        <x:v>70</x:v>
      </x:c>
      <x:c r="C250" s="23" t="s">
        <x:v>16</x:v>
      </x:c>
      <x:c r="D250" s="23" t="s">
        <x:v>116</x:v>
      </x:c>
      <x:c r="E250" s="23" t="s">
        <x:v>184</x:v>
      </x:c>
      <x:c r="F250" s="23">
        <x:v>22</x:v>
      </x:c>
      <x:c r="G250" s="23">
        <x:v>7</x:v>
      </x:c>
      <x:c r="H250" s="23">
        <x:v>32</x:v>
      </x:c>
      <x:c r="I250" s="23">
        <x:v>5862</x:v>
      </x:c>
      <x:c r="J250" s="23">
        <x:v>19773</x:v>
      </x:c>
      <x:c r="K250" s="23">
        <x:v>0</x:v>
      </x:c>
      <x:c r="L250" s="23" t="s">
        <x:v>297</x:v>
      </x:c>
      <x:c r="M250" s="23">
        <x:f t="shared" si="3"/>
        <x:v>776</x:v>
      </x:c>
      <x:c r="N250" s="24" t="str">
        <x:f t="array" ref="N250">INDEX('MATCH INFO'!O:O, INT((ROW()-2)/10)+2 + 92)</x:f>
        <x:v>260628_ROZE_T1_S1</x:v>
      </x:c>
    </x:row>
    <x:row r="251">
      <x:c r="A251" s="23" t="s">
        <x:v>63</x:v>
      </x:c>
      <x:c r="B251" s="23" t="s">
        <x:v>66</x:v>
      </x:c>
      <x:c r="C251" s="23" t="s">
        <x:v>11</x:v>
      </x:c>
      <x:c r="D251" s="23" t="s">
        <x:v>116</x:v>
      </x:c>
      <x:c r="E251" s="23" t="s">
        <x:v>184</x:v>
      </x:c>
      <x:c r="F251" s="23">
        <x:v>25</x:v>
      </x:c>
      <x:c r="G251" s="23">
        <x:v>10</x:v>
      </x:c>
      <x:c r="H251" s="23">
        <x:v>9</x:v>
      </x:c>
      <x:c r="I251" s="23">
        <x:v>11323</x:v>
      </x:c>
      <x:c r="J251" s="23">
        <x:v>707</x:v>
      </x:c>
      <x:c r="K251" s="23">
        <x:v>536</x:v>
      </x:c>
      <x:c r="L251" s="23" t="s">
        <x:v>297</x:v>
      </x:c>
      <x:c r="M251" s="23">
        <x:f t="shared" si="3"/>
        <x:v>776</x:v>
      </x:c>
      <x:c r="N251" s="24" t="str">
        <x:f t="array" ref="N251">INDEX('MATCH INFO'!O:O, INT((ROW()-2)/10)+2 + 92)</x:f>
        <x:v>260628_ROZE_T1_S1</x:v>
      </x:c>
    </x:row>
    <x:row r="252">
      <x:c r="A252" s="23" t="s">
        <x:v>22</x:v>
      </x:c>
      <x:c r="B252" s="23" t="s">
        <x:v>25</x:v>
      </x:c>
      <x:c r="C252" s="23" t="s">
        <x:v>11</x:v>
      </x:c>
      <x:c r="D252" s="23" t="s">
        <x:v>113</x:v>
      </x:c>
      <x:c r="E252" s="23" t="s">
        <x:v>188</x:v>
      </x:c>
      <x:c r="F252" s="23">
        <x:v>21</x:v>
      </x:c>
      <x:c r="G252" s="23">
        <x:v>10</x:v>
      </x:c>
      <x:c r="H252" s="23">
        <x:v>5</x:v>
      </x:c>
      <x:c r="I252" s="23">
        <x:v>10126</x:v>
      </x:c>
      <x:c r="J252" s="23">
        <x:v>350</x:v>
      </x:c>
      <x:c r="K252" s="23">
        <x:v>3180</x:v>
      </x:c>
      <x:c r="L252" s="23" t="s">
        <x:v>298</x:v>
      </x:c>
      <x:c r="M252" s="23">
        <x:f t="shared" si="3"/>
        <x:v>695</x:v>
      </x:c>
      <x:c r="N252" s="24" t="str">
        <x:f t="array" ref="N252">INDEX('MATCH INFO'!O:O, INT((ROW()-2)/10)+2 + 92)</x:f>
        <x:v>260628_ROZE_T1_S2</x:v>
      </x:c>
    </x:row>
    <x:row r="253">
      <x:c r="A253" s="23" t="s">
        <x:v>22</x:v>
      </x:c>
      <x:c r="B253" s="23" t="s">
        <x:v>24</x:v>
      </x:c>
      <x:c r="C253" s="23" t="s">
        <x:v>8</x:v>
      </x:c>
      <x:c r="D253" s="23" t="s">
        <x:v>113</x:v>
      </x:c>
      <x:c r="E253" s="23" t="s">
        <x:v>188</x:v>
      </x:c>
      <x:c r="F253" s="23">
        <x:v>16</x:v>
      </x:c>
      <x:c r="G253" s="23">
        <x:v>10</x:v>
      </x:c>
      <x:c r="H253" s="23">
        <x:v>10</x:v>
      </x:c>
      <x:c r="I253" s="23">
        <x:v>14322</x:v>
      </x:c>
      <x:c r="J253" s="23">
        <x:v>3065</x:v>
      </x:c>
      <x:c r="K253" s="23">
        <x:v>16485</x:v>
      </x:c>
      <x:c r="L253" s="23" t="s">
        <x:v>298</x:v>
      </x:c>
      <x:c r="M253" s="23">
        <x:f t="shared" si="3"/>
        <x:v>695</x:v>
      </x:c>
      <x:c r="N253" s="24" t="str">
        <x:f t="array" ref="N253">INDEX('MATCH INFO'!O:O, INT((ROW()-2)/10)+2 + 92)</x:f>
        <x:v>260628_ROZE_T1_S2</x:v>
      </x:c>
    </x:row>
    <x:row r="254">
      <x:c r="A254" s="23" t="s">
        <x:v>22</x:v>
      </x:c>
      <x:c r="B254" s="23" t="s">
        <x:v>29</x:v>
      </x:c>
      <x:c r="C254" s="23" t="s">
        <x:v>16</x:v>
      </x:c>
      <x:c r="D254" s="23" t="s">
        <x:v>113</x:v>
      </x:c>
      <x:c r="E254" s="23" t="s">
        <x:v>188</x:v>
      </x:c>
      <x:c r="F254" s="23">
        <x:v>12</x:v>
      </x:c>
      <x:c r="G254" s="23">
        <x:v>8</x:v>
      </x:c>
      <x:c r="H254" s="23">
        <x:v>17</x:v>
      </x:c>
      <x:c r="I254" s="23">
        <x:v>4029</x:v>
      </x:c>
      <x:c r="J254" s="23">
        <x:v>11521</x:v>
      </x:c>
      <x:c r="K254" s="23">
        <x:v>0</x:v>
      </x:c>
      <x:c r="L254" s="23" t="s">
        <x:v>298</x:v>
      </x:c>
      <x:c r="M254" s="23">
        <x:f t="shared" si="3"/>
        <x:v>695</x:v>
      </x:c>
      <x:c r="N254" s="24" t="str">
        <x:f t="array" ref="N254">INDEX('MATCH INFO'!O:O, INT((ROW()-2)/10)+2 + 92)</x:f>
        <x:v>260628_ROZE_T1_S2</x:v>
      </x:c>
    </x:row>
    <x:row r="255">
      <x:c r="A255" s="23" t="s">
        <x:v>22</x:v>
      </x:c>
      <x:c r="B255" s="23" t="s">
        <x:v>28</x:v>
      </x:c>
      <x:c r="C255" s="23" t="s">
        <x:v>16</x:v>
      </x:c>
      <x:c r="D255" s="23" t="s">
        <x:v>113</x:v>
      </x:c>
      <x:c r="E255" s="23" t="s">
        <x:v>188</x:v>
      </x:c>
      <x:c r="F255" s="23">
        <x:v>15</x:v>
      </x:c>
      <x:c r="G255" s="23">
        <x:v>9</x:v>
      </x:c>
      <x:c r="H255" s="23">
        <x:v>16</x:v>
      </x:c>
      <x:c r="I255" s="23">
        <x:v>3581</x:v>
      </x:c>
      <x:c r="J255" s="23">
        <x:v>7266</x:v>
      </x:c>
      <x:c r="K255" s="23">
        <x:v>583</x:v>
      </x:c>
      <x:c r="L255" s="23" t="s">
        <x:v>298</x:v>
      </x:c>
      <x:c r="M255" s="23">
        <x:f t="shared" si="3"/>
        <x:v>695</x:v>
      </x:c>
      <x:c r="N255" s="24" t="str">
        <x:f t="array" ref="N255">INDEX('MATCH INFO'!O:O, INT((ROW()-2)/10)+2 + 92)</x:f>
        <x:v>260628_ROZE_T1_S2</x:v>
      </x:c>
    </x:row>
    <x:row r="256">
      <x:c r="A256" s="23" t="s">
        <x:v>22</x:v>
      </x:c>
      <x:c r="B256" s="23" t="s">
        <x:v>27</x:v>
      </x:c>
      <x:c r="C256" s="23" t="s">
        <x:v>11</x:v>
      </x:c>
      <x:c r="D256" s="23" t="s">
        <x:v>113</x:v>
      </x:c>
      <x:c r="E256" s="23" t="s">
        <x:v>188</x:v>
      </x:c>
      <x:c r="F256" s="23">
        <x:v>15</x:v>
      </x:c>
      <x:c r="G256" s="23">
        <x:v>9</x:v>
      </x:c>
      <x:c r="H256" s="23">
        <x:v>3</x:v>
      </x:c>
      <x:c r="I256" s="23">
        <x:v>8744</x:v>
      </x:c>
      <x:c r="J256" s="23">
        <x:v>0</x:v>
      </x:c>
      <x:c r="K256" s="23">
        <x:v>373</x:v>
      </x:c>
      <x:c r="L256" s="23" t="s">
        <x:v>298</x:v>
      </x:c>
      <x:c r="M256" s="23">
        <x:f t="shared" si="3"/>
        <x:v>695</x:v>
      </x:c>
      <x:c r="N256" s="24" t="str">
        <x:f t="array" ref="N256">INDEX('MATCH INFO'!O:O, INT((ROW()-2)/10)+2 + 92)</x:f>
        <x:v>260628_ROZE_T1_S2</x:v>
      </x:c>
    </x:row>
    <x:row r="257">
      <x:c r="A257" s="23" t="s">
        <x:v>63</x:v>
      </x:c>
      <x:c r="B257" s="23" t="s">
        <x:v>69</x:v>
      </x:c>
      <x:c r="C257" s="23" t="s">
        <x:v>16</x:v>
      </x:c>
      <x:c r="D257" s="23" t="s">
        <x:v>113</x:v>
      </x:c>
      <x:c r="E257" s="23" t="s">
        <x:v>188</x:v>
      </x:c>
      <x:c r="F257" s="23">
        <x:v>21</x:v>
      </x:c>
      <x:c r="G257" s="23">
        <x:v>5</x:v>
      </x:c>
      <x:c r="H257" s="23">
        <x:v>24</x:v>
      </x:c>
      <x:c r="I257" s="23">
        <x:v>2769</x:v>
      </x:c>
      <x:c r="J257" s="23">
        <x:v>8221</x:v>
      </x:c>
      <x:c r="K257" s="23">
        <x:v>0</x:v>
      </x:c>
      <x:c r="L257" s="23" t="s">
        <x:v>298</x:v>
      </x:c>
      <x:c r="M257" s="23">
        <x:f t="shared" si="3"/>
        <x:v>695</x:v>
      </x:c>
      <x:c r="N257" s="24" t="str">
        <x:f t="array" ref="N257">INDEX('MATCH INFO'!O:O, INT((ROW()-2)/10)+2 + 92)</x:f>
        <x:v>260628_ROZE_T1_S2</x:v>
      </x:c>
    </x:row>
    <x:row r="258">
      <x:c r="A258" s="23" t="s">
        <x:v>63</x:v>
      </x:c>
      <x:c r="B258" s="23" t="s">
        <x:v>64</x:v>
      </x:c>
      <x:c r="C258" s="23" t="s">
        <x:v>8</x:v>
      </x:c>
      <x:c r="D258" s="23" t="s">
        <x:v>113</x:v>
      </x:c>
      <x:c r="E258" s="23" t="s">
        <x:v>188</x:v>
      </x:c>
      <x:c r="F258" s="23">
        <x:v>25</x:v>
      </x:c>
      <x:c r="G258" s="23">
        <x:v>6</x:v>
      </x:c>
      <x:c r="H258" s="23">
        <x:v>12</x:v>
      </x:c>
      <x:c r="I258" s="23">
        <x:v>12350</x:v>
      </x:c>
      <x:c r="J258" s="23">
        <x:v>2098</x:v>
      </x:c>
      <x:c r="K258" s="23">
        <x:v>12295</x:v>
      </x:c>
      <x:c r="L258" s="23" t="s">
        <x:v>298</x:v>
      </x:c>
      <x:c r="M258" s="23" t="e">
        <x:f t="shared" ref="M258:M321" si="4">L258*86400</x:f>
        <x:v>#VALUE!</x:v>
      </x:c>
      <x:c r="N258" s="24" t="str">
        <x:f t="array" ref="N258">INDEX('MATCH INFO'!O:O, INT((ROW()-2)/10)+2 + 92)</x:f>
        <x:v>260628_ROZE_T1_S2</x:v>
      </x:c>
    </x:row>
    <x:row r="259">
      <x:c r="A259" s="23" t="s">
        <x:v>63</x:v>
      </x:c>
      <x:c r="B259" s="23" t="s">
        <x:v>67</x:v>
      </x:c>
      <x:c r="C259" s="23" t="s">
        <x:v>11</x:v>
      </x:c>
      <x:c r="D259" s="23" t="s">
        <x:v>113</x:v>
      </x:c>
      <x:c r="E259" s="23" t="s">
        <x:v>188</x:v>
      </x:c>
      <x:c r="F259" s="23">
        <x:v>28</x:v>
      </x:c>
      <x:c r="G259" s="23">
        <x:v>8</x:v>
      </x:c>
      <x:c r="H259" s="23">
        <x:v>6</x:v>
      </x:c>
      <x:c r="I259" s="23">
        <x:v>12733</x:v>
      </x:c>
      <x:c r="J259" s="23">
        <x:v>33</x:v>
      </x:c>
      <x:c r="K259" s="23">
        <x:v>1291</x:v>
      </x:c>
      <x:c r="L259" s="23" t="s">
        <x:v>298</x:v>
      </x:c>
      <x:c r="M259" s="23">
        <x:f t="shared" si="4"/>
        <x:v>695</x:v>
      </x:c>
      <x:c r="N259" s="24" t="str">
        <x:f t="array" ref="N259">INDEX('MATCH INFO'!O:O, INT((ROW()-2)/10)+2 + 92)</x:f>
        <x:v>260628_ROZE_T1_S2</x:v>
      </x:c>
    </x:row>
    <x:row r="260">
      <x:c r="A260" s="23" t="s">
        <x:v>63</x:v>
      </x:c>
      <x:c r="B260" s="23" t="s">
        <x:v>70</x:v>
      </x:c>
      <x:c r="C260" s="23" t="s">
        <x:v>16</x:v>
      </x:c>
      <x:c r="D260" s="23" t="s">
        <x:v>113</x:v>
      </x:c>
      <x:c r="E260" s="23" t="s">
        <x:v>188</x:v>
      </x:c>
      <x:c r="F260" s="23">
        <x:v>16</x:v>
      </x:c>
      <x:c r="G260" s="23">
        <x:v>3</x:v>
      </x:c>
      <x:c r="H260" s="23">
        <x:v>29</x:v>
      </x:c>
      <x:c r="I260" s="23">
        <x:v>4595</x:v>
      </x:c>
      <x:c r="J260" s="23">
        <x:v>13742</x:v>
      </x:c>
      <x:c r="K260" s="23">
        <x:v>0</x:v>
      </x:c>
      <x:c r="L260" s="23" t="s">
        <x:v>298</x:v>
      </x:c>
      <x:c r="M260" s="23">
        <x:f t="shared" si="4"/>
        <x:v>695</x:v>
      </x:c>
      <x:c r="N260" s="24" t="str">
        <x:f t="array" ref="N260">INDEX('MATCH INFO'!O:O, INT((ROW()-2)/10)+2 + 92)</x:f>
        <x:v>260628_ROZE_T1_S2</x:v>
      </x:c>
    </x:row>
    <x:row r="261">
      <x:c r="A261" s="23" t="s">
        <x:v>63</x:v>
      </x:c>
      <x:c r="B261" s="23" t="s">
        <x:v>66</x:v>
      </x:c>
      <x:c r="C261" s="23" t="s">
        <x:v>11</x:v>
      </x:c>
      <x:c r="D261" s="23" t="s">
        <x:v>113</x:v>
      </x:c>
      <x:c r="E261" s="23" t="s">
        <x:v>188</x:v>
      </x:c>
      <x:c r="F261" s="23">
        <x:v>30</x:v>
      </x:c>
      <x:c r="G261" s="23">
        <x:v>6</x:v>
      </x:c>
      <x:c r="H261" s="23">
        <x:v>2</x:v>
      </x:c>
      <x:c r="I261" s="23">
        <x:v>11400</x:v>
      </x:c>
      <x:c r="J261" s="23">
        <x:v>0</x:v>
      </x:c>
      <x:c r="K261" s="23">
        <x:v>625</x:v>
      </x:c>
      <x:c r="L261" s="23" t="s">
        <x:v>298</x:v>
      </x:c>
      <x:c r="M261" s="23">
        <x:f t="shared" si="4"/>
        <x:v>695</x:v>
      </x:c>
      <x:c r="N261" s="24" t="str">
        <x:f t="array" ref="N261">INDEX('MATCH INFO'!O:O, INT((ROW()-2)/10)+2 + 92)</x:f>
        <x:v>260628_ROZE_T1_S2</x:v>
      </x:c>
    </x:row>
    <x:row r="262">
      <x:c r="A262" s="23" t="s">
        <x:v>22</x:v>
      </x:c>
      <x:c r="B262" s="23" t="s">
        <x:v>25</x:v>
      </x:c>
      <x:c r="C262" s="23" t="s">
        <x:v>11</x:v>
      </x:c>
      <x:c r="D262" s="23" t="s">
        <x:v>124</x:v>
      </x:c>
      <x:c r="E262" s="23" t="s">
        <x:v>186</x:v>
      </x:c>
      <x:c r="F262" s="23">
        <x:v>10</x:v>
      </x:c>
      <x:c r="G262" s="23">
        <x:v>7</x:v>
      </x:c>
      <x:c r="H262" s="23">
        <x:v>3</x:v>
      </x:c>
      <x:c r="I262" s="23">
        <x:v>7962</x:v>
      </x:c>
      <x:c r="J262" s="23">
        <x:v>910</x:v>
      </x:c>
      <x:c r="K262" s="23">
        <x:v>3181</x:v>
      </x:c>
      <x:c r="L262" s="23" t="s">
        <x:v>299</x:v>
      </x:c>
      <x:c r="M262" s="23">
        <x:f t="shared" si="4"/>
        <x:v>530</x:v>
      </x:c>
      <x:c r="N262" s="24" t="str">
        <x:f t="array" ref="N262">INDEX('MATCH INFO'!O:O, INT((ROW()-2)/10)+2 + 92)</x:f>
        <x:v>260628_ROZE_T1_S3</x:v>
      </x:c>
    </x:row>
    <x:row r="263">
      <x:c r="A263" s="23" t="s">
        <x:v>22</x:v>
      </x:c>
      <x:c r="B263" s="23" t="s">
        <x:v>24</x:v>
      </x:c>
      <x:c r="C263" s="23" t="s">
        <x:v>8</x:v>
      </x:c>
      <x:c r="D263" s="23" t="s">
        <x:v>124</x:v>
      </x:c>
      <x:c r="E263" s="23" t="s">
        <x:v>186</x:v>
      </x:c>
      <x:c r="F263" s="23">
        <x:v>12</x:v>
      </x:c>
      <x:c r="G263" s="23">
        <x:v>7</x:v>
      </x:c>
      <x:c r="H263" s="23">
        <x:v>4</x:v>
      </x:c>
      <x:c r="I263" s="23">
        <x:v>11647</x:v>
      </x:c>
      <x:c r="J263" s="23">
        <x:v>469</x:v>
      </x:c>
      <x:c r="K263" s="23">
        <x:v>5284</x:v>
      </x:c>
      <x:c r="L263" s="23" t="s">
        <x:v>299</x:v>
      </x:c>
      <x:c r="M263" s="23">
        <x:f t="shared" si="4"/>
        <x:v>530</x:v>
      </x:c>
      <x:c r="N263" s="24" t="str">
        <x:f t="array" ref="N263">INDEX('MATCH INFO'!O:O, INT((ROW()-2)/10)+2 + 92)</x:f>
        <x:v>260628_ROZE_T1_S3</x:v>
      </x:c>
    </x:row>
    <x:row r="264">
      <x:c r="A264" s="23" t="s">
        <x:v>22</x:v>
      </x:c>
      <x:c r="B264" s="23" t="s">
        <x:v>29</x:v>
      </x:c>
      <x:c r="C264" s="23" t="s">
        <x:v>16</x:v>
      </x:c>
      <x:c r="D264" s="23" t="s">
        <x:v>124</x:v>
      </x:c>
      <x:c r="E264" s="23" t="s">
        <x:v>186</x:v>
      </x:c>
      <x:c r="F264" s="23">
        <x:v>8</x:v>
      </x:c>
      <x:c r="G264" s="23">
        <x:v>4</x:v>
      </x:c>
      <x:c r="H264" s="23">
        <x:v>12</x:v>
      </x:c>
      <x:c r="I264" s="23">
        <x:v>5922</x:v>
      </x:c>
      <x:c r="J264" s="23">
        <x:v>10877</x:v>
      </x:c>
      <x:c r="K264" s="23">
        <x:v>2856</x:v>
      </x:c>
      <x:c r="L264" s="23" t="s">
        <x:v>299</x:v>
      </x:c>
      <x:c r="M264" s="23">
        <x:f t="shared" si="4"/>
        <x:v>530</x:v>
      </x:c>
      <x:c r="N264" s="24" t="str">
        <x:f t="array" ref="N264">INDEX('MATCH INFO'!O:O, INT((ROW()-2)/10)+2 + 92)</x:f>
        <x:v>260628_ROZE_T1_S3</x:v>
      </x:c>
    </x:row>
    <x:row r="265">
      <x:c r="A265" s="23" t="s">
        <x:v>22</x:v>
      </x:c>
      <x:c r="B265" s="23" t="s">
        <x:v>28</x:v>
      </x:c>
      <x:c r="C265" s="23" t="s">
        <x:v>16</x:v>
      </x:c>
      <x:c r="D265" s="23" t="s">
        <x:v>124</x:v>
      </x:c>
      <x:c r="E265" s="23" t="s">
        <x:v>186</x:v>
      </x:c>
      <x:c r="F265" s="23">
        <x:v>5</x:v>
      </x:c>
      <x:c r="G265" s="23">
        <x:v>8</x:v>
      </x:c>
      <x:c r="H265" s="23">
        <x:v>5</x:v>
      </x:c>
      <x:c r="I265" s="23">
        <x:v>2063</x:v>
      </x:c>
      <x:c r="J265" s="23">
        <x:v>8822</x:v>
      </x:c>
      <x:c r="K265" s="23">
        <x:v>0</x:v>
      </x:c>
      <x:c r="L265" s="23" t="s">
        <x:v>299</x:v>
      </x:c>
      <x:c r="M265" s="23">
        <x:f t="shared" si="4"/>
        <x:v>530</x:v>
      </x:c>
      <x:c r="N265" s="24" t="str">
        <x:f t="array" ref="N265">INDEX('MATCH INFO'!O:O, INT((ROW()-2)/10)+2 + 92)</x:f>
        <x:v>260628_ROZE_T1_S3</x:v>
      </x:c>
    </x:row>
    <x:row r="266">
      <x:c r="A266" s="23" t="s">
        <x:v>22</x:v>
      </x:c>
      <x:c r="B266" s="23" t="s">
        <x:v>27</x:v>
      </x:c>
      <x:c r="C266" s="23" t="s">
        <x:v>11</x:v>
      </x:c>
      <x:c r="D266" s="23" t="s">
        <x:v>124</x:v>
      </x:c>
      <x:c r="E266" s="23" t="s">
        <x:v>186</x:v>
      </x:c>
      <x:c r="F266" s="23">
        <x:v>8</x:v>
      </x:c>
      <x:c r="G266" s="23">
        <x:v>8</x:v>
      </x:c>
      <x:c r="H266" s="23">
        <x:v>1</x:v>
      </x:c>
      <x:c r="I266" s="23">
        <x:v>7005</x:v>
      </x:c>
      <x:c r="J266" s="23">
        <x:v>0</x:v>
      </x:c>
      <x:c r="K266" s="23">
        <x:v>451</x:v>
      </x:c>
      <x:c r="L266" s="23" t="s">
        <x:v>299</x:v>
      </x:c>
      <x:c r="M266" s="23">
        <x:f t="shared" si="4"/>
        <x:v>530</x:v>
      </x:c>
      <x:c r="N266" s="24" t="str">
        <x:f t="array" ref="N266">INDEX('MATCH INFO'!O:O, INT((ROW()-2)/10)+2 + 92)</x:f>
        <x:v>260628_ROZE_T1_S3</x:v>
      </x:c>
    </x:row>
    <x:row r="267">
      <x:c r="A267" s="23" t="s">
        <x:v>63</x:v>
      </x:c>
      <x:c r="B267" s="23" t="s">
        <x:v>69</x:v>
      </x:c>
      <x:c r="C267" s="23" t="s">
        <x:v>16</x:v>
      </x:c>
      <x:c r="D267" s="23" t="s">
        <x:v>124</x:v>
      </x:c>
      <x:c r="E267" s="23" t="s">
        <x:v>186</x:v>
      </x:c>
      <x:c r="F267" s="23">
        <x:v>19</x:v>
      </x:c>
      <x:c r="G267" s="23">
        <x:v>5</x:v>
      </x:c>
      <x:c r="H267" s="23">
        <x:v>19</x:v>
      </x:c>
      <x:c r="I267" s="23">
        <x:v>3698</x:v>
      </x:c>
      <x:c r="J267" s="23">
        <x:v>4865</x:v>
      </x:c>
      <x:c r="K267" s="23">
        <x:v>901</x:v>
      </x:c>
      <x:c r="L267" s="23" t="s">
        <x:v>299</x:v>
      </x:c>
      <x:c r="M267" s="23">
        <x:f t="shared" si="4"/>
        <x:v>530</x:v>
      </x:c>
      <x:c r="N267" s="24" t="str">
        <x:f t="array" ref="N267">INDEX('MATCH INFO'!O:O, INT((ROW()-2)/10)+2 + 92)</x:f>
        <x:v>260628_ROZE_T1_S3</x:v>
      </x:c>
    </x:row>
    <x:row r="268">
      <x:c r="A268" s="23" t="s">
        <x:v>63</x:v>
      </x:c>
      <x:c r="B268" s="23" t="s">
        <x:v>64</x:v>
      </x:c>
      <x:c r="C268" s="23" t="s">
        <x:v>8</x:v>
      </x:c>
      <x:c r="D268" s="23" t="s">
        <x:v>124</x:v>
      </x:c>
      <x:c r="E268" s="23" t="s">
        <x:v>186</x:v>
      </x:c>
      <x:c r="F268" s="23">
        <x:v>20</x:v>
      </x:c>
      <x:c r="G268" s="23">
        <x:v>4</x:v>
      </x:c>
      <x:c r="H268" s="23">
        <x:v>14</x:v>
      </x:c>
      <x:c r="I268" s="23">
        <x:v>9006</x:v>
      </x:c>
      <x:c r="J268" s="23">
        <x:v>2776</x:v>
      </x:c>
      <x:c r="K268" s="23">
        <x:v>4796</x:v>
      </x:c>
      <x:c r="L268" s="23" t="s">
        <x:v>299</x:v>
      </x:c>
      <x:c r="M268" s="23">
        <x:f t="shared" si="4"/>
        <x:v>530</x:v>
      </x:c>
      <x:c r="N268" s="24" t="str">
        <x:f t="array" ref="N268">INDEX('MATCH INFO'!O:O, INT((ROW()-2)/10)+2 + 92)</x:f>
        <x:v>260628_ROZE_T1_S3</x:v>
      </x:c>
    </x:row>
    <x:row r="269">
      <x:c r="A269" s="23" t="s">
        <x:v>63</x:v>
      </x:c>
      <x:c r="B269" s="23" t="s">
        <x:v>67</x:v>
      </x:c>
      <x:c r="C269" s="23" t="s">
        <x:v>11</x:v>
      </x:c>
      <x:c r="D269" s="23" t="s">
        <x:v>124</x:v>
      </x:c>
      <x:c r="E269" s="23" t="s">
        <x:v>186</x:v>
      </x:c>
      <x:c r="F269" s="23">
        <x:v>23</x:v>
      </x:c>
      <x:c r="G269" s="23">
        <x:v>2</x:v>
      </x:c>
      <x:c r="H269" s="23">
        <x:v>0</x:v>
      </x:c>
      <x:c r="I269" s="23">
        <x:v>10646</x:v>
      </x:c>
      <x:c r="J269" s="23">
        <x:v>0</x:v>
      </x:c>
      <x:c r="K269" s="23">
        <x:v>0</x:v>
      </x:c>
      <x:c r="L269" s="23" t="s">
        <x:v>299</x:v>
      </x:c>
      <x:c r="M269" s="23">
        <x:f t="shared" si="4"/>
        <x:v>530</x:v>
      </x:c>
      <x:c r="N269" s="24" t="str">
        <x:f t="array" ref="N269">INDEX('MATCH INFO'!O:O, INT((ROW()-2)/10)+2 + 92)</x:f>
        <x:v>260628_ROZE_T1_S3</x:v>
      </x:c>
    </x:row>
    <x:row r="270">
      <x:c r="A270" s="23" t="s">
        <x:v>63</x:v>
      </x:c>
      <x:c r="B270" s="23" t="s">
        <x:v>70</x:v>
      </x:c>
      <x:c r="C270" s="23" t="s">
        <x:v>16</x:v>
      </x:c>
      <x:c r="D270" s="23" t="s">
        <x:v>124</x:v>
      </x:c>
      <x:c r="E270" s="23" t="s">
        <x:v>186</x:v>
      </x:c>
      <x:c r="F270" s="23">
        <x:v>23</x:v>
      </x:c>
      <x:c r="G270" s="23">
        <x:v>1</x:v>
      </x:c>
      <x:c r="H270" s="23">
        <x:v>28</x:v>
      </x:c>
      <x:c r="I270" s="23">
        <x:v>4642</x:v>
      </x:c>
      <x:c r="J270" s="23">
        <x:v>15232</x:v>
      </x:c>
      <x:c r="K270" s="23">
        <x:v>0</x:v>
      </x:c>
      <x:c r="L270" s="23" t="s">
        <x:v>299</x:v>
      </x:c>
      <x:c r="M270" s="23">
        <x:f t="shared" si="4"/>
        <x:v>530</x:v>
      </x:c>
      <x:c r="N270" s="24" t="str">
        <x:f t="array" ref="N270">INDEX('MATCH INFO'!O:O, INT((ROW()-2)/10)+2 + 92)</x:f>
        <x:v>260628_ROZE_T1_S3</x:v>
      </x:c>
    </x:row>
    <x:row r="271">
      <x:c r="A271" s="23" t="s">
        <x:v>63</x:v>
      </x:c>
      <x:c r="B271" s="23" t="s">
        <x:v>66</x:v>
      </x:c>
      <x:c r="C271" s="23" t="s">
        <x:v>11</x:v>
      </x:c>
      <x:c r="D271" s="23" t="s">
        <x:v>124</x:v>
      </x:c>
      <x:c r="E271" s="23" t="s">
        <x:v>186</x:v>
      </x:c>
      <x:c r="F271" s="23">
        <x:v>21</x:v>
      </x:c>
      <x:c r="G271" s="23">
        <x:v>3</x:v>
      </x:c>
      <x:c r="H271" s="23">
        <x:v>0</x:v>
      </x:c>
      <x:c r="I271" s="23">
        <x:v>7311</x:v>
      </x:c>
      <x:c r="J271" s="23">
        <x:v>272</x:v>
      </x:c>
      <x:c r="K271" s="23">
        <x:v>1409</x:v>
      </x:c>
      <x:c r="L271" s="23" t="s">
        <x:v>299</x:v>
      </x:c>
      <x:c r="M271" s="23">
        <x:f t="shared" si="4"/>
        <x:v>530</x:v>
      </x:c>
      <x:c r="N271" s="24" t="str">
        <x:f t="array" ref="N271">INDEX('MATCH INFO'!O:O, INT((ROW()-2)/10)+2 + 92)</x:f>
        <x:v>260628_ROZE_T1_S3</x:v>
      </x:c>
    </x:row>
    <x:row r="272">
      <x:c r="A272" s="23" t="s">
        <x:v>55</x:v>
      </x:c>
      <x:c r="B272" s="23" t="s">
        <x:v>61</x:v>
      </x:c>
      <x:c r="C272" s="23" t="s">
        <x:v>16</x:v>
      </x:c>
      <x:c r="D272" s="23" t="s">
        <x:v>116</x:v>
      </x:c>
      <x:c r="E272" s="23" t="s">
        <x:v>184</x:v>
      </x:c>
      <x:c r="F272" s="23">
        <x:v>32</x:v>
      </x:c>
      <x:c r="G272" s="23">
        <x:v>9</x:v>
      </x:c>
      <x:c r="H272" s="23">
        <x:v>35</x:v>
      </x:c>
      <x:c r="I272" s="23">
        <x:v>7309</x:v>
      </x:c>
      <x:c r="J272" s="23">
        <x:v>9767</x:v>
      </x:c>
      <x:c r="K272" s="23">
        <x:v>4800</x:v>
      </x:c>
      <x:c r="L272" s="23" t="s">
        <x:v>300</x:v>
      </x:c>
      <x:c r="M272" s="23">
        <x:f t="shared" si="4"/>
        <x:v>726</x:v>
      </x:c>
      <x:c r="N272" s="24" t="str">
        <x:f t="array" ref="N272">INDEX('MATCH INFO'!O:O, INT((ROW()-2)/10)+2 + 92)</x:f>
        <x:v>260628_CR_ZETA_S1</x:v>
      </x:c>
    </x:row>
    <x:row r="273">
      <x:c r="A273" s="23" t="s">
        <x:v>55</x:v>
      </x:c>
      <x:c r="B273" s="23" t="s">
        <x:v>58</x:v>
      </x:c>
      <x:c r="C273" s="23" t="s">
        <x:v>11</x:v>
      </x:c>
      <x:c r="D273" s="23" t="s">
        <x:v>116</x:v>
      </x:c>
      <x:c r="E273" s="23" t="s">
        <x:v>184</x:v>
      </x:c>
      <x:c r="F273" s="23">
        <x:v>38</x:v>
      </x:c>
      <x:c r="G273" s="23">
        <x:v>8</x:v>
      </x:c>
      <x:c r="H273" s="23">
        <x:v>0</x:v>
      </x:c>
      <x:c r="I273" s="23">
        <x:v>18300</x:v>
      </x:c>
      <x:c r="J273" s="23">
        <x:v>2274</x:v>
      </x:c>
      <x:c r="K273" s="23">
        <x:v>0</x:v>
      </x:c>
      <x:c r="L273" s="23" t="s">
        <x:v>300</x:v>
      </x:c>
      <x:c r="M273" s="23">
        <x:f t="shared" si="4"/>
        <x:v>726</x:v>
      </x:c>
      <x:c r="N273" s="24" t="str">
        <x:f t="array" ref="N273">INDEX('MATCH INFO'!O:O, INT((ROW()-2)/10)+2 + 92)</x:f>
        <x:v>260628_CR_ZETA_S1</x:v>
      </x:c>
    </x:row>
    <x:row r="274">
      <x:c r="A274" s="23" t="s">
        <x:v>55</x:v>
      </x:c>
      <x:c r="B274" s="23" t="s">
        <x:v>57</x:v>
      </x:c>
      <x:c r="C274" s="23" t="s">
        <x:v>8</x:v>
      </x:c>
      <x:c r="D274" s="23" t="s">
        <x:v>116</x:v>
      </x:c>
      <x:c r="E274" s="23" t="s">
        <x:v>184</x:v>
      </x:c>
      <x:c r="F274" s="23">
        <x:v>35</x:v>
      </x:c>
      <x:c r="G274" s="23">
        <x:v>7</x:v>
      </x:c>
      <x:c r="H274" s="23">
        <x:v>25</x:v>
      </x:c>
      <x:c r="I274" s="23">
        <x:v>20012</x:v>
      </x:c>
      <x:c r="J274" s="23">
        <x:v>4170</x:v>
      </x:c>
      <x:c r="K274" s="23">
        <x:v>7981</x:v>
      </x:c>
      <x:c r="L274" s="23" t="s">
        <x:v>300</x:v>
      </x:c>
      <x:c r="M274" s="23">
        <x:f t="shared" si="4"/>
        <x:v>726</x:v>
      </x:c>
      <x:c r="N274" s="24" t="str">
        <x:f t="array" ref="N274">INDEX('MATCH INFO'!O:O, INT((ROW()-2)/10)+2 + 92)</x:f>
        <x:v>260628_CR_ZETA_S1</x:v>
      </x:c>
    </x:row>
    <x:row r="275">
      <x:c r="A275" s="23" t="s">
        <x:v>55</x:v>
      </x:c>
      <x:c r="B275" s="23" t="s">
        <x:v>60</x:v>
      </x:c>
      <x:c r="C275" s="23" t="s">
        <x:v>11</x:v>
      </x:c>
      <x:c r="D275" s="23" t="s">
        <x:v>116</x:v>
      </x:c>
      <x:c r="E275" s="23" t="s">
        <x:v>184</x:v>
      </x:c>
      <x:c r="F275" s="23">
        <x:v>29</x:v>
      </x:c>
      <x:c r="G275" s="23">
        <x:v>9</x:v>
      </x:c>
      <x:c r="H275" s="23">
        <x:v>5</x:v>
      </x:c>
      <x:c r="I275" s="23">
        <x:v>14693</x:v>
      </x:c>
      <x:c r="J275" s="23">
        <x:v>0</x:v>
      </x:c>
      <x:c r="K275" s="23">
        <x:v>502</x:v>
      </x:c>
      <x:c r="L275" s="23" t="s">
        <x:v>300</x:v>
      </x:c>
      <x:c r="M275" s="23">
        <x:f t="shared" si="4"/>
        <x:v>726</x:v>
      </x:c>
      <x:c r="N275" s="24" t="str">
        <x:f t="array" ref="N275">INDEX('MATCH INFO'!O:O, INT((ROW()-2)/10)+2 + 92)</x:f>
        <x:v>260628_CR_ZETA_S1</x:v>
      </x:c>
    </x:row>
    <x:row r="276">
      <x:c r="A276" s="23" t="s">
        <x:v>55</x:v>
      </x:c>
      <x:c r="B276" s="23" t="s">
        <x:v>62</x:v>
      </x:c>
      <x:c r="C276" s="23" t="s">
        <x:v>16</x:v>
      </x:c>
      <x:c r="D276" s="23" t="s">
        <x:v>116</x:v>
      </x:c>
      <x:c r="E276" s="23" t="s">
        <x:v>184</x:v>
      </x:c>
      <x:c r="F276" s="23">
        <x:v>24</x:v>
      </x:c>
      <x:c r="G276" s="23">
        <x:v>8</x:v>
      </x:c>
      <x:c r="H276" s="23">
        <x:v>41</x:v>
      </x:c>
      <x:c r="I276" s="23">
        <x:v>6048</x:v>
      </x:c>
      <x:c r="J276" s="23">
        <x:v>19754</x:v>
      </x:c>
      <x:c r="K276" s="23">
        <x:v>0</x:v>
      </x:c>
      <x:c r="L276" s="23" t="s">
        <x:v>300</x:v>
      </x:c>
      <x:c r="M276" s="23">
        <x:f t="shared" si="4"/>
        <x:v>726</x:v>
      </x:c>
      <x:c r="N276" s="24" t="str">
        <x:f t="array" ref="N276">INDEX('MATCH INFO'!O:O, INT((ROW()-2)/10)+2 + 92)</x:f>
        <x:v>260628_CR_ZETA_S1</x:v>
      </x:c>
    </x:row>
    <x:row r="277">
      <x:c r="A277" s="23" t="s">
        <x:v>47</x:v>
      </x:c>
      <x:c r="B277" s="23" t="s">
        <x:v>49</x:v>
      </x:c>
      <x:c r="C277" s="23" t="s">
        <x:v>8</x:v>
      </x:c>
      <x:c r="D277" s="23" t="s">
        <x:v>116</x:v>
      </x:c>
      <x:c r="E277" s="23" t="s">
        <x:v>184</x:v>
      </x:c>
      <x:c r="F277" s="23">
        <x:v>29</x:v>
      </x:c>
      <x:c r="G277" s="23">
        <x:v>9</x:v>
      </x:c>
      <x:c r="H277" s="23">
        <x:v>15</x:v>
      </x:c>
      <x:c r="I277" s="23">
        <x:v>16840</x:v>
      </x:c>
      <x:c r="J277" s="23">
        <x:v>4035</x:v>
      </x:c>
      <x:c r="K277" s="23">
        <x:v>8852</x:v>
      </x:c>
      <x:c r="L277" s="23" t="s">
        <x:v>300</x:v>
      </x:c>
      <x:c r="M277" s="23">
        <x:f t="shared" si="4"/>
        <x:v>726</x:v>
      </x:c>
      <x:c r="N277" s="24" t="str">
        <x:f t="array" ref="N277">INDEX('MATCH INFO'!O:O, INT((ROW()-2)/10)+2 + 92)</x:f>
        <x:v>260628_CR_ZETA_S1</x:v>
      </x:c>
    </x:row>
    <x:row r="278">
      <x:c r="A278" s="23" t="s">
        <x:v>47</x:v>
      </x:c>
      <x:c r="B278" s="23" t="s">
        <x:v>51</x:v>
      </x:c>
      <x:c r="C278" s="23" t="s">
        <x:v>11</x:v>
      </x:c>
      <x:c r="D278" s="23" t="s">
        <x:v>116</x:v>
      </x:c>
      <x:c r="E278" s="23" t="s">
        <x:v>184</x:v>
      </x:c>
      <x:c r="F278" s="23">
        <x:v>26</x:v>
      </x:c>
      <x:c r="G278" s="23">
        <x:v>11</x:v>
      </x:c>
      <x:c r="H278" s="23">
        <x:v>0</x:v>
      </x:c>
      <x:c r="I278" s="23">
        <x:v>13782</x:v>
      </x:c>
      <x:c r="J278" s="23">
        <x:v>2099</x:v>
      </x:c>
      <x:c r="K278" s="23">
        <x:v>0</x:v>
      </x:c>
      <x:c r="L278" s="23" t="s">
        <x:v>300</x:v>
      </x:c>
      <x:c r="M278" s="23">
        <x:f t="shared" si="4"/>
        <x:v>726</x:v>
      </x:c>
      <x:c r="N278" s="24" t="str">
        <x:f t="array" ref="N278">INDEX('MATCH INFO'!O:O, INT((ROW()-2)/10)+2 + 92)</x:f>
        <x:v>260628_CR_ZETA_S1</x:v>
      </x:c>
    </x:row>
    <x:row r="279">
      <x:c r="A279" s="23" t="s">
        <x:v>47</x:v>
      </x:c>
      <x:c r="B279" s="23" t="s">
        <x:v>50</x:v>
      </x:c>
      <x:c r="C279" s="23" t="s">
        <x:v>11</x:v>
      </x:c>
      <x:c r="D279" s="23" t="s">
        <x:v>116</x:v>
      </x:c>
      <x:c r="E279" s="23" t="s">
        <x:v>184</x:v>
      </x:c>
      <x:c r="F279" s="23">
        <x:v>25</x:v>
      </x:c>
      <x:c r="G279" s="23">
        <x:v>10</x:v>
      </x:c>
      <x:c r="H279" s="23">
        <x:v>7</x:v>
      </x:c>
      <x:c r="I279" s="23">
        <x:v>16103</x:v>
      </x:c>
      <x:c r="J279" s="23">
        <x:v>26</x:v>
      </x:c>
      <x:c r="K279" s="23">
        <x:v>551</x:v>
      </x:c>
      <x:c r="L279" s="23" t="s">
        <x:v>300</x:v>
      </x:c>
      <x:c r="M279" s="23">
        <x:f t="shared" si="4"/>
        <x:v>726</x:v>
      </x:c>
      <x:c r="N279" s="24" t="str">
        <x:f t="array" ref="N279">INDEX('MATCH INFO'!O:O, INT((ROW()-2)/10)+2 + 92)</x:f>
        <x:v>260628_CR_ZETA_S1</x:v>
      </x:c>
    </x:row>
    <x:row r="280">
      <x:c r="A280" s="23" t="s">
        <x:v>47</x:v>
      </x:c>
      <x:c r="B280" s="23" t="s">
        <x:v>53</x:v>
      </x:c>
      <x:c r="C280" s="23" t="s">
        <x:v>16</x:v>
      </x:c>
      <x:c r="D280" s="23" t="s">
        <x:v>116</x:v>
      </x:c>
      <x:c r="E280" s="23" t="s">
        <x:v>184</x:v>
      </x:c>
      <x:c r="F280" s="23">
        <x:v>17</x:v>
      </x:c>
      <x:c r="G280" s="23">
        <x:v>6</x:v>
      </x:c>
      <x:c r="H280" s="23">
        <x:v>33</x:v>
      </x:c>
      <x:c r="I280" s="23">
        <x:v>7913</x:v>
      </x:c>
      <x:c r="J280" s="23">
        <x:v>20866</x:v>
      </x:c>
      <x:c r="K280" s="23">
        <x:v>0</x:v>
      </x:c>
      <x:c r="L280" s="23" t="s">
        <x:v>300</x:v>
      </x:c>
      <x:c r="M280" s="23">
        <x:f t="shared" si="4"/>
        <x:v>726</x:v>
      </x:c>
      <x:c r="N280" s="24" t="str">
        <x:f t="array" ref="N280">INDEX('MATCH INFO'!O:O, INT((ROW()-2)/10)+2 + 92)</x:f>
        <x:v>260628_CR_ZETA_S1</x:v>
      </x:c>
    </x:row>
    <x:row r="281">
      <x:c r="A281" s="23" t="s">
        <x:v>47</x:v>
      </x:c>
      <x:c r="B281" s="23" t="s">
        <x:v>52</x:v>
      </x:c>
      <x:c r="C281" s="23" t="s">
        <x:v>16</x:v>
      </x:c>
      <x:c r="D281" s="23" t="s">
        <x:v>116</x:v>
      </x:c>
      <x:c r="E281" s="23" t="s">
        <x:v>184</x:v>
      </x:c>
      <x:c r="F281" s="23">
        <x:v>20</x:v>
      </x:c>
      <x:c r="G281" s="23">
        <x:v>8</x:v>
      </x:c>
      <x:c r="H281" s="23">
        <x:v>26</x:v>
      </x:c>
      <x:c r="I281" s="23">
        <x:v>8561</x:v>
      </x:c>
      <x:c r="J281" s="23">
        <x:v>13480</x:v>
      </x:c>
      <x:c r="K281" s="23">
        <x:v>3884</x:v>
      </x:c>
      <x:c r="L281" s="23" t="s">
        <x:v>300</x:v>
      </x:c>
      <x:c r="M281" s="23">
        <x:f t="shared" si="4"/>
        <x:v>726</x:v>
      </x:c>
      <x:c r="N281" s="24" t="str">
        <x:f t="array" ref="N281">INDEX('MATCH INFO'!O:O, INT((ROW()-2)/10)+2 + 92)</x:f>
        <x:v>260628_CR_ZETA_S1</x:v>
      </x:c>
    </x:row>
    <x:row r="282">
      <x:c r="A282" s="23" t="s">
        <x:v>55</x:v>
      </x:c>
      <x:c r="B282" s="23" t="s">
        <x:v>61</x:v>
      </x:c>
      <x:c r="C282" s="23" t="s">
        <x:v>16</x:v>
      </x:c>
      <x:c r="D282" s="23" t="s">
        <x:v>123</x:v>
      </x:c>
      <x:c r="E282" s="23" t="s">
        <x:v>195</x:v>
      </x:c>
      <x:c r="F282" s="23">
        <x:v>22</x:v>
      </x:c>
      <x:c r="G282" s="23">
        <x:v>14</x:v>
      </x:c>
      <x:c r="H282" s="23">
        <x:v>23</x:v>
      </x:c>
      <x:c r="I282" s="23">
        <x:v>6548</x:v>
      </x:c>
      <x:c r="J282" s="23">
        <x:v>8947</x:v>
      </x:c>
      <x:c r="K282" s="23">
        <x:v>2201</x:v>
      </x:c>
      <x:c r="L282" s="23" t="s">
        <x:v>301</x:v>
      </x:c>
      <x:c r="M282" s="23">
        <x:f t="shared" si="4"/>
        <x:v>886</x:v>
      </x:c>
      <x:c r="N282" s="24" t="str">
        <x:f t="array" ref="N282">INDEX('MATCH INFO'!O:O, INT((ROW()-2)/10)+2 + 92)</x:f>
        <x:v>260628_CR_ZETA_S2</x:v>
      </x:c>
    </x:row>
    <x:row r="283">
      <x:c r="A283" s="23" t="s">
        <x:v>55</x:v>
      </x:c>
      <x:c r="B283" s="23" t="s">
        <x:v>58</x:v>
      </x:c>
      <x:c r="C283" s="23" t="s">
        <x:v>11</x:v>
      </x:c>
      <x:c r="D283" s="23" t="s">
        <x:v>123</x:v>
      </x:c>
      <x:c r="E283" s="23" t="s">
        <x:v>195</x:v>
      </x:c>
      <x:c r="F283" s="23">
        <x:v>30</x:v>
      </x:c>
      <x:c r="G283" s="23">
        <x:v>13</x:v>
      </x:c>
      <x:c r="H283" s="23">
        <x:v>9</x:v>
      </x:c>
      <x:c r="I283" s="23">
        <x:v>13643</x:v>
      </x:c>
      <x:c r="J283" s="23">
        <x:v>410</x:v>
      </x:c>
      <x:c r="K283" s="23">
        <x:v>2141</x:v>
      </x:c>
      <x:c r="L283" s="23" t="s">
        <x:v>301</x:v>
      </x:c>
      <x:c r="M283" s="23">
        <x:f t="shared" si="4"/>
        <x:v>886</x:v>
      </x:c>
      <x:c r="N283" s="24" t="str">
        <x:f t="array" ref="N283">INDEX('MATCH INFO'!O:O, INT((ROW()-2)/10)+2 + 92)</x:f>
        <x:v>260628_CR_ZETA_S2</x:v>
      </x:c>
    </x:row>
    <x:row r="284">
      <x:c r="A284" s="23" t="s">
        <x:v>55</x:v>
      </x:c>
      <x:c r="B284" s="23" t="s">
        <x:v>57</x:v>
      </x:c>
      <x:c r="C284" s="23" t="s">
        <x:v>8</x:v>
      </x:c>
      <x:c r="D284" s="23" t="s">
        <x:v>123</x:v>
      </x:c>
      <x:c r="E284" s="23" t="s">
        <x:v>195</x:v>
      </x:c>
      <x:c r="F284" s="23">
        <x:v>34</x:v>
      </x:c>
      <x:c r="G284" s="23">
        <x:v>12</x:v>
      </x:c>
      <x:c r="H284" s="23">
        <x:v>18</x:v>
      </x:c>
      <x:c r="I284" s="23">
        <x:v>13697</x:v>
      </x:c>
      <x:c r="J284" s="23">
        <x:v>2467</x:v>
      </x:c>
      <x:c r="K284" s="23">
        <x:v>27559</x:v>
      </x:c>
      <x:c r="L284" s="23" t="s">
        <x:v>301</x:v>
      </x:c>
      <x:c r="M284" s="23">
        <x:f t="shared" si="4"/>
        <x:v>886</x:v>
      </x:c>
      <x:c r="N284" s="24" t="str">
        <x:f t="array" ref="N284">INDEX('MATCH INFO'!O:O, INT((ROW()-2)/10)+2 + 92)</x:f>
        <x:v>260628_CR_ZETA_S2</x:v>
      </x:c>
    </x:row>
    <x:row r="285">
      <x:c r="A285" s="23" t="s">
        <x:v>55</x:v>
      </x:c>
      <x:c r="B285" s="23" t="s">
        <x:v>60</x:v>
      </x:c>
      <x:c r="C285" s="23" t="s">
        <x:v>11</x:v>
      </x:c>
      <x:c r="D285" s="23" t="s">
        <x:v>123</x:v>
      </x:c>
      <x:c r="E285" s="23" t="s">
        <x:v>195</x:v>
      </x:c>
      <x:c r="F285" s="23">
        <x:v>25</x:v>
      </x:c>
      <x:c r="G285" s="23">
        <x:v>19</x:v>
      </x:c>
      <x:c r="H285" s="23">
        <x:v>6</x:v>
      </x:c>
      <x:c r="I285" s="23">
        <x:v>18140</x:v>
      </x:c>
      <x:c r="J285" s="23">
        <x:v>0</x:v>
      </x:c>
      <x:c r="K285" s="23">
        <x:v>789</x:v>
      </x:c>
      <x:c r="L285" s="23" t="s">
        <x:v>301</x:v>
      </x:c>
      <x:c r="M285" s="23">
        <x:f t="shared" si="4"/>
        <x:v>886</x:v>
      </x:c>
      <x:c r="N285" s="24" t="str">
        <x:f t="array" ref="N285">INDEX('MATCH INFO'!O:O, INT((ROW()-2)/10)+2 + 92)</x:f>
        <x:v>260628_CR_ZETA_S2</x:v>
      </x:c>
    </x:row>
    <x:row r="286">
      <x:c r="A286" s="23" t="s">
        <x:v>55</x:v>
      </x:c>
      <x:c r="B286" s="23" t="s">
        <x:v>62</x:v>
      </x:c>
      <x:c r="C286" s="23" t="s">
        <x:v>16</x:v>
      </x:c>
      <x:c r="D286" s="23" t="s">
        <x:v>123</x:v>
      </x:c>
      <x:c r="E286" s="23" t="s">
        <x:v>195</x:v>
      </x:c>
      <x:c r="F286" s="23">
        <x:v>18</x:v>
      </x:c>
      <x:c r="G286" s="23">
        <x:v>14</x:v>
      </x:c>
      <x:c r="H286" s="23">
        <x:v>29</x:v>
      </x:c>
      <x:c r="I286" s="23">
        <x:v>6322</x:v>
      </x:c>
      <x:c r="J286" s="23">
        <x:v>16844</x:v>
      </x:c>
      <x:c r="K286" s="23">
        <x:v>131</x:v>
      </x:c>
      <x:c r="L286" s="23" t="s">
        <x:v>301</x:v>
      </x:c>
      <x:c r="M286" s="23">
        <x:f t="shared" si="4"/>
        <x:v>886</x:v>
      </x:c>
      <x:c r="N286" s="24" t="str">
        <x:f t="array" ref="N286">INDEX('MATCH INFO'!O:O, INT((ROW()-2)/10)+2 + 92)</x:f>
        <x:v>260628_CR_ZETA_S2</x:v>
      </x:c>
    </x:row>
    <x:row r="287">
      <x:c r="A287" s="23" t="s">
        <x:v>47</x:v>
      </x:c>
      <x:c r="B287" s="23" t="s">
        <x:v>49</x:v>
      </x:c>
      <x:c r="C287" s="23" t="s">
        <x:v>8</x:v>
      </x:c>
      <x:c r="D287" s="23" t="s">
        <x:v>123</x:v>
      </x:c>
      <x:c r="E287" s="23" t="s">
        <x:v>195</x:v>
      </x:c>
      <x:c r="F287" s="23">
        <x:v>50</x:v>
      </x:c>
      <x:c r="G287" s="23">
        <x:v>8</x:v>
      </x:c>
      <x:c r="H287" s="23">
        <x:v>25</x:v>
      </x:c>
      <x:c r="I287" s="23">
        <x:v>16999</x:v>
      </x:c>
      <x:c r="J287" s="23">
        <x:v>3102</x:v>
      </x:c>
      <x:c r="K287" s="23">
        <x:v>10904</x:v>
      </x:c>
      <x:c r="L287" s="23" t="s">
        <x:v>301</x:v>
      </x:c>
      <x:c r="M287" s="23">
        <x:f t="shared" si="4"/>
        <x:v>886</x:v>
      </x:c>
      <x:c r="N287" s="24" t="str">
        <x:f t="array" ref="N287">INDEX('MATCH INFO'!O:O, INT((ROW()-2)/10)+2 + 92)</x:f>
        <x:v>260628_CR_ZETA_S2</x:v>
      </x:c>
    </x:row>
    <x:row r="288">
      <x:c r="A288" s="23" t="s">
        <x:v>47</x:v>
      </x:c>
      <x:c r="B288" s="23" t="s">
        <x:v>51</x:v>
      </x:c>
      <x:c r="C288" s="23" t="s">
        <x:v>11</x:v>
      </x:c>
      <x:c r="D288" s="23" t="s">
        <x:v>123</x:v>
      </x:c>
      <x:c r="E288" s="23" t="s">
        <x:v>195</x:v>
      </x:c>
      <x:c r="F288" s="23">
        <x:v>34</x:v>
      </x:c>
      <x:c r="G288" s="23">
        <x:v>8</x:v>
      </x:c>
      <x:c r="H288" s="23">
        <x:v>6</x:v>
      </x:c>
      <x:c r="I288" s="23">
        <x:v>13478</x:v>
      </x:c>
      <x:c r="J288" s="23">
        <x:v>1995</x:v>
      </x:c>
      <x:c r="K288" s="23">
        <x:v>2035</x:v>
      </x:c>
      <x:c r="L288" s="23" t="s">
        <x:v>301</x:v>
      </x:c>
      <x:c r="M288" s="23">
        <x:f t="shared" si="4"/>
        <x:v>886</x:v>
      </x:c>
      <x:c r="N288" s="24" t="str">
        <x:f t="array" ref="N288">INDEX('MATCH INFO'!O:O, INT((ROW()-2)/10)+2 + 92)</x:f>
        <x:v>260628_CR_ZETA_S2</x:v>
      </x:c>
    </x:row>
    <x:row r="289">
      <x:c r="A289" s="23" t="s">
        <x:v>47</x:v>
      </x:c>
      <x:c r="B289" s="23" t="s">
        <x:v>50</x:v>
      </x:c>
      <x:c r="C289" s="23" t="s">
        <x:v>11</x:v>
      </x:c>
      <x:c r="D289" s="23" t="s">
        <x:v>123</x:v>
      </x:c>
      <x:c r="E289" s="23" t="s">
        <x:v>195</x:v>
      </x:c>
      <x:c r="F289" s="23">
        <x:v>37</x:v>
      </x:c>
      <x:c r="G289" s="23">
        <x:v>9</x:v>
      </x:c>
      <x:c r="H289" s="23">
        <x:v>5</x:v>
      </x:c>
      <x:c r="I289" s="23">
        <x:v>14922</x:v>
      </x:c>
      <x:c r="J289" s="23">
        <x:v>0</x:v>
      </x:c>
      <x:c r="K289" s="23">
        <x:v>599</x:v>
      </x:c>
      <x:c r="L289" s="23" t="s">
        <x:v>301</x:v>
      </x:c>
      <x:c r="M289" s="23">
        <x:f t="shared" si="4"/>
        <x:v>886</x:v>
      </x:c>
      <x:c r="N289" s="24" t="str">
        <x:f t="array" ref="N289">INDEX('MATCH INFO'!O:O, INT((ROW()-2)/10)+2 + 92)</x:f>
        <x:v>260628_CR_ZETA_S2</x:v>
      </x:c>
    </x:row>
    <x:row r="290">
      <x:c r="A290" s="23" t="s">
        <x:v>47</x:v>
      </x:c>
      <x:c r="B290" s="23" t="s">
        <x:v>53</x:v>
      </x:c>
      <x:c r="C290" s="23" t="s">
        <x:v>16</x:v>
      </x:c>
      <x:c r="D290" s="23" t="s">
        <x:v>123</x:v>
      </x:c>
      <x:c r="E290" s="23" t="s">
        <x:v>195</x:v>
      </x:c>
      <x:c r="F290" s="23">
        <x:v>20</x:v>
      </x:c>
      <x:c r="G290" s="23">
        <x:v>10</x:v>
      </x:c>
      <x:c r="H290" s="23">
        <x:v>44</x:v>
      </x:c>
      <x:c r="I290" s="23">
        <x:v>7175</x:v>
      </x:c>
      <x:c r="J290" s="23">
        <x:v>19182</x:v>
      </x:c>
      <x:c r="K290" s="23">
        <x:v>0</x:v>
      </x:c>
      <x:c r="L290" s="23" t="s">
        <x:v>301</x:v>
      </x:c>
      <x:c r="M290" s="23">
        <x:f t="shared" si="4"/>
        <x:v>886</x:v>
      </x:c>
      <x:c r="N290" s="24" t="str">
        <x:f t="array" ref="N290">INDEX('MATCH INFO'!O:O, INT((ROW()-2)/10)+2 + 92)</x:f>
        <x:v>260628_CR_ZETA_S2</x:v>
      </x:c>
    </x:row>
    <x:row r="291">
      <x:c r="A291" s="23" t="s">
        <x:v>47</x:v>
      </x:c>
      <x:c r="B291" s="23" t="s">
        <x:v>52</x:v>
      </x:c>
      <x:c r="C291" s="23" t="s">
        <x:v>16</x:v>
      </x:c>
      <x:c r="D291" s="23" t="s">
        <x:v>123</x:v>
      </x:c>
      <x:c r="E291" s="23" t="s">
        <x:v>195</x:v>
      </x:c>
      <x:c r="F291" s="23">
        <x:v>39</x:v>
      </x:c>
      <x:c r="G291" s="23">
        <x:v>9</x:v>
      </x:c>
      <x:c r="H291" s="23">
        <x:v>33</x:v>
      </x:c>
      <x:c r="I291" s="23">
        <x:v>7718</x:v>
      </x:c>
      <x:c r="J291" s="23">
        <x:v>12752</x:v>
      </x:c>
      <x:c r="K291" s="23">
        <x:v>0</x:v>
      </x:c>
      <x:c r="L291" s="23" t="s">
        <x:v>301</x:v>
      </x:c>
      <x:c r="M291" s="23">
        <x:f t="shared" si="4"/>
        <x:v>886</x:v>
      </x:c>
      <x:c r="N291" s="24" t="str">
        <x:f t="array" ref="N291">INDEX('MATCH INFO'!O:O, INT((ROW()-2)/10)+2 + 92)</x:f>
        <x:v>260628_CR_ZETA_S2</x:v>
      </x:c>
    </x:row>
    <x:row r="292">
      <x:c r="A292" s="23" t="s">
        <x:v>47</x:v>
      </x:c>
      <x:c r="B292" s="23" t="s">
        <x:v>49</x:v>
      </x:c>
      <x:c r="C292" s="23" t="s">
        <x:v>8</x:v>
      </x:c>
      <x:c r="D292" s="23" t="s">
        <x:v>119</x:v>
      </x:c>
      <x:c r="E292" s="23" t="s">
        <x:v>191</x:v>
      </x:c>
      <x:c r="F292" s="23">
        <x:v>64</x:v>
      </x:c>
      <x:c r="G292" s="23">
        <x:v>18</x:v>
      </x:c>
      <x:c r="H292" s="23">
        <x:v>46</x:v>
      </x:c>
      <x:c r="I292" s="23">
        <x:v>27087</x:v>
      </x:c>
      <x:c r="J292" s="23">
        <x:v>5201</x:v>
      </x:c>
      <x:c r="K292" s="23">
        <x:v>19886</x:v>
      </x:c>
      <x:c r="L292" s="23" t="s">
        <x:v>302</x:v>
      </x:c>
      <x:c r="M292" s="23">
        <x:f t="shared" si="4"/>
        <x:v>1403</x:v>
      </x:c>
      <x:c r="N292" s="24" t="str">
        <x:f t="array" ref="N292">INDEX('MATCH INFO'!O:O, INT((ROW()-2)/10)+2 + 92)</x:f>
        <x:v>260628_CR_ZETA_S3</x:v>
      </x:c>
    </x:row>
    <x:row r="293">
      <x:c r="A293" s="23" t="s">
        <x:v>47</x:v>
      </x:c>
      <x:c r="B293" s="23" t="s">
        <x:v>51</x:v>
      </x:c>
      <x:c r="C293" s="23" t="s">
        <x:v>11</x:v>
      </x:c>
      <x:c r="D293" s="23" t="s">
        <x:v>119</x:v>
      </x:c>
      <x:c r="E293" s="23" t="s">
        <x:v>191</x:v>
      </x:c>
      <x:c r="F293" s="23">
        <x:v>50</x:v>
      </x:c>
      <x:c r="G293" s="23">
        <x:v>21</x:v>
      </x:c>
      <x:c r="H293" s="23">
        <x:v>0</x:v>
      </x:c>
      <x:c r="I293" s="23">
        <x:v>21756</x:v>
      </x:c>
      <x:c r="J293" s="23">
        <x:v>3394</x:v>
      </x:c>
      <x:c r="K293" s="23">
        <x:v>0</x:v>
      </x:c>
      <x:c r="L293" s="23" t="s">
        <x:v>302</x:v>
      </x:c>
      <x:c r="M293" s="23">
        <x:f t="shared" si="4"/>
        <x:v>1403</x:v>
      </x:c>
      <x:c r="N293" s="24" t="str">
        <x:f t="array" ref="N293">INDEX('MATCH INFO'!O:O, INT((ROW()-2)/10)+2 + 92)</x:f>
        <x:v>260628_CR_ZETA_S3</x:v>
      </x:c>
    </x:row>
    <x:row r="294">
      <x:c r="A294" s="23" t="s">
        <x:v>47</x:v>
      </x:c>
      <x:c r="B294" s="23" t="s">
        <x:v>50</x:v>
      </x:c>
      <x:c r="C294" s="23" t="s">
        <x:v>11</x:v>
      </x:c>
      <x:c r="D294" s="23" t="s">
        <x:v>119</x:v>
      </x:c>
      <x:c r="E294" s="23" t="s">
        <x:v>191</x:v>
      </x:c>
      <x:c r="F294" s="23">
        <x:v>61</x:v>
      </x:c>
      <x:c r="G294" s="23">
        <x:v>16</x:v>
      </x:c>
      <x:c r="H294" s="23">
        <x:v>8</x:v>
      </x:c>
      <x:c r="I294" s="23">
        <x:v>29930</x:v>
      </x:c>
      <x:c r="J294" s="23">
        <x:v>524</x:v>
      </x:c>
      <x:c r="K294" s="23">
        <x:v>1160</x:v>
      </x:c>
      <x:c r="L294" s="23" t="s">
        <x:v>302</x:v>
      </x:c>
      <x:c r="M294" s="23">
        <x:f t="shared" si="4"/>
        <x:v>1403</x:v>
      </x:c>
      <x:c r="N294" s="24" t="str">
        <x:f t="array" ref="N294">INDEX('MATCH INFO'!O:O, INT((ROW()-2)/10)+2 + 92)</x:f>
        <x:v>260628_CR_ZETA_S3</x:v>
      </x:c>
    </x:row>
    <x:row r="295">
      <x:c r="A295" s="23" t="s">
        <x:v>47</x:v>
      </x:c>
      <x:c r="B295" s="23" t="s">
        <x:v>53</x:v>
      </x:c>
      <x:c r="C295" s="23" t="s">
        <x:v>16</x:v>
      </x:c>
      <x:c r="D295" s="23" t="s">
        <x:v>119</x:v>
      </x:c>
      <x:c r="E295" s="23" t="s">
        <x:v>191</x:v>
      </x:c>
      <x:c r="F295" s="23">
        <x:v>20</x:v>
      </x:c>
      <x:c r="G295" s="23">
        <x:v>22</x:v>
      </x:c>
      <x:c r="H295" s="23">
        <x:v>55</x:v>
      </x:c>
      <x:c r="I295" s="23">
        <x:v>10134</x:v>
      </x:c>
      <x:c r="J295" s="23">
        <x:v>23934</x:v>
      </x:c>
      <x:c r="K295" s="23">
        <x:v>0</x:v>
      </x:c>
      <x:c r="L295" s="23" t="s">
        <x:v>302</x:v>
      </x:c>
      <x:c r="M295" s="23">
        <x:f t="shared" si="4"/>
        <x:v>1403</x:v>
      </x:c>
      <x:c r="N295" s="24" t="str">
        <x:f t="array" ref="N295">INDEX('MATCH INFO'!O:O, INT((ROW()-2)/10)+2 + 92)</x:f>
        <x:v>260628_CR_ZETA_S3</x:v>
      </x:c>
    </x:row>
    <x:row r="296">
      <x:c r="A296" s="23" t="s">
        <x:v>47</x:v>
      </x:c>
      <x:c r="B296" s="23" t="s">
        <x:v>52</x:v>
      </x:c>
      <x:c r="C296" s="23" t="s">
        <x:v>16</x:v>
      </x:c>
      <x:c r="D296" s="23" t="s">
        <x:v>119</x:v>
      </x:c>
      <x:c r="E296" s="23" t="s">
        <x:v>191</x:v>
      </x:c>
      <x:c r="F296" s="23">
        <x:v>52</x:v>
      </x:c>
      <x:c r="G296" s="23">
        <x:v>20</x:v>
      </x:c>
      <x:c r="H296" s="23">
        <x:v>42</x:v>
      </x:c>
      <x:c r="I296" s="23">
        <x:v>12593</x:v>
      </x:c>
      <x:c r="J296" s="23">
        <x:v>21301</x:v>
      </x:c>
      <x:c r="K296" s="23">
        <x:v>0</x:v>
      </x:c>
      <x:c r="L296" s="23" t="s">
        <x:v>302</x:v>
      </x:c>
      <x:c r="M296" s="23">
        <x:f t="shared" si="4"/>
        <x:v>1403</x:v>
      </x:c>
      <x:c r="N296" s="24" t="str">
        <x:f t="array" ref="N296">INDEX('MATCH INFO'!O:O, INT((ROW()-2)/10)+2 + 92)</x:f>
        <x:v>260628_CR_ZETA_S3</x:v>
      </x:c>
    </x:row>
    <x:row r="297">
      <x:c r="A297" s="23" t="s">
        <x:v>55</x:v>
      </x:c>
      <x:c r="B297" s="23" t="s">
        <x:v>61</x:v>
      </x:c>
      <x:c r="C297" s="23" t="s">
        <x:v>16</x:v>
      </x:c>
      <x:c r="D297" s="23" t="s">
        <x:v>119</x:v>
      </x:c>
      <x:c r="E297" s="23" t="s">
        <x:v>191</x:v>
      </x:c>
      <x:c r="F297" s="23">
        <x:v>45</x:v>
      </x:c>
      <x:c r="G297" s="23">
        <x:v>16</x:v>
      </x:c>
      <x:c r="H297" s="23">
        <x:v>49</x:v>
      </x:c>
      <x:c r="I297" s="23">
        <x:v>12268</x:v>
      </x:c>
      <x:c r="J297" s="23">
        <x:v>19128</x:v>
      </x:c>
      <x:c r="K297" s="23">
        <x:v>990</x:v>
      </x:c>
      <x:c r="L297" s="23" t="s">
        <x:v>302</x:v>
      </x:c>
      <x:c r="M297" s="23">
        <x:f t="shared" si="4"/>
        <x:v>1403</x:v>
      </x:c>
      <x:c r="N297" s="24" t="str">
        <x:f t="array" ref="N297">INDEX('MATCH INFO'!O:O, INT((ROW()-2)/10)+2 + 92)</x:f>
        <x:v>260628_CR_ZETA_S3</x:v>
      </x:c>
    </x:row>
    <x:row r="298">
      <x:c r="A298" s="23" t="s">
        <x:v>55</x:v>
      </x:c>
      <x:c r="B298" s="23" t="s">
        <x:v>58</x:v>
      </x:c>
      <x:c r="C298" s="23" t="s">
        <x:v>11</x:v>
      </x:c>
      <x:c r="D298" s="23" t="s">
        <x:v>119</x:v>
      </x:c>
      <x:c r="E298" s="23" t="s">
        <x:v>191</x:v>
      </x:c>
      <x:c r="F298" s="23">
        <x:v>59</x:v>
      </x:c>
      <x:c r="G298" s="23">
        <x:v>19</x:v>
      </x:c>
      <x:c r="H298" s="23">
        <x:v>4</x:v>
      </x:c>
      <x:c r="I298" s="23">
        <x:v>24978</x:v>
      </x:c>
      <x:c r="J298" s="23">
        <x:v>3866</x:v>
      </x:c>
      <x:c r="K298" s="23">
        <x:v>460</x:v>
      </x:c>
      <x:c r="L298" s="23" t="s">
        <x:v>302</x:v>
      </x:c>
      <x:c r="M298" s="23">
        <x:f t="shared" si="4"/>
        <x:v>1403</x:v>
      </x:c>
      <x:c r="N298" s="24" t="str">
        <x:f t="array" ref="N298">INDEX('MATCH INFO'!O:O, INT((ROW()-2)/10)+2 + 92)</x:f>
        <x:v>260628_CR_ZETA_S3</x:v>
      </x:c>
    </x:row>
    <x:row r="299">
      <x:c r="A299" s="23" t="s">
        <x:v>55</x:v>
      </x:c>
      <x:c r="B299" s="23" t="s">
        <x:v>57</x:v>
      </x:c>
      <x:c r="C299" s="23" t="s">
        <x:v>8</x:v>
      </x:c>
      <x:c r="D299" s="23" t="s">
        <x:v>119</x:v>
      </x:c>
      <x:c r="E299" s="23" t="s">
        <x:v>191</x:v>
      </x:c>
      <x:c r="F299" s="23">
        <x:v>62</x:v>
      </x:c>
      <x:c r="G299" s="23">
        <x:v>17</x:v>
      </x:c>
      <x:c r="H299" s="23">
        <x:v>45</x:v>
      </x:c>
      <x:c r="I299" s="23">
        <x:v>28412</x:v>
      </x:c>
      <x:c r="J299" s="23">
        <x:v>6287</x:v>
      </x:c>
      <x:c r="K299" s="23">
        <x:v>22531</x:v>
      </x:c>
      <x:c r="L299" s="23" t="s">
        <x:v>302</x:v>
      </x:c>
      <x:c r="M299" s="23">
        <x:f t="shared" si="4"/>
        <x:v>1403</x:v>
      </x:c>
      <x:c r="N299" s="24" t="str">
        <x:f t="array" ref="N299">INDEX('MATCH INFO'!O:O, INT((ROW()-2)/10)+2 + 92)</x:f>
        <x:v>260628_CR_ZETA_S3</x:v>
      </x:c>
    </x:row>
    <x:row r="300">
      <x:c r="A300" s="23" t="s">
        <x:v>55</x:v>
      </x:c>
      <x:c r="B300" s="23" t="s">
        <x:v>60</x:v>
      </x:c>
      <x:c r="C300" s="23" t="s">
        <x:v>11</x:v>
      </x:c>
      <x:c r="D300" s="23" t="s">
        <x:v>119</x:v>
      </x:c>
      <x:c r="E300" s="23" t="s">
        <x:v>191</x:v>
      </x:c>
      <x:c r="F300" s="23">
        <x:v>67</x:v>
      </x:c>
      <x:c r="G300" s="23">
        <x:v>19</x:v>
      </x:c>
      <x:c r="H300" s="23">
        <x:v>4</x:v>
      </x:c>
      <x:c r="I300" s="23">
        <x:v>26048</x:v>
      </x:c>
      <x:c r="J300" s="23">
        <x:v>322</x:v>
      </x:c>
      <x:c r="K300" s="23">
        <x:v>1368</x:v>
      </x:c>
      <x:c r="L300" s="23" t="s">
        <x:v>302</x:v>
      </x:c>
      <x:c r="M300" s="23">
        <x:f t="shared" si="4"/>
        <x:v>1403</x:v>
      </x:c>
      <x:c r="N300" s="24" t="str">
        <x:f t="array" ref="N300">INDEX('MATCH INFO'!O:O, INT((ROW()-2)/10)+2 + 92)</x:f>
        <x:v>260628_CR_ZETA_S3</x:v>
      </x:c>
    </x:row>
    <x:row r="301">
      <x:c r="A301" s="23" t="s">
        <x:v>55</x:v>
      </x:c>
      <x:c r="B301" s="23" t="s">
        <x:v>62</x:v>
      </x:c>
      <x:c r="C301" s="23" t="s">
        <x:v>16</x:v>
      </x:c>
      <x:c r="D301" s="23" t="s">
        <x:v>119</x:v>
      </x:c>
      <x:c r="E301" s="23" t="s">
        <x:v>191</x:v>
      </x:c>
      <x:c r="F301" s="23">
        <x:v>35</x:v>
      </x:c>
      <x:c r="G301" s="23">
        <x:v>17</x:v>
      </x:c>
      <x:c r="H301" s="23">
        <x:v>72</x:v>
      </x:c>
      <x:c r="I301" s="23">
        <x:v>10808</x:v>
      </x:c>
      <x:c r="J301" s="23">
        <x:v>26063</x:v>
      </x:c>
      <x:c r="K301" s="23">
        <x:v>0</x:v>
      </x:c>
      <x:c r="L301" s="23" t="s">
        <x:v>302</x:v>
      </x:c>
      <x:c r="M301" s="23">
        <x:f t="shared" si="4"/>
        <x:v>1403</x:v>
      </x:c>
      <x:c r="N301" s="24" t="str">
        <x:f t="array" ref="N301">INDEX('MATCH INFO'!O:O, INT((ROW()-2)/10)+2 + 92)</x:f>
        <x:v>260628_CR_ZETA_S3</x:v>
      </x:c>
    </x:row>
    <x:row r="302">
      <x:c r="A302" s="23" t="s">
        <x:v>55</x:v>
      </x:c>
      <x:c r="B302" s="23" t="s">
        <x:v>61</x:v>
      </x:c>
      <x:c r="C302" s="23" t="s">
        <x:v>16</x:v>
      </x:c>
      <x:c r="D302" s="23" t="s">
        <x:v>110</x:v>
      </x:c>
      <x:c r="E302" s="23" t="s">
        <x:v>186</x:v>
      </x:c>
      <x:c r="F302" s="23">
        <x:v>10</x:v>
      </x:c>
      <x:c r="G302" s="23">
        <x:v>9</x:v>
      </x:c>
      <x:c r="H302" s="23">
        <x:v>15</x:v>
      </x:c>
      <x:c r="I302" s="23">
        <x:v>4480</x:v>
      </x:c>
      <x:c r="J302" s="23">
        <x:v>6388</x:v>
      </x:c>
      <x:c r="K302" s="23">
        <x:v>2454</x:v>
      </x:c>
      <x:c r="L302" s="23" t="s">
        <x:v>303</x:v>
      </x:c>
      <x:c r="M302" s="23">
        <x:f t="shared" si="4"/>
        <x:v>527</x:v>
      </x:c>
      <x:c r="N302" s="24" t="str">
        <x:f t="array" ref="N302">INDEX('MATCH INFO'!O:O, INT((ROW()-2)/10)+2 + 92)</x:f>
        <x:v>260628_CR_ZETA_S4</x:v>
      </x:c>
    </x:row>
    <x:row r="303">
      <x:c r="A303" s="23" t="s">
        <x:v>55</x:v>
      </x:c>
      <x:c r="B303" s="23" t="s">
        <x:v>58</x:v>
      </x:c>
      <x:c r="C303" s="23" t="s">
        <x:v>11</x:v>
      </x:c>
      <x:c r="D303" s="23" t="s">
        <x:v>110</x:v>
      </x:c>
      <x:c r="E303" s="23" t="s">
        <x:v>186</x:v>
      </x:c>
      <x:c r="F303" s="23">
        <x:v>6</x:v>
      </x:c>
      <x:c r="G303" s="23">
        <x:v>10</x:v>
      </x:c>
      <x:c r="H303" s="23">
        <x:v>2</x:v>
      </x:c>
      <x:c r="I303" s="23">
        <x:v>4456</x:v>
      </x:c>
      <x:c r="J303" s="23">
        <x:v>189</x:v>
      </x:c>
      <x:c r="K303" s="23">
        <x:v>5016</x:v>
      </x:c>
      <x:c r="L303" s="23" t="s">
        <x:v>303</x:v>
      </x:c>
      <x:c r="M303" s="23">
        <x:f t="shared" si="4"/>
        <x:v>527</x:v>
      </x:c>
      <x:c r="N303" s="24" t="str">
        <x:f t="array" ref="N303">INDEX('MATCH INFO'!O:O, INT((ROW()-2)/10)+2 + 92)</x:f>
        <x:v>260628_CR_ZETA_S4</x:v>
      </x:c>
    </x:row>
    <x:row r="304">
      <x:c r="A304" s="23" t="s">
        <x:v>55</x:v>
      </x:c>
      <x:c r="B304" s="23" t="s">
        <x:v>57</x:v>
      </x:c>
      <x:c r="C304" s="23" t="s">
        <x:v>8</x:v>
      </x:c>
      <x:c r="D304" s="23" t="s">
        <x:v>110</x:v>
      </x:c>
      <x:c r="E304" s="23" t="s">
        <x:v>186</x:v>
      </x:c>
      <x:c r="F304" s="23">
        <x:v>15</x:v>
      </x:c>
      <x:c r="G304" s="23">
        <x:v>8</x:v>
      </x:c>
      <x:c r="H304" s="23">
        <x:v>2</x:v>
      </x:c>
      <x:c r="I304" s="23">
        <x:v>5674</x:v>
      </x:c>
      <x:c r="J304" s="23">
        <x:v>430</x:v>
      </x:c>
      <x:c r="K304" s="23">
        <x:v>12089</x:v>
      </x:c>
      <x:c r="L304" s="23" t="s">
        <x:v>303</x:v>
      </x:c>
      <x:c r="M304" s="23">
        <x:f t="shared" si="4"/>
        <x:v>527</x:v>
      </x:c>
      <x:c r="N304" s="24" t="str">
        <x:f t="array" ref="N304">INDEX('MATCH INFO'!O:O, INT((ROW()-2)/10)+2 + 92)</x:f>
        <x:v>260628_CR_ZETA_S4</x:v>
      </x:c>
    </x:row>
    <x:row r="305">
      <x:c r="A305" s="23" t="s">
        <x:v>55</x:v>
      </x:c>
      <x:c r="B305" s="23" t="s">
        <x:v>60</x:v>
      </x:c>
      <x:c r="C305" s="23" t="s">
        <x:v>11</x:v>
      </x:c>
      <x:c r="D305" s="23" t="s">
        <x:v>110</x:v>
      </x:c>
      <x:c r="E305" s="23" t="s">
        <x:v>186</x:v>
      </x:c>
      <x:c r="F305" s="23">
        <x:v>16</x:v>
      </x:c>
      <x:c r="G305" s="23">
        <x:v>8</x:v>
      </x:c>
      <x:c r="H305" s="23">
        <x:v>1</x:v>
      </x:c>
      <x:c r="I305" s="23">
        <x:v>8870</x:v>
      </x:c>
      <x:c r="J305" s="23">
        <x:v>0</x:v>
      </x:c>
      <x:c r="K305" s="23">
        <x:v>441</x:v>
      </x:c>
      <x:c r="L305" s="23" t="s">
        <x:v>303</x:v>
      </x:c>
      <x:c r="M305" s="23">
        <x:f t="shared" si="4"/>
        <x:v>527</x:v>
      </x:c>
      <x:c r="N305" s="24" t="str">
        <x:f t="array" ref="N305">INDEX('MATCH INFO'!O:O, INT((ROW()-2)/10)+2 + 92)</x:f>
        <x:v>260628_CR_ZETA_S4</x:v>
      </x:c>
    </x:row>
    <x:row r="306">
      <x:c r="A306" s="23" t="s">
        <x:v>55</x:v>
      </x:c>
      <x:c r="B306" s="23" t="s">
        <x:v>62</x:v>
      </x:c>
      <x:c r="C306" s="23" t="s">
        <x:v>16</x:v>
      </x:c>
      <x:c r="D306" s="23" t="s">
        <x:v>110</x:v>
      </x:c>
      <x:c r="E306" s="23" t="s">
        <x:v>186</x:v>
      </x:c>
      <x:c r="F306" s="23">
        <x:v>8</x:v>
      </x:c>
      <x:c r="G306" s="23">
        <x:v>9</x:v>
      </x:c>
      <x:c r="H306" s="23">
        <x:v>12</x:v>
      </x:c>
      <x:c r="I306" s="23">
        <x:v>3080</x:v>
      </x:c>
      <x:c r="J306" s="23">
        <x:v>6814</x:v>
      </x:c>
      <x:c r="K306" s="23">
        <x:v>90</x:v>
      </x:c>
      <x:c r="L306" s="23" t="s">
        <x:v>303</x:v>
      </x:c>
      <x:c r="M306" s="23">
        <x:f t="shared" si="4"/>
        <x:v>527</x:v>
      </x:c>
      <x:c r="N306" s="24" t="str">
        <x:f t="array" ref="N306">INDEX('MATCH INFO'!O:O, INT((ROW()-2)/10)+2 + 92)</x:f>
        <x:v>260628_CR_ZETA_S4</x:v>
      </x:c>
    </x:row>
    <x:row r="307">
      <x:c r="A307" s="23" t="s">
        <x:v>47</x:v>
      </x:c>
      <x:c r="B307" s="23" t="s">
        <x:v>49</x:v>
      </x:c>
      <x:c r="C307" s="23" t="s">
        <x:v>8</x:v>
      </x:c>
      <x:c r="D307" s="23" t="s">
        <x:v>110</x:v>
      </x:c>
      <x:c r="E307" s="23" t="s">
        <x:v>186</x:v>
      </x:c>
      <x:c r="F307" s="23">
        <x:v>27</x:v>
      </x:c>
      <x:c r="G307" s="23">
        <x:v>4</x:v>
      </x:c>
      <x:c r="H307" s="23">
        <x:v>17</x:v>
      </x:c>
      <x:c r="I307" s="23">
        <x:v>5838</x:v>
      </x:c>
      <x:c r="J307" s="23">
        <x:v>1815</x:v>
      </x:c>
      <x:c r="K307" s="23">
        <x:v>8464</x:v>
      </x:c>
      <x:c r="L307" s="23" t="s">
        <x:v>303</x:v>
      </x:c>
      <x:c r="M307" s="23">
        <x:f t="shared" si="4"/>
        <x:v>527</x:v>
      </x:c>
      <x:c r="N307" s="24" t="str">
        <x:f t="array" ref="N307">INDEX('MATCH INFO'!O:O, INT((ROW()-2)/10)+2 + 92)</x:f>
        <x:v>260628_CR_ZETA_S4</x:v>
      </x:c>
    </x:row>
    <x:row r="308">
      <x:c r="A308" s="23" t="s">
        <x:v>47</x:v>
      </x:c>
      <x:c r="B308" s="23" t="s">
        <x:v>51</x:v>
      </x:c>
      <x:c r="C308" s="23" t="s">
        <x:v>11</x:v>
      </x:c>
      <x:c r="D308" s="23" t="s">
        <x:v>110</x:v>
      </x:c>
      <x:c r="E308" s="23" t="s">
        <x:v>186</x:v>
      </x:c>
      <x:c r="F308" s="23">
        <x:v>15</x:v>
      </x:c>
      <x:c r="G308" s="23">
        <x:v>6</x:v>
      </x:c>
      <x:c r="H308" s="23">
        <x:v>0</x:v>
      </x:c>
      <x:c r="I308" s="23">
        <x:v>8382</x:v>
      </x:c>
      <x:c r="J308" s="23">
        <x:v>428</x:v>
      </x:c>
      <x:c r="K308" s="23">
        <x:v>723</x:v>
      </x:c>
      <x:c r="L308" s="23" t="s">
        <x:v>303</x:v>
      </x:c>
      <x:c r="M308" s="23">
        <x:f t="shared" si="4"/>
        <x:v>527</x:v>
      </x:c>
      <x:c r="N308" s="24" t="str">
        <x:f t="array" ref="N308">INDEX('MATCH INFO'!O:O, INT((ROW()-2)/10)+2 + 92)</x:f>
        <x:v>260628_CR_ZETA_S4</x:v>
      </x:c>
    </x:row>
    <x:row r="309">
      <x:c r="A309" s="23" t="s">
        <x:v>47</x:v>
      </x:c>
      <x:c r="B309" s="23" t="s">
        <x:v>50</x:v>
      </x:c>
      <x:c r="C309" s="23" t="s">
        <x:v>11</x:v>
      </x:c>
      <x:c r="D309" s="23" t="s">
        <x:v>110</x:v>
      </x:c>
      <x:c r="E309" s="23" t="s">
        <x:v>186</x:v>
      </x:c>
      <x:c r="F309" s="23">
        <x:v>29</x:v>
      </x:c>
      <x:c r="G309" s="23">
        <x:v>3</x:v>
      </x:c>
      <x:c r="H309" s="23">
        <x:v>8</x:v>
      </x:c>
      <x:c r="I309" s="23">
        <x:v>9801</x:v>
      </x:c>
      <x:c r="J309" s="23">
        <x:v>39</x:v>
      </x:c>
      <x:c r="K309" s="23">
        <x:v>426</x:v>
      </x:c>
      <x:c r="L309" s="23" t="s">
        <x:v>303</x:v>
      </x:c>
      <x:c r="M309" s="23">
        <x:f t="shared" si="4"/>
        <x:v>527</x:v>
      </x:c>
      <x:c r="N309" s="24" t="str">
        <x:f t="array" ref="N309">INDEX('MATCH INFO'!O:O, INT((ROW()-2)/10)+2 + 92)</x:f>
        <x:v>260628_CR_ZETA_S4</x:v>
      </x:c>
    </x:row>
    <x:row r="310">
      <x:c r="A310" s="23" t="s">
        <x:v>47</x:v>
      </x:c>
      <x:c r="B310" s="23" t="s">
        <x:v>53</x:v>
      </x:c>
      <x:c r="C310" s="23" t="s">
        <x:v>16</x:v>
      </x:c>
      <x:c r="D310" s="23" t="s">
        <x:v>110</x:v>
      </x:c>
      <x:c r="E310" s="23" t="s">
        <x:v>186</x:v>
      </x:c>
      <x:c r="F310" s="23">
        <x:v>15</x:v>
      </x:c>
      <x:c r="G310" s="23">
        <x:v>6</x:v>
      </x:c>
      <x:c r="H310" s="23">
        <x:v>18</x:v>
      </x:c>
      <x:c r="I310" s="23">
        <x:v>3133</x:v>
      </x:c>
      <x:c r="J310" s="23">
        <x:v>4950</x:v>
      </x:c>
      <x:c r="K310" s="23">
        <x:v>679</x:v>
      </x:c>
      <x:c r="L310" s="23" t="s">
        <x:v>303</x:v>
      </x:c>
      <x:c r="M310" s="23">
        <x:f t="shared" si="4"/>
        <x:v>527</x:v>
      </x:c>
      <x:c r="N310" s="24" t="str">
        <x:f t="array" ref="N310">INDEX('MATCH INFO'!O:O, INT((ROW()-2)/10)+2 + 92)</x:f>
        <x:v>260628_CR_ZETA_S4</x:v>
      </x:c>
    </x:row>
    <x:row r="311">
      <x:c r="A311" s="23" t="s">
        <x:v>47</x:v>
      </x:c>
      <x:c r="B311" s="23" t="s">
        <x:v>52</x:v>
      </x:c>
      <x:c r="C311" s="23" t="s">
        <x:v>16</x:v>
      </x:c>
      <x:c r="D311" s="23" t="s">
        <x:v>110</x:v>
      </x:c>
      <x:c r="E311" s="23" t="s">
        <x:v>186</x:v>
      </x:c>
      <x:c r="F311" s="23">
        <x:v>25</x:v>
      </x:c>
      <x:c r="G311" s="23">
        <x:v>5</x:v>
      </x:c>
      <x:c r="H311" s="23">
        <x:v>15</x:v>
      </x:c>
      <x:c r="I311" s="23">
        <x:v>3890</x:v>
      </x:c>
      <x:c r="J311" s="23">
        <x:v>6910</x:v>
      </x:c>
      <x:c r="K311" s="23">
        <x:v>0</x:v>
      </x:c>
      <x:c r="L311" s="23" t="s">
        <x:v>303</x:v>
      </x:c>
      <x:c r="M311" s="23">
        <x:f t="shared" si="4"/>
        <x:v>527</x:v>
      </x:c>
      <x:c r="N311" s="24" t="str">
        <x:f t="array" ref="N311">INDEX('MATCH INFO'!O:O, INT((ROW()-2)/10)+2 + 92)</x:f>
        <x:v>260628_CR_ZETA_S4</x:v>
      </x:c>
    </x:row>
    <x:row r="312">
      <x:c r="A312" s="23" t="s">
        <x:v>55</x:v>
      </x:c>
      <x:c r="B312" s="23" t="s">
        <x:v>61</x:v>
      </x:c>
      <x:c r="C312" s="23" t="s">
        <x:v>16</x:v>
      </x:c>
      <x:c r="D312" s="23" t="s">
        <x:v>113</x:v>
      </x:c>
      <x:c r="E312" s="23" t="s">
        <x:v>188</x:v>
      </x:c>
      <x:c r="F312" s="23">
        <x:v>24</x:v>
      </x:c>
      <x:c r="G312" s="23">
        <x:v>9</x:v>
      </x:c>
      <x:c r="H312" s="23">
        <x:v>25</x:v>
      </x:c>
      <x:c r="I312" s="23">
        <x:v>5052</x:v>
      </x:c>
      <x:c r="J312" s="23">
        <x:v>8322</x:v>
      </x:c>
      <x:c r="K312" s="23">
        <x:v>0</x:v>
      </x:c>
      <x:c r="L312" s="23" t="s">
        <x:v>304</x:v>
      </x:c>
      <x:c r="M312" s="23">
        <x:f t="shared" si="4"/>
        <x:v>662</x:v>
      </x:c>
      <x:c r="N312" s="24" t="str">
        <x:f t="array" ref="N312">INDEX('MATCH INFO'!O:O, INT((ROW()-2)/10)+2 + 92)</x:f>
        <x:v>260628_CR_ZETA_S5</x:v>
      </x:c>
    </x:row>
    <x:row r="313">
      <x:c r="A313" s="23" t="s">
        <x:v>55</x:v>
      </x:c>
      <x:c r="B313" s="23" t="s">
        <x:v>58</x:v>
      </x:c>
      <x:c r="C313" s="23" t="s">
        <x:v>11</x:v>
      </x:c>
      <x:c r="D313" s="23" t="s">
        <x:v>113</x:v>
      </x:c>
      <x:c r="E313" s="23" t="s">
        <x:v>188</x:v>
      </x:c>
      <x:c r="F313" s="23">
        <x:v>27</x:v>
      </x:c>
      <x:c r="G313" s="23">
        <x:v>12</x:v>
      </x:c>
      <x:c r="H313" s="23">
        <x:v>0</x:v>
      </x:c>
      <x:c r="I313" s="23">
        <x:v>13187</x:v>
      </x:c>
      <x:c r="J313" s="23">
        <x:v>2500</x:v>
      </x:c>
      <x:c r="K313" s="23">
        <x:v>0</x:v>
      </x:c>
      <x:c r="L313" s="23" t="s">
        <x:v>304</x:v>
      </x:c>
      <x:c r="M313" s="23">
        <x:f t="shared" si="4"/>
        <x:v>662</x:v>
      </x:c>
      <x:c r="N313" s="24" t="str">
        <x:f t="array" ref="N313">INDEX('MATCH INFO'!O:O, INT((ROW()-2)/10)+2 + 92)</x:f>
        <x:v>260628_CR_ZETA_S5</x:v>
      </x:c>
    </x:row>
    <x:row r="314">
      <x:c r="A314" s="23" t="s">
        <x:v>55</x:v>
      </x:c>
      <x:c r="B314" s="23" t="s">
        <x:v>57</x:v>
      </x:c>
      <x:c r="C314" s="23" t="s">
        <x:v>8</x:v>
      </x:c>
      <x:c r="D314" s="23" t="s">
        <x:v>113</x:v>
      </x:c>
      <x:c r="E314" s="23" t="s">
        <x:v>188</x:v>
      </x:c>
      <x:c r="F314" s="23">
        <x:v>24</x:v>
      </x:c>
      <x:c r="G314" s="23">
        <x:v>11</x:v>
      </x:c>
      <x:c r="H314" s="23">
        <x:v>20</x:v>
      </x:c>
      <x:c r="I314" s="23">
        <x:v>15848</x:v>
      </x:c>
      <x:c r="J314" s="23">
        <x:v>5414</x:v>
      </x:c>
      <x:c r="K314" s="23">
        <x:v>7927</x:v>
      </x:c>
      <x:c r="L314" s="23" t="s">
        <x:v>304</x:v>
      </x:c>
      <x:c r="M314" s="23">
        <x:f t="shared" si="4"/>
        <x:v>662</x:v>
      </x:c>
      <x:c r="N314" s="24" t="str">
        <x:f t="array" ref="N314">INDEX('MATCH INFO'!O:O, INT((ROW()-2)/10)+2 + 92)</x:f>
        <x:v>260628_CR_ZETA_S5</x:v>
      </x:c>
    </x:row>
    <x:row r="315">
      <x:c r="A315" s="23" t="s">
        <x:v>55</x:v>
      </x:c>
      <x:c r="B315" s="23" t="s">
        <x:v>60</x:v>
      </x:c>
      <x:c r="C315" s="23" t="s">
        <x:v>11</x:v>
      </x:c>
      <x:c r="D315" s="23" t="s">
        <x:v>113</x:v>
      </x:c>
      <x:c r="E315" s="23" t="s">
        <x:v>188</x:v>
      </x:c>
      <x:c r="F315" s="23">
        <x:v>27</x:v>
      </x:c>
      <x:c r="G315" s="23">
        <x:v>12</x:v>
      </x:c>
      <x:c r="H315" s="23">
        <x:v>3</x:v>
      </x:c>
      <x:c r="I315" s="23">
        <x:v>13953</x:v>
      </x:c>
      <x:c r="J315" s="23">
        <x:v>239</x:v>
      </x:c>
      <x:c r="K315" s="23">
        <x:v>1693</x:v>
      </x:c>
      <x:c r="L315" s="23" t="s">
        <x:v>304</x:v>
      </x:c>
      <x:c r="M315" s="23">
        <x:f t="shared" si="4"/>
        <x:v>662</x:v>
      </x:c>
      <x:c r="N315" s="24" t="str">
        <x:f t="array" ref="N315">INDEX('MATCH INFO'!O:O, INT((ROW()-2)/10)+2 + 92)</x:f>
        <x:v>260628_CR_ZETA_S5</x:v>
      </x:c>
    </x:row>
    <x:row r="316">
      <x:c r="A316" s="23" t="s">
        <x:v>55</x:v>
      </x:c>
      <x:c r="B316" s="23" t="s">
        <x:v>62</x:v>
      </x:c>
      <x:c r="C316" s="23" t="s">
        <x:v>16</x:v>
      </x:c>
      <x:c r="D316" s="23" t="s">
        <x:v>113</x:v>
      </x:c>
      <x:c r="E316" s="23" t="s">
        <x:v>188</x:v>
      </x:c>
      <x:c r="F316" s="23">
        <x:v>10</x:v>
      </x:c>
      <x:c r="G316" s="23">
        <x:v>12</x:v>
      </x:c>
      <x:c r="H316" s="23">
        <x:v>26</x:v>
      </x:c>
      <x:c r="I316" s="23">
        <x:v>4309</x:v>
      </x:c>
      <x:c r="J316" s="23">
        <x:v>10859</x:v>
      </x:c>
      <x:c r="K316" s="23">
        <x:v>0</x:v>
      </x:c>
      <x:c r="L316" s="23" t="s">
        <x:v>304</x:v>
      </x:c>
      <x:c r="M316" s="23">
        <x:f t="shared" si="4"/>
        <x:v>662</x:v>
      </x:c>
      <x:c r="N316" s="24" t="str">
        <x:f t="array" ref="N316">INDEX('MATCH INFO'!O:O, INT((ROW()-2)/10)+2 + 92)</x:f>
        <x:v>260628_CR_ZETA_S5</x:v>
      </x:c>
    </x:row>
    <x:row r="317">
      <x:c r="A317" s="23" t="s">
        <x:v>47</x:v>
      </x:c>
      <x:c r="B317" s="23" t="s">
        <x:v>49</x:v>
      </x:c>
      <x:c r="C317" s="23" t="s">
        <x:v>8</x:v>
      </x:c>
      <x:c r="D317" s="23" t="s">
        <x:v>113</x:v>
      </x:c>
      <x:c r="E317" s="23" t="s">
        <x:v>188</x:v>
      </x:c>
      <x:c r="F317" s="23">
        <x:v>42</x:v>
      </x:c>
      <x:c r="G317" s="23">
        <x:v>7</x:v>
      </x:c>
      <x:c r="H317" s="23">
        <x:v>29</x:v>
      </x:c>
      <x:c r="I317" s="23">
        <x:v>16824</x:v>
      </x:c>
      <x:c r="J317" s="23">
        <x:v>4408</x:v>
      </x:c>
      <x:c r="K317" s="23">
        <x:v>7483</x:v>
      </x:c>
      <x:c r="L317" s="23" t="s">
        <x:v>304</x:v>
      </x:c>
      <x:c r="M317" s="23">
        <x:f t="shared" si="4"/>
        <x:v>662</x:v>
      </x:c>
      <x:c r="N317" s="24" t="str">
        <x:f t="array" ref="N317">INDEX('MATCH INFO'!O:O, INT((ROW()-2)/10)+2 + 92)</x:f>
        <x:v>260628_CR_ZETA_S5</x:v>
      </x:c>
    </x:row>
    <x:row r="318">
      <x:c r="A318" s="23" t="s">
        <x:v>47</x:v>
      </x:c>
      <x:c r="B318" s="23" t="s">
        <x:v>51</x:v>
      </x:c>
      <x:c r="C318" s="23" t="s">
        <x:v>11</x:v>
      </x:c>
      <x:c r="D318" s="23" t="s">
        <x:v>113</x:v>
      </x:c>
      <x:c r="E318" s="23" t="s">
        <x:v>188</x:v>
      </x:c>
      <x:c r="F318" s="23">
        <x:v>36</x:v>
      </x:c>
      <x:c r="G318" s="23">
        <x:v>9</x:v>
      </x:c>
      <x:c r="H318" s="23">
        <x:v>2</x:v>
      </x:c>
      <x:c r="I318" s="23">
        <x:v>14401</x:v>
      </x:c>
      <x:c r="J318" s="23">
        <x:v>64</x:v>
      </x:c>
      <x:c r="K318" s="23">
        <x:v>2145</x:v>
      </x:c>
      <x:c r="L318" s="23" t="s">
        <x:v>304</x:v>
      </x:c>
      <x:c r="M318" s="23">
        <x:f t="shared" si="4"/>
        <x:v>662</x:v>
      </x:c>
      <x:c r="N318" s="24" t="str">
        <x:f t="array" ref="N318">INDEX('MATCH INFO'!O:O, INT((ROW()-2)/10)+2 + 92)</x:f>
        <x:v>260628_CR_ZETA_S5</x:v>
      </x:c>
    </x:row>
    <x:row r="319">
      <x:c r="A319" s="23" t="s">
        <x:v>47</x:v>
      </x:c>
      <x:c r="B319" s="23" t="s">
        <x:v>50</x:v>
      </x:c>
      <x:c r="C319" s="23" t="s">
        <x:v>11</x:v>
      </x:c>
      <x:c r="D319" s="23" t="s">
        <x:v>113</x:v>
      </x:c>
      <x:c r="E319" s="23" t="s">
        <x:v>188</x:v>
      </x:c>
      <x:c r="F319" s="23">
        <x:v>41</x:v>
      </x:c>
      <x:c r="G319" s="23">
        <x:v>9</x:v>
      </x:c>
      <x:c r="H319" s="23">
        <x:v>0</x:v>
      </x:c>
      <x:c r="I319" s="23">
        <x:v>15924</x:v>
      </x:c>
      <x:c r="J319" s="23">
        <x:v>2401</x:v>
      </x:c>
      <x:c r="K319" s="23">
        <x:v>0</x:v>
      </x:c>
      <x:c r="L319" s="23" t="s">
        <x:v>304</x:v>
      </x:c>
      <x:c r="M319" s="23">
        <x:f t="shared" si="4"/>
        <x:v>662</x:v>
      </x:c>
      <x:c r="N319" s="24" t="str">
        <x:f t="array" ref="N319">INDEX('MATCH INFO'!O:O, INT((ROW()-2)/10)+2 + 92)</x:f>
        <x:v>260628_CR_ZETA_S5</x:v>
      </x:c>
    </x:row>
    <x:row r="320">
      <x:c r="A320" s="23" t="s">
        <x:v>47</x:v>
      </x:c>
      <x:c r="B320" s="23" t="s">
        <x:v>53</x:v>
      </x:c>
      <x:c r="C320" s="23" t="s">
        <x:v>16</x:v>
      </x:c>
      <x:c r="D320" s="23" t="s">
        <x:v>113</x:v>
      </x:c>
      <x:c r="E320" s="23" t="s">
        <x:v>188</x:v>
      </x:c>
      <x:c r="F320" s="23">
        <x:v>16</x:v>
      </x:c>
      <x:c r="G320" s="23">
        <x:v>8</x:v>
      </x:c>
      <x:c r="H320" s="23">
        <x:v>42</x:v>
      </x:c>
      <x:c r="I320" s="23">
        <x:v>4261</x:v>
      </x:c>
      <x:c r="J320" s="23">
        <x:v>12861</x:v>
      </x:c>
      <x:c r="K320" s="23">
        <x:v>0</x:v>
      </x:c>
      <x:c r="L320" s="23" t="s">
        <x:v>304</x:v>
      </x:c>
      <x:c r="M320" s="23">
        <x:f t="shared" si="4"/>
        <x:v>662</x:v>
      </x:c>
      <x:c r="N320" s="24" t="str">
        <x:f t="array" ref="N320">INDEX('MATCH INFO'!O:O, INT((ROW()-2)/10)+2 + 92)</x:f>
        <x:v>260628_CR_ZETA_S5</x:v>
      </x:c>
    </x:row>
    <x:row r="321">
      <x:c r="A321" s="23" t="s">
        <x:v>47</x:v>
      </x:c>
      <x:c r="B321" s="23" t="s">
        <x:v>52</x:v>
      </x:c>
      <x:c r="C321" s="23" t="s">
        <x:v>16</x:v>
      </x:c>
      <x:c r="D321" s="23" t="s">
        <x:v>113</x:v>
      </x:c>
      <x:c r="E321" s="23" t="s">
        <x:v>188</x:v>
      </x:c>
      <x:c r="F321" s="23">
        <x:v>25</x:v>
      </x:c>
      <x:c r="G321" s="23">
        <x:v>5</x:v>
      </x:c>
      <x:c r="H321" s="23">
        <x:v>31</x:v>
      </x:c>
      <x:c r="I321" s="23">
        <x:v>3569</x:v>
      </x:c>
      <x:c r="J321" s="23">
        <x:v>10494</x:v>
      </x:c>
      <x:c r="K321" s="23">
        <x:v>0</x:v>
      </x:c>
      <x:c r="L321" s="23" t="s">
        <x:v>304</x:v>
      </x:c>
      <x:c r="M321" s="23">
        <x:f t="shared" si="4"/>
        <x:v>662</x:v>
      </x:c>
      <x:c r="N321" s="24" t="str">
        <x:f t="array" ref="N321">INDEX('MATCH INFO'!O:O, INT((ROW()-2)/10)+2 + 92)</x:f>
        <x:v>260628_CR_ZETA_S5</x:v>
      </x:c>
    </x:row>
  </x:sheetData>
  <x:conditionalFormatting sqref="A2:N321">
    <x:cfRule type="expression" dxfId="5" priority="1">
      <x:formula>MOD(ROW()-1, 10)=0</x:formula>
    </x:cfRule>
    <x:cfRule type="expression" dxfId="4" priority="2">
      <x:formula>MOD(INT((ROW()-2)/10), 2)=1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8"/>
  <x:cols>
    <x:col min="2" max="2" width="13.28515625" style="3" customWidth="1"/>
    <x:col min="4" max="4" width="15.28515625" style="3" customWidth="1"/>
    <x:col min="13" max="13" width="16.7109375" style="3" customWidth="1"/>
    <x:col min="14" max="14" width="17.42578125" style="3" customWidth="1"/>
  </x:cols>
  <x:sheetData>
    <x:row r="1">
      <x:c r="A1" s="4" t="s">
        <x:v>171</x:v>
      </x:c>
      <x:c r="B1" s="4" t="s">
        <x:v>172</x:v>
      </x:c>
      <x:c r="C1" s="4" t="s">
        <x:v>173</x:v>
      </x:c>
      <x:c r="D1" s="4" t="s">
        <x:v>174</x:v>
      </x:c>
      <x:c r="E1" s="4" t="s">
        <x:v>175</x:v>
      </x:c>
      <x:c r="F1" s="4" t="s">
        <x:v>176</x:v>
      </x:c>
      <x:c r="G1" s="4" t="s">
        <x:v>177</x:v>
      </x:c>
      <x:c r="H1" s="4" t="s">
        <x:v>178</x:v>
      </x:c>
      <x:c r="I1" s="4" t="s">
        <x:v>179</x:v>
      </x:c>
      <x:c r="J1" s="4" t="s">
        <x:v>180</x:v>
      </x:c>
      <x:c r="K1" s="4" t="s">
        <x:v>181</x:v>
      </x:c>
      <x:c r="L1" s="4" t="s">
        <x:v>182</x:v>
      </x:c>
      <x:c r="M1" s="4" t="s">
        <x:v>183</x:v>
      </x:c>
      <x:c r="N1" s="7" t="s">
        <x:v>103</x:v>
      </x:c>
    </x:row>
    <x:row r="2">
      <x:c r="A2" s="23" t="s">
        <x:v>6</x:v>
      </x:c>
      <x:c r="B2" s="23" t="s">
        <x:v>15</x:v>
      </x:c>
      <x:c r="C2" s="23" t="s">
        <x:v>16</x:v>
      </x:c>
      <x:c r="D2" s="23" t="s">
        <x:v>116</x:v>
      </x:c>
      <x:c r="E2" s="23" t="s">
        <x:v>184</x:v>
      </x:c>
      <x:c r="F2" s="23">
        <x:v>5</x:v>
      </x:c>
      <x:c r="G2" s="23">
        <x:v>6</x:v>
      </x:c>
      <x:c r="H2" s="23">
        <x:v>5</x:v>
      </x:c>
      <x:c r="I2" s="23">
        <x:v>2828</x:v>
      </x:c>
      <x:c r="J2" s="23">
        <x:v>3483</x:v>
      </x:c>
      <x:c r="K2" s="23">
        <x:v>923</x:v>
      </x:c>
      <x:c r="L2" s="23" t="s">
        <x:v>268</x:v>
      </x:c>
      <x:c r="M2" s="23" t="e">
        <x:f t="shared" ref="M2:M65" si="0">L2*86400</x:f>
        <x:v>#VALUE!</x:v>
      </x:c>
      <x:c r="N2" s="24" t="str">
        <x:f t="array" ref="N2">INDEX('MATCH INFO'!O:O, INT((ROW()-2)/10)+2 + 124)</x:f>
        <x:v>260703_O2_ROZE_S1</x:v>
      </x:c>
    </x:row>
    <x:row r="3">
      <x:c r="A3" s="23" t="s">
        <x:v>6</x:v>
      </x:c>
      <x:c r="B3" s="23" t="s">
        <x:v>20</x:v>
      </x:c>
      <x:c r="C3" s="23" t="s">
        <x:v>16</x:v>
      </x:c>
      <x:c r="D3" s="23" t="s">
        <x:v>116</x:v>
      </x:c>
      <x:c r="E3" s="23" t="s">
        <x:v>184</x:v>
      </x:c>
      <x:c r="F3" s="23">
        <x:v>5</x:v>
      </x:c>
      <x:c r="G3" s="23">
        <x:v>8</x:v>
      </x:c>
      <x:c r="H3" s="23">
        <x:v>6</x:v>
      </x:c>
      <x:c r="I3" s="23">
        <x:v>2979</x:v>
      </x:c>
      <x:c r="J3" s="23">
        <x:v>6397</x:v>
      </x:c>
      <x:c r="K3" s="23">
        <x:v>0</x:v>
      </x:c>
      <x:c r="L3" s="23" t="s">
        <x:v>268</x:v>
      </x:c>
      <x:c r="M3" s="23">
        <x:f t="shared" si="0"/>
        <x:v>370.99999999999994</x:v>
      </x:c>
      <x:c r="N3" s="24" t="str">
        <x:f t="array" ref="N3">INDEX('MATCH INFO'!O:O, INT((ROW()-2)/10)+2 + 124)</x:f>
        <x:v>260703_O2_ROZE_S1</x:v>
      </x:c>
    </x:row>
    <x:row r="4">
      <x:c r="A4" s="23" t="s">
        <x:v>6</x:v>
      </x:c>
      <x:c r="B4" s="23" t="s">
        <x:v>13</x:v>
      </x:c>
      <x:c r="C4" s="23" t="s">
        <x:v>11</x:v>
      </x:c>
      <x:c r="D4" s="23" t="s">
        <x:v>116</x:v>
      </x:c>
      <x:c r="E4" s="23" t="s">
        <x:v>184</x:v>
      </x:c>
      <x:c r="F4" s="23">
        <x:v>7</x:v>
      </x:c>
      <x:c r="G4" s="23">
        <x:v>7</x:v>
      </x:c>
      <x:c r="H4" s="23">
        <x:v>3</x:v>
      </x:c>
      <x:c r="I4" s="23">
        <x:v>6306</x:v>
      </x:c>
      <x:c r="J4" s="23">
        <x:v>75</x:v>
      </x:c>
      <x:c r="K4" s="23">
        <x:v>266</x:v>
      </x:c>
      <x:c r="L4" s="23" t="s">
        <x:v>268</x:v>
      </x:c>
      <x:c r="M4" s="23">
        <x:f t="shared" si="0"/>
        <x:v>370.99999999999994</x:v>
      </x:c>
      <x:c r="N4" s="24" t="str">
        <x:f t="array" ref="N4">INDEX('MATCH INFO'!O:O, INT((ROW()-2)/10)+2 + 124)</x:f>
        <x:v>260703_O2_ROZE_S1</x:v>
      </x:c>
    </x:row>
    <x:row r="5">
      <x:c r="A5" s="23" t="s">
        <x:v>6</x:v>
      </x:c>
      <x:c r="B5" s="23" t="s">
        <x:v>9</x:v>
      </x:c>
      <x:c r="C5" s="23" t="s">
        <x:v>8</x:v>
      </x:c>
      <x:c r="D5" s="23" t="s">
        <x:v>116</x:v>
      </x:c>
      <x:c r="E5" s="23" t="s">
        <x:v>184</x:v>
      </x:c>
      <x:c r="F5" s="23">
        <x:v>7</x:v>
      </x:c>
      <x:c r="G5" s="23">
        <x:v>9</x:v>
      </x:c>
      <x:c r="H5" s="23">
        <x:v>6</x:v>
      </x:c>
      <x:c r="I5" s="23">
        <x:v>7160</x:v>
      </x:c>
      <x:c r="J5" s="23">
        <x:v>1656</x:v>
      </x:c>
      <x:c r="K5" s="23">
        <x:v>4261</x:v>
      </x:c>
      <x:c r="L5" s="23" t="s">
        <x:v>268</x:v>
      </x:c>
      <x:c r="M5" s="23">
        <x:f t="shared" si="0"/>
        <x:v>370.99999999999994</x:v>
      </x:c>
      <x:c r="N5" s="24" t="str">
        <x:f t="array" ref="N5">INDEX('MATCH INFO'!O:O, INT((ROW()-2)/10)+2 + 124)</x:f>
        <x:v>260703_O2_ROZE_S1</x:v>
      </x:c>
    </x:row>
    <x:row r="6">
      <x:c r="A6" s="23" t="s">
        <x:v>6</x:v>
      </x:c>
      <x:c r="B6" s="23" t="s">
        <x:v>10</x:v>
      </x:c>
      <x:c r="C6" s="23" t="s">
        <x:v>11</x:v>
      </x:c>
      <x:c r="D6" s="23" t="s">
        <x:v>116</x:v>
      </x:c>
      <x:c r="E6" s="23" t="s">
        <x:v>184</x:v>
      </x:c>
      <x:c r="F6" s="23">
        <x:v>5</x:v>
      </x:c>
      <x:c r="G6" s="23">
        <x:v>9</x:v>
      </x:c>
      <x:c r="H6" s="23">
        <x:v>0</x:v>
      </x:c>
      <x:c r="I6" s="23">
        <x:v>8698</x:v>
      </x:c>
      <x:c r="J6" s="23">
        <x:v>1161</x:v>
      </x:c>
      <x:c r="K6" s="23">
        <x:v>0</x:v>
      </x:c>
      <x:c r="L6" s="23" t="s">
        <x:v>268</x:v>
      </x:c>
      <x:c r="M6" s="23">
        <x:f t="shared" si="0"/>
        <x:v>370.99999999999994</x:v>
      </x:c>
      <x:c r="N6" s="24" t="str">
        <x:f t="array" ref="N6">INDEX('MATCH INFO'!O:O, INT((ROW()-2)/10)+2 + 124)</x:f>
        <x:v>260703_O2_ROZE_S1</x:v>
      </x:c>
    </x:row>
    <x:row r="7">
      <x:c r="A7" s="23" t="s">
        <x:v>22</x:v>
      </x:c>
      <x:c r="B7" s="23" t="s">
        <x:v>25</x:v>
      </x:c>
      <x:c r="C7" s="23" t="s">
        <x:v>11</x:v>
      </x:c>
      <x:c r="D7" s="23" t="s">
        <x:v>116</x:v>
      </x:c>
      <x:c r="E7" s="23" t="s">
        <x:v>184</x:v>
      </x:c>
      <x:c r="F7" s="23">
        <x:v>32</x:v>
      </x:c>
      <x:c r="G7" s="23">
        <x:v>0</x:v>
      </x:c>
      <x:c r="H7" s="23">
        <x:v>0</x:v>
      </x:c>
      <x:c r="I7" s="23">
        <x:v>8104</x:v>
      </x:c>
      <x:c r="J7" s="23">
        <x:v>1262</x:v>
      </x:c>
      <x:c r="K7" s="23">
        <x:v>0</x:v>
      </x:c>
      <x:c r="L7" s="23" t="s">
        <x:v>268</x:v>
      </x:c>
      <x:c r="M7" s="23">
        <x:f t="shared" si="0"/>
        <x:v>370.99999999999994</x:v>
      </x:c>
      <x:c r="N7" s="24" t="str">
        <x:f t="array" ref="N7">INDEX('MATCH INFO'!O:O, INT((ROW()-2)/10)+2 + 124)</x:f>
        <x:v>260703_O2_ROZE_S1</x:v>
      </x:c>
    </x:row>
    <x:row r="8">
      <x:c r="A8" s="23" t="s">
        <x:v>22</x:v>
      </x:c>
      <x:c r="B8" s="23" t="s">
        <x:v>24</x:v>
      </x:c>
      <x:c r="C8" s="23" t="s">
        <x:v>8</x:v>
      </x:c>
      <x:c r="D8" s="23" t="s">
        <x:v>116</x:v>
      </x:c>
      <x:c r="E8" s="23" t="s">
        <x:v>184</x:v>
      </x:c>
      <x:c r="F8" s="23">
        <x:v>32</x:v>
      </x:c>
      <x:c r="G8" s="23">
        <x:v>2</x:v>
      </x:c>
      <x:c r="H8" s="23">
        <x:v>19</x:v>
      </x:c>
      <x:c r="I8" s="23">
        <x:v>9195</x:v>
      </x:c>
      <x:c r="J8" s="23">
        <x:v>3001</x:v>
      </x:c>
      <x:c r="K8" s="23">
        <x:v>3690</x:v>
      </x:c>
      <x:c r="L8" s="23" t="s">
        <x:v>268</x:v>
      </x:c>
      <x:c r="M8" s="23">
        <x:f t="shared" si="0"/>
        <x:v>370.99999999999994</x:v>
      </x:c>
      <x:c r="N8" s="24" t="str">
        <x:f t="array" ref="N8">INDEX('MATCH INFO'!O:O, INT((ROW()-2)/10)+2 + 124)</x:f>
        <x:v>260703_O2_ROZE_S1</x:v>
      </x:c>
    </x:row>
    <x:row r="9">
      <x:c r="A9" s="23" t="s">
        <x:v>22</x:v>
      </x:c>
      <x:c r="B9" s="23" t="s">
        <x:v>29</x:v>
      </x:c>
      <x:c r="C9" s="23" t="s">
        <x:v>16</x:v>
      </x:c>
      <x:c r="D9" s="23" t="s">
        <x:v>116</x:v>
      </x:c>
      <x:c r="E9" s="23" t="s">
        <x:v>184</x:v>
      </x:c>
      <x:c r="F9" s="23">
        <x:v>17</x:v>
      </x:c>
      <x:c r="G9" s="23">
        <x:v>0</x:v>
      </x:c>
      <x:c r="H9" s="23">
        <x:v>31</x:v>
      </x:c>
      <x:c r="I9" s="23">
        <x:v>2982</x:v>
      </x:c>
      <x:c r="J9" s="23">
        <x:v>10786</x:v>
      </x:c>
      <x:c r="K9" s="23">
        <x:v>0</x:v>
      </x:c>
      <x:c r="L9" s="23" t="s">
        <x:v>268</x:v>
      </x:c>
      <x:c r="M9" s="23">
        <x:f t="shared" si="0"/>
        <x:v>370.99999999999994</x:v>
      </x:c>
      <x:c r="N9" s="24" t="str">
        <x:f t="array" ref="N9">INDEX('MATCH INFO'!O:O, INT((ROW()-2)/10)+2 + 124)</x:f>
        <x:v>260703_O2_ROZE_S1</x:v>
      </x:c>
    </x:row>
    <x:row r="10">
      <x:c r="A10" s="23" t="s">
        <x:v>22</x:v>
      </x:c>
      <x:c r="B10" s="23" t="s">
        <x:v>28</x:v>
      </x:c>
      <x:c r="C10" s="23" t="s">
        <x:v>16</x:v>
      </x:c>
      <x:c r="D10" s="23" t="s">
        <x:v>116</x:v>
      </x:c>
      <x:c r="E10" s="23" t="s">
        <x:v>184</x:v>
      </x:c>
      <x:c r="F10" s="23">
        <x:v>19</x:v>
      </x:c>
      <x:c r="G10" s="23">
        <x:v>2</x:v>
      </x:c>
      <x:c r="H10" s="23">
        <x:v>15</x:v>
      </x:c>
      <x:c r="I10" s="23">
        <x:v>3061</x:v>
      </x:c>
      <x:c r="J10" s="23">
        <x:v>4596</x:v>
      </x:c>
      <x:c r="K10" s="23">
        <x:v>2066</x:v>
      </x:c>
      <x:c r="L10" s="23" t="s">
        <x:v>268</x:v>
      </x:c>
      <x:c r="M10" s="23">
        <x:f t="shared" si="0"/>
        <x:v>370.99999999999994</x:v>
      </x:c>
      <x:c r="N10" s="24" t="str">
        <x:f t="array" ref="N10">INDEX('MATCH INFO'!O:O, INT((ROW()-2)/10)+2 + 124)</x:f>
        <x:v>260703_O2_ROZE_S1</x:v>
      </x:c>
    </x:row>
    <x:row r="11">
      <x:c r="A11" s="23" t="s">
        <x:v>22</x:v>
      </x:c>
      <x:c r="B11" s="23" t="s">
        <x:v>27</x:v>
      </x:c>
      <x:c r="C11" s="23" t="s">
        <x:v>11</x:v>
      </x:c>
      <x:c r="D11" s="23" t="s">
        <x:v>116</x:v>
      </x:c>
      <x:c r="E11" s="23" t="s">
        <x:v>184</x:v>
      </x:c>
      <x:c r="F11" s="23">
        <x:v>26</x:v>
      </x:c>
      <x:c r="G11" s="23">
        <x:v>3</x:v>
      </x:c>
      <x:c r="H11" s="23">
        <x:v>4</x:v>
      </x:c>
      <x:c r="I11" s="23">
        <x:v>7017</x:v>
      </x:c>
      <x:c r="J11" s="23">
        <x:v>0</x:v>
      </x:c>
      <x:c r="K11" s="23">
        <x:v>210</x:v>
      </x:c>
      <x:c r="L11" s="23" t="s">
        <x:v>268</x:v>
      </x:c>
      <x:c r="M11" s="23">
        <x:f t="shared" si="0"/>
        <x:v>370.99999999999994</x:v>
      </x:c>
      <x:c r="N11" s="24" t="str">
        <x:f t="array" ref="N11">INDEX('MATCH INFO'!O:O, INT((ROW()-2)/10)+2 + 124)</x:f>
        <x:v>260703_O2_ROZE_S1</x:v>
      </x:c>
    </x:row>
    <x:row r="12">
      <x:c r="A12" s="23" t="s">
        <x:v>6</x:v>
      </x:c>
      <x:c r="B12" s="23" t="s">
        <x:v>15</x:v>
      </x:c>
      <x:c r="C12" s="23" t="s">
        <x:v>16</x:v>
      </x:c>
      <x:c r="D12" s="23" t="s">
        <x:v>119</x:v>
      </x:c>
      <x:c r="E12" s="23" t="s">
        <x:v>191</x:v>
      </x:c>
      <x:c r="F12" s="23">
        <x:v>23</x:v>
      </x:c>
      <x:c r="G12" s="23">
        <x:v>9</x:v>
      </x:c>
      <x:c r="H12" s="23">
        <x:v>9</x:v>
      </x:c>
      <x:c r="I12" s="23">
        <x:v>6444</x:v>
      </x:c>
      <x:c r="J12" s="23">
        <x:v>10763</x:v>
      </x:c>
      <x:c r="K12" s="23">
        <x:v>0</x:v>
      </x:c>
      <x:c r="L12" s="23" t="s">
        <x:v>198</x:v>
      </x:c>
      <x:c r="M12" s="23">
        <x:f t="shared" si="0"/>
        <x:v>980.00000000000011</x:v>
      </x:c>
      <x:c r="N12" s="24" t="str">
        <x:f t="array" ref="N12">INDEX('MATCH INFO'!O:O, INT((ROW()-2)/10)+2 + 124)</x:f>
        <x:v>260703_O2_ROZE_S2</x:v>
      </x:c>
    </x:row>
    <x:row r="13">
      <x:c r="A13" s="23" t="s">
        <x:v>6</x:v>
      </x:c>
      <x:c r="B13" s="23" t="s">
        <x:v>20</x:v>
      </x:c>
      <x:c r="C13" s="23" t="s">
        <x:v>16</x:v>
      </x:c>
      <x:c r="D13" s="23" t="s">
        <x:v>119</x:v>
      </x:c>
      <x:c r="E13" s="23" t="s">
        <x:v>191</x:v>
      </x:c>
      <x:c r="F13" s="23">
        <x:v>13</x:v>
      </x:c>
      <x:c r="G13" s="23">
        <x:v>12</x:v>
      </x:c>
      <x:c r="H13" s="23">
        <x:v>28</x:v>
      </x:c>
      <x:c r="I13" s="23">
        <x:v>8511</x:v>
      </x:c>
      <x:c r="J13" s="23">
        <x:v>14122</x:v>
      </x:c>
      <x:c r="K13" s="23">
        <x:v>0</x:v>
      </x:c>
      <x:c r="L13" s="23" t="s">
        <x:v>198</x:v>
      </x:c>
      <x:c r="M13" s="23">
        <x:f t="shared" si="0"/>
        <x:v>980.00000000000011</x:v>
      </x:c>
      <x:c r="N13" s="24" t="str">
        <x:f t="array" ref="N13">INDEX('MATCH INFO'!O:O, INT((ROW()-2)/10)+2 + 124)</x:f>
        <x:v>260703_O2_ROZE_S2</x:v>
      </x:c>
    </x:row>
    <x:row r="14">
      <x:c r="A14" s="23" t="s">
        <x:v>6</x:v>
      </x:c>
      <x:c r="B14" s="23" t="s">
        <x:v>13</x:v>
      </x:c>
      <x:c r="C14" s="23" t="s">
        <x:v>11</x:v>
      </x:c>
      <x:c r="D14" s="23" t="s">
        <x:v>119</x:v>
      </x:c>
      <x:c r="E14" s="23" t="s">
        <x:v>191</x:v>
      </x:c>
      <x:c r="F14" s="23">
        <x:v>23</x:v>
      </x:c>
      <x:c r="G14" s="23">
        <x:v>13</x:v>
      </x:c>
      <x:c r="H14" s="23">
        <x:v>0</x:v>
      </x:c>
      <x:c r="I14" s="23">
        <x:v>13533</x:v>
      </x:c>
      <x:c r="J14" s="23">
        <x:v>49</x:v>
      </x:c>
      <x:c r="K14" s="23">
        <x:v>282</x:v>
      </x:c>
      <x:c r="L14" s="23" t="s">
        <x:v>198</x:v>
      </x:c>
      <x:c r="M14" s="23">
        <x:f t="shared" si="0"/>
        <x:v>980.00000000000011</x:v>
      </x:c>
      <x:c r="N14" s="24" t="str">
        <x:f t="array" ref="N14">INDEX('MATCH INFO'!O:O, INT((ROW()-2)/10)+2 + 124)</x:f>
        <x:v>260703_O2_ROZE_S2</x:v>
      </x:c>
    </x:row>
    <x:row r="15">
      <x:c r="A15" s="23" t="s">
        <x:v>6</x:v>
      </x:c>
      <x:c r="B15" s="23" t="s">
        <x:v>9</x:v>
      </x:c>
      <x:c r="C15" s="23" t="s">
        <x:v>8</x:v>
      </x:c>
      <x:c r="D15" s="23" t="s">
        <x:v>119</x:v>
      </x:c>
      <x:c r="E15" s="23" t="s">
        <x:v>191</x:v>
      </x:c>
      <x:c r="F15" s="23">
        <x:v>25</x:v>
      </x:c>
      <x:c r="G15" s="23">
        <x:v>11</x:v>
      </x:c>
      <x:c r="H15" s="23">
        <x:v>9</x:v>
      </x:c>
      <x:c r="I15" s="23">
        <x:v>14957</x:v>
      </x:c>
      <x:c r="J15" s="23">
        <x:v>0</x:v>
      </x:c>
      <x:c r="K15" s="23">
        <x:v>17464</x:v>
      </x:c>
      <x:c r="L15" s="23" t="s">
        <x:v>198</x:v>
      </x:c>
      <x:c r="M15" s="23">
        <x:f t="shared" si="0"/>
        <x:v>980.00000000000011</x:v>
      </x:c>
      <x:c r="N15" s="24" t="str">
        <x:f t="array" ref="N15">INDEX('MATCH INFO'!O:O, INT((ROW()-2)/10)+2 + 124)</x:f>
        <x:v>260703_O2_ROZE_S2</x:v>
      </x:c>
    </x:row>
    <x:row r="16">
      <x:c r="A16" s="23" t="s">
        <x:v>6</x:v>
      </x:c>
      <x:c r="B16" s="23" t="s">
        <x:v>10</x:v>
      </x:c>
      <x:c r="C16" s="23" t="s">
        <x:v>11</x:v>
      </x:c>
      <x:c r="D16" s="23" t="s">
        <x:v>119</x:v>
      </x:c>
      <x:c r="E16" s="23" t="s">
        <x:v>191</x:v>
      </x:c>
      <x:c r="F16" s="23">
        <x:v>26</x:v>
      </x:c>
      <x:c r="G16" s="23">
        <x:v>12</x:v>
      </x:c>
      <x:c r="H16" s="23">
        <x:v>4</x:v>
      </x:c>
      <x:c r="I16" s="23">
        <x:v>14122</x:v>
      </x:c>
      <x:c r="J16" s="23">
        <x:v>213</x:v>
      </x:c>
      <x:c r="K16" s="23">
        <x:v>1085</x:v>
      </x:c>
      <x:c r="L16" s="23" t="s">
        <x:v>198</x:v>
      </x:c>
      <x:c r="M16" s="23">
        <x:f t="shared" si="0"/>
        <x:v>980.00000000000011</x:v>
      </x:c>
      <x:c r="N16" s="24" t="str">
        <x:f t="array" ref="N16">INDEX('MATCH INFO'!O:O, INT((ROW()-2)/10)+2 + 124)</x:f>
        <x:v>260703_O2_ROZE_S2</x:v>
      </x:c>
    </x:row>
    <x:row r="17">
      <x:c r="A17" s="23" t="s">
        <x:v>22</x:v>
      </x:c>
      <x:c r="B17" s="23" t="s">
        <x:v>25</x:v>
      </x:c>
      <x:c r="C17" s="23" t="s">
        <x:v>11</x:v>
      </x:c>
      <x:c r="D17" s="23" t="s">
        <x:v>119</x:v>
      </x:c>
      <x:c r="E17" s="23" t="s">
        <x:v>191</x:v>
      </x:c>
      <x:c r="F17" s="23">
        <x:v>33</x:v>
      </x:c>
      <x:c r="G17" s="23">
        <x:v>10</x:v>
      </x:c>
      <x:c r="H17" s="23">
        <x:v>2</x:v>
      </x:c>
      <x:c r="I17" s="23">
        <x:v>9404</x:v>
      </x:c>
      <x:c r="J17" s="23">
        <x:v>1856</x:v>
      </x:c>
      <x:c r="K17" s="23">
        <x:v>4929</x:v>
      </x:c>
      <x:c r="L17" s="23" t="s">
        <x:v>198</x:v>
      </x:c>
      <x:c r="M17" s="23">
        <x:f t="shared" si="0"/>
        <x:v>980.00000000000011</x:v>
      </x:c>
      <x:c r="N17" s="24" t="str">
        <x:f t="array" ref="N17">INDEX('MATCH INFO'!O:O, INT((ROW()-2)/10)+2 + 124)</x:f>
        <x:v>260703_O2_ROZE_S2</x:v>
      </x:c>
    </x:row>
    <x:row r="18">
      <x:c r="A18" s="23" t="s">
        <x:v>22</x:v>
      </x:c>
      <x:c r="B18" s="23" t="s">
        <x:v>24</x:v>
      </x:c>
      <x:c r="C18" s="23" t="s">
        <x:v>8</x:v>
      </x:c>
      <x:c r="D18" s="23" t="s">
        <x:v>119</x:v>
      </x:c>
      <x:c r="E18" s="23" t="s">
        <x:v>191</x:v>
      </x:c>
      <x:c r="F18" s="23">
        <x:v>29</x:v>
      </x:c>
      <x:c r="G18" s="23">
        <x:v>10</x:v>
      </x:c>
      <x:c r="H18" s="23">
        <x:v>17</x:v>
      </x:c>
      <x:c r="I18" s="23">
        <x:v>13668</x:v>
      </x:c>
      <x:c r="J18" s="23">
        <x:v>1064</x:v>
      </x:c>
      <x:c r="K18" s="23">
        <x:v>25602</x:v>
      </x:c>
      <x:c r="L18" s="23" t="s">
        <x:v>198</x:v>
      </x:c>
      <x:c r="M18" s="23">
        <x:f t="shared" si="0"/>
        <x:v>980.00000000000011</x:v>
      </x:c>
      <x:c r="N18" s="24" t="str">
        <x:f t="array" ref="N18">INDEX('MATCH INFO'!O:O, INT((ROW()-2)/10)+2 + 124)</x:f>
        <x:v>260703_O2_ROZE_S2</x:v>
      </x:c>
    </x:row>
    <x:row r="19">
      <x:c r="A19" s="23" t="s">
        <x:v>22</x:v>
      </x:c>
      <x:c r="B19" s="23" t="s">
        <x:v>29</x:v>
      </x:c>
      <x:c r="C19" s="23" t="s">
        <x:v>16</x:v>
      </x:c>
      <x:c r="D19" s="23" t="s">
        <x:v>119</x:v>
      </x:c>
      <x:c r="E19" s="23" t="s">
        <x:v>191</x:v>
      </x:c>
      <x:c r="F19" s="23">
        <x:v>20</x:v>
      </x:c>
      <x:c r="G19" s="23">
        <x:v>8</x:v>
      </x:c>
      <x:c r="H19" s="23">
        <x:v>38</x:v>
      </x:c>
      <x:c r="I19" s="23">
        <x:v>4804</x:v>
      </x:c>
      <x:c r="J19" s="23">
        <x:v>18757</x:v>
      </x:c>
      <x:c r="K19" s="23">
        <x:v>0</x:v>
      </x:c>
      <x:c r="L19" s="23" t="s">
        <x:v>198</x:v>
      </x:c>
      <x:c r="M19" s="23">
        <x:f t="shared" si="0"/>
        <x:v>980.00000000000011</x:v>
      </x:c>
      <x:c r="N19" s="24" t="str">
        <x:f t="array" ref="N19">INDEX('MATCH INFO'!O:O, INT((ROW()-2)/10)+2 + 124)</x:f>
        <x:v>260703_O2_ROZE_S2</x:v>
      </x:c>
    </x:row>
    <x:row r="20">
      <x:c r="A20" s="23" t="s">
        <x:v>22</x:v>
      </x:c>
      <x:c r="B20" s="23" t="s">
        <x:v>28</x:v>
      </x:c>
      <x:c r="C20" s="23" t="s">
        <x:v>16</x:v>
      </x:c>
      <x:c r="D20" s="23" t="s">
        <x:v>119</x:v>
      </x:c>
      <x:c r="E20" s="23" t="s">
        <x:v>191</x:v>
      </x:c>
      <x:c r="F20" s="23">
        <x:v>29</x:v>
      </x:c>
      <x:c r="G20" s="23">
        <x:v>9</x:v>
      </x:c>
      <x:c r="H20" s="23">
        <x:v>17</x:v>
      </x:c>
      <x:c r="I20" s="23">
        <x:v>5930</x:v>
      </x:c>
      <x:c r="J20" s="23">
        <x:v>12748</x:v>
      </x:c>
      <x:c r="K20" s="23">
        <x:v>0</x:v>
      </x:c>
      <x:c r="L20" s="23" t="s">
        <x:v>198</x:v>
      </x:c>
      <x:c r="M20" s="23">
        <x:f t="shared" si="0"/>
        <x:v>980.00000000000011</x:v>
      </x:c>
      <x:c r="N20" s="24" t="str">
        <x:f t="array" ref="N20">INDEX('MATCH INFO'!O:O, INT((ROW()-2)/10)+2 + 124)</x:f>
        <x:v>260703_O2_ROZE_S2</x:v>
      </x:c>
    </x:row>
    <x:row r="21">
      <x:c r="A21" s="23" t="s">
        <x:v>22</x:v>
      </x:c>
      <x:c r="B21" s="23" t="s">
        <x:v>27</x:v>
      </x:c>
      <x:c r="C21" s="23" t="s">
        <x:v>11</x:v>
      </x:c>
      <x:c r="D21" s="23" t="s">
        <x:v>119</x:v>
      </x:c>
      <x:c r="E21" s="23" t="s">
        <x:v>191</x:v>
      </x:c>
      <x:c r="F21" s="23">
        <x:v>39</x:v>
      </x:c>
      <x:c r="G21" s="23">
        <x:v>6</x:v>
      </x:c>
      <x:c r="H21" s="23">
        <x:v>3</x:v>
      </x:c>
      <x:c r="I21" s="23">
        <x:v>15029</x:v>
      </x:c>
      <x:c r="J21" s="23">
        <x:v>213</x:v>
      </x:c>
      <x:c r="K21" s="23">
        <x:v>637</x:v>
      </x:c>
      <x:c r="L21" s="23" t="s">
        <x:v>198</x:v>
      </x:c>
      <x:c r="M21" s="23">
        <x:f t="shared" si="0"/>
        <x:v>980.00000000000011</x:v>
      </x:c>
      <x:c r="N21" s="24" t="str">
        <x:f t="array" ref="N21">INDEX('MATCH INFO'!O:O, INT((ROW()-2)/10)+2 + 124)</x:f>
        <x:v>260703_O2_ROZE_S2</x:v>
      </x:c>
    </x:row>
    <x:row r="22">
      <x:c r="A22" s="23" t="s">
        <x:v>6</x:v>
      </x:c>
      <x:c r="B22" s="23" t="s">
        <x:v>15</x:v>
      </x:c>
      <x:c r="C22" s="23" t="s">
        <x:v>16</x:v>
      </x:c>
      <x:c r="D22" s="23" t="s">
        <x:v>145</x:v>
      </x:c>
      <x:c r="E22" s="23" t="s">
        <x:v>195</x:v>
      </x:c>
      <x:c r="F22" s="23">
        <x:v>21</x:v>
      </x:c>
      <x:c r="G22" s="23">
        <x:v>10</x:v>
      </x:c>
      <x:c r="H22" s="23">
        <x:v>17</x:v>
      </x:c>
      <x:c r="I22" s="23">
        <x:v>4570</x:v>
      </x:c>
      <x:c r="J22" s="23">
        <x:v>14286</x:v>
      </x:c>
      <x:c r="K22" s="23">
        <x:v>0</x:v>
      </x:c>
      <x:c r="L22" s="23" t="s">
        <x:v>305</x:v>
      </x:c>
      <x:c r="M22" s="23">
        <x:f t="shared" si="0"/>
        <x:v>1010</x:v>
      </x:c>
      <x:c r="N22" s="24" t="str">
        <x:f t="array" ref="N22">INDEX('MATCH INFO'!O:O, INT((ROW()-2)/10)+2 + 124)</x:f>
        <x:v>260703_O2_ROZE_S3</x:v>
      </x:c>
    </x:row>
    <x:row r="23">
      <x:c r="A23" s="23" t="s">
        <x:v>6</x:v>
      </x:c>
      <x:c r="B23" s="23" t="s">
        <x:v>20</x:v>
      </x:c>
      <x:c r="C23" s="23" t="s">
        <x:v>16</x:v>
      </x:c>
      <x:c r="D23" s="23" t="s">
        <x:v>145</x:v>
      </x:c>
      <x:c r="E23" s="23" t="s">
        <x:v>195</x:v>
      </x:c>
      <x:c r="F23" s="23">
        <x:v>24</x:v>
      </x:c>
      <x:c r="G23" s="23">
        <x:v>12</x:v>
      </x:c>
      <x:c r="H23" s="23">
        <x:v>30</x:v>
      </x:c>
      <x:c r="I23" s="23">
        <x:v>7682</x:v>
      </x:c>
      <x:c r="J23" s="23">
        <x:v>20175</x:v>
      </x:c>
      <x:c r="K23" s="23">
        <x:v>0</x:v>
      </x:c>
      <x:c r="L23" s="23" t="s">
        <x:v>305</x:v>
      </x:c>
      <x:c r="M23" s="23">
        <x:f t="shared" si="0"/>
        <x:v>1010</x:v>
      </x:c>
      <x:c r="N23" s="24" t="str">
        <x:f t="array" ref="N23">INDEX('MATCH INFO'!O:O, INT((ROW()-2)/10)+2 + 124)</x:f>
        <x:v>260703_O2_ROZE_S3</x:v>
      </x:c>
    </x:row>
    <x:row r="24">
      <x:c r="A24" s="23" t="s">
        <x:v>6</x:v>
      </x:c>
      <x:c r="B24" s="23" t="s">
        <x:v>13</x:v>
      </x:c>
      <x:c r="C24" s="23" t="s">
        <x:v>11</x:v>
      </x:c>
      <x:c r="D24" s="23" t="s">
        <x:v>145</x:v>
      </x:c>
      <x:c r="E24" s="23" t="s">
        <x:v>195</x:v>
      </x:c>
      <x:c r="F24" s="23">
        <x:v>34</x:v>
      </x:c>
      <x:c r="G24" s="23">
        <x:v>12</x:v>
      </x:c>
      <x:c r="H24" s="23">
        <x:v>2</x:v>
      </x:c>
      <x:c r="I24" s="23">
        <x:v>16840</x:v>
      </x:c>
      <x:c r="J24" s="23">
        <x:v>1196</x:v>
      </x:c>
      <x:c r="K24" s="23">
        <x:v>2267</x:v>
      </x:c>
      <x:c r="L24" s="23" t="s">
        <x:v>305</x:v>
      </x:c>
      <x:c r="M24" s="23">
        <x:f t="shared" si="0"/>
        <x:v>1010</x:v>
      </x:c>
      <x:c r="N24" s="24" t="str">
        <x:f t="array" ref="N24">INDEX('MATCH INFO'!O:O, INT((ROW()-2)/10)+2 + 124)</x:f>
        <x:v>260703_O2_ROZE_S3</x:v>
      </x:c>
    </x:row>
    <x:row r="25">
      <x:c r="A25" s="23" t="s">
        <x:v>6</x:v>
      </x:c>
      <x:c r="B25" s="23" t="s">
        <x:v>9</x:v>
      </x:c>
      <x:c r="C25" s="23" t="s">
        <x:v>8</x:v>
      </x:c>
      <x:c r="D25" s="23" t="s">
        <x:v>145</x:v>
      </x:c>
      <x:c r="E25" s="23" t="s">
        <x:v>195</x:v>
      </x:c>
      <x:c r="F25" s="23">
        <x:v>32</x:v>
      </x:c>
      <x:c r="G25" s="23">
        <x:v>10</x:v>
      </x:c>
      <x:c r="H25" s="23">
        <x:v>10</x:v>
      </x:c>
      <x:c r="I25" s="23">
        <x:v>19287</x:v>
      </x:c>
      <x:c r="J25" s="23">
        <x:v>86</x:v>
      </x:c>
      <x:c r="K25" s="23">
        <x:v>32844</x:v>
      </x:c>
      <x:c r="L25" s="23" t="s">
        <x:v>305</x:v>
      </x:c>
      <x:c r="M25" s="23">
        <x:f t="shared" si="0"/>
        <x:v>1010</x:v>
      </x:c>
      <x:c r="N25" s="24" t="str">
        <x:f t="array" ref="N25">INDEX('MATCH INFO'!O:O, INT((ROW()-2)/10)+2 + 124)</x:f>
        <x:v>260703_O2_ROZE_S3</x:v>
      </x:c>
    </x:row>
    <x:row r="26">
      <x:c r="A26" s="23" t="s">
        <x:v>6</x:v>
      </x:c>
      <x:c r="B26" s="23" t="s">
        <x:v>10</x:v>
      </x:c>
      <x:c r="C26" s="23" t="s">
        <x:v>11</x:v>
      </x:c>
      <x:c r="D26" s="23" t="s">
        <x:v>145</x:v>
      </x:c>
      <x:c r="E26" s="23" t="s">
        <x:v>195</x:v>
      </x:c>
      <x:c r="F26" s="23">
        <x:v>28</x:v>
      </x:c>
      <x:c r="G26" s="23">
        <x:v>11</x:v>
      </x:c>
      <x:c r="H26" s="23">
        <x:v>16</x:v>
      </x:c>
      <x:c r="I26" s="23">
        <x:v>10424</x:v>
      </x:c>
      <x:c r="J26" s="23">
        <x:v>4066</x:v>
      </x:c>
      <x:c r="K26" s="23">
        <x:v>9427</x:v>
      </x:c>
      <x:c r="L26" s="23" t="s">
        <x:v>305</x:v>
      </x:c>
      <x:c r="M26" s="23">
        <x:f t="shared" si="0"/>
        <x:v>1010</x:v>
      </x:c>
      <x:c r="N26" s="24" t="str">
        <x:f t="array" ref="N26">INDEX('MATCH INFO'!O:O, INT((ROW()-2)/10)+2 + 124)</x:f>
        <x:v>260703_O2_ROZE_S3</x:v>
      </x:c>
    </x:row>
    <x:row r="27">
      <x:c r="A27" s="23" t="s">
        <x:v>22</x:v>
      </x:c>
      <x:c r="B27" s="23" t="s">
        <x:v>25</x:v>
      </x:c>
      <x:c r="C27" s="23" t="s">
        <x:v>11</x:v>
      </x:c>
      <x:c r="D27" s="23" t="s">
        <x:v>145</x:v>
      </x:c>
      <x:c r="E27" s="23" t="s">
        <x:v>195</x:v>
      </x:c>
      <x:c r="F27" s="23">
        <x:v>32</x:v>
      </x:c>
      <x:c r="G27" s="23">
        <x:v>10</x:v>
      </x:c>
      <x:c r="H27" s="23">
        <x:v>16</x:v>
      </x:c>
      <x:c r="I27" s="23">
        <x:v>12955</x:v>
      </x:c>
      <x:c r="J27" s="23">
        <x:v>2145</x:v>
      </x:c>
      <x:c r="K27" s="23">
        <x:v>7820</x:v>
      </x:c>
      <x:c r="L27" s="23" t="s">
        <x:v>305</x:v>
      </x:c>
      <x:c r="M27" s="23">
        <x:f t="shared" si="0"/>
        <x:v>1010</x:v>
      </x:c>
      <x:c r="N27" s="24" t="str">
        <x:f t="array" ref="N27">INDEX('MATCH INFO'!O:O, INT((ROW()-2)/10)+2 + 124)</x:f>
        <x:v>260703_O2_ROZE_S3</x:v>
      </x:c>
    </x:row>
    <x:row r="28">
      <x:c r="A28" s="23" t="s">
        <x:v>22</x:v>
      </x:c>
      <x:c r="B28" s="23" t="s">
        <x:v>24</x:v>
      </x:c>
      <x:c r="C28" s="23" t="s">
        <x:v>8</x:v>
      </x:c>
      <x:c r="D28" s="23" t="s">
        <x:v>145</x:v>
      </x:c>
      <x:c r="E28" s="23" t="s">
        <x:v>195</x:v>
      </x:c>
      <x:c r="F28" s="23">
        <x:v>25</x:v>
      </x:c>
      <x:c r="G28" s="23">
        <x:v>11</x:v>
      </x:c>
      <x:c r="H28" s="23">
        <x:v>8</x:v>
      </x:c>
      <x:c r="I28" s="23">
        <x:v>19986</x:v>
      </x:c>
      <x:c r="J28" s="23">
        <x:v>40</x:v>
      </x:c>
      <x:c r="K28" s="23">
        <x:v>28381</x:v>
      </x:c>
      <x:c r="L28" s="23" t="s">
        <x:v>305</x:v>
      </x:c>
      <x:c r="M28" s="23">
        <x:f t="shared" si="0"/>
        <x:v>1010</x:v>
      </x:c>
      <x:c r="N28" s="24" t="str">
        <x:f t="array" ref="N28">INDEX('MATCH INFO'!O:O, INT((ROW()-2)/10)+2 + 124)</x:f>
        <x:v>260703_O2_ROZE_S3</x:v>
      </x:c>
    </x:row>
    <x:row r="29">
      <x:c r="A29" s="23" t="s">
        <x:v>22</x:v>
      </x:c>
      <x:c r="B29" s="23" t="s">
        <x:v>29</x:v>
      </x:c>
      <x:c r="C29" s="23" t="s">
        <x:v>16</x:v>
      </x:c>
      <x:c r="D29" s="23" t="s">
        <x:v>145</x:v>
      </x:c>
      <x:c r="E29" s="23" t="s">
        <x:v>195</x:v>
      </x:c>
      <x:c r="F29" s="23">
        <x:v>27</x:v>
      </x:c>
      <x:c r="G29" s="23">
        <x:v>8</x:v>
      </x:c>
      <x:c r="H29" s="23">
        <x:v>23</x:v>
      </x:c>
      <x:c r="I29" s="23">
        <x:v>8281</x:v>
      </x:c>
      <x:c r="J29" s="23">
        <x:v>19250</x:v>
      </x:c>
      <x:c r="K29" s="23">
        <x:v>0</x:v>
      </x:c>
      <x:c r="L29" s="23" t="s">
        <x:v>305</x:v>
      </x:c>
      <x:c r="M29" s="23">
        <x:f t="shared" si="0"/>
        <x:v>1010</x:v>
      </x:c>
      <x:c r="N29" s="24" t="str">
        <x:f t="array" ref="N29">INDEX('MATCH INFO'!O:O, INT((ROW()-2)/10)+2 + 124)</x:f>
        <x:v>260703_O2_ROZE_S3</x:v>
      </x:c>
    </x:row>
    <x:row r="30">
      <x:c r="A30" s="23" t="s">
        <x:v>22</x:v>
      </x:c>
      <x:c r="B30" s="23" t="s">
        <x:v>28</x:v>
      </x:c>
      <x:c r="C30" s="23" t="s">
        <x:v>16</x:v>
      </x:c>
      <x:c r="D30" s="23" t="s">
        <x:v>145</x:v>
      </x:c>
      <x:c r="E30" s="23" t="s">
        <x:v>195</x:v>
      </x:c>
      <x:c r="F30" s="23">
        <x:v>32</x:v>
      </x:c>
      <x:c r="G30" s="23">
        <x:v>7</x:v>
      </x:c>
      <x:c r="H30" s="23">
        <x:v>24</x:v>
      </x:c>
      <x:c r="I30" s="23">
        <x:v>5920</x:v>
      </x:c>
      <x:c r="J30" s="23">
        <x:v>13956</x:v>
      </x:c>
      <x:c r="K30" s="23">
        <x:v>0</x:v>
      </x:c>
      <x:c r="L30" s="23" t="s">
        <x:v>305</x:v>
      </x:c>
      <x:c r="M30" s="23">
        <x:f t="shared" si="0"/>
        <x:v>1010</x:v>
      </x:c>
      <x:c r="N30" s="24" t="str">
        <x:f t="array" ref="N30">INDEX('MATCH INFO'!O:O, INT((ROW()-2)/10)+2 + 124)</x:f>
        <x:v>260703_O2_ROZE_S3</x:v>
      </x:c>
    </x:row>
    <x:row r="31">
      <x:c r="A31" s="23" t="s">
        <x:v>22</x:v>
      </x:c>
      <x:c r="B31" s="23" t="s">
        <x:v>27</x:v>
      </x:c>
      <x:c r="C31" s="23" t="s">
        <x:v>11</x:v>
      </x:c>
      <x:c r="D31" s="23" t="s">
        <x:v>145</x:v>
      </x:c>
      <x:c r="E31" s="23" t="s">
        <x:v>195</x:v>
      </x:c>
      <x:c r="F31" s="23">
        <x:v>37</x:v>
      </x:c>
      <x:c r="G31" s="23">
        <x:v>10</x:v>
      </x:c>
      <x:c r="H31" s="23">
        <x:v>3</x:v>
      </x:c>
      <x:c r="I31" s="23">
        <x:v>20197</x:v>
      </x:c>
      <x:c r="J31" s="23">
        <x:v>561</x:v>
      </x:c>
      <x:c r="K31" s="23">
        <x:v>1913</x:v>
      </x:c>
      <x:c r="L31" s="23" t="s">
        <x:v>305</x:v>
      </x:c>
      <x:c r="M31" s="23">
        <x:f t="shared" si="0"/>
        <x:v>1010</x:v>
      </x:c>
      <x:c r="N31" s="24" t="str">
        <x:f t="array" ref="N31">INDEX('MATCH INFO'!O:O, INT((ROW()-2)/10)+2 + 124)</x:f>
        <x:v>260703_O2_ROZE_S3</x:v>
      </x:c>
    </x:row>
    <x:row r="32">
      <x:c r="A32" s="23" t="s">
        <x:v>72</x:v>
      </x:c>
      <x:c r="B32" s="23" t="s">
        <x:v>76</x:v>
      </x:c>
      <x:c r="C32" s="23" t="s">
        <x:v>11</x:v>
      </x:c>
      <x:c r="D32" s="23" t="s">
        <x:v>116</x:v>
      </x:c>
      <x:c r="E32" s="23" t="s">
        <x:v>184</x:v>
      </x:c>
      <x:c r="F32" s="23">
        <x:v>29</x:v>
      </x:c>
      <x:c r="G32" s="23">
        <x:v>4</x:v>
      </x:c>
      <x:c r="H32" s="23">
        <x:v>4</x:v>
      </x:c>
      <x:c r="I32" s="23">
        <x:v>9204</x:v>
      </x:c>
      <x:c r="J32" s="23">
        <x:v>694</x:v>
      </x:c>
      <x:c r="K32" s="23">
        <x:v>3439</x:v>
      </x:c>
      <x:c r="L32" s="23" t="s">
        <x:v>215</x:v>
      </x:c>
      <x:c r="M32" s="23">
        <x:f t="shared" si="0"/>
        <x:v>538</x:v>
      </x:c>
      <x:c r="N32" s="24" t="str">
        <x:f t="array" ref="N32">INDEX('MATCH INFO'!O:O, INT((ROW()-2)/10)+2 + 124)</x:f>
        <x:v>260703_CR_FLC_S1</x:v>
      </x:c>
    </x:row>
    <x:row r="33">
      <x:c r="A33" s="23" t="s">
        <x:v>72</x:v>
      </x:c>
      <x:c r="B33" s="23" t="s">
        <x:v>78</x:v>
      </x:c>
      <x:c r="C33" s="23" t="s">
        <x:v>16</x:v>
      </x:c>
      <x:c r="D33" s="23" t="s">
        <x:v>116</x:v>
      </x:c>
      <x:c r="E33" s="23" t="s">
        <x:v>184</x:v>
      </x:c>
      <x:c r="F33" s="23">
        <x:v>21</x:v>
      </x:c>
      <x:c r="G33" s="23">
        <x:v>3</x:v>
      </x:c>
      <x:c r="H33" s="23">
        <x:v>15</x:v>
      </x:c>
      <x:c r="I33" s="23">
        <x:v>4535</x:v>
      </x:c>
      <x:c r="J33" s="23">
        <x:v>8013</x:v>
      </x:c>
      <x:c r="K33" s="23">
        <x:v>0</x:v>
      </x:c>
      <x:c r="L33" s="23" t="s">
        <x:v>215</x:v>
      </x:c>
      <x:c r="M33" s="23">
        <x:f t="shared" si="0"/>
        <x:v>538</x:v>
      </x:c>
      <x:c r="N33" s="24" t="str">
        <x:f t="array" ref="N33">INDEX('MATCH INFO'!O:O, INT((ROW()-2)/10)+2 + 124)</x:f>
        <x:v>260703_CR_FLC_S1</x:v>
      </x:c>
    </x:row>
    <x:row r="34">
      <x:c r="A34" s="23" t="s">
        <x:v>72</x:v>
      </x:c>
      <x:c r="B34" s="23" t="s">
        <x:v>79</x:v>
      </x:c>
      <x:c r="C34" s="23" t="s">
        <x:v>16</x:v>
      </x:c>
      <x:c r="D34" s="23" t="s">
        <x:v>116</x:v>
      </x:c>
      <x:c r="E34" s="23" t="s">
        <x:v>184</x:v>
      </x:c>
      <x:c r="F34" s="23">
        <x:v>13</x:v>
      </x:c>
      <x:c r="G34" s="23">
        <x:v>4</x:v>
      </x:c>
      <x:c r="H34" s="23">
        <x:v>28</x:v>
      </x:c>
      <x:c r="I34" s="23">
        <x:v>6167</x:v>
      </x:c>
      <x:c r="J34" s="23">
        <x:v>13104</x:v>
      </x:c>
      <x:c r="K34" s="23">
        <x:v>0</x:v>
      </x:c>
      <x:c r="L34" s="23" t="s">
        <x:v>215</x:v>
      </x:c>
      <x:c r="M34" s="23">
        <x:f t="shared" si="0"/>
        <x:v>538</x:v>
      </x:c>
      <x:c r="N34" s="24" t="str">
        <x:f t="array" ref="N34">INDEX('MATCH INFO'!O:O, INT((ROW()-2)/10)+2 + 124)</x:f>
        <x:v>260703_CR_FLC_S1</x:v>
      </x:c>
    </x:row>
    <x:row r="35">
      <x:c r="A35" s="23" t="s">
        <x:v>72</x:v>
      </x:c>
      <x:c r="B35" s="23" t="s">
        <x:v>74</x:v>
      </x:c>
      <x:c r="C35" s="23" t="s">
        <x:v>8</x:v>
      </x:c>
      <x:c r="D35" s="23" t="s">
        <x:v>116</x:v>
      </x:c>
      <x:c r="E35" s="23" t="s">
        <x:v>184</x:v>
      </x:c>
      <x:c r="F35" s="23">
        <x:v>28</x:v>
      </x:c>
      <x:c r="G35" s="23">
        <x:v>3</x:v>
      </x:c>
      <x:c r="H35" s="23">
        <x:v>13</x:v>
      </x:c>
      <x:c r="I35" s="23">
        <x:v>7432</x:v>
      </x:c>
      <x:c r="J35" s="23">
        <x:v>822</x:v>
      </x:c>
      <x:c r="K35" s="23">
        <x:v>13259</x:v>
      </x:c>
      <x:c r="L35" s="23" t="s">
        <x:v>215</x:v>
      </x:c>
      <x:c r="M35" s="23">
        <x:f t="shared" si="0"/>
        <x:v>538</x:v>
      </x:c>
      <x:c r="N35" s="24" t="str">
        <x:f t="array" ref="N35">INDEX('MATCH INFO'!O:O, INT((ROW()-2)/10)+2 + 124)</x:f>
        <x:v>260703_CR_FLC_S1</x:v>
      </x:c>
    </x:row>
    <x:row r="36">
      <x:c r="A36" s="23" t="s">
        <x:v>72</x:v>
      </x:c>
      <x:c r="B36" s="23" t="s">
        <x:v>75</x:v>
      </x:c>
      <x:c r="C36" s="23" t="s">
        <x:v>11</x:v>
      </x:c>
      <x:c r="D36" s="23" t="s">
        <x:v>116</x:v>
      </x:c>
      <x:c r="E36" s="23" t="s">
        <x:v>184</x:v>
      </x:c>
      <x:c r="F36" s="23">
        <x:v>25</x:v>
      </x:c>
      <x:c r="G36" s="23">
        <x:v>4</x:v>
      </x:c>
      <x:c r="H36" s="23">
        <x:v>3</x:v>
      </x:c>
      <x:c r="I36" s="23">
        <x:v>10469</x:v>
      </x:c>
      <x:c r="J36" s="23">
        <x:v>0</x:v>
      </x:c>
      <x:c r="K36" s="23">
        <x:v>311</x:v>
      </x:c>
      <x:c r="L36" s="23" t="s">
        <x:v>215</x:v>
      </x:c>
      <x:c r="M36" s="23">
        <x:f t="shared" si="0"/>
        <x:v>538</x:v>
      </x:c>
      <x:c r="N36" s="24" t="str">
        <x:f t="array" ref="N36">INDEX('MATCH INFO'!O:O, INT((ROW()-2)/10)+2 + 124)</x:f>
        <x:v>260703_CR_FLC_S1</x:v>
      </x:c>
    </x:row>
    <x:row r="37">
      <x:c r="A37" s="23" t="s">
        <x:v>55</x:v>
      </x:c>
      <x:c r="B37" s="23" t="s">
        <x:v>61</x:v>
      </x:c>
      <x:c r="C37" s="23" t="s">
        <x:v>16</x:v>
      </x:c>
      <x:c r="D37" s="23" t="s">
        <x:v>116</x:v>
      </x:c>
      <x:c r="E37" s="23" t="s">
        <x:v>184</x:v>
      </x:c>
      <x:c r="F37" s="23">
        <x:v>11</x:v>
      </x:c>
      <x:c r="G37" s="23">
        <x:v>6</x:v>
      </x:c>
      <x:c r="H37" s="23">
        <x:v>7</x:v>
      </x:c>
      <x:c r="I37" s="23">
        <x:v>4775</x:v>
      </x:c>
      <x:c r="J37" s="23">
        <x:v>6702</x:v>
      </x:c>
      <x:c r="K37" s="23">
        <x:v>597</x:v>
      </x:c>
      <x:c r="L37" s="23" t="s">
        <x:v>215</x:v>
      </x:c>
      <x:c r="M37" s="23">
        <x:f t="shared" si="0"/>
        <x:v>538</x:v>
      </x:c>
      <x:c r="N37" s="24" t="str">
        <x:f t="array" ref="N37">INDEX('MATCH INFO'!O:O, INT((ROW()-2)/10)+2 + 124)</x:f>
        <x:v>260703_CR_FLC_S1</x:v>
      </x:c>
    </x:row>
    <x:row r="38">
      <x:c r="A38" s="23" t="s">
        <x:v>55</x:v>
      </x:c>
      <x:c r="B38" s="23" t="s">
        <x:v>58</x:v>
      </x:c>
      <x:c r="C38" s="23" t="s">
        <x:v>11</x:v>
      </x:c>
      <x:c r="D38" s="23" t="s">
        <x:v>116</x:v>
      </x:c>
      <x:c r="E38" s="23" t="s">
        <x:v>184</x:v>
      </x:c>
      <x:c r="F38" s="23">
        <x:v>4</x:v>
      </x:c>
      <x:c r="G38" s="23">
        <x:v>11</x:v>
      </x:c>
      <x:c r="H38" s="23">
        <x:v>0</x:v>
      </x:c>
      <x:c r="I38" s="23">
        <x:v>5934</x:v>
      </x:c>
      <x:c r="J38" s="23">
        <x:v>337</x:v>
      </x:c>
      <x:c r="K38" s="23">
        <x:v>4053</x:v>
      </x:c>
      <x:c r="L38" s="23" t="s">
        <x:v>215</x:v>
      </x:c>
      <x:c r="M38" s="23">
        <x:f t="shared" si="0"/>
        <x:v>538</x:v>
      </x:c>
      <x:c r="N38" s="24" t="str">
        <x:f t="array" ref="N38">INDEX('MATCH INFO'!O:O, INT((ROW()-2)/10)+2 + 124)</x:f>
        <x:v>260703_CR_FLC_S1</x:v>
      </x:c>
    </x:row>
    <x:row r="39">
      <x:c r="A39" s="23" t="s">
        <x:v>55</x:v>
      </x:c>
      <x:c r="B39" s="23" t="s">
        <x:v>57</x:v>
      </x:c>
      <x:c r="C39" s="23" t="s">
        <x:v>8</x:v>
      </x:c>
      <x:c r="D39" s="23" t="s">
        <x:v>116</x:v>
      </x:c>
      <x:c r="E39" s="23" t="s">
        <x:v>184</x:v>
      </x:c>
      <x:c r="F39" s="23">
        <x:v>10</x:v>
      </x:c>
      <x:c r="G39" s="23">
        <x:v>8</x:v>
      </x:c>
      <x:c r="H39" s="23">
        <x:v>7</x:v>
      </x:c>
      <x:c r="I39" s="23">
        <x:v>6695</x:v>
      </x:c>
      <x:c r="J39" s="23">
        <x:v>1537</x:v>
      </x:c>
      <x:c r="K39" s="23">
        <x:v>8526</x:v>
      </x:c>
      <x:c r="L39" s="23" t="s">
        <x:v>215</x:v>
      </x:c>
      <x:c r="M39" s="23">
        <x:f t="shared" si="0"/>
        <x:v>538</x:v>
      </x:c>
      <x:c r="N39" s="24" t="str">
        <x:f t="array" ref="N39">INDEX('MATCH INFO'!O:O, INT((ROW()-2)/10)+2 + 124)</x:f>
        <x:v>260703_CR_FLC_S1</x:v>
      </x:c>
    </x:row>
    <x:row r="40">
      <x:c r="A40" s="23" t="s">
        <x:v>55</x:v>
      </x:c>
      <x:c r="B40" s="23" t="s">
        <x:v>60</x:v>
      </x:c>
      <x:c r="C40" s="23" t="s">
        <x:v>11</x:v>
      </x:c>
      <x:c r="D40" s="23" t="s">
        <x:v>116</x:v>
      </x:c>
      <x:c r="E40" s="23" t="s">
        <x:v>184</x:v>
      </x:c>
      <x:c r="F40" s="23">
        <x:v>11</x:v>
      </x:c>
      <x:c r="G40" s="23">
        <x:v>6</x:v>
      </x:c>
      <x:c r="H40" s="23">
        <x:v>2</x:v>
      </x:c>
      <x:c r="I40" s="23">
        <x:v>10619</x:v>
      </x:c>
      <x:c r="J40" s="23">
        <x:v>75</x:v>
      </x:c>
      <x:c r="K40" s="23">
        <x:v>488</x:v>
      </x:c>
      <x:c r="L40" s="23" t="s">
        <x:v>215</x:v>
      </x:c>
      <x:c r="M40" s="23">
        <x:f t="shared" si="0"/>
        <x:v>538</x:v>
      </x:c>
      <x:c r="N40" s="24" t="str">
        <x:f t="array" ref="N40">INDEX('MATCH INFO'!O:O, INT((ROW()-2)/10)+2 + 124)</x:f>
        <x:v>260703_CR_FLC_S1</x:v>
      </x:c>
    </x:row>
    <x:row r="41">
      <x:c r="A41" s="23" t="s">
        <x:v>55</x:v>
      </x:c>
      <x:c r="B41" s="23" t="s">
        <x:v>62</x:v>
      </x:c>
      <x:c r="C41" s="23" t="s">
        <x:v>16</x:v>
      </x:c>
      <x:c r="D41" s="23" t="s">
        <x:v>116</x:v>
      </x:c>
      <x:c r="E41" s="23" t="s">
        <x:v>184</x:v>
      </x:c>
      <x:c r="F41" s="23">
        <x:v>6</x:v>
      </x:c>
      <x:c r="G41" s="23">
        <x:v>8</x:v>
      </x:c>
      <x:c r="H41" s="23">
        <x:v>7</x:v>
      </x:c>
      <x:c r="I41" s="23">
        <x:v>3404</x:v>
      </x:c>
      <x:c r="J41" s="23">
        <x:v>10405</x:v>
      </x:c>
      <x:c r="K41" s="23">
        <x:v>0</x:v>
      </x:c>
      <x:c r="L41" s="23" t="s">
        <x:v>215</x:v>
      </x:c>
      <x:c r="M41" s="23">
        <x:f t="shared" si="0"/>
        <x:v>538</x:v>
      </x:c>
      <x:c r="N41" s="24" t="str">
        <x:f t="array" ref="N41">INDEX('MATCH INFO'!O:O, INT((ROW()-2)/10)+2 + 124)</x:f>
        <x:v>260703_CR_FLC_S1</x:v>
      </x:c>
    </x:row>
    <x:row r="42">
      <x:c r="A42" s="23" t="s">
        <x:v>72</x:v>
      </x:c>
      <x:c r="B42" s="23" t="s">
        <x:v>76</x:v>
      </x:c>
      <x:c r="C42" s="23" t="s">
        <x:v>11</x:v>
      </x:c>
      <x:c r="D42" s="23" t="s">
        <x:v>145</x:v>
      </x:c>
      <x:c r="E42" s="23" t="s">
        <x:v>195</x:v>
      </x:c>
      <x:c r="F42" s="23">
        <x:v>5</x:v>
      </x:c>
      <x:c r="G42" s="23">
        <x:v>9</x:v>
      </x:c>
      <x:c r="H42" s="23">
        <x:v>2</x:v>
      </x:c>
      <x:c r="I42" s="23">
        <x:v>8596</x:v>
      </x:c>
      <x:c r="J42" s="23">
        <x:v>1152</x:v>
      </x:c>
      <x:c r="K42" s="23">
        <x:v>7962</x:v>
      </x:c>
      <x:c r="L42" s="23" t="s">
        <x:v>306</x:v>
      </x:c>
      <x:c r="M42" s="23">
        <x:f t="shared" si="0"/>
        <x:v>752</x:v>
      </x:c>
      <x:c r="N42" s="24" t="str">
        <x:f t="array" ref="N42">INDEX('MATCH INFO'!O:O, INT((ROW()-2)/10)+2 + 124)</x:f>
        <x:v>260703_CR_FLC_S2</x:v>
      </x:c>
    </x:row>
    <x:row r="43">
      <x:c r="A43" s="23" t="s">
        <x:v>72</x:v>
      </x:c>
      <x:c r="B43" s="23" t="s">
        <x:v>78</x:v>
      </x:c>
      <x:c r="C43" s="23" t="s">
        <x:v>16</x:v>
      </x:c>
      <x:c r="D43" s="23" t="s">
        <x:v>145</x:v>
      </x:c>
      <x:c r="E43" s="23" t="s">
        <x:v>195</x:v>
      </x:c>
      <x:c r="F43" s="23">
        <x:v>7</x:v>
      </x:c>
      <x:c r="G43" s="23">
        <x:v>9</x:v>
      </x:c>
      <x:c r="H43" s="23">
        <x:v>3</x:v>
      </x:c>
      <x:c r="I43" s="23">
        <x:v>5574</x:v>
      </x:c>
      <x:c r="J43" s="23">
        <x:v>11988</x:v>
      </x:c>
      <x:c r="K43" s="23">
        <x:v>768</x:v>
      </x:c>
      <x:c r="L43" s="23" t="s">
        <x:v>306</x:v>
      </x:c>
      <x:c r="M43" s="23">
        <x:f t="shared" si="0"/>
        <x:v>752</x:v>
      </x:c>
      <x:c r="N43" s="24" t="str">
        <x:f t="array" ref="N43">INDEX('MATCH INFO'!O:O, INT((ROW()-2)/10)+2 + 124)</x:f>
        <x:v>260703_CR_FLC_S2</x:v>
      </x:c>
    </x:row>
    <x:row r="44">
      <x:c r="A44" s="23" t="s">
        <x:v>72</x:v>
      </x:c>
      <x:c r="B44" s="23" t="s">
        <x:v>79</x:v>
      </x:c>
      <x:c r="C44" s="23" t="s">
        <x:v>16</x:v>
      </x:c>
      <x:c r="D44" s="23" t="s">
        <x:v>145</x:v>
      </x:c>
      <x:c r="E44" s="23" t="s">
        <x:v>195</x:v>
      </x:c>
      <x:c r="F44" s="23">
        <x:v>4</x:v>
      </x:c>
      <x:c r="G44" s="23">
        <x:v>9</x:v>
      </x:c>
      <x:c r="H44" s="23">
        <x:v>8</x:v>
      </x:c>
      <x:c r="I44" s="23">
        <x:v>3663</x:v>
      </x:c>
      <x:c r="J44" s="23">
        <x:v>18880</x:v>
      </x:c>
      <x:c r="K44" s="23">
        <x:v>0</x:v>
      </x:c>
      <x:c r="L44" s="23" t="s">
        <x:v>306</x:v>
      </x:c>
      <x:c r="M44" s="23">
        <x:f t="shared" si="0"/>
        <x:v>752</x:v>
      </x:c>
      <x:c r="N44" s="24" t="str">
        <x:f t="array" ref="N44">INDEX('MATCH INFO'!O:O, INT((ROW()-2)/10)+2 + 124)</x:f>
        <x:v>260703_CR_FLC_S2</x:v>
      </x:c>
    </x:row>
    <x:row r="45">
      <x:c r="A45" s="23" t="s">
        <x:v>72</x:v>
      </x:c>
      <x:c r="B45" s="23" t="s">
        <x:v>73</x:v>
      </x:c>
      <x:c r="C45" s="23" t="s">
        <x:v>8</x:v>
      </x:c>
      <x:c r="D45" s="23" t="s">
        <x:v>145</x:v>
      </x:c>
      <x:c r="E45" s="23" t="s">
        <x:v>195</x:v>
      </x:c>
      <x:c r="F45" s="23">
        <x:v>9</x:v>
      </x:c>
      <x:c r="G45" s="23">
        <x:v>10</x:v>
      </x:c>
      <x:c r="H45" s="23">
        <x:v>1</x:v>
      </x:c>
      <x:c r="I45" s="23">
        <x:v>13294</x:v>
      </x:c>
      <x:c r="J45" s="23">
        <x:v>50</x:v>
      </x:c>
      <x:c r="K45" s="23">
        <x:v>22800</x:v>
      </x:c>
      <x:c r="L45" s="23" t="s">
        <x:v>306</x:v>
      </x:c>
      <x:c r="M45" s="23">
        <x:f t="shared" si="0"/>
        <x:v>752</x:v>
      </x:c>
      <x:c r="N45" s="24" t="str">
        <x:f t="array" ref="N45">INDEX('MATCH INFO'!O:O, INT((ROW()-2)/10)+2 + 124)</x:f>
        <x:v>260703_CR_FLC_S2</x:v>
      </x:c>
    </x:row>
    <x:row r="46">
      <x:c r="A46" s="23" t="s">
        <x:v>72</x:v>
      </x:c>
      <x:c r="B46" s="23" t="s">
        <x:v>75</x:v>
      </x:c>
      <x:c r="C46" s="23" t="s">
        <x:v>11</x:v>
      </x:c>
      <x:c r="D46" s="23" t="s">
        <x:v>145</x:v>
      </x:c>
      <x:c r="E46" s="23" t="s">
        <x:v>195</x:v>
      </x:c>
      <x:c r="F46" s="23">
        <x:v>8</x:v>
      </x:c>
      <x:c r="G46" s="23">
        <x:v>11</x:v>
      </x:c>
      <x:c r="H46" s="23">
        <x:v>0</x:v>
      </x:c>
      <x:c r="I46" s="23">
        <x:v>10748</x:v>
      </x:c>
      <x:c r="J46" s="23">
        <x:v>439</x:v>
      </x:c>
      <x:c r="K46" s="23">
        <x:v>3214</x:v>
      </x:c>
      <x:c r="L46" s="23" t="s">
        <x:v>306</x:v>
      </x:c>
      <x:c r="M46" s="23">
        <x:f t="shared" si="0"/>
        <x:v>752</x:v>
      </x:c>
      <x:c r="N46" s="24" t="str">
        <x:f t="array" ref="N46">INDEX('MATCH INFO'!O:O, INT((ROW()-2)/10)+2 + 124)</x:f>
        <x:v>260703_CR_FLC_S2</x:v>
      </x:c>
    </x:row>
    <x:row r="47">
      <x:c r="A47" s="23" t="s">
        <x:v>55</x:v>
      </x:c>
      <x:c r="B47" s="23" t="s">
        <x:v>61</x:v>
      </x:c>
      <x:c r="C47" s="23" t="s">
        <x:v>16</x:v>
      </x:c>
      <x:c r="D47" s="23" t="s">
        <x:v>145</x:v>
      </x:c>
      <x:c r="E47" s="23" t="s">
        <x:v>195</x:v>
      </x:c>
      <x:c r="F47" s="23">
        <x:v>24</x:v>
      </x:c>
      <x:c r="G47" s="23">
        <x:v>2</x:v>
      </x:c>
      <x:c r="H47" s="23">
        <x:v>33</x:v>
      </x:c>
      <x:c r="I47" s="23">
        <x:v>7561</x:v>
      </x:c>
      <x:c r="J47" s="23">
        <x:v>16137</x:v>
      </x:c>
      <x:c r="K47" s="23">
        <x:v>2083</x:v>
      </x:c>
      <x:c r="L47" s="23" t="s">
        <x:v>306</x:v>
      </x:c>
      <x:c r="M47" s="23">
        <x:f t="shared" si="0"/>
        <x:v>752</x:v>
      </x:c>
      <x:c r="N47" s="24" t="str">
        <x:f t="array" ref="N47">INDEX('MATCH INFO'!O:O, INT((ROW()-2)/10)+2 + 124)</x:f>
        <x:v>260703_CR_FLC_S2</x:v>
      </x:c>
    </x:row>
    <x:row r="48">
      <x:c r="A48" s="23" t="s">
        <x:v>55</x:v>
      </x:c>
      <x:c r="B48" s="23" t="s">
        <x:v>58</x:v>
      </x:c>
      <x:c r="C48" s="23" t="s">
        <x:v>11</x:v>
      </x:c>
      <x:c r="D48" s="23" t="s">
        <x:v>145</x:v>
      </x:c>
      <x:c r="E48" s="23" t="s">
        <x:v>195</x:v>
      </x:c>
      <x:c r="F48" s="23">
        <x:v>40</x:v>
      </x:c>
      <x:c r="G48" s="23">
        <x:v>1</x:v>
      </x:c>
      <x:c r="H48" s="23">
        <x:v>10</x:v>
      </x:c>
      <x:c r="I48" s="23">
        <x:v>12506</x:v>
      </x:c>
      <x:c r="J48" s="23">
        <x:v>1179</x:v>
      </x:c>
      <x:c r="K48" s="23">
        <x:v>7769</x:v>
      </x:c>
      <x:c r="L48" s="23" t="s">
        <x:v>306</x:v>
      </x:c>
      <x:c r="M48" s="23">
        <x:f t="shared" si="0"/>
        <x:v>752</x:v>
      </x:c>
      <x:c r="N48" s="24" t="str">
        <x:f t="array" ref="N48">INDEX('MATCH INFO'!O:O, INT((ROW()-2)/10)+2 + 124)</x:f>
        <x:v>260703_CR_FLC_S2</x:v>
      </x:c>
    </x:row>
    <x:row r="49">
      <x:c r="A49" s="23" t="s">
        <x:v>55</x:v>
      </x:c>
      <x:c r="B49" s="23" t="s">
        <x:v>57</x:v>
      </x:c>
      <x:c r="C49" s="23" t="s">
        <x:v>8</x:v>
      </x:c>
      <x:c r="D49" s="23" t="s">
        <x:v>145</x:v>
      </x:c>
      <x:c r="E49" s="23" t="s">
        <x:v>195</x:v>
      </x:c>
      <x:c r="F49" s="23">
        <x:v>29</x:v>
      </x:c>
      <x:c r="G49" s="23">
        <x:v>2</x:v>
      </x:c>
      <x:c r="H49" s="23">
        <x:v>4</x:v>
      </x:c>
      <x:c r="I49" s="23">
        <x:v>18274</x:v>
      </x:c>
      <x:c r="J49" s="23">
        <x:v>0</x:v>
      </x:c>
      <x:c r="K49" s="23">
        <x:v>24962</x:v>
      </x:c>
      <x:c r="L49" s="23" t="s">
        <x:v>306</x:v>
      </x:c>
      <x:c r="M49" s="23">
        <x:f t="shared" si="0"/>
        <x:v>752</x:v>
      </x:c>
      <x:c r="N49" s="24" t="str">
        <x:f t="array" ref="N49">INDEX('MATCH INFO'!O:O, INT((ROW()-2)/10)+2 + 124)</x:f>
        <x:v>260703_CR_FLC_S2</x:v>
      </x:c>
    </x:row>
    <x:row r="50">
      <x:c r="A50" s="23" t="s">
        <x:v>55</x:v>
      </x:c>
      <x:c r="B50" s="23" t="s">
        <x:v>60</x:v>
      </x:c>
      <x:c r="C50" s="23" t="s">
        <x:v>11</x:v>
      </x:c>
      <x:c r="D50" s="23" t="s">
        <x:v>145</x:v>
      </x:c>
      <x:c r="E50" s="23" t="s">
        <x:v>195</x:v>
      </x:c>
      <x:c r="F50" s="23">
        <x:v>28</x:v>
      </x:c>
      <x:c r="G50" s="23">
        <x:v>3</x:v>
      </x:c>
      <x:c r="H50" s="23">
        <x:v>6</x:v>
      </x:c>
      <x:c r="I50" s="23">
        <x:v>11373</x:v>
      </x:c>
      <x:c r="J50" s="23">
        <x:v>503</x:v>
      </x:c>
      <x:c r="K50" s="23">
        <x:v>4903</x:v>
      </x:c>
      <x:c r="L50" s="23" t="s">
        <x:v>306</x:v>
      </x:c>
      <x:c r="M50" s="23">
        <x:f t="shared" si="0"/>
        <x:v>752</x:v>
      </x:c>
      <x:c r="N50" s="24" t="str">
        <x:f t="array" ref="N50">INDEX('MATCH INFO'!O:O, INT((ROW()-2)/10)+2 + 124)</x:f>
        <x:v>260703_CR_FLC_S2</x:v>
      </x:c>
    </x:row>
    <x:row r="51">
      <x:c r="A51" s="23" t="s">
        <x:v>55</x:v>
      </x:c>
      <x:c r="B51" s="23" t="s">
        <x:v>62</x:v>
      </x:c>
      <x:c r="C51" s="23" t="s">
        <x:v>16</x:v>
      </x:c>
      <x:c r="D51" s="23" t="s">
        <x:v>145</x:v>
      </x:c>
      <x:c r="E51" s="23" t="s">
        <x:v>195</x:v>
      </x:c>
      <x:c r="F51" s="23">
        <x:v>27</x:v>
      </x:c>
      <x:c r="G51" s="23">
        <x:v>3</x:v>
      </x:c>
      <x:c r="H51" s="23">
        <x:v>35</x:v>
      </x:c>
      <x:c r="I51" s="23">
        <x:v>5361</x:v>
      </x:c>
      <x:c r="J51" s="23">
        <x:v>15436</x:v>
      </x:c>
      <x:c r="K51" s="23">
        <x:v>0</x:v>
      </x:c>
      <x:c r="L51" s="23" t="s">
        <x:v>306</x:v>
      </x:c>
      <x:c r="M51" s="23">
        <x:f t="shared" si="0"/>
        <x:v>752</x:v>
      </x:c>
      <x:c r="N51" s="24" t="str">
        <x:f t="array" ref="N51">INDEX('MATCH INFO'!O:O, INT((ROW()-2)/10)+2 + 124)</x:f>
        <x:v>260703_CR_FLC_S2</x:v>
      </x:c>
    </x:row>
    <x:row r="52">
      <x:c r="A52" s="23" t="s">
        <x:v>72</x:v>
      </x:c>
      <x:c r="B52" s="23" t="s">
        <x:v>76</x:v>
      </x:c>
      <x:c r="C52" s="23" t="s">
        <x:v>11</x:v>
      </x:c>
      <x:c r="D52" s="23" t="s">
        <x:v>124</x:v>
      </x:c>
      <x:c r="E52" s="23" t="s">
        <x:v>186</x:v>
      </x:c>
      <x:c r="F52" s="23">
        <x:v>21</x:v>
      </x:c>
      <x:c r="G52" s="23">
        <x:v>11</x:v>
      </x:c>
      <x:c r="H52" s="23">
        <x:v>5</x:v>
      </x:c>
      <x:c r="I52" s="23">
        <x:v>9354</x:v>
      </x:c>
      <x:c r="J52" s="23">
        <x:v>608</x:v>
      </x:c>
      <x:c r="K52" s="23">
        <x:v>786</x:v>
      </x:c>
      <x:c r="L52" s="23" t="s">
        <x:v>307</x:v>
      </x:c>
      <x:c r="M52" s="23">
        <x:f t="shared" si="0"/>
        <x:v>733</x:v>
      </x:c>
      <x:c r="N52" s="24" t="str">
        <x:f t="array" ref="N52">INDEX('MATCH INFO'!O:O, INT((ROW()-2)/10)+2 + 124)</x:f>
        <x:v>260703_CR_FLC_S3</x:v>
      </x:c>
    </x:row>
    <x:row r="53">
      <x:c r="A53" s="23" t="s">
        <x:v>72</x:v>
      </x:c>
      <x:c r="B53" s="23" t="s">
        <x:v>78</x:v>
      </x:c>
      <x:c r="C53" s="23" t="s">
        <x:v>16</x:v>
      </x:c>
      <x:c r="D53" s="23" t="s">
        <x:v>124</x:v>
      </x:c>
      <x:c r="E53" s="23" t="s">
        <x:v>186</x:v>
      </x:c>
      <x:c r="F53" s="23">
        <x:v>15</x:v>
      </x:c>
      <x:c r="G53" s="23">
        <x:v>8</x:v>
      </x:c>
      <x:c r="H53" s="23">
        <x:v>12</x:v>
      </x:c>
      <x:c r="I53" s="23">
        <x:v>4676</x:v>
      </x:c>
      <x:c r="J53" s="23">
        <x:v>7737</x:v>
      </x:c>
      <x:c r="K53" s="23">
        <x:v>0</x:v>
      </x:c>
      <x:c r="L53" s="23" t="s">
        <x:v>307</x:v>
      </x:c>
      <x:c r="M53" s="23">
        <x:f t="shared" si="0"/>
        <x:v>733</x:v>
      </x:c>
      <x:c r="N53" s="24" t="str">
        <x:f t="array" ref="N53">INDEX('MATCH INFO'!O:O, INT((ROW()-2)/10)+2 + 124)</x:f>
        <x:v>260703_CR_FLC_S3</x:v>
      </x:c>
    </x:row>
    <x:row r="54">
      <x:c r="A54" s="23" t="s">
        <x:v>72</x:v>
      </x:c>
      <x:c r="B54" s="23" t="s">
        <x:v>79</x:v>
      </x:c>
      <x:c r="C54" s="23" t="s">
        <x:v>16</x:v>
      </x:c>
      <x:c r="D54" s="23" t="s">
        <x:v>124</x:v>
      </x:c>
      <x:c r="E54" s="23" t="s">
        <x:v>186</x:v>
      </x:c>
      <x:c r="F54" s="23">
        <x:v>11</x:v>
      </x:c>
      <x:c r="G54" s="23">
        <x:v>10</x:v>
      </x:c>
      <x:c r="H54" s="23">
        <x:v>17</x:v>
      </x:c>
      <x:c r="I54" s="23">
        <x:v>5848</x:v>
      </x:c>
      <x:c r="J54" s="23">
        <x:v>11192</x:v>
      </x:c>
      <x:c r="K54" s="23">
        <x:v>0</x:v>
      </x:c>
      <x:c r="L54" s="23" t="s">
        <x:v>307</x:v>
      </x:c>
      <x:c r="M54" s="23">
        <x:f t="shared" si="0"/>
        <x:v>733</x:v>
      </x:c>
      <x:c r="N54" s="24" t="str">
        <x:f t="array" ref="N54">INDEX('MATCH INFO'!O:O, INT((ROW()-2)/10)+2 + 124)</x:f>
        <x:v>260703_CR_FLC_S3</x:v>
      </x:c>
    </x:row>
    <x:row r="55">
      <x:c r="A55" s="23" t="s">
        <x:v>72</x:v>
      </x:c>
      <x:c r="B55" s="23" t="s">
        <x:v>74</x:v>
      </x:c>
      <x:c r="C55" s="23" t="s">
        <x:v>8</x:v>
      </x:c>
      <x:c r="D55" s="23" t="s">
        <x:v>124</x:v>
      </x:c>
      <x:c r="E55" s="23" t="s">
        <x:v>186</x:v>
      </x:c>
      <x:c r="F55" s="23">
        <x:v>15</x:v>
      </x:c>
      <x:c r="G55" s="23">
        <x:v>9</x:v>
      </x:c>
      <x:c r="H55" s="23">
        <x:v>4</x:v>
      </x:c>
      <x:c r="I55" s="23">
        <x:v>6452</x:v>
      </x:c>
      <x:c r="J55" s="23">
        <x:v>1358</x:v>
      </x:c>
      <x:c r="K55" s="23">
        <x:v>16164</x:v>
      </x:c>
      <x:c r="L55" s="23" t="s">
        <x:v>307</x:v>
      </x:c>
      <x:c r="M55" s="23">
        <x:f t="shared" si="0"/>
        <x:v>733</x:v>
      </x:c>
      <x:c r="N55" s="24" t="str">
        <x:f t="array" ref="N55">INDEX('MATCH INFO'!O:O, INT((ROW()-2)/10)+2 + 124)</x:f>
        <x:v>260703_CR_FLC_S3</x:v>
      </x:c>
    </x:row>
    <x:row r="56">
      <x:c r="A56" s="23" t="s">
        <x:v>72</x:v>
      </x:c>
      <x:c r="B56" s="23" t="s">
        <x:v>75</x:v>
      </x:c>
      <x:c r="C56" s="23" t="s">
        <x:v>11</x:v>
      </x:c>
      <x:c r="D56" s="23" t="s">
        <x:v>124</x:v>
      </x:c>
      <x:c r="E56" s="23" t="s">
        <x:v>186</x:v>
      </x:c>
      <x:c r="F56" s="23">
        <x:v>16</x:v>
      </x:c>
      <x:c r="G56" s="23">
        <x:v>11</x:v>
      </x:c>
      <x:c r="H56" s="23">
        <x:v>3</x:v>
      </x:c>
      <x:c r="I56" s="23">
        <x:v>9971</x:v>
      </x:c>
      <x:c r="J56" s="23">
        <x:v>104</x:v>
      </x:c>
      <x:c r="K56" s="23">
        <x:v>435</x:v>
      </x:c>
      <x:c r="L56" s="23" t="s">
        <x:v>307</x:v>
      </x:c>
      <x:c r="M56" s="23">
        <x:f t="shared" si="0"/>
        <x:v>733</x:v>
      </x:c>
      <x:c r="N56" s="24" t="str">
        <x:f t="array" ref="N56">INDEX('MATCH INFO'!O:O, INT((ROW()-2)/10)+2 + 124)</x:f>
        <x:v>260703_CR_FLC_S3</x:v>
      </x:c>
    </x:row>
    <x:row r="57">
      <x:c r="A57" s="23" t="s">
        <x:v>55</x:v>
      </x:c>
      <x:c r="B57" s="23" t="s">
        <x:v>61</x:v>
      </x:c>
      <x:c r="C57" s="23" t="s">
        <x:v>16</x:v>
      </x:c>
      <x:c r="D57" s="23" t="s">
        <x:v>124</x:v>
      </x:c>
      <x:c r="E57" s="23" t="s">
        <x:v>186</x:v>
      </x:c>
      <x:c r="F57" s="23">
        <x:v>27</x:v>
      </x:c>
      <x:c r="G57" s="23">
        <x:v>6</x:v>
      </x:c>
      <x:c r="H57" s="23">
        <x:v>11</x:v>
      </x:c>
      <x:c r="I57" s="23">
        <x:v>6127</x:v>
      </x:c>
      <x:c r="J57" s="23">
        <x:v>6884</x:v>
      </x:c>
      <x:c r="K57" s="23">
        <x:v>367</x:v>
      </x:c>
      <x:c r="L57" s="23" t="s">
        <x:v>307</x:v>
      </x:c>
      <x:c r="M57" s="23">
        <x:f t="shared" si="0"/>
        <x:v>733</x:v>
      </x:c>
      <x:c r="N57" s="24" t="str">
        <x:f t="array" ref="N57">INDEX('MATCH INFO'!O:O, INT((ROW()-2)/10)+2 + 124)</x:f>
        <x:v>260703_CR_FLC_S3</x:v>
      </x:c>
    </x:row>
    <x:row r="58">
      <x:c r="A58" s="23" t="s">
        <x:v>55</x:v>
      </x:c>
      <x:c r="B58" s="23" t="s">
        <x:v>58</x:v>
      </x:c>
      <x:c r="C58" s="23" t="s">
        <x:v>11</x:v>
      </x:c>
      <x:c r="D58" s="23" t="s">
        <x:v>124</x:v>
      </x:c>
      <x:c r="E58" s="23" t="s">
        <x:v>186</x:v>
      </x:c>
      <x:c r="F58" s="23">
        <x:v>28</x:v>
      </x:c>
      <x:c r="G58" s="23">
        <x:v>4</x:v>
      </x:c>
      <x:c r="H58" s="23">
        <x:v>0</x:v>
      </x:c>
      <x:c r="I58" s="23">
        <x:v>8218</x:v>
      </x:c>
      <x:c r="J58" s="23">
        <x:v>139</x:v>
      </x:c>
      <x:c r="K58" s="23">
        <x:v>69</x:v>
      </x:c>
      <x:c r="L58" s="23" t="s">
        <x:v>307</x:v>
      </x:c>
      <x:c r="M58" s="23">
        <x:f t="shared" si="0"/>
        <x:v>733</x:v>
      </x:c>
      <x:c r="N58" s="24" t="str">
        <x:f t="array" ref="N58">INDEX('MATCH INFO'!O:O, INT((ROW()-2)/10)+2 + 124)</x:f>
        <x:v>260703_CR_FLC_S3</x:v>
      </x:c>
    </x:row>
    <x:row r="59">
      <x:c r="A59" s="23" t="s">
        <x:v>55</x:v>
      </x:c>
      <x:c r="B59" s="23" t="s">
        <x:v>57</x:v>
      </x:c>
      <x:c r="C59" s="23" t="s">
        <x:v>8</x:v>
      </x:c>
      <x:c r="D59" s="23" t="s">
        <x:v>124</x:v>
      </x:c>
      <x:c r="E59" s="23" t="s">
        <x:v>186</x:v>
      </x:c>
      <x:c r="F59" s="23">
        <x:v>27</x:v>
      </x:c>
      <x:c r="G59" s="23">
        <x:v>6</x:v>
      </x:c>
      <x:c r="H59" s="23">
        <x:v>16</x:v>
      </x:c>
      <x:c r="I59" s="23">
        <x:v>9270</x:v>
      </x:c>
      <x:c r="J59" s="23">
        <x:v>1855</x:v>
      </x:c>
      <x:c r="K59" s="23">
        <x:v>8027</x:v>
      </x:c>
      <x:c r="L59" s="23" t="s">
        <x:v>307</x:v>
      </x:c>
      <x:c r="M59" s="23">
        <x:f t="shared" si="0"/>
        <x:v>733</x:v>
      </x:c>
      <x:c r="N59" s="24" t="str">
        <x:f t="array" ref="N59">INDEX('MATCH INFO'!O:O, INT((ROW()-2)/10)+2 + 124)</x:f>
        <x:v>260703_CR_FLC_S3</x:v>
      </x:c>
    </x:row>
    <x:row r="60">
      <x:c r="A60" s="23" t="s">
        <x:v>55</x:v>
      </x:c>
      <x:c r="B60" s="23" t="s">
        <x:v>60</x:v>
      </x:c>
      <x:c r="C60" s="23" t="s">
        <x:v>11</x:v>
      </x:c>
      <x:c r="D60" s="23" t="s">
        <x:v>124</x:v>
      </x:c>
      <x:c r="E60" s="23" t="s">
        <x:v>186</x:v>
      </x:c>
      <x:c r="F60" s="23">
        <x:v>29</x:v>
      </x:c>
      <x:c r="G60" s="23">
        <x:v>7</x:v>
      </x:c>
      <x:c r="H60" s="23">
        <x:v>1</x:v>
      </x:c>
      <x:c r="I60" s="23">
        <x:v>10907</x:v>
      </x:c>
      <x:c r="J60" s="23">
        <x:v>151</x:v>
      </x:c>
      <x:c r="K60" s="23">
        <x:v>770</x:v>
      </x:c>
      <x:c r="L60" s="23" t="s">
        <x:v>307</x:v>
      </x:c>
      <x:c r="M60" s="23">
        <x:f t="shared" si="0"/>
        <x:v>733</x:v>
      </x:c>
      <x:c r="N60" s="24" t="str">
        <x:f t="array" ref="N60">INDEX('MATCH INFO'!O:O, INT((ROW()-2)/10)+2 + 124)</x:f>
        <x:v>260703_CR_FLC_S3</x:v>
      </x:c>
    </x:row>
    <x:row r="61">
      <x:c r="A61" s="23" t="s">
        <x:v>55</x:v>
      </x:c>
      <x:c r="B61" s="23" t="s">
        <x:v>62</x:v>
      </x:c>
      <x:c r="C61" s="23" t="s">
        <x:v>16</x:v>
      </x:c>
      <x:c r="D61" s="23" t="s">
        <x:v>124</x:v>
      </x:c>
      <x:c r="E61" s="23" t="s">
        <x:v>186</x:v>
      </x:c>
      <x:c r="F61" s="23">
        <x:v>20</x:v>
      </x:c>
      <x:c r="G61" s="23">
        <x:v>5</x:v>
      </x:c>
      <x:c r="H61" s="23">
        <x:v>25</x:v>
      </x:c>
      <x:c r="I61" s="23">
        <x:v>6555</x:v>
      </x:c>
      <x:c r="J61" s="23">
        <x:v>10092</x:v>
      </x:c>
      <x:c r="K61" s="23">
        <x:v>0</x:v>
      </x:c>
      <x:c r="L61" s="23" t="s">
        <x:v>307</x:v>
      </x:c>
      <x:c r="M61" s="23">
        <x:f t="shared" si="0"/>
        <x:v>733</x:v>
      </x:c>
      <x:c r="N61" s="24" t="str">
        <x:f t="array" ref="N61">INDEX('MATCH INFO'!O:O, INT((ROW()-2)/10)+2 + 124)</x:f>
        <x:v>260703_CR_FLC_S3</x:v>
      </x:c>
    </x:row>
    <x:row r="62">
      <x:c r="A62" s="23" t="s">
        <x:v>55</x:v>
      </x:c>
      <x:c r="B62" s="23" t="s">
        <x:v>61</x:v>
      </x:c>
      <x:c r="C62" s="23" t="s">
        <x:v>16</x:v>
      </x:c>
      <x:c r="D62" s="23" t="s">
        <x:v>119</x:v>
      </x:c>
      <x:c r="E62" s="23" t="s">
        <x:v>191</x:v>
      </x:c>
      <x:c r="F62" s="23">
        <x:v>25</x:v>
      </x:c>
      <x:c r="G62" s="23">
        <x:v>7</x:v>
      </x:c>
      <x:c r="H62" s="23">
        <x:v>23</x:v>
      </x:c>
      <x:c r="I62" s="23">
        <x:v>6340</x:v>
      </x:c>
      <x:c r="J62" s="23">
        <x:v>9113</x:v>
      </x:c>
      <x:c r="K62" s="23">
        <x:v>2202</x:v>
      </x:c>
      <x:c r="L62" s="23" t="s">
        <x:v>308</x:v>
      </x:c>
      <x:c r="M62" s="23">
        <x:f t="shared" si="0"/>
        <x:v>810.99999999999989</x:v>
      </x:c>
      <x:c r="N62" s="24" t="str">
        <x:f t="array" ref="N62">INDEX('MATCH INFO'!O:O, INT((ROW()-2)/10)+2 + 124)</x:f>
        <x:v>260703_CR_FLC_S4</x:v>
      </x:c>
    </x:row>
    <x:row r="63">
      <x:c r="A63" s="23" t="s">
        <x:v>55</x:v>
      </x:c>
      <x:c r="B63" s="23" t="s">
        <x:v>58</x:v>
      </x:c>
      <x:c r="C63" s="23" t="s">
        <x:v>11</x:v>
      </x:c>
      <x:c r="D63" s="23" t="s">
        <x:v>119</x:v>
      </x:c>
      <x:c r="E63" s="23" t="s">
        <x:v>191</x:v>
      </x:c>
      <x:c r="F63" s="23">
        <x:v>24</x:v>
      </x:c>
      <x:c r="G63" s="23">
        <x:v>6</x:v>
      </x:c>
      <x:c r="H63" s="23">
        <x:v>5</x:v>
      </x:c>
      <x:c r="I63" s="23">
        <x:v>14030</x:v>
      </x:c>
      <x:c r="J63" s="23">
        <x:v>536</x:v>
      </x:c>
      <x:c r="K63" s="23">
        <x:v>1726</x:v>
      </x:c>
      <x:c r="L63" s="23" t="s">
        <x:v>308</x:v>
      </x:c>
      <x:c r="M63" s="23">
        <x:f t="shared" si="0"/>
        <x:v>810.99999999999989</x:v>
      </x:c>
      <x:c r="N63" s="24" t="str">
        <x:f t="array" ref="N63">INDEX('MATCH INFO'!O:O, INT((ROW()-2)/10)+2 + 124)</x:f>
        <x:v>260703_CR_FLC_S4</x:v>
      </x:c>
    </x:row>
    <x:row r="64">
      <x:c r="A64" s="23" t="s">
        <x:v>55</x:v>
      </x:c>
      <x:c r="B64" s="23" t="s">
        <x:v>57</x:v>
      </x:c>
      <x:c r="C64" s="23" t="s">
        <x:v>8</x:v>
      </x:c>
      <x:c r="D64" s="23" t="s">
        <x:v>119</x:v>
      </x:c>
      <x:c r="E64" s="23" t="s">
        <x:v>191</x:v>
      </x:c>
      <x:c r="F64" s="23">
        <x:v>23</x:v>
      </x:c>
      <x:c r="G64" s="23">
        <x:v>6</x:v>
      </x:c>
      <x:c r="H64" s="23">
        <x:v>9</x:v>
      </x:c>
      <x:c r="I64" s="23">
        <x:v>12022</x:v>
      </x:c>
      <x:c r="J64" s="23">
        <x:v>352</x:v>
      </x:c>
      <x:c r="K64" s="23">
        <x:v>24743</x:v>
      </x:c>
      <x:c r="L64" s="23" t="s">
        <x:v>308</x:v>
      </x:c>
      <x:c r="M64" s="23">
        <x:f t="shared" si="0"/>
        <x:v>810.99999999999989</x:v>
      </x:c>
      <x:c r="N64" s="24" t="str">
        <x:f t="array" ref="N64">INDEX('MATCH INFO'!O:O, INT((ROW()-2)/10)+2 + 124)</x:f>
        <x:v>260703_CR_FLC_S4</x:v>
      </x:c>
    </x:row>
    <x:row r="65">
      <x:c r="A65" s="23" t="s">
        <x:v>55</x:v>
      </x:c>
      <x:c r="B65" s="23" t="s">
        <x:v>60</x:v>
      </x:c>
      <x:c r="C65" s="23" t="s">
        <x:v>11</x:v>
      </x:c>
      <x:c r="D65" s="23" t="s">
        <x:v>119</x:v>
      </x:c>
      <x:c r="E65" s="23" t="s">
        <x:v>191</x:v>
      </x:c>
      <x:c r="F65" s="23">
        <x:v>23</x:v>
      </x:c>
      <x:c r="G65" s="23">
        <x:v>7</x:v>
      </x:c>
      <x:c r="H65" s="23">
        <x:v>1</x:v>
      </x:c>
      <x:c r="I65" s="23">
        <x:v>12461</x:v>
      </x:c>
      <x:c r="J65" s="23">
        <x:v>1213</x:v>
      </x:c>
      <x:c r="K65" s="23">
        <x:v>4503</x:v>
      </x:c>
      <x:c r="L65" s="23" t="s">
        <x:v>308</x:v>
      </x:c>
      <x:c r="M65" s="23">
        <x:f t="shared" si="0"/>
        <x:v>810.99999999999989</x:v>
      </x:c>
      <x:c r="N65" s="24" t="str">
        <x:f t="array" ref="N65">INDEX('MATCH INFO'!O:O, INT((ROW()-2)/10)+2 + 124)</x:f>
        <x:v>260703_CR_FLC_S4</x:v>
      </x:c>
    </x:row>
    <x:row r="66">
      <x:c r="A66" s="23" t="s">
        <x:v>55</x:v>
      </x:c>
      <x:c r="B66" s="23" t="s">
        <x:v>62</x:v>
      </x:c>
      <x:c r="C66" s="23" t="s">
        <x:v>16</x:v>
      </x:c>
      <x:c r="D66" s="23" t="s">
        <x:v>119</x:v>
      </x:c>
      <x:c r="E66" s="23" t="s">
        <x:v>191</x:v>
      </x:c>
      <x:c r="F66" s="23">
        <x:v>15</x:v>
      </x:c>
      <x:c r="G66" s="23">
        <x:v>3</x:v>
      </x:c>
      <x:c r="H66" s="23">
        <x:v>28</x:v>
      </x:c>
      <x:c r="I66" s="23">
        <x:v>4999</x:v>
      </x:c>
      <x:c r="J66" s="23">
        <x:v>22366</x:v>
      </x:c>
      <x:c r="K66" s="23">
        <x:v>328</x:v>
      </x:c>
      <x:c r="L66" s="23" t="s">
        <x:v>308</x:v>
      </x:c>
      <x:c r="M66" s="23" t="e">
        <x:f t="shared" ref="M66:M129" si="1">L66*86400</x:f>
        <x:v>#VALUE!</x:v>
      </x:c>
      <x:c r="N66" s="24" t="str">
        <x:f t="array" ref="N66">INDEX('MATCH INFO'!O:O, INT((ROW()-2)/10)+2 + 124)</x:f>
        <x:v>260703_CR_FLC_S4</x:v>
      </x:c>
    </x:row>
    <x:row r="67">
      <x:c r="A67" s="23" t="s">
        <x:v>72</x:v>
      </x:c>
      <x:c r="B67" s="23" t="s">
        <x:v>76</x:v>
      </x:c>
      <x:c r="C67" s="23" t="s">
        <x:v>11</x:v>
      </x:c>
      <x:c r="D67" s="23" t="s">
        <x:v>119</x:v>
      </x:c>
      <x:c r="E67" s="23" t="s">
        <x:v>191</x:v>
      </x:c>
      <x:c r="F67" s="23">
        <x:v>16</x:v>
      </x:c>
      <x:c r="G67" s="23">
        <x:v>8</x:v>
      </x:c>
      <x:c r="H67" s="23">
        <x:v>6</x:v>
      </x:c>
      <x:c r="I67" s="23">
        <x:v>12364</x:v>
      </x:c>
      <x:c r="J67" s="23">
        <x:v>883</x:v>
      </x:c>
      <x:c r="K67" s="23">
        <x:v>5767</x:v>
      </x:c>
      <x:c r="L67" s="23" t="s">
        <x:v>308</x:v>
      </x:c>
      <x:c r="M67" s="23">
        <x:f t="shared" si="1"/>
        <x:v>810.99999999999989</x:v>
      </x:c>
      <x:c r="N67" s="24" t="str">
        <x:f t="array" ref="N67">INDEX('MATCH INFO'!O:O, INT((ROW()-2)/10)+2 + 124)</x:f>
        <x:v>260703_CR_FLC_S4</x:v>
      </x:c>
    </x:row>
    <x:row r="68">
      <x:c r="A68" s="23" t="s">
        <x:v>72</x:v>
      </x:c>
      <x:c r="B68" s="23" t="s">
        <x:v>78</x:v>
      </x:c>
      <x:c r="C68" s="23" t="s">
        <x:v>16</x:v>
      </x:c>
      <x:c r="D68" s="23" t="s">
        <x:v>119</x:v>
      </x:c>
      <x:c r="E68" s="23" t="s">
        <x:v>191</x:v>
      </x:c>
      <x:c r="F68" s="23">
        <x:v>14</x:v>
      </x:c>
      <x:c r="G68" s="23">
        <x:v>7</x:v>
      </x:c>
      <x:c r="H68" s="23">
        <x:v>17</x:v>
      </x:c>
      <x:c r="I68" s="23">
        <x:v>7905</x:v>
      </x:c>
      <x:c r="J68" s="23">
        <x:v>9283</x:v>
      </x:c>
      <x:c r="K68" s="23">
        <x:v>1336</x:v>
      </x:c>
      <x:c r="L68" s="23" t="s">
        <x:v>308</x:v>
      </x:c>
      <x:c r="M68" s="23">
        <x:f t="shared" si="1"/>
        <x:v>810.99999999999989</x:v>
      </x:c>
      <x:c r="N68" s="24" t="str">
        <x:f t="array" ref="N68">INDEX('MATCH INFO'!O:O, INT((ROW()-2)/10)+2 + 124)</x:f>
        <x:v>260703_CR_FLC_S4</x:v>
      </x:c>
    </x:row>
    <x:row r="69">
      <x:c r="A69" s="23" t="s">
        <x:v>72</x:v>
      </x:c>
      <x:c r="B69" s="23" t="s">
        <x:v>79</x:v>
      </x:c>
      <x:c r="C69" s="23" t="s">
        <x:v>16</x:v>
      </x:c>
      <x:c r="D69" s="23" t="s">
        <x:v>119</x:v>
      </x:c>
      <x:c r="E69" s="23" t="s">
        <x:v>191</x:v>
      </x:c>
      <x:c r="F69" s="23">
        <x:v>11</x:v>
      </x:c>
      <x:c r="G69" s="23">
        <x:v>8</x:v>
      </x:c>
      <x:c r="H69" s="23">
        <x:v>17</x:v>
      </x:c>
      <x:c r="I69" s="23">
        <x:v>5299</x:v>
      </x:c>
      <x:c r="J69" s="23">
        <x:v>17512</x:v>
      </x:c>
      <x:c r="K69" s="23">
        <x:v>0</x:v>
      </x:c>
      <x:c r="L69" s="23" t="s">
        <x:v>308</x:v>
      </x:c>
      <x:c r="M69" s="23">
        <x:f t="shared" si="1"/>
        <x:v>810.99999999999989</x:v>
      </x:c>
      <x:c r="N69" s="24" t="str">
        <x:f t="array" ref="N69">INDEX('MATCH INFO'!O:O, INT((ROW()-2)/10)+2 + 124)</x:f>
        <x:v>260703_CR_FLC_S4</x:v>
      </x:c>
    </x:row>
    <x:row r="70">
      <x:c r="A70" s="23" t="s">
        <x:v>72</x:v>
      </x:c>
      <x:c r="B70" s="23" t="s">
        <x:v>73</x:v>
      </x:c>
      <x:c r="C70" s="23" t="s">
        <x:v>8</x:v>
      </x:c>
      <x:c r="D70" s="23" t="s">
        <x:v>119</x:v>
      </x:c>
      <x:c r="E70" s="23" t="s">
        <x:v>191</x:v>
      </x:c>
      <x:c r="F70" s="23">
        <x:v>20</x:v>
      </x:c>
      <x:c r="G70" s="23">
        <x:v>8</x:v>
      </x:c>
      <x:c r="H70" s="23">
        <x:v>5</x:v>
      </x:c>
      <x:c r="I70" s="23">
        <x:v>13718</x:v>
      </x:c>
      <x:c r="J70" s="23">
        <x:v>275</x:v>
      </x:c>
      <x:c r="K70" s="23">
        <x:v>20811</x:v>
      </x:c>
      <x:c r="L70" s="23" t="s">
        <x:v>308</x:v>
      </x:c>
      <x:c r="M70" s="23">
        <x:f t="shared" si="1"/>
        <x:v>810.99999999999989</x:v>
      </x:c>
      <x:c r="N70" s="24" t="str">
        <x:f t="array" ref="N70">INDEX('MATCH INFO'!O:O, INT((ROW()-2)/10)+2 + 124)</x:f>
        <x:v>260703_CR_FLC_S4</x:v>
      </x:c>
    </x:row>
    <x:row r="71">
      <x:c r="A71" s="23" t="s">
        <x:v>72</x:v>
      </x:c>
      <x:c r="B71" s="23" t="s">
        <x:v>75</x:v>
      </x:c>
      <x:c r="C71" s="23" t="s">
        <x:v>11</x:v>
      </x:c>
      <x:c r="D71" s="23" t="s">
        <x:v>119</x:v>
      </x:c>
      <x:c r="E71" s="23" t="s">
        <x:v>191</x:v>
      </x:c>
      <x:c r="F71" s="23">
        <x:v>18</x:v>
      </x:c>
      <x:c r="G71" s="23">
        <x:v>9</x:v>
      </x:c>
      <x:c r="H71" s="23">
        <x:v>2</x:v>
      </x:c>
      <x:c r="I71" s="23">
        <x:v>11012</x:v>
      </x:c>
      <x:c r="J71" s="23">
        <x:v>372</x:v>
      </x:c>
      <x:c r="K71" s="23">
        <x:v>1016</x:v>
      </x:c>
      <x:c r="L71" s="23" t="s">
        <x:v>308</x:v>
      </x:c>
      <x:c r="M71" s="23">
        <x:f t="shared" si="1"/>
        <x:v>810.99999999999989</x:v>
      </x:c>
      <x:c r="N71" s="24" t="str">
        <x:f t="array" ref="N71">INDEX('MATCH INFO'!O:O, INT((ROW()-2)/10)+2 + 124)</x:f>
        <x:v>260703_CR_FLC_S4</x:v>
      </x:c>
    </x:row>
    <x:row r="72">
      <x:c r="A72" s="23" t="s">
        <x:v>63</x:v>
      </x:c>
      <x:c r="B72" s="23" t="s">
        <x:v>69</x:v>
      </x:c>
      <x:c r="C72" s="23" t="s">
        <x:v>16</x:v>
      </x:c>
      <x:c r="D72" s="23" t="s">
        <x:v>164</x:v>
      </x:c>
      <x:c r="E72" s="23" t="s">
        <x:v>184</x:v>
      </x:c>
      <x:c r="F72" s="23">
        <x:v>31</x:v>
      </x:c>
      <x:c r="G72" s="23">
        <x:v>11</x:v>
      </x:c>
      <x:c r="H72" s="23">
        <x:v>26</x:v>
      </x:c>
      <x:c r="I72" s="23">
        <x:v>6525</x:v>
      </x:c>
      <x:c r="J72" s="23">
        <x:v>12518</x:v>
      </x:c>
      <x:c r="K72" s="23">
        <x:v>0</x:v>
      </x:c>
      <x:c r="L72" s="23" t="s">
        <x:v>309</x:v>
      </x:c>
      <x:c r="M72" s="23">
        <x:f t="shared" si="1"/>
        <x:v>758.99999999999989</x:v>
      </x:c>
      <x:c r="N72" s="24" t="str">
        <x:f t="array" ref="N72">INDEX('MATCH INFO'!O:O, INT((ROW()-2)/10)+2 + 124)</x:f>
        <x:v>260703_ZETA_T1_S1</x:v>
      </x:c>
    </x:row>
    <x:row r="73">
      <x:c r="A73" s="23" t="s">
        <x:v>63</x:v>
      </x:c>
      <x:c r="B73" s="23" t="s">
        <x:v>64</x:v>
      </x:c>
      <x:c r="C73" s="23" t="s">
        <x:v>8</x:v>
      </x:c>
      <x:c r="D73" s="23" t="s">
        <x:v>164</x:v>
      </x:c>
      <x:c r="E73" s="23" t="s">
        <x:v>184</x:v>
      </x:c>
      <x:c r="F73" s="23">
        <x:v>33</x:v>
      </x:c>
      <x:c r="G73" s="23">
        <x:v>7</x:v>
      </x:c>
      <x:c r="H73" s="23">
        <x:v>17</x:v>
      </x:c>
      <x:c r="I73" s="23">
        <x:v>20322</x:v>
      </x:c>
      <x:c r="J73" s="23">
        <x:v>5222</x:v>
      </x:c>
      <x:c r="K73" s="23">
        <x:v>8509</x:v>
      </x:c>
      <x:c r="L73" s="23" t="s">
        <x:v>309</x:v>
      </x:c>
      <x:c r="M73" s="23">
        <x:f t="shared" si="1"/>
        <x:v>758.99999999999989</x:v>
      </x:c>
      <x:c r="N73" s="24" t="str">
        <x:f t="array" ref="N73">INDEX('MATCH INFO'!O:O, INT((ROW()-2)/10)+2 + 124)</x:f>
        <x:v>260703_ZETA_T1_S1</x:v>
      </x:c>
    </x:row>
    <x:row r="74">
      <x:c r="A74" s="23" t="s">
        <x:v>63</x:v>
      </x:c>
      <x:c r="B74" s="23" t="s">
        <x:v>67</x:v>
      </x:c>
      <x:c r="C74" s="23" t="s">
        <x:v>11</x:v>
      </x:c>
      <x:c r="D74" s="23" t="s">
        <x:v>164</x:v>
      </x:c>
      <x:c r="E74" s="23" t="s">
        <x:v>184</x:v>
      </x:c>
      <x:c r="F74" s="23">
        <x:v>23</x:v>
      </x:c>
      <x:c r="G74" s="23">
        <x:v>12</x:v>
      </x:c>
      <x:c r="H74" s="23">
        <x:v>5</x:v>
      </x:c>
      <x:c r="I74" s="23">
        <x:v>15008</x:v>
      </x:c>
      <x:c r="J74" s="23">
        <x:v>0</x:v>
      </x:c>
      <x:c r="K74" s="23">
        <x:v>701</x:v>
      </x:c>
      <x:c r="L74" s="23" t="s">
        <x:v>309</x:v>
      </x:c>
      <x:c r="M74" s="23">
        <x:f t="shared" si="1"/>
        <x:v>758.99999999999989</x:v>
      </x:c>
      <x:c r="N74" s="24" t="str">
        <x:f t="array" ref="N74">INDEX('MATCH INFO'!O:O, INT((ROW()-2)/10)+2 + 124)</x:f>
        <x:v>260703_ZETA_T1_S1</x:v>
      </x:c>
    </x:row>
    <x:row r="75">
      <x:c r="A75" s="23" t="s">
        <x:v>63</x:v>
      </x:c>
      <x:c r="B75" s="23" t="s">
        <x:v>70</x:v>
      </x:c>
      <x:c r="C75" s="23" t="s">
        <x:v>16</x:v>
      </x:c>
      <x:c r="D75" s="23" t="s">
        <x:v>164</x:v>
      </x:c>
      <x:c r="E75" s="23" t="s">
        <x:v>184</x:v>
      </x:c>
      <x:c r="F75" s="23">
        <x:v>15</x:v>
      </x:c>
      <x:c r="G75" s="23">
        <x:v>8</x:v>
      </x:c>
      <x:c r="H75" s="23">
        <x:v>38</x:v>
      </x:c>
      <x:c r="I75" s="23">
        <x:v>7174</x:v>
      </x:c>
      <x:c r="J75" s="23">
        <x:v>16969</x:v>
      </x:c>
      <x:c r="K75" s="23">
        <x:v>0</x:v>
      </x:c>
      <x:c r="L75" s="23" t="s">
        <x:v>309</x:v>
      </x:c>
      <x:c r="M75" s="23">
        <x:f t="shared" si="1"/>
        <x:v>758.99999999999989</x:v>
      </x:c>
      <x:c r="N75" s="24" t="str">
        <x:f t="array" ref="N75">INDEX('MATCH INFO'!O:O, INT((ROW()-2)/10)+2 + 124)</x:f>
        <x:v>260703_ZETA_T1_S1</x:v>
      </x:c>
    </x:row>
    <x:row r="76">
      <x:c r="A76" s="23" t="s">
        <x:v>63</x:v>
      </x:c>
      <x:c r="B76" s="23" t="s">
        <x:v>66</x:v>
      </x:c>
      <x:c r="C76" s="23" t="s">
        <x:v>11</x:v>
      </x:c>
      <x:c r="D76" s="23" t="s">
        <x:v>164</x:v>
      </x:c>
      <x:c r="E76" s="23" t="s">
        <x:v>184</x:v>
      </x:c>
      <x:c r="F76" s="23">
        <x:v>30</x:v>
      </x:c>
      <x:c r="G76" s="23">
        <x:v>9</x:v>
      </x:c>
      <x:c r="H76" s="23">
        <x:v>0</x:v>
      </x:c>
      <x:c r="I76" s="23">
        <x:v>15141</x:v>
      </x:c>
      <x:c r="J76" s="23">
        <x:v>2636</x:v>
      </x:c>
      <x:c r="K76" s="23">
        <x:v>0</x:v>
      </x:c>
      <x:c r="L76" s="23" t="s">
        <x:v>309</x:v>
      </x:c>
      <x:c r="M76" s="23">
        <x:f t="shared" si="1"/>
        <x:v>758.99999999999989</x:v>
      </x:c>
      <x:c r="N76" s="24" t="str">
        <x:f t="array" ref="N76">INDEX('MATCH INFO'!O:O, INT((ROW()-2)/10)+2 + 124)</x:f>
        <x:v>260703_ZETA_T1_S1</x:v>
      </x:c>
    </x:row>
    <x:row r="77">
      <x:c r="A77" s="23" t="s">
        <x:v>47</x:v>
      </x:c>
      <x:c r="B77" s="23" t="s">
        <x:v>49</x:v>
      </x:c>
      <x:c r="C77" s="23" t="s">
        <x:v>8</x:v>
      </x:c>
      <x:c r="D77" s="23" t="s">
        <x:v>164</x:v>
      </x:c>
      <x:c r="E77" s="23" t="s">
        <x:v>184</x:v>
      </x:c>
      <x:c r="F77" s="23">
        <x:v>33</x:v>
      </x:c>
      <x:c r="G77" s="23">
        <x:v>10</x:v>
      </x:c>
      <x:c r="H77" s="23">
        <x:v>26</x:v>
      </x:c>
      <x:c r="I77" s="23">
        <x:v>19278</x:v>
      </x:c>
      <x:c r="J77" s="23">
        <x:v>5035</x:v>
      </x:c>
      <x:c r="K77" s="23">
        <x:v>9145</x:v>
      </x:c>
      <x:c r="L77" s="23" t="s">
        <x:v>309</x:v>
      </x:c>
      <x:c r="M77" s="23">
        <x:f t="shared" si="1"/>
        <x:v>758.99999999999989</x:v>
      </x:c>
      <x:c r="N77" s="24" t="str">
        <x:f t="array" ref="N77">INDEX('MATCH INFO'!O:O, INT((ROW()-2)/10)+2 + 124)</x:f>
        <x:v>260703_ZETA_T1_S1</x:v>
      </x:c>
    </x:row>
    <x:row r="78">
      <x:c r="A78" s="23" t="s">
        <x:v>47</x:v>
      </x:c>
      <x:c r="B78" s="23" t="s">
        <x:v>51</x:v>
      </x:c>
      <x:c r="C78" s="23" t="s">
        <x:v>11</x:v>
      </x:c>
      <x:c r="D78" s="23" t="s">
        <x:v>164</x:v>
      </x:c>
      <x:c r="E78" s="23" t="s">
        <x:v>184</x:v>
      </x:c>
      <x:c r="F78" s="23">
        <x:v>33</x:v>
      </x:c>
      <x:c r="G78" s="23">
        <x:v>10</x:v>
      </x:c>
      <x:c r="H78" s="23">
        <x:v>0</x:v>
      </x:c>
      <x:c r="I78" s="23">
        <x:v>15469</x:v>
      </x:c>
      <x:c r="J78" s="23">
        <x:v>2597</x:v>
      </x:c>
      <x:c r="K78" s="23">
        <x:v>0</x:v>
      </x:c>
      <x:c r="L78" s="23" t="s">
        <x:v>309</x:v>
      </x:c>
      <x:c r="M78" s="23">
        <x:f t="shared" si="1"/>
        <x:v>758.99999999999989</x:v>
      </x:c>
      <x:c r="N78" s="24" t="str">
        <x:f t="array" ref="N78">INDEX('MATCH INFO'!O:O, INT((ROW()-2)/10)+2 + 124)</x:f>
        <x:v>260703_ZETA_T1_S1</x:v>
      </x:c>
    </x:row>
    <x:row r="79">
      <x:c r="A79" s="23" t="s">
        <x:v>47</x:v>
      </x:c>
      <x:c r="B79" s="23" t="s">
        <x:v>50</x:v>
      </x:c>
      <x:c r="C79" s="23" t="s">
        <x:v>11</x:v>
      </x:c>
      <x:c r="D79" s="23" t="s">
        <x:v>164</x:v>
      </x:c>
      <x:c r="E79" s="23" t="s">
        <x:v>184</x:v>
      </x:c>
      <x:c r="F79" s="23">
        <x:v>25</x:v>
      </x:c>
      <x:c r="G79" s="23">
        <x:v>10</x:v>
      </x:c>
      <x:c r="H79" s="23">
        <x:v>7</x:v>
      </x:c>
      <x:c r="I79" s="23">
        <x:v>14749</x:v>
      </x:c>
      <x:c r="J79" s="23">
        <x:v>90</x:v>
      </x:c>
      <x:c r="K79" s="23">
        <x:v>955</x:v>
      </x:c>
      <x:c r="L79" s="23" t="s">
        <x:v>309</x:v>
      </x:c>
      <x:c r="M79" s="23">
        <x:f t="shared" si="1"/>
        <x:v>758.99999999999989</x:v>
      </x:c>
      <x:c r="N79" s="24" t="str">
        <x:f t="array" ref="N79">INDEX('MATCH INFO'!O:O, INT((ROW()-2)/10)+2 + 124)</x:f>
        <x:v>260703_ZETA_T1_S1</x:v>
      </x:c>
    </x:row>
    <x:row r="80">
      <x:c r="A80" s="23" t="s">
        <x:v>47</x:v>
      </x:c>
      <x:c r="B80" s="23" t="s">
        <x:v>53</x:v>
      </x:c>
      <x:c r="C80" s="23" t="s">
        <x:v>16</x:v>
      </x:c>
      <x:c r="D80" s="23" t="s">
        <x:v>164</x:v>
      </x:c>
      <x:c r="E80" s="23" t="s">
        <x:v>184</x:v>
      </x:c>
      <x:c r="F80" s="23">
        <x:v>15</x:v>
      </x:c>
      <x:c r="G80" s="23">
        <x:v>10</x:v>
      </x:c>
      <x:c r="H80" s="23">
        <x:v>33</x:v>
      </x:c>
      <x:c r="I80" s="23">
        <x:v>4964</x:v>
      </x:c>
      <x:c r="J80" s="23">
        <x:v>15982</x:v>
      </x:c>
      <x:c r="K80" s="23">
        <x:v>0</x:v>
      </x:c>
      <x:c r="L80" s="23" t="s">
        <x:v>309</x:v>
      </x:c>
      <x:c r="M80" s="23">
        <x:f t="shared" si="1"/>
        <x:v>758.99999999999989</x:v>
      </x:c>
      <x:c r="N80" s="24" t="str">
        <x:f t="array" ref="N80">INDEX('MATCH INFO'!O:O, INT((ROW()-2)/10)+2 + 124)</x:f>
        <x:v>260703_ZETA_T1_S1</x:v>
      </x:c>
    </x:row>
    <x:row r="81">
      <x:c r="A81" s="23" t="s">
        <x:v>47</x:v>
      </x:c>
      <x:c r="B81" s="23" t="s">
        <x:v>52</x:v>
      </x:c>
      <x:c r="C81" s="23" t="s">
        <x:v>16</x:v>
      </x:c>
      <x:c r="D81" s="23" t="s">
        <x:v>164</x:v>
      </x:c>
      <x:c r="E81" s="23" t="s">
        <x:v>184</x:v>
      </x:c>
      <x:c r="F81" s="23">
        <x:v>28</x:v>
      </x:c>
      <x:c r="G81" s="23">
        <x:v>9</x:v>
      </x:c>
      <x:c r="H81" s="23">
        <x:v>24</x:v>
      </x:c>
      <x:c r="I81" s="23">
        <x:v>7986</x:v>
      </x:c>
      <x:c r="J81" s="23">
        <x:v>12261</x:v>
      </x:c>
      <x:c r="K81" s="23">
        <x:v>0</x:v>
      </x:c>
      <x:c r="L81" s="23" t="s">
        <x:v>309</x:v>
      </x:c>
      <x:c r="M81" s="23">
        <x:f t="shared" si="1"/>
        <x:v>758.99999999999989</x:v>
      </x:c>
      <x:c r="N81" s="24" t="str">
        <x:f t="array" ref="N81">INDEX('MATCH INFO'!O:O, INT((ROW()-2)/10)+2 + 124)</x:f>
        <x:v>260703_ZETA_T1_S1</x:v>
      </x:c>
    </x:row>
    <x:row r="82">
      <x:c r="A82" s="23" t="s">
        <x:v>63</x:v>
      </x:c>
      <x:c r="B82" s="23" t="s">
        <x:v>69</x:v>
      </x:c>
      <x:c r="C82" s="23" t="s">
        <x:v>16</x:v>
      </x:c>
      <x:c r="D82" s="23" t="s">
        <x:v>124</x:v>
      </x:c>
      <x:c r="E82" s="23" t="s">
        <x:v>186</x:v>
      </x:c>
      <x:c r="F82" s="23">
        <x:v>28</x:v>
      </x:c>
      <x:c r="G82" s="23">
        <x:v>13</x:v>
      </x:c>
      <x:c r="H82" s="23">
        <x:v>35</x:v>
      </x:c>
      <x:c r="I82" s="23">
        <x:v>6343</x:v>
      </x:c>
      <x:c r="J82" s="23">
        <x:v>9946</x:v>
      </x:c>
      <x:c r="K82" s="23">
        <x:v>3889</x:v>
      </x:c>
      <x:c r="L82" s="23" t="s">
        <x:v>310</x:v>
      </x:c>
      <x:c r="M82" s="23">
        <x:f t="shared" si="1"/>
        <x:v>858</x:v>
      </x:c>
      <x:c r="N82" s="24" t="str">
        <x:f t="array" ref="N82">INDEX('MATCH INFO'!O:O, INT((ROW()-2)/10)+2 + 124)</x:f>
        <x:v>260703_ZETA_T1_S2</x:v>
      </x:c>
    </x:row>
    <x:row r="83">
      <x:c r="A83" s="23" t="s">
        <x:v>63</x:v>
      </x:c>
      <x:c r="B83" s="23" t="s">
        <x:v>64</x:v>
      </x:c>
      <x:c r="C83" s="23" t="s">
        <x:v>8</x:v>
      </x:c>
      <x:c r="D83" s="23" t="s">
        <x:v>124</x:v>
      </x:c>
      <x:c r="E83" s="23" t="s">
        <x:v>186</x:v>
      </x:c>
      <x:c r="F83" s="23">
        <x:v>43</x:v>
      </x:c>
      <x:c r="G83" s="23">
        <x:v>12</x:v>
      </x:c>
      <x:c r="H83" s="23">
        <x:v>32</x:v>
      </x:c>
      <x:c r="I83" s="23">
        <x:v>20698</x:v>
      </x:c>
      <x:c r="J83" s="23">
        <x:v>5900</x:v>
      </x:c>
      <x:c r="K83" s="23">
        <x:v>11163</x:v>
      </x:c>
      <x:c r="L83" s="23" t="s">
        <x:v>310</x:v>
      </x:c>
      <x:c r="M83" s="23">
        <x:f t="shared" si="1"/>
        <x:v>858</x:v>
      </x:c>
      <x:c r="N83" s="24" t="str">
        <x:f t="array" ref="N83">INDEX('MATCH INFO'!O:O, INT((ROW()-2)/10)+2 + 124)</x:f>
        <x:v>260703_ZETA_T1_S2</x:v>
      </x:c>
    </x:row>
    <x:row r="84">
      <x:c r="A84" s="23" t="s">
        <x:v>63</x:v>
      </x:c>
      <x:c r="B84" s="23" t="s">
        <x:v>67</x:v>
      </x:c>
      <x:c r="C84" s="23" t="s">
        <x:v>11</x:v>
      </x:c>
      <x:c r="D84" s="23" t="s">
        <x:v>124</x:v>
      </x:c>
      <x:c r="E84" s="23" t="s">
        <x:v>186</x:v>
      </x:c>
      <x:c r="F84" s="23">
        <x:v>43</x:v>
      </x:c>
      <x:c r="G84" s="23">
        <x:v>12</x:v>
      </x:c>
      <x:c r="H84" s="23">
        <x:v>5</x:v>
      </x:c>
      <x:c r="I84" s="23">
        <x:v>16689</x:v>
      </x:c>
      <x:c r="J84" s="23">
        <x:v>35</x:v>
      </x:c>
      <x:c r="K84" s="23">
        <x:v>565</x:v>
      </x:c>
      <x:c r="L84" s="23" t="s">
        <x:v>310</x:v>
      </x:c>
      <x:c r="M84" s="23">
        <x:f t="shared" si="1"/>
        <x:v>858</x:v>
      </x:c>
      <x:c r="N84" s="24" t="str">
        <x:f t="array" ref="N84">INDEX('MATCH INFO'!O:O, INT((ROW()-2)/10)+2 + 124)</x:f>
        <x:v>260703_ZETA_T1_S2</x:v>
      </x:c>
    </x:row>
    <x:row r="85">
      <x:c r="A85" s="23" t="s">
        <x:v>63</x:v>
      </x:c>
      <x:c r="B85" s="23" t="s">
        <x:v>70</x:v>
      </x:c>
      <x:c r="C85" s="23" t="s">
        <x:v>16</x:v>
      </x:c>
      <x:c r="D85" s="23" t="s">
        <x:v>124</x:v>
      </x:c>
      <x:c r="E85" s="23" t="s">
        <x:v>186</x:v>
      </x:c>
      <x:c r="F85" s="23">
        <x:v>27</x:v>
      </x:c>
      <x:c r="G85" s="23">
        <x:v>9</x:v>
      </x:c>
      <x:c r="H85" s="23">
        <x:v>43</x:v>
      </x:c>
      <x:c r="I85" s="23">
        <x:v>8746</x:v>
      </x:c>
      <x:c r="J85" s="23">
        <x:v>19386</x:v>
      </x:c>
      <x:c r="K85" s="23">
        <x:v>0</x:v>
      </x:c>
      <x:c r="L85" s="23" t="s">
        <x:v>310</x:v>
      </x:c>
      <x:c r="M85" s="23">
        <x:f t="shared" si="1"/>
        <x:v>858</x:v>
      </x:c>
      <x:c r="N85" s="24" t="str">
        <x:f t="array" ref="N85">INDEX('MATCH INFO'!O:O, INT((ROW()-2)/10)+2 + 124)</x:f>
        <x:v>260703_ZETA_T1_S2</x:v>
      </x:c>
    </x:row>
    <x:row r="86">
      <x:c r="A86" s="23" t="s">
        <x:v>63</x:v>
      </x:c>
      <x:c r="B86" s="23" t="s">
        <x:v>66</x:v>
      </x:c>
      <x:c r="C86" s="23" t="s">
        <x:v>11</x:v>
      </x:c>
      <x:c r="D86" s="23" t="s">
        <x:v>124</x:v>
      </x:c>
      <x:c r="E86" s="23" t="s">
        <x:v>186</x:v>
      </x:c>
      <x:c r="F86" s="23">
        <x:v>42</x:v>
      </x:c>
      <x:c r="G86" s="23">
        <x:v>12</x:v>
      </x:c>
      <x:c r="H86" s="23">
        <x:v>0</x:v>
      </x:c>
      <x:c r="I86" s="23">
        <x:v>15618</x:v>
      </x:c>
      <x:c r="J86" s="23">
        <x:v>2469</x:v>
      </x:c>
      <x:c r="K86" s="23">
        <x:v>0</x:v>
      </x:c>
      <x:c r="L86" s="23" t="s">
        <x:v>310</x:v>
      </x:c>
      <x:c r="M86" s="23">
        <x:f t="shared" si="1"/>
        <x:v>858</x:v>
      </x:c>
      <x:c r="N86" s="24" t="str">
        <x:f t="array" ref="N86">INDEX('MATCH INFO'!O:O, INT((ROW()-2)/10)+2 + 124)</x:f>
        <x:v>260703_ZETA_T1_S2</x:v>
      </x:c>
    </x:row>
    <x:row r="87">
      <x:c r="A87" s="23" t="s">
        <x:v>47</x:v>
      </x:c>
      <x:c r="B87" s="23" t="s">
        <x:v>49</x:v>
      </x:c>
      <x:c r="C87" s="23" t="s">
        <x:v>8</x:v>
      </x:c>
      <x:c r="D87" s="23" t="s">
        <x:v>124</x:v>
      </x:c>
      <x:c r="E87" s="23" t="s">
        <x:v>186</x:v>
      </x:c>
      <x:c r="F87" s="23">
        <x:v>44</x:v>
      </x:c>
      <x:c r="G87" s="23">
        <x:v>12</x:v>
      </x:c>
      <x:c r="H87" s="23">
        <x:v>31</x:v>
      </x:c>
      <x:c r="I87" s="23">
        <x:v>19575</x:v>
      </x:c>
      <x:c r="J87" s="23">
        <x:v>5463</x:v>
      </x:c>
      <x:c r="K87" s="23">
        <x:v>12012</x:v>
      </x:c>
      <x:c r="L87" s="23" t="s">
        <x:v>310</x:v>
      </x:c>
      <x:c r="M87" s="23">
        <x:f t="shared" si="1"/>
        <x:v>858</x:v>
      </x:c>
      <x:c r="N87" s="24" t="str">
        <x:f t="array" ref="N87">INDEX('MATCH INFO'!O:O, INT((ROW()-2)/10)+2 + 124)</x:f>
        <x:v>260703_ZETA_T1_S2</x:v>
      </x:c>
    </x:row>
    <x:row r="88">
      <x:c r="A88" s="23" t="s">
        <x:v>47</x:v>
      </x:c>
      <x:c r="B88" s="23" t="s">
        <x:v>51</x:v>
      </x:c>
      <x:c r="C88" s="23" t="s">
        <x:v>11</x:v>
      </x:c>
      <x:c r="D88" s="23" t="s">
        <x:v>124</x:v>
      </x:c>
      <x:c r="E88" s="23" t="s">
        <x:v>186</x:v>
      </x:c>
      <x:c r="F88" s="23">
        <x:v>42</x:v>
      </x:c>
      <x:c r="G88" s="23">
        <x:v>11</x:v>
      </x:c>
      <x:c r="H88" s="23">
        <x:v>0</x:v>
      </x:c>
      <x:c r="I88" s="23">
        <x:v>17586</x:v>
      </x:c>
      <x:c r="J88" s="23">
        <x:v>2491</x:v>
      </x:c>
      <x:c r="K88" s="23">
        <x:v>0</x:v>
      </x:c>
      <x:c r="L88" s="23" t="s">
        <x:v>310</x:v>
      </x:c>
      <x:c r="M88" s="23">
        <x:f t="shared" si="1"/>
        <x:v>858</x:v>
      </x:c>
      <x:c r="N88" s="24" t="str">
        <x:f t="array" ref="N88">INDEX('MATCH INFO'!O:O, INT((ROW()-2)/10)+2 + 124)</x:f>
        <x:v>260703_ZETA_T1_S2</x:v>
      </x:c>
    </x:row>
    <x:row r="89">
      <x:c r="A89" s="23" t="s">
        <x:v>47</x:v>
      </x:c>
      <x:c r="B89" s="23" t="s">
        <x:v>50</x:v>
      </x:c>
      <x:c r="C89" s="23" t="s">
        <x:v>11</x:v>
      </x:c>
      <x:c r="D89" s="23" t="s">
        <x:v>124</x:v>
      </x:c>
      <x:c r="E89" s="23" t="s">
        <x:v>186</x:v>
      </x:c>
      <x:c r="F89" s="23">
        <x:v>37</x:v>
      </x:c>
      <x:c r="G89" s="23">
        <x:v>13</x:v>
      </x:c>
      <x:c r="H89" s="23">
        <x:v>3</x:v>
      </x:c>
      <x:c r="I89" s="23">
        <x:v>17049</x:v>
      </x:c>
      <x:c r="J89" s="23">
        <x:v>75</x:v>
      </x:c>
      <x:c r="K89" s="23">
        <x:v>981</x:v>
      </x:c>
      <x:c r="L89" s="23" t="s">
        <x:v>310</x:v>
      </x:c>
      <x:c r="M89" s="23">
        <x:f t="shared" si="1"/>
        <x:v>858</x:v>
      </x:c>
      <x:c r="N89" s="24" t="str">
        <x:f t="array" ref="N89">INDEX('MATCH INFO'!O:O, INT((ROW()-2)/10)+2 + 124)</x:f>
        <x:v>260703_ZETA_T1_S2</x:v>
      </x:c>
    </x:row>
    <x:row r="90">
      <x:c r="A90" s="23" t="s">
        <x:v>47</x:v>
      </x:c>
      <x:c r="B90" s="23" t="s">
        <x:v>53</x:v>
      </x:c>
      <x:c r="C90" s="23" t="s">
        <x:v>16</x:v>
      </x:c>
      <x:c r="D90" s="23" t="s">
        <x:v>124</x:v>
      </x:c>
      <x:c r="E90" s="23" t="s">
        <x:v>186</x:v>
      </x:c>
      <x:c r="F90" s="23">
        <x:v>27</x:v>
      </x:c>
      <x:c r="G90" s="23">
        <x:v>15</x:v>
      </x:c>
      <x:c r="H90" s="23">
        <x:v>46</x:v>
      </x:c>
      <x:c r="I90" s="23">
        <x:v>7467</x:v>
      </x:c>
      <x:c r="J90" s="23">
        <x:v>15115</x:v>
      </x:c>
      <x:c r="K90" s="23">
        <x:v>0</x:v>
      </x:c>
      <x:c r="L90" s="23" t="s">
        <x:v>310</x:v>
      </x:c>
      <x:c r="M90" s="23">
        <x:f t="shared" si="1"/>
        <x:v>858</x:v>
      </x:c>
      <x:c r="N90" s="24" t="str">
        <x:f t="array" ref="N90">INDEX('MATCH INFO'!O:O, INT((ROW()-2)/10)+2 + 124)</x:f>
        <x:v>260703_ZETA_T1_S2</x:v>
      </x:c>
    </x:row>
    <x:row r="91">
      <x:c r="A91" s="23" t="s">
        <x:v>47</x:v>
      </x:c>
      <x:c r="B91" s="23" t="s">
        <x:v>52</x:v>
      </x:c>
      <x:c r="C91" s="23" t="s">
        <x:v>16</x:v>
      </x:c>
      <x:c r="D91" s="23" t="s">
        <x:v>124</x:v>
      </x:c>
      <x:c r="E91" s="23" t="s">
        <x:v>186</x:v>
      </x:c>
      <x:c r="F91" s="23">
        <x:v>35</x:v>
      </x:c>
      <x:c r="G91" s="23">
        <x:v>12</x:v>
      </x:c>
      <x:c r="H91" s="23">
        <x:v>38</x:v>
      </x:c>
      <x:c r="I91" s="23">
        <x:v>9309</x:v>
      </x:c>
      <x:c r="J91" s="23">
        <x:v>11807</x:v>
      </x:c>
      <x:c r="K91" s="23">
        <x:v>3211</x:v>
      </x:c>
      <x:c r="L91" s="23" t="s">
        <x:v>310</x:v>
      </x:c>
      <x:c r="M91" s="23">
        <x:f t="shared" si="1"/>
        <x:v>858</x:v>
      </x:c>
      <x:c r="N91" s="24" t="str">
        <x:f t="array" ref="N91">INDEX('MATCH INFO'!O:O, INT((ROW()-2)/10)+2 + 124)</x:f>
        <x:v>260703_ZETA_T1_S2</x:v>
      </x:c>
    </x:row>
    <x:row r="92">
      <x:c r="A92" s="23" t="s">
        <x:v>63</x:v>
      </x:c>
      <x:c r="B92" s="23" t="s">
        <x:v>69</x:v>
      </x:c>
      <x:c r="C92" s="23" t="s">
        <x:v>16</x:v>
      </x:c>
      <x:c r="D92" s="23" t="s">
        <x:v>145</x:v>
      </x:c>
      <x:c r="E92" s="23" t="s">
        <x:v>195</x:v>
      </x:c>
      <x:c r="F92" s="23">
        <x:v>28</x:v>
      </x:c>
      <x:c r="G92" s="23">
        <x:v>7</x:v>
      </x:c>
      <x:c r="H92" s="23">
        <x:v>41</x:v>
      </x:c>
      <x:c r="I92" s="23">
        <x:v>8677</x:v>
      </x:c>
      <x:c r="J92" s="23">
        <x:v>16568</x:v>
      </x:c>
      <x:c r="K92" s="23">
        <x:v>3690</x:v>
      </x:c>
      <x:c r="L92" s="23" t="s">
        <x:v>311</x:v>
      </x:c>
      <x:c r="M92" s="23">
        <x:f t="shared" si="1"/>
        <x:v>860</x:v>
      </x:c>
      <x:c r="N92" s="24" t="str">
        <x:f t="array" ref="N92">INDEX('MATCH INFO'!O:O, INT((ROW()-2)/10)+2 + 124)</x:f>
        <x:v>260703_ZETA_T1_S3</x:v>
      </x:c>
    </x:row>
    <x:row r="93">
      <x:c r="A93" s="23" t="s">
        <x:v>63</x:v>
      </x:c>
      <x:c r="B93" s="23" t="s">
        <x:v>65</x:v>
      </x:c>
      <x:c r="C93" s="23" t="s">
        <x:v>8</x:v>
      </x:c>
      <x:c r="D93" s="23" t="s">
        <x:v>145</x:v>
      </x:c>
      <x:c r="E93" s="23" t="s">
        <x:v>195</x:v>
      </x:c>
      <x:c r="F93" s="23">
        <x:v>36</x:v>
      </x:c>
      <x:c r="G93" s="23">
        <x:v>6</x:v>
      </x:c>
      <x:c r="H93" s="23">
        <x:v>4</x:v>
      </x:c>
      <x:c r="I93" s="23">
        <x:v>16019</x:v>
      </x:c>
      <x:c r="J93" s="23">
        <x:v>0</x:v>
      </x:c>
      <x:c r="K93" s="23">
        <x:v>25934</x:v>
      </x:c>
      <x:c r="L93" s="23" t="s">
        <x:v>311</x:v>
      </x:c>
      <x:c r="M93" s="23">
        <x:f t="shared" si="1"/>
        <x:v>860</x:v>
      </x:c>
      <x:c r="N93" s="24" t="str">
        <x:f t="array" ref="N93">INDEX('MATCH INFO'!O:O, INT((ROW()-2)/10)+2 + 124)</x:f>
        <x:v>260703_ZETA_T1_S3</x:v>
      </x:c>
    </x:row>
    <x:row r="94">
      <x:c r="A94" s="23" t="s">
        <x:v>63</x:v>
      </x:c>
      <x:c r="B94" s="23" t="s">
        <x:v>67</x:v>
      </x:c>
      <x:c r="C94" s="23" t="s">
        <x:v>11</x:v>
      </x:c>
      <x:c r="D94" s="23" t="s">
        <x:v>145</x:v>
      </x:c>
      <x:c r="E94" s="23" t="s">
        <x:v>195</x:v>
      </x:c>
      <x:c r="F94" s="23">
        <x:v>46</x:v>
      </x:c>
      <x:c r="G94" s="23">
        <x:v>9</x:v>
      </x:c>
      <x:c r="H94" s="23">
        <x:v>11</x:v>
      </x:c>
      <x:c r="I94" s="23">
        <x:v>13363</x:v>
      </x:c>
      <x:c r="J94" s="23">
        <x:v>984</x:v>
      </x:c>
      <x:c r="K94" s="23">
        <x:v>6350</x:v>
      </x:c>
      <x:c r="L94" s="23" t="s">
        <x:v>311</x:v>
      </x:c>
      <x:c r="M94" s="23">
        <x:f t="shared" si="1"/>
        <x:v>860</x:v>
      </x:c>
      <x:c r="N94" s="24" t="str">
        <x:f t="array" ref="N94">INDEX('MATCH INFO'!O:O, INT((ROW()-2)/10)+2 + 124)</x:f>
        <x:v>260703_ZETA_T1_S3</x:v>
      </x:c>
    </x:row>
    <x:row r="95">
      <x:c r="A95" s="23" t="s">
        <x:v>63</x:v>
      </x:c>
      <x:c r="B95" s="23" t="s">
        <x:v>70</x:v>
      </x:c>
      <x:c r="C95" s="23" t="s">
        <x:v>16</x:v>
      </x:c>
      <x:c r="D95" s="23" t="s">
        <x:v>145</x:v>
      </x:c>
      <x:c r="E95" s="23" t="s">
        <x:v>195</x:v>
      </x:c>
      <x:c r="F95" s="23">
        <x:v>33</x:v>
      </x:c>
      <x:c r="G95" s="23">
        <x:v>5</x:v>
      </x:c>
      <x:c r="H95" s="23">
        <x:v>27</x:v>
      </x:c>
      <x:c r="I95" s="23">
        <x:v>6971</x:v>
      </x:c>
      <x:c r="J95" s="23">
        <x:v>15336</x:v>
      </x:c>
      <x:c r="K95" s="23">
        <x:v>0</x:v>
      </x:c>
      <x:c r="L95" s="23" t="s">
        <x:v>311</x:v>
      </x:c>
      <x:c r="M95" s="23">
        <x:f t="shared" si="1"/>
        <x:v>860</x:v>
      </x:c>
      <x:c r="N95" s="24" t="str">
        <x:f t="array" ref="N95">INDEX('MATCH INFO'!O:O, INT((ROW()-2)/10)+2 + 124)</x:f>
        <x:v>260703_ZETA_T1_S3</x:v>
      </x:c>
    </x:row>
    <x:row r="96">
      <x:c r="A96" s="23" t="s">
        <x:v>63</x:v>
      </x:c>
      <x:c r="B96" s="23" t="s">
        <x:v>66</x:v>
      </x:c>
      <x:c r="C96" s="23" t="s">
        <x:v>11</x:v>
      </x:c>
      <x:c r="D96" s="23" t="s">
        <x:v>145</x:v>
      </x:c>
      <x:c r="E96" s="23" t="s">
        <x:v>195</x:v>
      </x:c>
      <x:c r="F96" s="23">
        <x:v>38</x:v>
      </x:c>
      <x:c r="G96" s="23">
        <x:v>7</x:v>
      </x:c>
      <x:c r="H96" s="23">
        <x:v>13</x:v>
      </x:c>
      <x:c r="I96" s="23">
        <x:v>12350</x:v>
      </x:c>
      <x:c r="J96" s="23">
        <x:v>2322</x:v>
      </x:c>
      <x:c r="K96" s="23">
        <x:v>7323</x:v>
      </x:c>
      <x:c r="L96" s="23" t="s">
        <x:v>311</x:v>
      </x:c>
      <x:c r="M96" s="23">
        <x:f t="shared" si="1"/>
        <x:v>860</x:v>
      </x:c>
      <x:c r="N96" s="24" t="str">
        <x:f t="array" ref="N96">INDEX('MATCH INFO'!O:O, INT((ROW()-2)/10)+2 + 124)</x:f>
        <x:v>260703_ZETA_T1_S3</x:v>
      </x:c>
    </x:row>
    <x:row r="97">
      <x:c r="A97" s="23" t="s">
        <x:v>47</x:v>
      </x:c>
      <x:c r="B97" s="23" t="s">
        <x:v>49</x:v>
      </x:c>
      <x:c r="C97" s="23" t="s">
        <x:v>8</x:v>
      </x:c>
      <x:c r="D97" s="23" t="s">
        <x:v>145</x:v>
      </x:c>
      <x:c r="E97" s="23" t="s">
        <x:v>195</x:v>
      </x:c>
      <x:c r="F97" s="23">
        <x:v>21</x:v>
      </x:c>
      <x:c r="G97" s="23">
        <x:v>14</x:v>
      </x:c>
      <x:c r="H97" s="23">
        <x:v>7</x:v>
      </x:c>
      <x:c r="I97" s="23">
        <x:v>14808</x:v>
      </x:c>
      <x:c r="J97" s="23">
        <x:v>0</x:v>
      </x:c>
      <x:c r="K97" s="23">
        <x:v>25631</x:v>
      </x:c>
      <x:c r="L97" s="23" t="s">
        <x:v>311</x:v>
      </x:c>
      <x:c r="M97" s="23">
        <x:f t="shared" si="1"/>
        <x:v>860</x:v>
      </x:c>
      <x:c r="N97" s="24" t="str">
        <x:f t="array" ref="N97">INDEX('MATCH INFO'!O:O, INT((ROW()-2)/10)+2 + 124)</x:f>
        <x:v>260703_ZETA_T1_S3</x:v>
      </x:c>
    </x:row>
    <x:row r="98">
      <x:c r="A98" s="23" t="s">
        <x:v>47</x:v>
      </x:c>
      <x:c r="B98" s="23" t="s">
        <x:v>51</x:v>
      </x:c>
      <x:c r="C98" s="23" t="s">
        <x:v>11</x:v>
      </x:c>
      <x:c r="D98" s="23" t="s">
        <x:v>145</x:v>
      </x:c>
      <x:c r="E98" s="23" t="s">
        <x:v>195</x:v>
      </x:c>
      <x:c r="F98" s="23">
        <x:v>18</x:v>
      </x:c>
      <x:c r="G98" s="23">
        <x:v>12</x:v>
      </x:c>
      <x:c r="H98" s="23">
        <x:v>7</x:v>
      </x:c>
      <x:c r="I98" s="23">
        <x:v>11139</x:v>
      </x:c>
      <x:c r="J98" s="23">
        <x:v>1020</x:v>
      </x:c>
      <x:c r="K98" s="23">
        <x:v>5449</x:v>
      </x:c>
      <x:c r="L98" s="23" t="s">
        <x:v>311</x:v>
      </x:c>
      <x:c r="M98" s="23">
        <x:f t="shared" si="1"/>
        <x:v>860</x:v>
      </x:c>
      <x:c r="N98" s="24" t="str">
        <x:f t="array" ref="N98">INDEX('MATCH INFO'!O:O, INT((ROW()-2)/10)+2 + 124)</x:f>
        <x:v>260703_ZETA_T1_S3</x:v>
      </x:c>
    </x:row>
    <x:row r="99">
      <x:c r="A99" s="23" t="s">
        <x:v>47</x:v>
      </x:c>
      <x:c r="B99" s="23" t="s">
        <x:v>50</x:v>
      </x:c>
      <x:c r="C99" s="23" t="s">
        <x:v>11</x:v>
      </x:c>
      <x:c r="D99" s="23" t="s">
        <x:v>145</x:v>
      </x:c>
      <x:c r="E99" s="23" t="s">
        <x:v>195</x:v>
      </x:c>
      <x:c r="F99" s="23">
        <x:v>25</x:v>
      </x:c>
      <x:c r="G99" s="23">
        <x:v>12</x:v>
      </x:c>
      <x:c r="H99" s="23">
        <x:v>11</x:v>
      </x:c>
      <x:c r="I99" s="23">
        <x:v>12019</x:v>
      </x:c>
      <x:c r="J99" s="23">
        <x:v>2016</x:v>
      </x:c>
      <x:c r="K99" s="23">
        <x:v>7339</x:v>
      </x:c>
      <x:c r="L99" s="23" t="s">
        <x:v>311</x:v>
      </x:c>
      <x:c r="M99" s="23">
        <x:f t="shared" si="1"/>
        <x:v>860</x:v>
      </x:c>
      <x:c r="N99" s="24" t="str">
        <x:f t="array" ref="N99">INDEX('MATCH INFO'!O:O, INT((ROW()-2)/10)+2 + 124)</x:f>
        <x:v>260703_ZETA_T1_S3</x:v>
      </x:c>
    </x:row>
    <x:row r="100">
      <x:c r="A100" s="23" t="s">
        <x:v>47</x:v>
      </x:c>
      <x:c r="B100" s="23" t="s">
        <x:v>53</x:v>
      </x:c>
      <x:c r="C100" s="23" t="s">
        <x:v>16</x:v>
      </x:c>
      <x:c r="D100" s="23" t="s">
        <x:v>145</x:v>
      </x:c>
      <x:c r="E100" s="23" t="s">
        <x:v>195</x:v>
      </x:c>
      <x:c r="F100" s="23">
        <x:v>19</x:v>
      </x:c>
      <x:c r="G100" s="23">
        <x:v>12</x:v>
      </x:c>
      <x:c r="H100" s="23">
        <x:v>19</x:v>
      </x:c>
      <x:c r="I100" s="23">
        <x:v>7783</x:v>
      </x:c>
      <x:c r="J100" s="23">
        <x:v>14287</x:v>
      </x:c>
      <x:c r="K100" s="23">
        <x:v>3314</x:v>
      </x:c>
      <x:c r="L100" s="23" t="s">
        <x:v>311</x:v>
      </x:c>
      <x:c r="M100" s="23">
        <x:f t="shared" si="1"/>
        <x:v>860</x:v>
      </x:c>
      <x:c r="N100" s="24" t="str">
        <x:f t="array" ref="N100">INDEX('MATCH INFO'!O:O, INT((ROW()-2)/10)+2 + 124)</x:f>
        <x:v>260703_ZETA_T1_S3</x:v>
      </x:c>
    </x:row>
    <x:row r="101">
      <x:c r="A101" s="23" t="s">
        <x:v>47</x:v>
      </x:c>
      <x:c r="B101" s="23" t="s">
        <x:v>52</x:v>
      </x:c>
      <x:c r="C101" s="23" t="s">
        <x:v>16</x:v>
      </x:c>
      <x:c r="D101" s="23" t="s">
        <x:v>145</x:v>
      </x:c>
      <x:c r="E101" s="23" t="s">
        <x:v>195</x:v>
      </x:c>
      <x:c r="F101" s="23">
        <x:v>19</x:v>
      </x:c>
      <x:c r="G101" s="23">
        <x:v>11</x:v>
      </x:c>
      <x:c r="H101" s="23">
        <x:v>21</x:v>
      </x:c>
      <x:c r="I101" s="23">
        <x:v>5458</x:v>
      </x:c>
      <x:c r="J101" s="23">
        <x:v>14039</x:v>
      </x:c>
      <x:c r="K101" s="23">
        <x:v>0</x:v>
      </x:c>
      <x:c r="L101" s="23" t="s">
        <x:v>311</x:v>
      </x:c>
      <x:c r="M101" s="23">
        <x:f t="shared" si="1"/>
        <x:v>860</x:v>
      </x:c>
      <x:c r="N101" s="24" t="str">
        <x:f t="array" ref="N101">INDEX('MATCH INFO'!O:O, INT((ROW()-2)/10)+2 + 124)</x:f>
        <x:v>260703_ZETA_T1_S3</x:v>
      </x:c>
    </x:row>
    <x:row r="102">
      <x:c r="A102" s="23" t="s">
        <x:v>31</x:v>
      </x:c>
      <x:c r="B102" s="23" t="s">
        <x:v>34</x:v>
      </x:c>
      <x:c r="C102" s="23" t="s">
        <x:v>11</x:v>
      </x:c>
      <x:c r="D102" s="23" t="s">
        <x:v>164</x:v>
      </x:c>
      <x:c r="E102" s="23" t="s">
        <x:v>184</x:v>
      </x:c>
      <x:c r="F102" s="23">
        <x:v>29</x:v>
      </x:c>
      <x:c r="G102" s="23">
        <x:v>4</x:v>
      </x:c>
      <x:c r="H102" s="23">
        <x:v>0</x:v>
      </x:c>
      <x:c r="I102" s="23">
        <x:v>11302</x:v>
      </x:c>
      <x:c r="J102" s="23">
        <x:v>1698</x:v>
      </x:c>
      <x:c r="K102" s="23">
        <x:v>0</x:v>
      </x:c>
      <x:c r="L102" s="23" t="s">
        <x:v>312</x:v>
      </x:c>
      <x:c r="M102" s="23">
        <x:f t="shared" si="1"/>
        <x:v>521</x:v>
      </x:c>
      <x:c r="N102" s="24" t="str">
        <x:f t="array" ref="N102">INDEX('MATCH INFO'!O:O, INT((ROW()-2)/10)+2 + 124)</x:f>
        <x:v>260704_CB_SB_S1</x:v>
      </x:c>
    </x:row>
    <x:row r="103">
      <x:c r="A103" s="23" t="s">
        <x:v>31</x:v>
      </x:c>
      <x:c r="B103" s="23" t="s">
        <x:v>33</x:v>
      </x:c>
      <x:c r="C103" s="23" t="s">
        <x:v>8</x:v>
      </x:c>
      <x:c r="D103" s="23" t="s">
        <x:v>164</x:v>
      </x:c>
      <x:c r="E103" s="23" t="s">
        <x:v>184</x:v>
      </x:c>
      <x:c r="F103" s="23">
        <x:v>27</x:v>
      </x:c>
      <x:c r="G103" s="23">
        <x:v>4</x:v>
      </x:c>
      <x:c r="H103" s="23">
        <x:v>19</x:v>
      </x:c>
      <x:c r="I103" s="23">
        <x:v>12112</x:v>
      </x:c>
      <x:c r="J103" s="23">
        <x:v>3757</x:v>
      </x:c>
      <x:c r="K103" s="23">
        <x:v>5500</x:v>
      </x:c>
      <x:c r="L103" s="23" t="s">
        <x:v>312</x:v>
      </x:c>
      <x:c r="M103" s="23">
        <x:f t="shared" si="1"/>
        <x:v>521</x:v>
      </x:c>
      <x:c r="N103" s="24" t="str">
        <x:f t="array" ref="N103">INDEX('MATCH INFO'!O:O, INT((ROW()-2)/10)+2 + 124)</x:f>
        <x:v>260704_CB_SB_S1</x:v>
      </x:c>
    </x:row>
    <x:row r="104">
      <x:c r="A104" s="23" t="s">
        <x:v>31</x:v>
      </x:c>
      <x:c r="B104" s="23" t="s">
        <x:v>35</x:v>
      </x:c>
      <x:c r="C104" s="23" t="s">
        <x:v>11</x:v>
      </x:c>
      <x:c r="D104" s="23" t="s">
        <x:v>164</x:v>
      </x:c>
      <x:c r="E104" s="23" t="s">
        <x:v>184</x:v>
      </x:c>
      <x:c r="F104" s="23">
        <x:v>24</x:v>
      </x:c>
      <x:c r="G104" s="23">
        <x:v>5</x:v>
      </x:c>
      <x:c r="H104" s="23">
        <x:v>1</x:v>
      </x:c>
      <x:c r="I104" s="23">
        <x:v>10085</x:v>
      </x:c>
      <x:c r="J104" s="23">
        <x:v>0</x:v>
      </x:c>
      <x:c r="K104" s="23">
        <x:v>562</x:v>
      </x:c>
      <x:c r="L104" s="23" t="s">
        <x:v>312</x:v>
      </x:c>
      <x:c r="M104" s="23">
        <x:f t="shared" si="1"/>
        <x:v>521</x:v>
      </x:c>
      <x:c r="N104" s="24" t="str">
        <x:f t="array" ref="N104">INDEX('MATCH INFO'!O:O, INT((ROW()-2)/10)+2 + 124)</x:f>
        <x:v>260704_CB_SB_S1</x:v>
      </x:c>
    </x:row>
    <x:row r="105">
      <x:c r="A105" s="23" t="s">
        <x:v>31</x:v>
      </x:c>
      <x:c r="B105" s="23" t="s">
        <x:v>36</x:v>
      </x:c>
      <x:c r="C105" s="23" t="s">
        <x:v>16</x:v>
      </x:c>
      <x:c r="D105" s="23" t="s">
        <x:v>164</x:v>
      </x:c>
      <x:c r="E105" s="23" t="s">
        <x:v>184</x:v>
      </x:c>
      <x:c r="F105" s="23">
        <x:v>26</x:v>
      </x:c>
      <x:c r="G105" s="23">
        <x:v>5</x:v>
      </x:c>
      <x:c r="H105" s="23">
        <x:v>12</x:v>
      </x:c>
      <x:c r="I105" s="23">
        <x:v>7385</x:v>
      </x:c>
      <x:c r="J105" s="23">
        <x:v>7296</x:v>
      </x:c>
      <x:c r="K105" s="23">
        <x:v>0</x:v>
      </x:c>
      <x:c r="L105" s="23" t="s">
        <x:v>312</x:v>
      </x:c>
      <x:c r="M105" s="23">
        <x:f t="shared" si="1"/>
        <x:v>521</x:v>
      </x:c>
      <x:c r="N105" s="24" t="str">
        <x:f t="array" ref="N105">INDEX('MATCH INFO'!O:O, INT((ROW()-2)/10)+2 + 124)</x:f>
        <x:v>260704_CB_SB_S1</x:v>
      </x:c>
    </x:row>
    <x:row r="106">
      <x:c r="A106" s="23" t="s">
        <x:v>31</x:v>
      </x:c>
      <x:c r="B106" s="23" t="s">
        <x:v>37</x:v>
      </x:c>
      <x:c r="C106" s="23" t="s">
        <x:v>16</x:v>
      </x:c>
      <x:c r="D106" s="23" t="s">
        <x:v>164</x:v>
      </x:c>
      <x:c r="E106" s="23" t="s">
        <x:v>184</x:v>
      </x:c>
      <x:c r="F106" s="23">
        <x:v>13</x:v>
      </x:c>
      <x:c r="G106" s="23">
        <x:v>6</x:v>
      </x:c>
      <x:c r="H106" s="23">
        <x:v>32</x:v>
      </x:c>
      <x:c r="I106" s="23">
        <x:v>4070</x:v>
      </x:c>
      <x:c r="J106" s="23">
        <x:v>12209</x:v>
      </x:c>
      <x:c r="K106" s="23">
        <x:v>0</x:v>
      </x:c>
      <x:c r="L106" s="23" t="s">
        <x:v>312</x:v>
      </x:c>
      <x:c r="M106" s="23">
        <x:f t="shared" si="1"/>
        <x:v>521</x:v>
      </x:c>
      <x:c r="N106" s="24" t="str">
        <x:f t="array" ref="N106">INDEX('MATCH INFO'!O:O, INT((ROW()-2)/10)+2 + 124)</x:f>
        <x:v>260704_CB_SB_S1</x:v>
      </x:c>
    </x:row>
    <x:row r="107">
      <x:c r="A107" s="23" t="s">
        <x:v>81</x:v>
      </x:c>
      <x:c r="B107" s="23" t="s">
        <x:v>84</x:v>
      </x:c>
      <x:c r="C107" s="23" t="s">
        <x:v>11</x:v>
      </x:c>
      <x:c r="D107" s="23" t="s">
        <x:v>164</x:v>
      </x:c>
      <x:c r="E107" s="23" t="s">
        <x:v>184</x:v>
      </x:c>
      <x:c r="F107" s="23">
        <x:v>20</x:v>
      </x:c>
      <x:c r="G107" s="23">
        <x:v>9</x:v>
      </x:c>
      <x:c r="H107" s="23">
        <x:v>0</x:v>
      </x:c>
      <x:c r="I107" s="23">
        <x:v>10826</x:v>
      </x:c>
      <x:c r="J107" s="23">
        <x:v>1688</x:v>
      </x:c>
      <x:c r="K107" s="23">
        <x:v>0</x:v>
      </x:c>
      <x:c r="L107" s="23" t="s">
        <x:v>312</x:v>
      </x:c>
      <x:c r="M107" s="23">
        <x:f t="shared" si="1"/>
        <x:v>521</x:v>
      </x:c>
      <x:c r="N107" s="24" t="str">
        <x:f t="array" ref="N107">INDEX('MATCH INFO'!O:O, INT((ROW()-2)/10)+2 + 124)</x:f>
        <x:v>260704_CB_SB_S1</x:v>
      </x:c>
    </x:row>
    <x:row r="108">
      <x:c r="A108" s="23" t="s">
        <x:v>81</x:v>
      </x:c>
      <x:c r="B108" s="23" t="s">
        <x:v>82</x:v>
      </x:c>
      <x:c r="C108" s="23" t="s">
        <x:v>8</x:v>
      </x:c>
      <x:c r="D108" s="23" t="s">
        <x:v>164</x:v>
      </x:c>
      <x:c r="E108" s="23" t="s">
        <x:v>184</x:v>
      </x:c>
      <x:c r="F108" s="23">
        <x:v>17</x:v>
      </x:c>
      <x:c r="G108" s="23">
        <x:v>8</x:v>
      </x:c>
      <x:c r="H108" s="23">
        <x:v>20</x:v>
      </x:c>
      <x:c r="I108" s="23">
        <x:v>11206</x:v>
      </x:c>
      <x:c r="J108" s="23">
        <x:v>2678</x:v>
      </x:c>
      <x:c r="K108" s="23">
        <x:v>6569</x:v>
      </x:c>
      <x:c r="L108" s="23" t="s">
        <x:v>312</x:v>
      </x:c>
      <x:c r="M108" s="23">
        <x:f t="shared" si="1"/>
        <x:v>521</x:v>
      </x:c>
      <x:c r="N108" s="24" t="str">
        <x:f t="array" ref="N108">INDEX('MATCH INFO'!O:O, INT((ROW()-2)/10)+2 + 124)</x:f>
        <x:v>260704_CB_SB_S1</x:v>
      </x:c>
    </x:row>
    <x:row r="109">
      <x:c r="A109" s="23" t="s">
        <x:v>81</x:v>
      </x:c>
      <x:c r="B109" s="23" t="s">
        <x:v>86</x:v>
      </x:c>
      <x:c r="C109" s="23" t="s">
        <x:v>16</x:v>
      </x:c>
      <x:c r="D109" s="23" t="s">
        <x:v>164</x:v>
      </x:c>
      <x:c r="E109" s="23" t="s">
        <x:v>184</x:v>
      </x:c>
      <x:c r="F109" s="23">
        <x:v>14</x:v>
      </x:c>
      <x:c r="G109" s="23">
        <x:v>7</x:v>
      </x:c>
      <x:c r="H109" s="23">
        <x:v>10</x:v>
      </x:c>
      <x:c r="I109" s="23">
        <x:v>5858</x:v>
      </x:c>
      <x:c r="J109" s="23">
        <x:v>8183</x:v>
      </x:c>
      <x:c r="K109" s="23">
        <x:v>0</x:v>
      </x:c>
      <x:c r="L109" s="23" t="s">
        <x:v>312</x:v>
      </x:c>
      <x:c r="M109" s="23">
        <x:f t="shared" si="1"/>
        <x:v>521</x:v>
      </x:c>
      <x:c r="N109" s="24" t="str">
        <x:f t="array" ref="N109">INDEX('MATCH INFO'!O:O, INT((ROW()-2)/10)+2 + 124)</x:f>
        <x:v>260704_CB_SB_S1</x:v>
      </x:c>
    </x:row>
    <x:row r="110">
      <x:c r="A110" s="23" t="s">
        <x:v>81</x:v>
      </x:c>
      <x:c r="B110" s="23" t="s">
        <x:v>85</x:v>
      </x:c>
      <x:c r="C110" s="23" t="s">
        <x:v>11</x:v>
      </x:c>
      <x:c r="D110" s="23" t="s">
        <x:v>164</x:v>
      </x:c>
      <x:c r="E110" s="23" t="s">
        <x:v>184</x:v>
      </x:c>
      <x:c r="F110" s="23">
        <x:v>10</x:v>
      </x:c>
      <x:c r="G110" s="23">
        <x:v>9</x:v>
      </x:c>
      <x:c r="H110" s="23">
        <x:v>4</x:v>
      </x:c>
      <x:c r="I110" s="23">
        <x:v>7689</x:v>
      </x:c>
      <x:c r="J110" s="23">
        <x:v>120</x:v>
      </x:c>
      <x:c r="K110" s="23">
        <x:v>482</x:v>
      </x:c>
      <x:c r="L110" s="23" t="s">
        <x:v>312</x:v>
      </x:c>
      <x:c r="M110" s="23">
        <x:f t="shared" si="1"/>
        <x:v>521</x:v>
      </x:c>
      <x:c r="N110" s="24" t="str">
        <x:f t="array" ref="N110">INDEX('MATCH INFO'!O:O, INT((ROW()-2)/10)+2 + 124)</x:f>
        <x:v>260704_CB_SB_S1</x:v>
      </x:c>
    </x:row>
    <x:row r="111">
      <x:c r="A111" s="23" t="s">
        <x:v>81</x:v>
      </x:c>
      <x:c r="B111" s="23" t="s">
        <x:v>88</x:v>
      </x:c>
      <x:c r="C111" s="23" t="s">
        <x:v>16</x:v>
      </x:c>
      <x:c r="D111" s="23" t="s">
        <x:v>164</x:v>
      </x:c>
      <x:c r="E111" s="23" t="s">
        <x:v>184</x:v>
      </x:c>
      <x:c r="F111" s="23">
        <x:v>9</x:v>
      </x:c>
      <x:c r="G111" s="23">
        <x:v>8</x:v>
      </x:c>
      <x:c r="H111" s="23">
        <x:v>14</x:v>
      </x:c>
      <x:c r="I111" s="23">
        <x:v>3680</x:v>
      </x:c>
      <x:c r="J111" s="23">
        <x:v>12059</x:v>
      </x:c>
      <x:c r="K111" s="23">
        <x:v>0</x:v>
      </x:c>
      <x:c r="L111" s="23" t="s">
        <x:v>312</x:v>
      </x:c>
      <x:c r="M111" s="23">
        <x:f t="shared" si="1"/>
        <x:v>521</x:v>
      </x:c>
      <x:c r="N111" s="24" t="str">
        <x:f t="array" ref="N111">INDEX('MATCH INFO'!O:O, INT((ROW()-2)/10)+2 + 124)</x:f>
        <x:v>260704_CB_SB_S1</x:v>
      </x:c>
    </x:row>
    <x:row r="112">
      <x:c r="A112" s="23" t="s">
        <x:v>81</x:v>
      </x:c>
      <x:c r="B112" s="23" t="s">
        <x:v>84</x:v>
      </x:c>
      <x:c r="C112" s="23" t="s">
        <x:v>11</x:v>
      </x:c>
      <x:c r="D112" s="23" t="s">
        <x:v>165</x:v>
      </x:c>
      <x:c r="E112" s="53" t="s">
        <x:v>186</x:v>
      </x:c>
      <x:c r="F112" s="23">
        <x:v>24</x:v>
      </x:c>
      <x:c r="G112" s="23">
        <x:v>13</x:v>
      </x:c>
      <x:c r="H112" s="23">
        <x:v>0</x:v>
      </x:c>
      <x:c r="I112" s="23">
        <x:v>16322</x:v>
      </x:c>
      <x:c r="J112" s="23">
        <x:v>2715</x:v>
      </x:c>
      <x:c r="K112" s="23">
        <x:v>0</x:v>
      </x:c>
      <x:c r="L112" s="23" t="s">
        <x:v>313</x:v>
      </x:c>
      <x:c r="M112" s="23">
        <x:f t="shared" si="1"/>
        <x:v>857</x:v>
      </x:c>
      <x:c r="N112" s="24" t="str">
        <x:f t="array" ref="N112">INDEX('MATCH INFO'!O:O, INT((ROW()-2)/10)+2 + 124)</x:f>
        <x:v>260704_CB_SB_S2</x:v>
      </x:c>
    </x:row>
    <x:row r="113">
      <x:c r="A113" s="23" t="s">
        <x:v>81</x:v>
      </x:c>
      <x:c r="B113" s="23" t="s">
        <x:v>82</x:v>
      </x:c>
      <x:c r="C113" s="23" t="s">
        <x:v>8</x:v>
      </x:c>
      <x:c r="D113" s="23" t="s">
        <x:v>165</x:v>
      </x:c>
      <x:c r="E113" s="53" t="s">
        <x:v>186</x:v>
      </x:c>
      <x:c r="F113" s="23">
        <x:v>24</x:v>
      </x:c>
      <x:c r="G113" s="23">
        <x:v>12</x:v>
      </x:c>
      <x:c r="H113" s="23">
        <x:v>13</x:v>
      </x:c>
      <x:c r="I113" s="23">
        <x:v>18664</x:v>
      </x:c>
      <x:c r="J113" s="23">
        <x:v>5209</x:v>
      </x:c>
      <x:c r="K113" s="23">
        <x:v>10148</x:v>
      </x:c>
      <x:c r="L113" s="23" t="s">
        <x:v>313</x:v>
      </x:c>
      <x:c r="M113" s="23">
        <x:f t="shared" si="1"/>
        <x:v>857</x:v>
      </x:c>
      <x:c r="N113" s="24" t="str">
        <x:f t="array" ref="N113">INDEX('MATCH INFO'!O:O, INT((ROW()-2)/10)+2 + 124)</x:f>
        <x:v>260704_CB_SB_S2</x:v>
      </x:c>
    </x:row>
    <x:row r="114">
      <x:c r="A114" s="23" t="s">
        <x:v>81</x:v>
      </x:c>
      <x:c r="B114" s="23" t="s">
        <x:v>86</x:v>
      </x:c>
      <x:c r="C114" s="23" t="s">
        <x:v>16</x:v>
      </x:c>
      <x:c r="D114" s="23" t="s">
        <x:v>165</x:v>
      </x:c>
      <x:c r="E114" s="53" t="s">
        <x:v>186</x:v>
      </x:c>
      <x:c r="F114" s="23">
        <x:v>18</x:v>
      </x:c>
      <x:c r="G114" s="23">
        <x:v>11</x:v>
      </x:c>
      <x:c r="H114" s="23">
        <x:v>15</x:v>
      </x:c>
      <x:c r="I114" s="23">
        <x:v>4522</x:v>
      </x:c>
      <x:c r="J114" s="23">
        <x:v>13498</x:v>
      </x:c>
      <x:c r="K114" s="23">
        <x:v>0</x:v>
      </x:c>
      <x:c r="L114" s="23" t="s">
        <x:v>313</x:v>
      </x:c>
      <x:c r="M114" s="23">
        <x:f t="shared" si="1"/>
        <x:v>857</x:v>
      </x:c>
      <x:c r="N114" s="24" t="str">
        <x:f t="array" ref="N114">INDEX('MATCH INFO'!O:O, INT((ROW()-2)/10)+2 + 124)</x:f>
        <x:v>260704_CB_SB_S2</x:v>
      </x:c>
    </x:row>
    <x:row r="115">
      <x:c r="A115" s="23" t="s">
        <x:v>81</x:v>
      </x:c>
      <x:c r="B115" s="23" t="s">
        <x:v>85</x:v>
      </x:c>
      <x:c r="C115" s="23" t="s">
        <x:v>11</x:v>
      </x:c>
      <x:c r="D115" s="23" t="s">
        <x:v>165</x:v>
      </x:c>
      <x:c r="E115" s="53" t="s">
        <x:v>186</x:v>
      </x:c>
      <x:c r="F115" s="23">
        <x:v>20</x:v>
      </x:c>
      <x:c r="G115" s="23">
        <x:v>14</x:v>
      </x:c>
      <x:c r="H115" s="23">
        <x:v>0</x:v>
      </x:c>
      <x:c r="I115" s="23">
        <x:v>13167</x:v>
      </x:c>
      <x:c r="J115" s="23">
        <x:v>0</x:v>
      </x:c>
      <x:c r="K115" s="23">
        <x:v>0</x:v>
      </x:c>
      <x:c r="L115" s="23" t="s">
        <x:v>313</x:v>
      </x:c>
      <x:c r="M115" s="23">
        <x:f t="shared" si="1"/>
        <x:v>857</x:v>
      </x:c>
      <x:c r="N115" s="24" t="str">
        <x:f t="array" ref="N115">INDEX('MATCH INFO'!O:O, INT((ROW()-2)/10)+2 + 124)</x:f>
        <x:v>260704_CB_SB_S2</x:v>
      </x:c>
    </x:row>
    <x:row r="116">
      <x:c r="A116" s="23" t="s">
        <x:v>81</x:v>
      </x:c>
      <x:c r="B116" s="23" t="s">
        <x:v>88</x:v>
      </x:c>
      <x:c r="C116" s="23" t="s">
        <x:v>16</x:v>
      </x:c>
      <x:c r="D116" s="23" t="s">
        <x:v>165</x:v>
      </x:c>
      <x:c r="E116" s="53" t="s">
        <x:v>186</x:v>
      </x:c>
      <x:c r="F116" s="23">
        <x:v>17</x:v>
      </x:c>
      <x:c r="G116" s="23">
        <x:v>11</x:v>
      </x:c>
      <x:c r="H116" s="23">
        <x:v>26</x:v>
      </x:c>
      <x:c r="I116" s="23">
        <x:v>6543</x:v>
      </x:c>
      <x:c r="J116" s="23">
        <x:v>17218</x:v>
      </x:c>
      <x:c r="K116" s="23">
        <x:v>0</x:v>
      </x:c>
      <x:c r="L116" s="23" t="s">
        <x:v>313</x:v>
      </x:c>
      <x:c r="M116" s="23">
        <x:f t="shared" si="1"/>
        <x:v>857</x:v>
      </x:c>
      <x:c r="N116" s="24" t="str">
        <x:f t="array" ref="N116">INDEX('MATCH INFO'!O:O, INT((ROW()-2)/10)+2 + 124)</x:f>
        <x:v>260704_CB_SB_S2</x:v>
      </x:c>
    </x:row>
    <x:row r="117">
      <x:c r="A117" s="23" t="s">
        <x:v>31</x:v>
      </x:c>
      <x:c r="B117" s="23" t="s">
        <x:v>34</x:v>
      </x:c>
      <x:c r="C117" s="23" t="s">
        <x:v>11</x:v>
      </x:c>
      <x:c r="D117" s="23" t="s">
        <x:v>165</x:v>
      </x:c>
      <x:c r="E117" s="53" t="s">
        <x:v>186</x:v>
      </x:c>
      <x:c r="F117" s="23">
        <x:v>44</x:v>
      </x:c>
      <x:c r="G117" s="23">
        <x:v>7</x:v>
      </x:c>
      <x:c r="H117" s="23">
        <x:v>0</x:v>
      </x:c>
      <x:c r="I117" s="23">
        <x:v>16883</x:v>
      </x:c>
      <x:c r="J117" s="23">
        <x:v>2366</x:v>
      </x:c>
      <x:c r="K117" s="23">
        <x:v>0</x:v>
      </x:c>
      <x:c r="L117" s="23" t="s">
        <x:v>313</x:v>
      </x:c>
      <x:c r="M117" s="23">
        <x:f t="shared" si="1"/>
        <x:v>857</x:v>
      </x:c>
      <x:c r="N117" s="24" t="str">
        <x:f t="array" ref="N117">INDEX('MATCH INFO'!O:O, INT((ROW()-2)/10)+2 + 124)</x:f>
        <x:v>260704_CB_SB_S2</x:v>
      </x:c>
    </x:row>
    <x:row r="118">
      <x:c r="A118" s="23" t="s">
        <x:v>31</x:v>
      </x:c>
      <x:c r="B118" s="23" t="s">
        <x:v>32</x:v>
      </x:c>
      <x:c r="C118" s="23" t="s">
        <x:v>8</x:v>
      </x:c>
      <x:c r="D118" s="23" t="s">
        <x:v>165</x:v>
      </x:c>
      <x:c r="E118" s="53" t="s">
        <x:v>186</x:v>
      </x:c>
      <x:c r="F118" s="23">
        <x:v>44</x:v>
      </x:c>
      <x:c r="G118" s="23">
        <x:v>8</x:v>
      </x:c>
      <x:c r="H118" s="23">
        <x:v>30</x:v>
      </x:c>
      <x:c r="I118" s="23">
        <x:v>20549</x:v>
      </x:c>
      <x:c r="J118" s="23">
        <x:v>5551</x:v>
      </x:c>
      <x:c r="K118" s="23">
        <x:v>11616</x:v>
      </x:c>
      <x:c r="L118" s="23" t="s">
        <x:v>313</x:v>
      </x:c>
      <x:c r="M118" s="23">
        <x:f t="shared" si="1"/>
        <x:v>857</x:v>
      </x:c>
      <x:c r="N118" s="24" t="str">
        <x:f t="array" ref="N118">INDEX('MATCH INFO'!O:O, INT((ROW()-2)/10)+2 + 124)</x:f>
        <x:v>260704_CB_SB_S2</x:v>
      </x:c>
    </x:row>
    <x:row r="119">
      <x:c r="A119" s="23" t="s">
        <x:v>31</x:v>
      </x:c>
      <x:c r="B119" s="23" t="s">
        <x:v>35</x:v>
      </x:c>
      <x:c r="C119" s="23" t="s">
        <x:v>11</x:v>
      </x:c>
      <x:c r="D119" s="23" t="s">
        <x:v>165</x:v>
      </x:c>
      <x:c r="E119" s="53" t="s">
        <x:v>186</x:v>
      </x:c>
      <x:c r="F119" s="23">
        <x:v>36</x:v>
      </x:c>
      <x:c r="G119" s="23">
        <x:v>8</x:v>
      </x:c>
      <x:c r="H119" s="23">
        <x:v>0</x:v>
      </x:c>
      <x:c r="I119" s="23">
        <x:v>12581</x:v>
      </x:c>
      <x:c r="J119" s="23">
        <x:v>0</x:v>
      </x:c>
      <x:c r="K119" s="23">
        <x:v>0</x:v>
      </x:c>
      <x:c r="L119" s="23" t="s">
        <x:v>313</x:v>
      </x:c>
      <x:c r="M119" s="23">
        <x:f t="shared" si="1"/>
        <x:v>857</x:v>
      </x:c>
      <x:c r="N119" s="24" t="str">
        <x:f t="array" ref="N119">INDEX('MATCH INFO'!O:O, INT((ROW()-2)/10)+2 + 124)</x:f>
        <x:v>260704_CB_SB_S2</x:v>
      </x:c>
    </x:row>
    <x:row r="120">
      <x:c r="A120" s="23" t="s">
        <x:v>31</x:v>
      </x:c>
      <x:c r="B120" s="23" t="s">
        <x:v>36</x:v>
      </x:c>
      <x:c r="C120" s="23" t="s">
        <x:v>16</x:v>
      </x:c>
      <x:c r="D120" s="23" t="s">
        <x:v>165</x:v>
      </x:c>
      <x:c r="E120" s="53" t="s">
        <x:v>186</x:v>
      </x:c>
      <x:c r="F120" s="23">
        <x:v>36</x:v>
      </x:c>
      <x:c r="G120" s="23">
        <x:v>5</x:v>
      </x:c>
      <x:c r="H120" s="23">
        <x:v>24</x:v>
      </x:c>
      <x:c r="I120" s="23">
        <x:v>9755</x:v>
      </x:c>
      <x:c r="J120" s="23">
        <x:v>10972</x:v>
      </x:c>
      <x:c r="K120" s="23">
        <x:v>0</x:v>
      </x:c>
      <x:c r="L120" s="23" t="s">
        <x:v>313</x:v>
      </x:c>
      <x:c r="M120" s="23">
        <x:f t="shared" si="1"/>
        <x:v>857</x:v>
      </x:c>
      <x:c r="N120" s="24" t="str">
        <x:f t="array" ref="N120">INDEX('MATCH INFO'!O:O, INT((ROW()-2)/10)+2 + 124)</x:f>
        <x:v>260704_CB_SB_S2</x:v>
      </x:c>
    </x:row>
    <x:row r="121">
      <x:c r="A121" s="23" t="s">
        <x:v>31</x:v>
      </x:c>
      <x:c r="B121" s="23" t="s">
        <x:v>37</x:v>
      </x:c>
      <x:c r="C121" s="23" t="s">
        <x:v>16</x:v>
      </x:c>
      <x:c r="D121" s="23" t="s">
        <x:v>165</x:v>
      </x:c>
      <x:c r="E121" s="53" t="s">
        <x:v>186</x:v>
      </x:c>
      <x:c r="F121" s="23">
        <x:v>22</x:v>
      </x:c>
      <x:c r="G121" s="23">
        <x:v>6</x:v>
      </x:c>
      <x:c r="H121" s="23">
        <x:v>45</x:v>
      </x:c>
      <x:c r="I121" s="23">
        <x:v>7581</x:v>
      </x:c>
      <x:c r="J121" s="23">
        <x:v>18944</x:v>
      </x:c>
      <x:c r="K121" s="23">
        <x:v>0</x:v>
      </x:c>
      <x:c r="L121" s="23" t="s">
        <x:v>313</x:v>
      </x:c>
      <x:c r="M121" s="23">
        <x:f t="shared" si="1"/>
        <x:v>857</x:v>
      </x:c>
      <x:c r="N121" s="24" t="str">
        <x:f t="array" ref="N121">INDEX('MATCH INFO'!O:O, INT((ROW()-2)/10)+2 + 124)</x:f>
        <x:v>260704_CB_SB_S2</x:v>
      </x:c>
    </x:row>
    <x:row r="122">
      <x:c r="A122" s="23" t="s">
        <x:v>81</x:v>
      </x:c>
      <x:c r="B122" s="23" t="s">
        <x:v>84</x:v>
      </x:c>
      <x:c r="C122" s="23" t="s">
        <x:v>11</x:v>
      </x:c>
      <x:c r="D122" s="23" t="s">
        <x:v>166</x:v>
      </x:c>
      <x:c r="E122" s="23" t="s">
        <x:v>191</x:v>
      </x:c>
      <x:c r="F122" s="23">
        <x:v>19</x:v>
      </x:c>
      <x:c r="G122" s="23">
        <x:v>13</x:v>
      </x:c>
      <x:c r="H122" s="23">
        <x:v>9</x:v>
      </x:c>
      <x:c r="I122" s="23">
        <x:v>11037</x:v>
      </x:c>
      <x:c r="J122" s="23">
        <x:v>1187</x:v>
      </x:c>
      <x:c r="K122" s="23">
        <x:v>2148</x:v>
      </x:c>
      <x:c r="L122" s="23" t="s">
        <x:v>314</x:v>
      </x:c>
      <x:c r="M122" s="23">
        <x:f t="shared" si="1"/>
        <x:v>838</x:v>
      </x:c>
      <x:c r="N122" s="24" t="str">
        <x:f t="array" ref="N122">INDEX('MATCH INFO'!O:O, INT((ROW()-2)/10)+2 + 124)</x:f>
        <x:v>260704_CB_SB_S3</x:v>
      </x:c>
    </x:row>
    <x:row r="123">
      <x:c r="A123" s="23" t="s">
        <x:v>81</x:v>
      </x:c>
      <x:c r="B123" s="23" t="s">
        <x:v>83</x:v>
      </x:c>
      <x:c r="C123" s="23" t="s">
        <x:v>8</x:v>
      </x:c>
      <x:c r="D123" s="23" t="s">
        <x:v>166</x:v>
      </x:c>
      <x:c r="E123" s="23" t="s">
        <x:v>191</x:v>
      </x:c>
      <x:c r="F123" s="23">
        <x:v>21</x:v>
      </x:c>
      <x:c r="G123" s="23">
        <x:v>11</x:v>
      </x:c>
      <x:c r="H123" s="23">
        <x:v>5</x:v>
      </x:c>
      <x:c r="I123" s="23">
        <x:v>12887</x:v>
      </x:c>
      <x:c r="J123" s="23">
        <x:v>1094</x:v>
      </x:c>
      <x:c r="K123" s="23">
        <x:v>25175</x:v>
      </x:c>
      <x:c r="L123" s="23" t="s">
        <x:v>314</x:v>
      </x:c>
      <x:c r="M123" s="23">
        <x:f t="shared" si="1"/>
        <x:v>838</x:v>
      </x:c>
      <x:c r="N123" s="24" t="str">
        <x:f t="array" ref="N123">INDEX('MATCH INFO'!O:O, INT((ROW()-2)/10)+2 + 124)</x:f>
        <x:v>260704_CB_SB_S3</x:v>
      </x:c>
    </x:row>
    <x:row r="124">
      <x:c r="A124" s="23" t="s">
        <x:v>81</x:v>
      </x:c>
      <x:c r="B124" s="23" t="s">
        <x:v>86</x:v>
      </x:c>
      <x:c r="C124" s="23" t="s">
        <x:v>16</x:v>
      </x:c>
      <x:c r="D124" s="23" t="s">
        <x:v>166</x:v>
      </x:c>
      <x:c r="E124" s="23" t="s">
        <x:v>191</x:v>
      </x:c>
      <x:c r="F124" s="23">
        <x:v>12</x:v>
      </x:c>
      <x:c r="G124" s="23">
        <x:v>9</x:v>
      </x:c>
      <x:c r="H124" s="23">
        <x:v>9</x:v>
      </x:c>
      <x:c r="I124" s="23">
        <x:v>5663</x:v>
      </x:c>
      <x:c r="J124" s="23">
        <x:v>9826</x:v>
      </x:c>
      <x:c r="K124" s="23">
        <x:v>0</x:v>
      </x:c>
      <x:c r="L124" s="23" t="s">
        <x:v>314</x:v>
      </x:c>
      <x:c r="M124" s="23">
        <x:f t="shared" si="1"/>
        <x:v>838</x:v>
      </x:c>
      <x:c r="N124" s="24" t="str">
        <x:f t="array" ref="N124">INDEX('MATCH INFO'!O:O, INT((ROW()-2)/10)+2 + 124)</x:f>
        <x:v>260704_CB_SB_S3</x:v>
      </x:c>
    </x:row>
    <x:row r="125">
      <x:c r="A125" s="23" t="s">
        <x:v>81</x:v>
      </x:c>
      <x:c r="B125" s="23" t="s">
        <x:v>85</x:v>
      </x:c>
      <x:c r="C125" s="23" t="s">
        <x:v>11</x:v>
      </x:c>
      <x:c r="D125" s="23" t="s">
        <x:v>166</x:v>
      </x:c>
      <x:c r="E125" s="23" t="s">
        <x:v>191</x:v>
      </x:c>
      <x:c r="F125" s="23">
        <x:v>28</x:v>
      </x:c>
      <x:c r="G125" s="23">
        <x:v>12</x:v>
      </x:c>
      <x:c r="H125" s="23">
        <x:v>3</x:v>
      </x:c>
      <x:c r="I125" s="23">
        <x:v>12994</x:v>
      </x:c>
      <x:c r="J125" s="23">
        <x:v>225</x:v>
      </x:c>
      <x:c r="K125" s="23">
        <x:v>702</x:v>
      </x:c>
      <x:c r="L125" s="23" t="s">
        <x:v>314</x:v>
      </x:c>
      <x:c r="M125" s="23">
        <x:f t="shared" si="1"/>
        <x:v>838</x:v>
      </x:c>
      <x:c r="N125" s="24" t="str">
        <x:f t="array" ref="N125">INDEX('MATCH INFO'!O:O, INT((ROW()-2)/10)+2 + 124)</x:f>
        <x:v>260704_CB_SB_S3</x:v>
      </x:c>
    </x:row>
    <x:row r="126">
      <x:c r="A126" s="23" t="s">
        <x:v>81</x:v>
      </x:c>
      <x:c r="B126" s="23" t="s">
        <x:v>88</x:v>
      </x:c>
      <x:c r="C126" s="23" t="s">
        <x:v>16</x:v>
      </x:c>
      <x:c r="D126" s="23" t="s">
        <x:v>166</x:v>
      </x:c>
      <x:c r="E126" s="23" t="s">
        <x:v>191</x:v>
      </x:c>
      <x:c r="F126" s="23">
        <x:v>9</x:v>
      </x:c>
      <x:c r="G126" s="23">
        <x:v>13</x:v>
      </x:c>
      <x:c r="H126" s="23">
        <x:v>16</x:v>
      </x:c>
      <x:c r="I126" s="23">
        <x:v>4851</x:v>
      </x:c>
      <x:c r="J126" s="23">
        <x:v>14594</x:v>
      </x:c>
      <x:c r="K126" s="23">
        <x:v>0</x:v>
      </x:c>
      <x:c r="L126" s="23" t="s">
        <x:v>314</x:v>
      </x:c>
      <x:c r="M126" s="23">
        <x:f t="shared" si="1"/>
        <x:v>838</x:v>
      </x:c>
      <x:c r="N126" s="24" t="str">
        <x:f t="array" ref="N126">INDEX('MATCH INFO'!O:O, INT((ROW()-2)/10)+2 + 124)</x:f>
        <x:v>260704_CB_SB_S3</x:v>
      </x:c>
    </x:row>
    <x:row r="127">
      <x:c r="A127" s="23" t="s">
        <x:v>31</x:v>
      </x:c>
      <x:c r="B127" s="23" t="s">
        <x:v>34</x:v>
      </x:c>
      <x:c r="C127" s="23" t="s">
        <x:v>11</x:v>
      </x:c>
      <x:c r="D127" s="23" t="s">
        <x:v>166</x:v>
      </x:c>
      <x:c r="E127" s="23" t="s">
        <x:v>191</x:v>
      </x:c>
      <x:c r="F127" s="23">
        <x:v>26</x:v>
      </x:c>
      <x:c r="G127" s="23">
        <x:v>8</x:v>
      </x:c>
      <x:c r="H127" s="23">
        <x:v>12</x:v>
      </x:c>
      <x:c r="I127" s="23">
        <x:v>11455</x:v>
      </x:c>
      <x:c r="J127" s="23">
        <x:v>2573</x:v>
      </x:c>
      <x:c r="K127" s="23">
        <x:v>4711</x:v>
      </x:c>
      <x:c r="L127" s="23" t="s">
        <x:v>314</x:v>
      </x:c>
      <x:c r="M127" s="23">
        <x:f t="shared" si="1"/>
        <x:v>838</x:v>
      </x:c>
      <x:c r="N127" s="24" t="str">
        <x:f t="array" ref="N127">INDEX('MATCH INFO'!O:O, INT((ROW()-2)/10)+2 + 124)</x:f>
        <x:v>260704_CB_SB_S3</x:v>
      </x:c>
    </x:row>
    <x:row r="128">
      <x:c r="A128" s="23" t="s">
        <x:v>31</x:v>
      </x:c>
      <x:c r="B128" s="23" t="s">
        <x:v>33</x:v>
      </x:c>
      <x:c r="C128" s="23" t="s">
        <x:v>8</x:v>
      </x:c>
      <x:c r="D128" s="23" t="s">
        <x:v>166</x:v>
      </x:c>
      <x:c r="E128" s="23" t="s">
        <x:v>191</x:v>
      </x:c>
      <x:c r="F128" s="23">
        <x:v>29</x:v>
      </x:c>
      <x:c r="G128" s="23">
        <x:v>7</x:v>
      </x:c>
      <x:c r="H128" s="23">
        <x:v>1</x:v>
      </x:c>
      <x:c r="I128" s="23">
        <x:v>15733</x:v>
      </x:c>
      <x:c r="J128" s="23">
        <x:v>0</x:v>
      </x:c>
      <x:c r="K128" s="23">
        <x:v>21024</x:v>
      </x:c>
      <x:c r="L128" s="23" t="s">
        <x:v>314</x:v>
      </x:c>
      <x:c r="M128" s="23">
        <x:f t="shared" si="1"/>
        <x:v>838</x:v>
      </x:c>
      <x:c r="N128" s="24" t="str">
        <x:f t="array" ref="N128">INDEX('MATCH INFO'!O:O, INT((ROW()-2)/10)+2 + 124)</x:f>
        <x:v>260704_CB_SB_S3</x:v>
      </x:c>
    </x:row>
    <x:row r="129">
      <x:c r="A129" s="23" t="s">
        <x:v>31</x:v>
      </x:c>
      <x:c r="B129" s="23" t="s">
        <x:v>35</x:v>
      </x:c>
      <x:c r="C129" s="23" t="s">
        <x:v>11</x:v>
      </x:c>
      <x:c r="D129" s="23" t="s">
        <x:v>166</x:v>
      </x:c>
      <x:c r="E129" s="23" t="s">
        <x:v>191</x:v>
      </x:c>
      <x:c r="F129" s="23">
        <x:v>35</x:v>
      </x:c>
      <x:c r="G129" s="23">
        <x:v>8</x:v>
      </x:c>
      <x:c r="H129" s="23">
        <x:v>2</x:v>
      </x:c>
      <x:c r="I129" s="23">
        <x:v>11763</x:v>
      </x:c>
      <x:c r="J129" s="23">
        <x:v>316</x:v>
      </x:c>
      <x:c r="K129" s="23">
        <x:v>681</x:v>
      </x:c>
      <x:c r="L129" s="23" t="s">
        <x:v>314</x:v>
      </x:c>
      <x:c r="M129" s="23">
        <x:f t="shared" si="1"/>
        <x:v>838</x:v>
      </x:c>
      <x:c r="N129" s="24" t="str">
        <x:f t="array" ref="N129">INDEX('MATCH INFO'!O:O, INT((ROW()-2)/10)+2 + 124)</x:f>
        <x:v>260704_CB_SB_S3</x:v>
      </x:c>
    </x:row>
    <x:row r="130">
      <x:c r="A130" s="23" t="s">
        <x:v>31</x:v>
      </x:c>
      <x:c r="B130" s="23" t="s">
        <x:v>36</x:v>
      </x:c>
      <x:c r="C130" s="23" t="s">
        <x:v>16</x:v>
      </x:c>
      <x:c r="D130" s="23" t="s">
        <x:v>166</x:v>
      </x:c>
      <x:c r="E130" s="23" t="s">
        <x:v>191</x:v>
      </x:c>
      <x:c r="F130" s="23">
        <x:v>38</x:v>
      </x:c>
      <x:c r="G130" s="23">
        <x:v>7</x:v>
      </x:c>
      <x:c r="H130" s="23">
        <x:v>19</x:v>
      </x:c>
      <x:c r="I130" s="23">
        <x:v>8024</x:v>
      </x:c>
      <x:c r="J130" s="23">
        <x:v>12240</x:v>
      </x:c>
      <x:c r="K130" s="23">
        <x:v>0</x:v>
      </x:c>
      <x:c r="L130" s="23" t="s">
        <x:v>314</x:v>
      </x:c>
      <x:c r="M130" s="23" t="e">
        <x:f t="shared" ref="M130:M193" si="2">L130*86400</x:f>
        <x:v>#VALUE!</x:v>
      </x:c>
      <x:c r="N130" s="24" t="str">
        <x:f t="array" ref="N130">INDEX('MATCH INFO'!O:O, INT((ROW()-2)/10)+2 + 124)</x:f>
        <x:v>260704_CB_SB_S3</x:v>
      </x:c>
    </x:row>
    <x:row r="131">
      <x:c r="A131" s="23" t="s">
        <x:v>31</x:v>
      </x:c>
      <x:c r="B131" s="23" t="s">
        <x:v>37</x:v>
      </x:c>
      <x:c r="C131" s="23" t="s">
        <x:v>16</x:v>
      </x:c>
      <x:c r="D131" s="23" t="s">
        <x:v>166</x:v>
      </x:c>
      <x:c r="E131" s="23" t="s">
        <x:v>191</x:v>
      </x:c>
      <x:c r="F131" s="23">
        <x:v>20</x:v>
      </x:c>
      <x:c r="G131" s="23">
        <x:v>5</x:v>
      </x:c>
      <x:c r="H131" s="23">
        <x:v>36</x:v>
      </x:c>
      <x:c r="I131" s="23">
        <x:v>5892</x:v>
      </x:c>
      <x:c r="J131" s="23">
        <x:v>15388</x:v>
      </x:c>
      <x:c r="K131" s="23">
        <x:v>0</x:v>
      </x:c>
      <x:c r="L131" s="23" t="s">
        <x:v>314</x:v>
      </x:c>
      <x:c r="M131" s="23">
        <x:f t="shared" si="2"/>
        <x:v>838</x:v>
      </x:c>
      <x:c r="N131" s="24" t="str">
        <x:f t="array" ref="N131">INDEX('MATCH INFO'!O:O, INT((ROW()-2)/10)+2 + 124)</x:f>
        <x:v>260704_CB_SB_S3</x:v>
      </x:c>
    </x:row>
    <x:row r="132">
      <x:c r="A132" s="23" t="s">
        <x:v>63</x:v>
      </x:c>
      <x:c r="B132" s="23" t="s">
        <x:v>69</x:v>
      </x:c>
      <x:c r="C132" s="23" t="s">
        <x:v>16</x:v>
      </x:c>
      <x:c r="D132" s="23" t="s">
        <x:v>116</x:v>
      </x:c>
      <x:c r="E132" s="23" t="s">
        <x:v>184</x:v>
      </x:c>
      <x:c r="F132" s="23">
        <x:v>26</x:v>
      </x:c>
      <x:c r="G132" s="23">
        <x:v>4</x:v>
      </x:c>
      <x:c r="H132" s="23">
        <x:v>31</x:v>
      </x:c>
      <x:c r="I132" s="23">
        <x:v>4910</x:v>
      </x:c>
      <x:c r="J132" s="23">
        <x:v>9029</x:v>
      </x:c>
      <x:c r="K132" s="23">
        <x:v>2789</x:v>
      </x:c>
      <x:c r="L132" s="23" t="s">
        <x:v>252</x:v>
      </x:c>
      <x:c r="M132" s="23">
        <x:f t="shared" si="2"/>
        <x:v>540</x:v>
      </x:c>
      <x:c r="N132" s="24" t="str">
        <x:f t="array" ref="N132">INDEX('MATCH INFO'!O:O, INT((ROW()-2)/10)+2 + 124)</x:f>
        <x:v>260704_CR_T1_S1</x:v>
      </x:c>
    </x:row>
    <x:row r="133">
      <x:c r="A133" s="23" t="s">
        <x:v>63</x:v>
      </x:c>
      <x:c r="B133" s="23" t="s">
        <x:v>64</x:v>
      </x:c>
      <x:c r="C133" s="23" t="s">
        <x:v>8</x:v>
      </x:c>
      <x:c r="D133" s="23" t="s">
        <x:v>116</x:v>
      </x:c>
      <x:c r="E133" s="23" t="s">
        <x:v>184</x:v>
      </x:c>
      <x:c r="F133" s="23">
        <x:v>26</x:v>
      </x:c>
      <x:c r="G133" s="23">
        <x:v>6</x:v>
      </x:c>
      <x:c r="H133" s="23">
        <x:v>17</x:v>
      </x:c>
      <x:c r="I133" s="23">
        <x:v>14709</x:v>
      </x:c>
      <x:c r="J133" s="23">
        <x:v>4104</x:v>
      </x:c>
      <x:c r="K133" s="23">
        <x:v>7408</x:v>
      </x:c>
      <x:c r="L133" s="23" t="s">
        <x:v>252</x:v>
      </x:c>
      <x:c r="M133" s="23">
        <x:f t="shared" si="2"/>
        <x:v>540</x:v>
      </x:c>
      <x:c r="N133" s="24" t="str">
        <x:f t="array" ref="N133">INDEX('MATCH INFO'!O:O, INT((ROW()-2)/10)+2 + 124)</x:f>
        <x:v>260704_CR_T1_S1</x:v>
      </x:c>
    </x:row>
    <x:row r="134">
      <x:c r="A134" s="23" t="s">
        <x:v>63</x:v>
      </x:c>
      <x:c r="B134" s="23" t="s">
        <x:v>67</x:v>
      </x:c>
      <x:c r="C134" s="23" t="s">
        <x:v>11</x:v>
      </x:c>
      <x:c r="D134" s="23" t="s">
        <x:v>116</x:v>
      </x:c>
      <x:c r="E134" s="23" t="s">
        <x:v>184</x:v>
      </x:c>
      <x:c r="F134" s="23">
        <x:v>30</x:v>
      </x:c>
      <x:c r="G134" s="23">
        <x:v>6</x:v>
      </x:c>
      <x:c r="H134" s="23">
        <x:v>5</x:v>
      </x:c>
      <x:c r="I134" s="23">
        <x:v>13033</x:v>
      </x:c>
      <x:c r="J134" s="23">
        <x:v>75</x:v>
      </x:c>
      <x:c r="K134" s="23">
        <x:v>635</x:v>
      </x:c>
      <x:c r="L134" s="23" t="s">
        <x:v>252</x:v>
      </x:c>
      <x:c r="M134" s="23">
        <x:f t="shared" si="2"/>
        <x:v>540</x:v>
      </x:c>
      <x:c r="N134" s="24" t="str">
        <x:f t="array" ref="N134">INDEX('MATCH INFO'!O:O, INT((ROW()-2)/10)+2 + 124)</x:f>
        <x:v>260704_CR_T1_S1</x:v>
      </x:c>
    </x:row>
    <x:row r="135">
      <x:c r="A135" s="23" t="s">
        <x:v>63</x:v>
      </x:c>
      <x:c r="B135" s="23" t="s">
        <x:v>70</x:v>
      </x:c>
      <x:c r="C135" s="23" t="s">
        <x:v>16</x:v>
      </x:c>
      <x:c r="D135" s="23" t="s">
        <x:v>116</x:v>
      </x:c>
      <x:c r="E135" s="23" t="s">
        <x:v>184</x:v>
      </x:c>
      <x:c r="F135" s="23">
        <x:v>17</x:v>
      </x:c>
      <x:c r="G135" s="23">
        <x:v>5</x:v>
      </x:c>
      <x:c r="H135" s="23">
        <x:v>33</x:v>
      </x:c>
      <x:c r="I135" s="23">
        <x:v>5711</x:v>
      </x:c>
      <x:c r="J135" s="23">
        <x:v>13878</x:v>
      </x:c>
      <x:c r="K135" s="23">
        <x:v>0</x:v>
      </x:c>
      <x:c r="L135" s="23" t="s">
        <x:v>252</x:v>
      </x:c>
      <x:c r="M135" s="23">
        <x:f t="shared" si="2"/>
        <x:v>540</x:v>
      </x:c>
      <x:c r="N135" s="24" t="str">
        <x:f t="array" ref="N135">INDEX('MATCH INFO'!O:O, INT((ROW()-2)/10)+2 + 124)</x:f>
        <x:v>260704_CR_T1_S1</x:v>
      </x:c>
    </x:row>
    <x:row r="136">
      <x:c r="A136" s="23" t="s">
        <x:v>63</x:v>
      </x:c>
      <x:c r="B136" s="23" t="s">
        <x:v>66</x:v>
      </x:c>
      <x:c r="C136" s="23" t="s">
        <x:v>11</x:v>
      </x:c>
      <x:c r="D136" s="23" t="s">
        <x:v>116</x:v>
      </x:c>
      <x:c r="E136" s="23" t="s">
        <x:v>184</x:v>
      </x:c>
      <x:c r="F136" s="23">
        <x:v>23</x:v>
      </x:c>
      <x:c r="G136" s="23">
        <x:v>7</x:v>
      </x:c>
      <x:c r="H136" s="23">
        <x:v>5</x:v>
      </x:c>
      <x:c r="I136" s="23">
        <x:v>10214</x:v>
      </x:c>
      <x:c r="J136" s="23">
        <x:v>255</x:v>
      </x:c>
      <x:c r="K136" s="23">
        <x:v>289</x:v>
      </x:c>
      <x:c r="L136" s="23" t="s">
        <x:v>252</x:v>
      </x:c>
      <x:c r="M136" s="23">
        <x:f t="shared" si="2"/>
        <x:v>540</x:v>
      </x:c>
      <x:c r="N136" s="24" t="str">
        <x:f t="array" ref="N136">INDEX('MATCH INFO'!O:O, INT((ROW()-2)/10)+2 + 124)</x:f>
        <x:v>260704_CR_T1_S1</x:v>
      </x:c>
    </x:row>
    <x:row r="137">
      <x:c r="A137" s="23" t="s">
        <x:v>55</x:v>
      </x:c>
      <x:c r="B137" s="23" t="s">
        <x:v>61</x:v>
      </x:c>
      <x:c r="C137" s="23" t="s">
        <x:v>16</x:v>
      </x:c>
      <x:c r="D137" s="23" t="s">
        <x:v>116</x:v>
      </x:c>
      <x:c r="E137" s="23" t="s">
        <x:v>184</x:v>
      </x:c>
      <x:c r="F137" s="23">
        <x:v>18</x:v>
      </x:c>
      <x:c r="G137" s="23">
        <x:v>8</x:v>
      </x:c>
      <x:c r="H137" s="23">
        <x:v>18</x:v>
      </x:c>
      <x:c r="I137" s="23">
        <x:v>4823</x:v>
      </x:c>
      <x:c r="J137" s="23">
        <x:v>7482</x:v>
      </x:c>
      <x:c r="K137" s="23">
        <x:v>2498</x:v>
      </x:c>
      <x:c r="L137" s="23" t="s">
        <x:v>252</x:v>
      </x:c>
      <x:c r="M137" s="23">
        <x:f t="shared" si="2"/>
        <x:v>540</x:v>
      </x:c>
      <x:c r="N137" s="24" t="str">
        <x:f t="array" ref="N137">INDEX('MATCH INFO'!O:O, INT((ROW()-2)/10)+2 + 124)</x:f>
        <x:v>260704_CR_T1_S1</x:v>
      </x:c>
    </x:row>
    <x:row r="138">
      <x:c r="A138" s="23" t="s">
        <x:v>55</x:v>
      </x:c>
      <x:c r="B138" s="23" t="s">
        <x:v>58</x:v>
      </x:c>
      <x:c r="C138" s="23" t="s">
        <x:v>11</x:v>
      </x:c>
      <x:c r="D138" s="23" t="s">
        <x:v>116</x:v>
      </x:c>
      <x:c r="E138" s="23" t="s">
        <x:v>184</x:v>
      </x:c>
      <x:c r="F138" s="23">
        <x:v>18</x:v>
      </x:c>
      <x:c r="G138" s="23">
        <x:v>9</x:v>
      </x:c>
      <x:c r="H138" s="23">
        <x:v>0</x:v>
      </x:c>
      <x:c r="I138" s="23">
        <x:v>10644</x:v>
      </x:c>
      <x:c r="J138" s="23">
        <x:v>1309</x:v>
      </x:c>
      <x:c r="K138" s="23">
        <x:v>0</x:v>
      </x:c>
      <x:c r="L138" s="23" t="s">
        <x:v>252</x:v>
      </x:c>
      <x:c r="M138" s="23">
        <x:f t="shared" si="2"/>
        <x:v>540</x:v>
      </x:c>
      <x:c r="N138" s="24" t="str">
        <x:f t="array" ref="N138">INDEX('MATCH INFO'!O:O, INT((ROW()-2)/10)+2 + 124)</x:f>
        <x:v>260704_CR_T1_S1</x:v>
      </x:c>
    </x:row>
    <x:row r="139">
      <x:c r="A139" s="23" t="s">
        <x:v>55</x:v>
      </x:c>
      <x:c r="B139" s="23" t="s">
        <x:v>57</x:v>
      </x:c>
      <x:c r="C139" s="23" t="s">
        <x:v>8</x:v>
      </x:c>
      <x:c r="D139" s="23" t="s">
        <x:v>116</x:v>
      </x:c>
      <x:c r="E139" s="23" t="s">
        <x:v>184</x:v>
      </x:c>
      <x:c r="F139" s="23">
        <x:v>21</x:v>
      </x:c>
      <x:c r="G139" s="23">
        <x:v>6</x:v>
      </x:c>
      <x:c r="H139" s="23">
        <x:v>19</x:v>
      </x:c>
      <x:c r="I139" s="23">
        <x:v>15156</x:v>
      </x:c>
      <x:c r="J139" s="23">
        <x:v>3727</x:v>
      </x:c>
      <x:c r="K139" s="23">
        <x:v>5689</x:v>
      </x:c>
      <x:c r="L139" s="23" t="s">
        <x:v>252</x:v>
      </x:c>
      <x:c r="M139" s="23">
        <x:f t="shared" si="2"/>
        <x:v>540</x:v>
      </x:c>
      <x:c r="N139" s="24" t="str">
        <x:f t="array" ref="N139">INDEX('MATCH INFO'!O:O, INT((ROW()-2)/10)+2 + 124)</x:f>
        <x:v>260704_CR_T1_S1</x:v>
      </x:c>
    </x:row>
    <x:row r="140">
      <x:c r="A140" s="23" t="s">
        <x:v>55</x:v>
      </x:c>
      <x:c r="B140" s="23" t="s">
        <x:v>60</x:v>
      </x:c>
      <x:c r="C140" s="23" t="s">
        <x:v>11</x:v>
      </x:c>
      <x:c r="D140" s="23" t="s">
        <x:v>116</x:v>
      </x:c>
      <x:c r="E140" s="23" t="s">
        <x:v>184</x:v>
      </x:c>
      <x:c r="F140" s="23">
        <x:v>19</x:v>
      </x:c>
      <x:c r="G140" s="23">
        <x:v>9</x:v>
      </x:c>
      <x:c r="H140" s="23">
        <x:v>2</x:v>
      </x:c>
      <x:c r="I140" s="23">
        <x:v>11246</x:v>
      </x:c>
      <x:c r="J140" s="23">
        <x:v>0</x:v>
      </x:c>
      <x:c r="K140" s="23">
        <x:v>705</x:v>
      </x:c>
      <x:c r="L140" s="23" t="s">
        <x:v>252</x:v>
      </x:c>
      <x:c r="M140" s="23">
        <x:f t="shared" si="2"/>
        <x:v>540</x:v>
      </x:c>
      <x:c r="N140" s="24" t="str">
        <x:f t="array" ref="N140">INDEX('MATCH INFO'!O:O, INT((ROW()-2)/10)+2 + 124)</x:f>
        <x:v>260704_CR_T1_S1</x:v>
      </x:c>
    </x:row>
    <x:row r="141">
      <x:c r="A141" s="23" t="s">
        <x:v>55</x:v>
      </x:c>
      <x:c r="B141" s="23" t="s">
        <x:v>62</x:v>
      </x:c>
      <x:c r="C141" s="23" t="s">
        <x:v>16</x:v>
      </x:c>
      <x:c r="D141" s="23" t="s">
        <x:v>116</x:v>
      </x:c>
      <x:c r="E141" s="23" t="s">
        <x:v>184</x:v>
      </x:c>
      <x:c r="F141" s="23">
        <x:v>10</x:v>
      </x:c>
      <x:c r="G141" s="23">
        <x:v>10</x:v>
      </x:c>
      <x:c r="H141" s="23">
        <x:v>18</x:v>
      </x:c>
      <x:c r="I141" s="23">
        <x:v>4198</x:v>
      </x:c>
      <x:c r="J141" s="23">
        <x:v>12223</x:v>
      </x:c>
      <x:c r="K141" s="23">
        <x:v>0</x:v>
      </x:c>
      <x:c r="L141" s="23" t="s">
        <x:v>252</x:v>
      </x:c>
      <x:c r="M141" s="23">
        <x:f t="shared" si="2"/>
        <x:v>540</x:v>
      </x:c>
      <x:c r="N141" s="24" t="str">
        <x:f t="array" ref="N141">INDEX('MATCH INFO'!O:O, INT((ROW()-2)/10)+2 + 124)</x:f>
        <x:v>260704_CR_T1_S1</x:v>
      </x:c>
    </x:row>
    <x:row r="142">
      <x:c r="A142" s="23" t="s">
        <x:v>63</x:v>
      </x:c>
      <x:c r="B142" s="23" t="s">
        <x:v>69</x:v>
      </x:c>
      <x:c r="C142" s="23" t="s">
        <x:v>16</x:v>
      </x:c>
      <x:c r="D142" s="23" t="s">
        <x:v>145</x:v>
      </x:c>
      <x:c r="E142" s="23" t="s">
        <x:v>195</x:v>
      </x:c>
      <x:c r="F142" s="23">
        <x:v>24</x:v>
      </x:c>
      <x:c r="G142" s="23">
        <x:v>10</x:v>
      </x:c>
      <x:c r="H142" s="23">
        <x:v>28</x:v>
      </x:c>
      <x:c r="I142" s="23">
        <x:v>7722</x:v>
      </x:c>
      <x:c r="J142" s="23">
        <x:v>12800</x:v>
      </x:c>
      <x:c r="K142" s="23">
        <x:v>2078</x:v>
      </x:c>
      <x:c r="L142" s="23" t="s">
        <x:v>315</x:v>
      </x:c>
      <x:c r="M142" s="23">
        <x:f t="shared" si="2"/>
        <x:v>856.00000000000011</x:v>
      </x:c>
      <x:c r="N142" s="24" t="str">
        <x:f t="array" ref="N142">INDEX('MATCH INFO'!O:O, INT((ROW()-2)/10)+2 + 124)</x:f>
        <x:v>260704_CR_T1_S2</x:v>
      </x:c>
    </x:row>
    <x:row r="143">
      <x:c r="A143" s="23" t="s">
        <x:v>63</x:v>
      </x:c>
      <x:c r="B143" s="23" t="s">
        <x:v>65</x:v>
      </x:c>
      <x:c r="C143" s="23" t="s">
        <x:v>8</x:v>
      </x:c>
      <x:c r="D143" s="23" t="s">
        <x:v>145</x:v>
      </x:c>
      <x:c r="E143" s="23" t="s">
        <x:v>195</x:v>
      </x:c>
      <x:c r="F143" s="23">
        <x:v>15</x:v>
      </x:c>
      <x:c r="G143" s="23">
        <x:v>12</x:v>
      </x:c>
      <x:c r="H143" s="23">
        <x:v>5</x:v>
      </x:c>
      <x:c r="I143" s="23">
        <x:v>11949</x:v>
      </x:c>
      <x:c r="J143" s="23">
        <x:v>50</x:v>
      </x:c>
      <x:c r="K143" s="23">
        <x:v>23512</x:v>
      </x:c>
      <x:c r="L143" s="23" t="s">
        <x:v>315</x:v>
      </x:c>
      <x:c r="M143" s="23">
        <x:f t="shared" si="2"/>
        <x:v>856.00000000000011</x:v>
      </x:c>
      <x:c r="N143" s="24" t="str">
        <x:f t="array" ref="N143">INDEX('MATCH INFO'!O:O, INT((ROW()-2)/10)+2 + 124)</x:f>
        <x:v>260704_CR_T1_S2</x:v>
      </x:c>
    </x:row>
    <x:row r="144">
      <x:c r="A144" s="23" t="s">
        <x:v>63</x:v>
      </x:c>
      <x:c r="B144" s="23" t="s">
        <x:v>67</x:v>
      </x:c>
      <x:c r="C144" s="23" t="s">
        <x:v>11</x:v>
      </x:c>
      <x:c r="D144" s="23" t="s">
        <x:v>145</x:v>
      </x:c>
      <x:c r="E144" s="23" t="s">
        <x:v>195</x:v>
      </x:c>
      <x:c r="F144" s="23">
        <x:v>27</x:v>
      </x:c>
      <x:c r="G144" s="23">
        <x:v>11</x:v>
      </x:c>
      <x:c r="H144" s="23">
        <x:v>2</x:v>
      </x:c>
      <x:c r="I144" s="23">
        <x:v>12140</x:v>
      </x:c>
      <x:c r="J144" s="23">
        <x:v>172</x:v>
      </x:c>
      <x:c r="K144" s="23">
        <x:v>2912</x:v>
      </x:c>
      <x:c r="L144" s="23" t="s">
        <x:v>315</x:v>
      </x:c>
      <x:c r="M144" s="23">
        <x:f t="shared" si="2"/>
        <x:v>856.00000000000011</x:v>
      </x:c>
      <x:c r="N144" s="24" t="str">
        <x:f t="array" ref="N144">INDEX('MATCH INFO'!O:O, INT((ROW()-2)/10)+2 + 124)</x:f>
        <x:v>260704_CR_T1_S2</x:v>
      </x:c>
    </x:row>
    <x:row r="145">
      <x:c r="A145" s="23" t="s">
        <x:v>63</x:v>
      </x:c>
      <x:c r="B145" s="23" t="s">
        <x:v>70</x:v>
      </x:c>
      <x:c r="C145" s="23" t="s">
        <x:v>16</x:v>
      </x:c>
      <x:c r="D145" s="23" t="s">
        <x:v>145</x:v>
      </x:c>
      <x:c r="E145" s="23" t="s">
        <x:v>195</x:v>
      </x:c>
      <x:c r="F145" s="23">
        <x:v>19</x:v>
      </x:c>
      <x:c r="G145" s="23">
        <x:v>8</x:v>
      </x:c>
      <x:c r="H145" s="23">
        <x:v>26</x:v>
      </x:c>
      <x:c r="I145" s="23">
        <x:v>7830</x:v>
      </x:c>
      <x:c r="J145" s="23">
        <x:v>17297</x:v>
      </x:c>
      <x:c r="K145" s="23">
        <x:v>44</x:v>
      </x:c>
      <x:c r="L145" s="23" t="s">
        <x:v>315</x:v>
      </x:c>
      <x:c r="M145" s="23">
        <x:f t="shared" si="2"/>
        <x:v>856.00000000000011</x:v>
      </x:c>
      <x:c r="N145" s="24" t="str">
        <x:f t="array" ref="N145">INDEX('MATCH INFO'!O:O, INT((ROW()-2)/10)+2 + 124)</x:f>
        <x:v>260704_CR_T1_S2</x:v>
      </x:c>
    </x:row>
    <x:row r="146">
      <x:c r="A146" s="23" t="s">
        <x:v>63</x:v>
      </x:c>
      <x:c r="B146" s="23" t="s">
        <x:v>66</x:v>
      </x:c>
      <x:c r="C146" s="23" t="s">
        <x:v>11</x:v>
      </x:c>
      <x:c r="D146" s="23" t="s">
        <x:v>145</x:v>
      </x:c>
      <x:c r="E146" s="23" t="s">
        <x:v>195</x:v>
      </x:c>
      <x:c r="F146" s="23">
        <x:v>25</x:v>
      </x:c>
      <x:c r="G146" s="23">
        <x:v>10</x:v>
      </x:c>
      <x:c r="H146" s="23">
        <x:v>8</x:v>
      </x:c>
      <x:c r="I146" s="23">
        <x:v>12818</x:v>
      </x:c>
      <x:c r="J146" s="23">
        <x:v>1728</x:v>
      </x:c>
      <x:c r="K146" s="23">
        <x:v>6977</x:v>
      </x:c>
      <x:c r="L146" s="23" t="s">
        <x:v>315</x:v>
      </x:c>
      <x:c r="M146" s="23">
        <x:f t="shared" si="2"/>
        <x:v>856.00000000000011</x:v>
      </x:c>
      <x:c r="N146" s="24" t="str">
        <x:f t="array" ref="N146">INDEX('MATCH INFO'!O:O, INT((ROW()-2)/10)+2 + 124)</x:f>
        <x:v>260704_CR_T1_S2</x:v>
      </x:c>
    </x:row>
    <x:row r="147">
      <x:c r="A147" s="23" t="s">
        <x:v>55</x:v>
      </x:c>
      <x:c r="B147" s="23" t="s">
        <x:v>61</x:v>
      </x:c>
      <x:c r="C147" s="23" t="s">
        <x:v>16</x:v>
      </x:c>
      <x:c r="D147" s="23" t="s">
        <x:v>145</x:v>
      </x:c>
      <x:c r="E147" s="23" t="s">
        <x:v>195</x:v>
      </x:c>
      <x:c r="F147" s="23">
        <x:v>32</x:v>
      </x:c>
      <x:c r="G147" s="23">
        <x:v>8</x:v>
      </x:c>
      <x:c r="H147" s="23">
        <x:v>33</x:v>
      </x:c>
      <x:c r="I147" s="23">
        <x:v>8214</x:v>
      </x:c>
      <x:c r="J147" s="23">
        <x:v>15787</x:v>
      </x:c>
      <x:c r="K147" s="23">
        <x:v>2765</x:v>
      </x:c>
      <x:c r="L147" s="23" t="s">
        <x:v>315</x:v>
      </x:c>
      <x:c r="M147" s="23">
        <x:f t="shared" si="2"/>
        <x:v>856.00000000000011</x:v>
      </x:c>
      <x:c r="N147" s="24" t="str">
        <x:f t="array" ref="N147">INDEX('MATCH INFO'!O:O, INT((ROW()-2)/10)+2 + 124)</x:f>
        <x:v>260704_CR_T1_S2</x:v>
      </x:c>
    </x:row>
    <x:row r="148">
      <x:c r="A148" s="23" t="s">
        <x:v>55</x:v>
      </x:c>
      <x:c r="B148" s="23" t="s">
        <x:v>58</x:v>
      </x:c>
      <x:c r="C148" s="23" t="s">
        <x:v>11</x:v>
      </x:c>
      <x:c r="D148" s="23" t="s">
        <x:v>145</x:v>
      </x:c>
      <x:c r="E148" s="23" t="s">
        <x:v>195</x:v>
      </x:c>
      <x:c r="F148" s="23">
        <x:v>33</x:v>
      </x:c>
      <x:c r="G148" s="23">
        <x:v>9</x:v>
      </x:c>
      <x:c r="H148" s="23">
        <x:v>9</x:v>
      </x:c>
      <x:c r="I148" s="23">
        <x:v>13827</x:v>
      </x:c>
      <x:c r="J148" s="23">
        <x:v>346</x:v>
      </x:c>
      <x:c r="K148" s="23">
        <x:v>3427</x:v>
      </x:c>
      <x:c r="L148" s="23" t="s">
        <x:v>315</x:v>
      </x:c>
      <x:c r="M148" s="23">
        <x:f t="shared" si="2"/>
        <x:v>856.00000000000011</x:v>
      </x:c>
      <x:c r="N148" s="24" t="str">
        <x:f t="array" ref="N148">INDEX('MATCH INFO'!O:O, INT((ROW()-2)/10)+2 + 124)</x:f>
        <x:v>260704_CR_T1_S2</x:v>
      </x:c>
    </x:row>
    <x:row r="149">
      <x:c r="A149" s="23" t="s">
        <x:v>55</x:v>
      </x:c>
      <x:c r="B149" s="23" t="s">
        <x:v>57</x:v>
      </x:c>
      <x:c r="C149" s="23" t="s">
        <x:v>8</x:v>
      </x:c>
      <x:c r="D149" s="23" t="s">
        <x:v>145</x:v>
      </x:c>
      <x:c r="E149" s="23" t="s">
        <x:v>195</x:v>
      </x:c>
      <x:c r="F149" s="23">
        <x:v>32</x:v>
      </x:c>
      <x:c r="G149" s="23">
        <x:v>9</x:v>
      </x:c>
      <x:c r="H149" s="23">
        <x:v>4</x:v>
      </x:c>
      <x:c r="I149" s="23">
        <x:v>15878</x:v>
      </x:c>
      <x:c r="J149" s="23">
        <x:v>0</x:v>
      </x:c>
      <x:c r="K149" s="23">
        <x:v>24241</x:v>
      </x:c>
      <x:c r="L149" s="23" t="s">
        <x:v>315</x:v>
      </x:c>
      <x:c r="M149" s="23">
        <x:f t="shared" si="2"/>
        <x:v>856.00000000000011</x:v>
      </x:c>
      <x:c r="N149" s="24" t="str">
        <x:f t="array" ref="N149">INDEX('MATCH INFO'!O:O, INT((ROW()-2)/10)+2 + 124)</x:f>
        <x:v>260704_CR_T1_S2</x:v>
      </x:c>
    </x:row>
    <x:row r="150">
      <x:c r="A150" s="23" t="s">
        <x:v>55</x:v>
      </x:c>
      <x:c r="B150" s="23" t="s">
        <x:v>60</x:v>
      </x:c>
      <x:c r="C150" s="23" t="s">
        <x:v>11</x:v>
      </x:c>
      <x:c r="D150" s="23" t="s">
        <x:v>145</x:v>
      </x:c>
      <x:c r="E150" s="23" t="s">
        <x:v>195</x:v>
      </x:c>
      <x:c r="F150" s="23">
        <x:v>32</x:v>
      </x:c>
      <x:c r="G150" s="23">
        <x:v>10</x:v>
      </x:c>
      <x:c r="H150" s="23">
        <x:v>13</x:v>
      </x:c>
      <x:c r="I150" s="23">
        <x:v>11013</x:v>
      </x:c>
      <x:c r="J150" s="23">
        <x:v>2303</x:v>
      </x:c>
      <x:c r="K150" s="23">
        <x:v>5672</x:v>
      </x:c>
      <x:c r="L150" s="23" t="s">
        <x:v>315</x:v>
      </x:c>
      <x:c r="M150" s="23">
        <x:f t="shared" si="2"/>
        <x:v>856.00000000000011</x:v>
      </x:c>
      <x:c r="N150" s="24" t="str">
        <x:f t="array" ref="N150">INDEX('MATCH INFO'!O:O, INT((ROW()-2)/10)+2 + 124)</x:f>
        <x:v>260704_CR_T1_S2</x:v>
      </x:c>
    </x:row>
    <x:row r="151">
      <x:c r="A151" s="23" t="s">
        <x:v>55</x:v>
      </x:c>
      <x:c r="B151" s="23" t="s">
        <x:v>62</x:v>
      </x:c>
      <x:c r="C151" s="23" t="s">
        <x:v>16</x:v>
      </x:c>
      <x:c r="D151" s="23" t="s">
        <x:v>145</x:v>
      </x:c>
      <x:c r="E151" s="23" t="s">
        <x:v>195</x:v>
      </x:c>
      <x:c r="F151" s="23">
        <x:v>22</x:v>
      </x:c>
      <x:c r="G151" s="23">
        <x:v>5</x:v>
      </x:c>
      <x:c r="H151" s="23">
        <x:v>29</x:v>
      </x:c>
      <x:c r="I151" s="23">
        <x:v>6045</x:v>
      </x:c>
      <x:c r="J151" s="23">
        <x:v>15148</x:v>
      </x:c>
      <x:c r="K151" s="23">
        <x:v>0</x:v>
      </x:c>
      <x:c r="L151" s="23" t="s">
        <x:v>315</x:v>
      </x:c>
      <x:c r="M151" s="23">
        <x:f t="shared" si="2"/>
        <x:v>856.00000000000011</x:v>
      </x:c>
      <x:c r="N151" s="24" t="str">
        <x:f t="array" ref="N151">INDEX('MATCH INFO'!O:O, INT((ROW()-2)/10)+2 + 124)</x:f>
        <x:v>260704_CR_T1_S2</x:v>
      </x:c>
    </x:row>
    <x:row r="152">
      <x:c r="A152" s="23" t="s">
        <x:v>63</x:v>
      </x:c>
      <x:c r="B152" s="23" t="s">
        <x:v>69</x:v>
      </x:c>
      <x:c r="C152" s="23" t="s">
        <x:v>16</x:v>
      </x:c>
      <x:c r="D152" s="23" t="s">
        <x:v>124</x:v>
      </x:c>
      <x:c r="E152" s="23" t="s">
        <x:v>186</x:v>
      </x:c>
      <x:c r="F152" s="23">
        <x:v>24</x:v>
      </x:c>
      <x:c r="G152" s="23">
        <x:v>10</x:v>
      </x:c>
      <x:c r="H152" s="23">
        <x:v>28</x:v>
      </x:c>
      <x:c r="I152" s="23">
        <x:v>4788</x:v>
      </x:c>
      <x:c r="J152" s="23">
        <x:v>12094</x:v>
      </x:c>
      <x:c r="K152" s="23">
        <x:v>735</x:v>
      </x:c>
      <x:c r="L152" s="23" t="s">
        <x:v>310</x:v>
      </x:c>
      <x:c r="M152" s="23">
        <x:f t="shared" si="2"/>
        <x:v>858</x:v>
      </x:c>
      <x:c r="N152" s="24" t="str">
        <x:f t="array" ref="N152">INDEX('MATCH INFO'!O:O, INT((ROW()-2)/10)+2 + 124)</x:f>
        <x:v>260704_CR_T1_S3</x:v>
      </x:c>
    </x:row>
    <x:row r="153">
      <x:c r="A153" s="23" t="s">
        <x:v>63</x:v>
      </x:c>
      <x:c r="B153" s="23" t="s">
        <x:v>64</x:v>
      </x:c>
      <x:c r="C153" s="23" t="s">
        <x:v>8</x:v>
      </x:c>
      <x:c r="D153" s="23" t="s">
        <x:v>124</x:v>
      </x:c>
      <x:c r="E153" s="23" t="s">
        <x:v>186</x:v>
      </x:c>
      <x:c r="F153" s="23">
        <x:v>28</x:v>
      </x:c>
      <x:c r="G153" s="23">
        <x:v>8</x:v>
      </x:c>
      <x:c r="H153" s="23">
        <x:v>18</x:v>
      </x:c>
      <x:c r="I153" s="23">
        <x:v>17412</x:v>
      </x:c>
      <x:c r="J153" s="23">
        <x:v>4573</x:v>
      </x:c>
      <x:c r="K153" s="23">
        <x:v>6963</x:v>
      </x:c>
      <x:c r="L153" s="23" t="s">
        <x:v>310</x:v>
      </x:c>
      <x:c r="M153" s="23">
        <x:f t="shared" si="2"/>
        <x:v>858</x:v>
      </x:c>
      <x:c r="N153" s="24" t="str">
        <x:f t="array" ref="N153">INDEX('MATCH INFO'!O:O, INT((ROW()-2)/10)+2 + 124)</x:f>
        <x:v>260704_CR_T1_S3</x:v>
      </x:c>
    </x:row>
    <x:row r="154">
      <x:c r="A154" s="23" t="s">
        <x:v>63</x:v>
      </x:c>
      <x:c r="B154" s="23" t="s">
        <x:v>67</x:v>
      </x:c>
      <x:c r="C154" s="23" t="s">
        <x:v>11</x:v>
      </x:c>
      <x:c r="D154" s="23" t="s">
        <x:v>124</x:v>
      </x:c>
      <x:c r="E154" s="23" t="s">
        <x:v>186</x:v>
      </x:c>
      <x:c r="F154" s="23">
        <x:v>36</x:v>
      </x:c>
      <x:c r="G154" s="23">
        <x:v>9</x:v>
      </x:c>
      <x:c r="H154" s="23">
        <x:v>4</x:v>
      </x:c>
      <x:c r="I154" s="23">
        <x:v>15448</x:v>
      </x:c>
      <x:c r="J154" s="23">
        <x:v>50</x:v>
      </x:c>
      <x:c r="K154" s="23">
        <x:v>751</x:v>
      </x:c>
      <x:c r="L154" s="23" t="s">
        <x:v>310</x:v>
      </x:c>
      <x:c r="M154" s="23">
        <x:f t="shared" si="2"/>
        <x:v>858</x:v>
      </x:c>
      <x:c r="N154" s="24" t="str">
        <x:f t="array" ref="N154">INDEX('MATCH INFO'!O:O, INT((ROW()-2)/10)+2 + 124)</x:f>
        <x:v>260704_CR_T1_S3</x:v>
      </x:c>
    </x:row>
    <x:row r="155">
      <x:c r="A155" s="23" t="s">
        <x:v>63</x:v>
      </x:c>
      <x:c r="B155" s="23" t="s">
        <x:v>70</x:v>
      </x:c>
      <x:c r="C155" s="23" t="s">
        <x:v>16</x:v>
      </x:c>
      <x:c r="D155" s="23" t="s">
        <x:v>124</x:v>
      </x:c>
      <x:c r="E155" s="23" t="s">
        <x:v>186</x:v>
      </x:c>
      <x:c r="F155" s="23">
        <x:v>15</x:v>
      </x:c>
      <x:c r="G155" s="23">
        <x:v>12</x:v>
      </x:c>
      <x:c r="H155" s="23">
        <x:v>30</x:v>
      </x:c>
      <x:c r="I155" s="23">
        <x:v>5685</x:v>
      </x:c>
      <x:c r="J155" s="23">
        <x:v>14885</x:v>
      </x:c>
      <x:c r="K155" s="23">
        <x:v>0</x:v>
      </x:c>
      <x:c r="L155" s="23" t="s">
        <x:v>310</x:v>
      </x:c>
      <x:c r="M155" s="23">
        <x:f t="shared" si="2"/>
        <x:v>858</x:v>
      </x:c>
      <x:c r="N155" s="24" t="str">
        <x:f t="array" ref="N155">INDEX('MATCH INFO'!O:O, INT((ROW()-2)/10)+2 + 124)</x:f>
        <x:v>260704_CR_T1_S3</x:v>
      </x:c>
    </x:row>
    <x:row r="156">
      <x:c r="A156" s="23" t="s">
        <x:v>63</x:v>
      </x:c>
      <x:c r="B156" s="23" t="s">
        <x:v>66</x:v>
      </x:c>
      <x:c r="C156" s="23" t="s">
        <x:v>11</x:v>
      </x:c>
      <x:c r="D156" s="23" t="s">
        <x:v>124</x:v>
      </x:c>
      <x:c r="E156" s="23" t="s">
        <x:v>186</x:v>
      </x:c>
      <x:c r="F156" s="23">
        <x:v>31</x:v>
      </x:c>
      <x:c r="G156" s="23">
        <x:v>11</x:v>
      </x:c>
      <x:c r="H156" s="23">
        <x:v>0</x:v>
      </x:c>
      <x:c r="I156" s="23">
        <x:v>10928</x:v>
      </x:c>
      <x:c r="J156" s="23">
        <x:v>1139</x:v>
      </x:c>
      <x:c r="K156" s="23">
        <x:v>836</x:v>
      </x:c>
      <x:c r="L156" s="23" t="s">
        <x:v>310</x:v>
      </x:c>
      <x:c r="M156" s="23">
        <x:f t="shared" si="2"/>
        <x:v>858</x:v>
      </x:c>
      <x:c r="N156" s="24" t="str">
        <x:f t="array" ref="N156">INDEX('MATCH INFO'!O:O, INT((ROW()-2)/10)+2 + 124)</x:f>
        <x:v>260704_CR_T1_S3</x:v>
      </x:c>
    </x:row>
    <x:row r="157">
      <x:c r="A157" s="23" t="s">
        <x:v>55</x:v>
      </x:c>
      <x:c r="B157" s="23" t="s">
        <x:v>61</x:v>
      </x:c>
      <x:c r="C157" s="23" t="s">
        <x:v>16</x:v>
      </x:c>
      <x:c r="D157" s="23" t="s">
        <x:v>124</x:v>
      </x:c>
      <x:c r="E157" s="23" t="s">
        <x:v>186</x:v>
      </x:c>
      <x:c r="F157" s="23">
        <x:v>32</x:v>
      </x:c>
      <x:c r="G157" s="23">
        <x:v>9</x:v>
      </x:c>
      <x:c r="H157" s="23">
        <x:v>29</x:v>
      </x:c>
      <x:c r="I157" s="23">
        <x:v>5211</x:v>
      </x:c>
      <x:c r="J157" s="23">
        <x:v>8536</x:v>
      </x:c>
      <x:c r="K157" s="23">
        <x:v>0</x:v>
      </x:c>
      <x:c r="L157" s="23" t="s">
        <x:v>310</x:v>
      </x:c>
      <x:c r="M157" s="23">
        <x:f t="shared" si="2"/>
        <x:v>858</x:v>
      </x:c>
      <x:c r="N157" s="24" t="str">
        <x:f t="array" ref="N157">INDEX('MATCH INFO'!O:O, INT((ROW()-2)/10)+2 + 124)</x:f>
        <x:v>260704_CR_T1_S3</x:v>
      </x:c>
    </x:row>
    <x:row r="158">
      <x:c r="A158" s="23" t="s">
        <x:v>55</x:v>
      </x:c>
      <x:c r="B158" s="23" t="s">
        <x:v>58</x:v>
      </x:c>
      <x:c r="C158" s="23" t="s">
        <x:v>11</x:v>
      </x:c>
      <x:c r="D158" s="23" t="s">
        <x:v>124</x:v>
      </x:c>
      <x:c r="E158" s="23" t="s">
        <x:v>186</x:v>
      </x:c>
      <x:c r="F158" s="23">
        <x:v>38</x:v>
      </x:c>
      <x:c r="G158" s="23">
        <x:v>6</x:v>
      </x:c>
      <x:c r="H158" s="23">
        <x:v>0</x:v>
      </x:c>
      <x:c r="I158" s="23">
        <x:v>14059</x:v>
      </x:c>
      <x:c r="J158" s="23">
        <x:v>986</x:v>
      </x:c>
      <x:c r="K158" s="23">
        <x:v>0</x:v>
      </x:c>
      <x:c r="L158" s="23" t="s">
        <x:v>310</x:v>
      </x:c>
      <x:c r="M158" s="23">
        <x:f t="shared" si="2"/>
        <x:v>858</x:v>
      </x:c>
      <x:c r="N158" s="24" t="str">
        <x:f t="array" ref="N158">INDEX('MATCH INFO'!O:O, INT((ROW()-2)/10)+2 + 124)</x:f>
        <x:v>260704_CR_T1_S3</x:v>
      </x:c>
    </x:row>
    <x:row r="159">
      <x:c r="A159" s="23" t="s">
        <x:v>55</x:v>
      </x:c>
      <x:c r="B159" s="23" t="s">
        <x:v>57</x:v>
      </x:c>
      <x:c r="C159" s="23" t="s">
        <x:v>8</x:v>
      </x:c>
      <x:c r="D159" s="23" t="s">
        <x:v>124</x:v>
      </x:c>
      <x:c r="E159" s="23" t="s">
        <x:v>186</x:v>
      </x:c>
      <x:c r="F159" s="23">
        <x:v>34</x:v>
      </x:c>
      <x:c r="G159" s="23">
        <x:v>10</x:v>
      </x:c>
      <x:c r="H159" s="23">
        <x:v>30</x:v>
      </x:c>
      <x:c r="I159" s="23">
        <x:v>15628</x:v>
      </x:c>
      <x:c r="J159" s="23">
        <x:v>4101</x:v>
      </x:c>
      <x:c r="K159" s="23">
        <x:v>8865</x:v>
      </x:c>
      <x:c r="L159" s="23" t="s">
        <x:v>310</x:v>
      </x:c>
      <x:c r="M159" s="23">
        <x:f t="shared" si="2"/>
        <x:v>858</x:v>
      </x:c>
      <x:c r="N159" s="24" t="str">
        <x:f t="array" ref="N159">INDEX('MATCH INFO'!O:O, INT((ROW()-2)/10)+2 + 124)</x:f>
        <x:v>260704_CR_T1_S3</x:v>
      </x:c>
    </x:row>
    <x:row r="160">
      <x:c r="A160" s="23" t="s">
        <x:v>55</x:v>
      </x:c>
      <x:c r="B160" s="23" t="s">
        <x:v>60</x:v>
      </x:c>
      <x:c r="C160" s="23" t="s">
        <x:v>11</x:v>
      </x:c>
      <x:c r="D160" s="23" t="s">
        <x:v>124</x:v>
      </x:c>
      <x:c r="E160" s="23" t="s">
        <x:v>186</x:v>
      </x:c>
      <x:c r="F160" s="23">
        <x:v>40</x:v>
      </x:c>
      <x:c r="G160" s="23">
        <x:v>12</x:v>
      </x:c>
      <x:c r="H160" s="23">
        <x:v>3</x:v>
      </x:c>
      <x:c r="I160" s="23">
        <x:v>15037</x:v>
      </x:c>
      <x:c r="J160" s="23">
        <x:v>230</x:v>
      </x:c>
      <x:c r="K160" s="23">
        <x:v>1011</x:v>
      </x:c>
      <x:c r="L160" s="23" t="s">
        <x:v>310</x:v>
      </x:c>
      <x:c r="M160" s="23">
        <x:f t="shared" si="2"/>
        <x:v>858</x:v>
      </x:c>
      <x:c r="N160" s="24" t="str">
        <x:f t="array" ref="N160">INDEX('MATCH INFO'!O:O, INT((ROW()-2)/10)+2 + 124)</x:f>
        <x:v>260704_CR_T1_S3</x:v>
      </x:c>
    </x:row>
    <x:row r="161">
      <x:c r="A161" s="23" t="s">
        <x:v>55</x:v>
      </x:c>
      <x:c r="B161" s="23" t="s">
        <x:v>62</x:v>
      </x:c>
      <x:c r="C161" s="23" t="s">
        <x:v>16</x:v>
      </x:c>
      <x:c r="D161" s="23" t="s">
        <x:v>124</x:v>
      </x:c>
      <x:c r="E161" s="23" t="s">
        <x:v>186</x:v>
      </x:c>
      <x:c r="F161" s="23">
        <x:v>24</x:v>
      </x:c>
      <x:c r="G161" s="23">
        <x:v>10</x:v>
      </x:c>
      <x:c r="H161" s="23">
        <x:v>34</x:v>
      </x:c>
      <x:c r="I161" s="23">
        <x:v>8677</x:v>
      </x:c>
      <x:c r="J161" s="23">
        <x:v>14523</x:v>
      </x:c>
      <x:c r="K161" s="23">
        <x:v>0</x:v>
      </x:c>
      <x:c r="L161" s="23" t="s">
        <x:v>310</x:v>
      </x:c>
      <x:c r="M161" s="23">
        <x:f t="shared" si="2"/>
        <x:v>858</x:v>
      </x:c>
      <x:c r="N161" s="24" t="str">
        <x:f t="array" ref="N161">INDEX('MATCH INFO'!O:O, INT((ROW()-2)/10)+2 + 124)</x:f>
        <x:v>260704_CR_T1_S3</x:v>
      </x:c>
    </x:row>
    <x:row r="162">
      <x:c r="A162" s="23" t="s">
        <x:v>63</x:v>
      </x:c>
      <x:c r="B162" s="23" t="s">
        <x:v>69</x:v>
      </x:c>
      <x:c r="C162" s="23" t="s">
        <x:v>16</x:v>
      </x:c>
      <x:c r="D162" s="23" t="s">
        <x:v>138</x:v>
      </x:c>
      <x:c r="E162" s="23" t="s">
        <x:v>191</x:v>
      </x:c>
      <x:c r="F162" s="23">
        <x:v>16</x:v>
      </x:c>
      <x:c r="G162" s="23">
        <x:v>11</x:v>
      </x:c>
      <x:c r="H162" s="23">
        <x:v>16</x:v>
      </x:c>
      <x:c r="I162" s="23">
        <x:v>5432</x:v>
      </x:c>
      <x:c r="J162" s="23">
        <x:v>12015</x:v>
      </x:c>
      <x:c r="K162" s="23">
        <x:v>2778</x:v>
      </x:c>
      <x:c r="L162" s="23" t="s">
        <x:v>316</x:v>
      </x:c>
      <x:c r="M162" s="23">
        <x:f t="shared" si="2"/>
        <x:v>956.00000000000011</x:v>
      </x:c>
      <x:c r="N162" s="24" t="str">
        <x:f t="array" ref="N162">INDEX('MATCH INFO'!O:O, INT((ROW()-2)/10)+2 + 124)</x:f>
        <x:v>260704_CR_T1_S4</x:v>
      </x:c>
    </x:row>
    <x:row r="163">
      <x:c r="A163" s="23" t="s">
        <x:v>63</x:v>
      </x:c>
      <x:c r="B163" s="23" t="s">
        <x:v>64</x:v>
      </x:c>
      <x:c r="C163" s="23" t="s">
        <x:v>8</x:v>
      </x:c>
      <x:c r="D163" s="23" t="s">
        <x:v>138</x:v>
      </x:c>
      <x:c r="E163" s="23" t="s">
        <x:v>191</x:v>
      </x:c>
      <x:c r="F163" s="23">
        <x:v>22</x:v>
      </x:c>
      <x:c r="G163" s="23">
        <x:v>9</x:v>
      </x:c>
      <x:c r="H163" s="23">
        <x:v>6</x:v>
      </x:c>
      <x:c r="I163" s="23">
        <x:v>12497</x:v>
      </x:c>
      <x:c r="J163" s="23">
        <x:v>850</x:v>
      </x:c>
      <x:c r="K163" s="23">
        <x:v>13678</x:v>
      </x:c>
      <x:c r="L163" s="23" t="s">
        <x:v>316</x:v>
      </x:c>
      <x:c r="M163" s="23">
        <x:f t="shared" si="2"/>
        <x:v>956.00000000000011</x:v>
      </x:c>
      <x:c r="N163" s="24" t="str">
        <x:f t="array" ref="N163">INDEX('MATCH INFO'!O:O, INT((ROW()-2)/10)+2 + 124)</x:f>
        <x:v>260704_CR_T1_S4</x:v>
      </x:c>
    </x:row>
    <x:row r="164">
      <x:c r="A164" s="23" t="s">
        <x:v>63</x:v>
      </x:c>
      <x:c r="B164" s="23" t="s">
        <x:v>67</x:v>
      </x:c>
      <x:c r="C164" s="23" t="s">
        <x:v>11</x:v>
      </x:c>
      <x:c r="D164" s="23" t="s">
        <x:v>138</x:v>
      </x:c>
      <x:c r="E164" s="23" t="s">
        <x:v>191</x:v>
      </x:c>
      <x:c r="F164" s="23">
        <x:v>22</x:v>
      </x:c>
      <x:c r="G164" s="23">
        <x:v>12</x:v>
      </x:c>
      <x:c r="H164" s="23">
        <x:v>0</x:v>
      </x:c>
      <x:c r="I164" s="23">
        <x:v>15970</x:v>
      </x:c>
      <x:c r="J164" s="23">
        <x:v>72</x:v>
      </x:c>
      <x:c r="K164" s="23">
        <x:v>358</x:v>
      </x:c>
      <x:c r="L164" s="23" t="s">
        <x:v>316</x:v>
      </x:c>
      <x:c r="M164" s="23">
        <x:f t="shared" si="2"/>
        <x:v>956.00000000000011</x:v>
      </x:c>
      <x:c r="N164" s="24" t="str">
        <x:f t="array" ref="N164">INDEX('MATCH INFO'!O:O, INT((ROW()-2)/10)+2 + 124)</x:f>
        <x:v>260704_CR_T1_S4</x:v>
      </x:c>
    </x:row>
    <x:row r="165">
      <x:c r="A165" s="23" t="s">
        <x:v>63</x:v>
      </x:c>
      <x:c r="B165" s="23" t="s">
        <x:v>70</x:v>
      </x:c>
      <x:c r="C165" s="23" t="s">
        <x:v>16</x:v>
      </x:c>
      <x:c r="D165" s="23" t="s">
        <x:v>138</x:v>
      </x:c>
      <x:c r="E165" s="23" t="s">
        <x:v>191</x:v>
      </x:c>
      <x:c r="F165" s="23">
        <x:v>8</x:v>
      </x:c>
      <x:c r="G165" s="23">
        <x:v>8</x:v>
      </x:c>
      <x:c r="H165" s="23">
        <x:v>18</x:v>
      </x:c>
      <x:c r="I165" s="23">
        <x:v>5260</x:v>
      </x:c>
      <x:c r="J165" s="23">
        <x:v>18677</x:v>
      </x:c>
      <x:c r="K165" s="23">
        <x:v>0</x:v>
      </x:c>
      <x:c r="L165" s="23" t="s">
        <x:v>316</x:v>
      </x:c>
      <x:c r="M165" s="23">
        <x:f t="shared" si="2"/>
        <x:v>956.00000000000011</x:v>
      </x:c>
      <x:c r="N165" s="24" t="str">
        <x:f t="array" ref="N165">INDEX('MATCH INFO'!O:O, INT((ROW()-2)/10)+2 + 124)</x:f>
        <x:v>260704_CR_T1_S4</x:v>
      </x:c>
    </x:row>
    <x:row r="166">
      <x:c r="A166" s="23" t="s">
        <x:v>63</x:v>
      </x:c>
      <x:c r="B166" s="23" t="s">
        <x:v>66</x:v>
      </x:c>
      <x:c r="C166" s="23" t="s">
        <x:v>11</x:v>
      </x:c>
      <x:c r="D166" s="23" t="s">
        <x:v>138</x:v>
      </x:c>
      <x:c r="E166" s="23" t="s">
        <x:v>191</x:v>
      </x:c>
      <x:c r="F166" s="23">
        <x:v>16</x:v>
      </x:c>
      <x:c r="G166" s="23">
        <x:v>11</x:v>
      </x:c>
      <x:c r="H166" s="23">
        <x:v>4</x:v>
      </x:c>
      <x:c r="I166" s="23">
        <x:v>9429</x:v>
      </x:c>
      <x:c r="J166" s="23">
        <x:v>922</x:v>
      </x:c>
      <x:c r="K166" s="23">
        <x:v>1799</x:v>
      </x:c>
      <x:c r="L166" s="23" t="s">
        <x:v>316</x:v>
      </x:c>
      <x:c r="M166" s="23">
        <x:f t="shared" si="2"/>
        <x:v>956.00000000000011</x:v>
      </x:c>
      <x:c r="N166" s="24" t="str">
        <x:f t="array" ref="N166">INDEX('MATCH INFO'!O:O, INT((ROW()-2)/10)+2 + 124)</x:f>
        <x:v>260704_CR_T1_S4</x:v>
      </x:c>
    </x:row>
    <x:row r="167">
      <x:c r="A167" s="23" t="s">
        <x:v>55</x:v>
      </x:c>
      <x:c r="B167" s="23" t="s">
        <x:v>61</x:v>
      </x:c>
      <x:c r="C167" s="23" t="s">
        <x:v>16</x:v>
      </x:c>
      <x:c r="D167" s="23" t="s">
        <x:v>138</x:v>
      </x:c>
      <x:c r="E167" s="23" t="s">
        <x:v>191</x:v>
      </x:c>
      <x:c r="F167" s="23">
        <x:v>33</x:v>
      </x:c>
      <x:c r="G167" s="23">
        <x:v>7</x:v>
      </x:c>
      <x:c r="H167" s="23">
        <x:v>33</x:v>
      </x:c>
      <x:c r="I167" s="23">
        <x:v>7808</x:v>
      </x:c>
      <x:c r="J167" s="23">
        <x:v>13274</x:v>
      </x:c>
      <x:c r="K167" s="23">
        <x:v>800</x:v>
      </x:c>
      <x:c r="L167" s="23" t="s">
        <x:v>316</x:v>
      </x:c>
      <x:c r="M167" s="23">
        <x:f t="shared" si="2"/>
        <x:v>956.00000000000011</x:v>
      </x:c>
      <x:c r="N167" s="24" t="str">
        <x:f t="array" ref="N167">INDEX('MATCH INFO'!O:O, INT((ROW()-2)/10)+2 + 124)</x:f>
        <x:v>260704_CR_T1_S4</x:v>
      </x:c>
    </x:row>
    <x:row r="168">
      <x:c r="A168" s="23" t="s">
        <x:v>55</x:v>
      </x:c>
      <x:c r="B168" s="23" t="s">
        <x:v>58</x:v>
      </x:c>
      <x:c r="C168" s="23" t="s">
        <x:v>11</x:v>
      </x:c>
      <x:c r="D168" s="23" t="s">
        <x:v>138</x:v>
      </x:c>
      <x:c r="E168" s="23" t="s">
        <x:v>191</x:v>
      </x:c>
      <x:c r="F168" s="23">
        <x:v>30</x:v>
      </x:c>
      <x:c r="G168" s="23">
        <x:v>7</x:v>
      </x:c>
      <x:c r="H168" s="23">
        <x:v>5</x:v>
      </x:c>
      <x:c r="I168" s="23">
        <x:v>14961</x:v>
      </x:c>
      <x:c r="J168" s="23">
        <x:v>632</x:v>
      </x:c>
      <x:c r="K168" s="23">
        <x:v>5173</x:v>
      </x:c>
      <x:c r="L168" s="23" t="s">
        <x:v>316</x:v>
      </x:c>
      <x:c r="M168" s="23">
        <x:f t="shared" si="2"/>
        <x:v>956.00000000000011</x:v>
      </x:c>
      <x:c r="N168" s="24" t="str">
        <x:f t="array" ref="N168">INDEX('MATCH INFO'!O:O, INT((ROW()-2)/10)+2 + 124)</x:f>
        <x:v>260704_CR_T1_S4</x:v>
      </x:c>
    </x:row>
    <x:row r="169">
      <x:c r="A169" s="23" t="s">
        <x:v>55</x:v>
      </x:c>
      <x:c r="B169" s="23" t="s">
        <x:v>57</x:v>
      </x:c>
      <x:c r="C169" s="23" t="s">
        <x:v>8</x:v>
      </x:c>
      <x:c r="D169" s="23" t="s">
        <x:v>138</x:v>
      </x:c>
      <x:c r="E169" s="23" t="s">
        <x:v>191</x:v>
      </x:c>
      <x:c r="F169" s="23">
        <x:v>36</x:v>
      </x:c>
      <x:c r="G169" s="23">
        <x:v>4</x:v>
      </x:c>
      <x:c r="H169" s="23">
        <x:v>8</x:v>
      </x:c>
      <x:c r="I169" s="23">
        <x:v>14664</x:v>
      </x:c>
      <x:c r="J169" s="23">
        <x:v>941</x:v>
      </x:c>
      <x:c r="K169" s="23">
        <x:v>22700</x:v>
      </x:c>
      <x:c r="L169" s="23" t="s">
        <x:v>316</x:v>
      </x:c>
      <x:c r="M169" s="23">
        <x:f t="shared" si="2"/>
        <x:v>956.00000000000011</x:v>
      </x:c>
      <x:c r="N169" s="24" t="str">
        <x:f t="array" ref="N169">INDEX('MATCH INFO'!O:O, INT((ROW()-2)/10)+2 + 124)</x:f>
        <x:v>260704_CR_T1_S4</x:v>
      </x:c>
    </x:row>
    <x:row r="170">
      <x:c r="A170" s="23" t="s">
        <x:v>55</x:v>
      </x:c>
      <x:c r="B170" s="23" t="s">
        <x:v>60</x:v>
      </x:c>
      <x:c r="C170" s="23" t="s">
        <x:v>11</x:v>
      </x:c>
      <x:c r="D170" s="23" t="s">
        <x:v>138</x:v>
      </x:c>
      <x:c r="E170" s="23" t="s">
        <x:v>191</x:v>
      </x:c>
      <x:c r="F170" s="23">
        <x:v>32</x:v>
      </x:c>
      <x:c r="G170" s="23">
        <x:v>7</x:v>
      </x:c>
      <x:c r="H170" s="23">
        <x:v>0</x:v>
      </x:c>
      <x:c r="I170" s="23">
        <x:v>15459</x:v>
      </x:c>
      <x:c r="J170" s="23">
        <x:v>0</x:v>
      </x:c>
      <x:c r="K170" s="23">
        <x:v>326</x:v>
      </x:c>
      <x:c r="L170" s="23" t="s">
        <x:v>316</x:v>
      </x:c>
      <x:c r="M170" s="23">
        <x:f t="shared" si="2"/>
        <x:v>956.00000000000011</x:v>
      </x:c>
      <x:c r="N170" s="24" t="str">
        <x:f t="array" ref="N170">INDEX('MATCH INFO'!O:O, INT((ROW()-2)/10)+2 + 124)</x:f>
        <x:v>260704_CR_T1_S4</x:v>
      </x:c>
    </x:row>
    <x:row r="171">
      <x:c r="A171" s="23" t="s">
        <x:v>55</x:v>
      </x:c>
      <x:c r="B171" s="23" t="s">
        <x:v>62</x:v>
      </x:c>
      <x:c r="C171" s="23" t="s">
        <x:v>16</x:v>
      </x:c>
      <x:c r="D171" s="23" t="s">
        <x:v>138</x:v>
      </x:c>
      <x:c r="E171" s="23" t="s">
        <x:v>191</x:v>
      </x:c>
      <x:c r="F171" s="23">
        <x:v>18</x:v>
      </x:c>
      <x:c r="G171" s="23">
        <x:v>5</x:v>
      </x:c>
      <x:c r="H171" s="23">
        <x:v>43</x:v>
      </x:c>
      <x:c r="I171" s="23">
        <x:v>6864</x:v>
      </x:c>
      <x:c r="J171" s="23">
        <x:v>19577</x:v>
      </x:c>
      <x:c r="K171" s="23">
        <x:v>0</x:v>
      </x:c>
      <x:c r="L171" s="23" t="s">
        <x:v>316</x:v>
      </x:c>
      <x:c r="M171" s="23">
        <x:f t="shared" si="2"/>
        <x:v>956.00000000000011</x:v>
      </x:c>
      <x:c r="N171" s="24" t="str">
        <x:f t="array" ref="N171">INDEX('MATCH INFO'!O:O, INT((ROW()-2)/10)+2 + 124)</x:f>
        <x:v>260704_CR_T1_S4</x:v>
      </x:c>
    </x:row>
    <x:row r="172">
      <x:c r="A172" s="23" t="s">
        <x:v>72</x:v>
      </x:c>
      <x:c r="B172" s="23" t="s">
        <x:v>76</x:v>
      </x:c>
      <x:c r="C172" s="23" t="s">
        <x:v>11</x:v>
      </x:c>
      <x:c r="D172" s="23" t="s">
        <x:v>107</x:v>
      </x:c>
      <x:c r="E172" s="23" t="s">
        <x:v>184</x:v>
      </x:c>
      <x:c r="F172" s="23">
        <x:v>14</x:v>
      </x:c>
      <x:c r="G172" s="23">
        <x:v>10</x:v>
      </x:c>
      <x:c r="H172" s="23">
        <x:v>0</x:v>
      </x:c>
      <x:c r="I172" s="23">
        <x:v>8822</x:v>
      </x:c>
      <x:c r="J172" s="23">
        <x:v>1309</x:v>
      </x:c>
      <x:c r="K172" s="23">
        <x:v>0</x:v>
      </x:c>
      <x:c r="L172" s="23" t="s">
        <x:v>317</x:v>
      </x:c>
      <x:c r="M172" s="23">
        <x:f t="shared" si="2"/>
        <x:v>681</x:v>
      </x:c>
      <x:c r="N172" s="24" t="str">
        <x:f t="array" ref="N172">INDEX('MATCH INFO'!O:O, INT((ROW()-2)/10)+2 + 124)</x:f>
        <x:v>260704_ZETA_FLC_S1</x:v>
      </x:c>
    </x:row>
    <x:row r="173">
      <x:c r="A173" s="23" t="s">
        <x:v>72</x:v>
      </x:c>
      <x:c r="B173" s="23" t="s">
        <x:v>78</x:v>
      </x:c>
      <x:c r="C173" s="23" t="s">
        <x:v>16</x:v>
      </x:c>
      <x:c r="D173" s="23" t="s">
        <x:v>107</x:v>
      </x:c>
      <x:c r="E173" s="23" t="s">
        <x:v>184</x:v>
      </x:c>
      <x:c r="F173" s="23">
        <x:v>23</x:v>
      </x:c>
      <x:c r="G173" s="23">
        <x:v>7</x:v>
      </x:c>
      <x:c r="H173" s="23">
        <x:v>12</x:v>
      </x:c>
      <x:c r="I173" s="23">
        <x:v>7457</x:v>
      </x:c>
      <x:c r="J173" s="23">
        <x:v>10324</x:v>
      </x:c>
      <x:c r="K173" s="23">
        <x:v>0</x:v>
      </x:c>
      <x:c r="L173" s="23" t="s">
        <x:v>317</x:v>
      </x:c>
      <x:c r="M173" s="23">
        <x:f t="shared" si="2"/>
        <x:v>681</x:v>
      </x:c>
      <x:c r="N173" s="24" t="str">
        <x:f t="array" ref="N173">INDEX('MATCH INFO'!O:O, INT((ROW()-2)/10)+2 + 124)</x:f>
        <x:v>260704_ZETA_FLC_S1</x:v>
      </x:c>
    </x:row>
    <x:row r="174">
      <x:c r="A174" s="23" t="s">
        <x:v>72</x:v>
      </x:c>
      <x:c r="B174" s="23" t="s">
        <x:v>79</x:v>
      </x:c>
      <x:c r="C174" s="23" t="s">
        <x:v>16</x:v>
      </x:c>
      <x:c r="D174" s="23" t="s">
        <x:v>107</x:v>
      </x:c>
      <x:c r="E174" s="23" t="s">
        <x:v>184</x:v>
      </x:c>
      <x:c r="F174" s="23">
        <x:v>21</x:v>
      </x:c>
      <x:c r="G174" s="23">
        <x:v>6</x:v>
      </x:c>
      <x:c r="H174" s="23">
        <x:v>32</x:v>
      </x:c>
      <x:c r="I174" s="23">
        <x:v>6314</x:v>
      </x:c>
      <x:c r="J174" s="23">
        <x:v>10576</x:v>
      </x:c>
      <x:c r="K174" s="23">
        <x:v>0</x:v>
      </x:c>
      <x:c r="L174" s="23" t="s">
        <x:v>317</x:v>
      </x:c>
      <x:c r="M174" s="23">
        <x:f t="shared" si="2"/>
        <x:v>681</x:v>
      </x:c>
      <x:c r="N174" s="24" t="str">
        <x:f t="array" ref="N174">INDEX('MATCH INFO'!O:O, INT((ROW()-2)/10)+2 + 124)</x:f>
        <x:v>260704_ZETA_FLC_S1</x:v>
      </x:c>
    </x:row>
    <x:row r="175">
      <x:c r="A175" s="23" t="s">
        <x:v>72</x:v>
      </x:c>
      <x:c r="B175" s="23" t="s">
        <x:v>74</x:v>
      </x:c>
      <x:c r="C175" s="23" t="s">
        <x:v>8</x:v>
      </x:c>
      <x:c r="D175" s="23" t="s">
        <x:v>107</x:v>
      </x:c>
      <x:c r="E175" s="23" t="s">
        <x:v>184</x:v>
      </x:c>
      <x:c r="F175" s="23">
        <x:v>29</x:v>
      </x:c>
      <x:c r="G175" s="23">
        <x:v>9</x:v>
      </x:c>
      <x:c r="H175" s="23">
        <x:v>25</x:v>
      </x:c>
      <x:c r="I175" s="23">
        <x:v>14821</x:v>
      </x:c>
      <x:c r="J175" s="23">
        <x:v>4091</x:v>
      </x:c>
      <x:c r="K175" s="23">
        <x:v>6886</x:v>
      </x:c>
      <x:c r="L175" s="23" t="s">
        <x:v>317</x:v>
      </x:c>
      <x:c r="M175" s="23">
        <x:f t="shared" si="2"/>
        <x:v>681</x:v>
      </x:c>
      <x:c r="N175" s="24" t="str">
        <x:f t="array" ref="N175">INDEX('MATCH INFO'!O:O, INT((ROW()-2)/10)+2 + 124)</x:f>
        <x:v>260704_ZETA_FLC_S1</x:v>
      </x:c>
    </x:row>
    <x:row r="176">
      <x:c r="A176" s="23" t="s">
        <x:v>72</x:v>
      </x:c>
      <x:c r="B176" s="23" t="s">
        <x:v>75</x:v>
      </x:c>
      <x:c r="C176" s="23" t="s">
        <x:v>11</x:v>
      </x:c>
      <x:c r="D176" s="23" t="s">
        <x:v>107</x:v>
      </x:c>
      <x:c r="E176" s="23" t="s">
        <x:v>184</x:v>
      </x:c>
      <x:c r="F176" s="23">
        <x:v>31</x:v>
      </x:c>
      <x:c r="G176" s="23">
        <x:v>10</x:v>
      </x:c>
      <x:c r="H176" s="23">
        <x:v>4</x:v>
      </x:c>
      <x:c r="I176" s="23">
        <x:v>13348</x:v>
      </x:c>
      <x:c r="J176" s="23">
        <x:v>284</x:v>
      </x:c>
      <x:c r="K176" s="23">
        <x:v>522</x:v>
      </x:c>
      <x:c r="L176" s="23" t="s">
        <x:v>317</x:v>
      </x:c>
      <x:c r="M176" s="23">
        <x:f t="shared" si="2"/>
        <x:v>681</x:v>
      </x:c>
      <x:c r="N176" s="24" t="str">
        <x:f t="array" ref="N176">INDEX('MATCH INFO'!O:O, INT((ROW()-2)/10)+2 + 124)</x:f>
        <x:v>260704_ZETA_FLC_S1</x:v>
      </x:c>
    </x:row>
    <x:row r="177">
      <x:c r="A177" s="23" t="s">
        <x:v>47</x:v>
      </x:c>
      <x:c r="B177" s="23" t="s">
        <x:v>49</x:v>
      </x:c>
      <x:c r="C177" s="23" t="s">
        <x:v>8</x:v>
      </x:c>
      <x:c r="D177" s="23" t="s">
        <x:v>107</x:v>
      </x:c>
      <x:c r="E177" s="23" t="s">
        <x:v>184</x:v>
      </x:c>
      <x:c r="F177" s="23">
        <x:v>24</x:v>
      </x:c>
      <x:c r="G177" s="23">
        <x:v>9</x:v>
      </x:c>
      <x:c r="H177" s="23">
        <x:v>17</x:v>
      </x:c>
      <x:c r="I177" s="23">
        <x:v>15215</x:v>
      </x:c>
      <x:c r="J177" s="23">
        <x:v>2479</x:v>
      </x:c>
      <x:c r="K177" s="23">
        <x:v>7155</x:v>
      </x:c>
      <x:c r="L177" s="23" t="s">
        <x:v>317</x:v>
      </x:c>
      <x:c r="M177" s="23">
        <x:f t="shared" si="2"/>
        <x:v>681</x:v>
      </x:c>
      <x:c r="N177" s="24" t="str">
        <x:f t="array" ref="N177">INDEX('MATCH INFO'!O:O, INT((ROW()-2)/10)+2 + 124)</x:f>
        <x:v>260704_ZETA_FLC_S1</x:v>
      </x:c>
    </x:row>
    <x:row r="178">
      <x:c r="A178" s="23" t="s">
        <x:v>47</x:v>
      </x:c>
      <x:c r="B178" s="23" t="s">
        <x:v>51</x:v>
      </x:c>
      <x:c r="C178" s="23" t="s">
        <x:v>11</x:v>
      </x:c>
      <x:c r="D178" s="23" t="s">
        <x:v>107</x:v>
      </x:c>
      <x:c r="E178" s="23" t="s">
        <x:v>184</x:v>
      </x:c>
      <x:c r="F178" s="23">
        <x:v>18</x:v>
      </x:c>
      <x:c r="G178" s="23">
        <x:v>11</x:v>
      </x:c>
      <x:c r="H178" s="23">
        <x:v>0</x:v>
      </x:c>
      <x:c r="I178" s="23">
        <x:v>9425</x:v>
      </x:c>
      <x:c r="J178" s="23">
        <x:v>1302</x:v>
      </x:c>
      <x:c r="K178" s="23">
        <x:v>0</x:v>
      </x:c>
      <x:c r="L178" s="23" t="s">
        <x:v>317</x:v>
      </x:c>
      <x:c r="M178" s="23">
        <x:f t="shared" si="2"/>
        <x:v>681</x:v>
      </x:c>
      <x:c r="N178" s="24" t="str">
        <x:f t="array" ref="N178">INDEX('MATCH INFO'!O:O, INT((ROW()-2)/10)+2 + 124)</x:f>
        <x:v>260704_ZETA_FLC_S1</x:v>
      </x:c>
    </x:row>
    <x:row r="179">
      <x:c r="A179" s="23" t="s">
        <x:v>47</x:v>
      </x:c>
      <x:c r="B179" s="23" t="s">
        <x:v>50</x:v>
      </x:c>
      <x:c r="C179" s="23" t="s">
        <x:v>11</x:v>
      </x:c>
      <x:c r="D179" s="23" t="s">
        <x:v>107</x:v>
      </x:c>
      <x:c r="E179" s="23" t="s">
        <x:v>184</x:v>
      </x:c>
      <x:c r="F179" s="23">
        <x:v>29</x:v>
      </x:c>
      <x:c r="G179" s="23">
        <x:v>7</x:v>
      </x:c>
      <x:c r="H179" s="23">
        <x:v>3</x:v>
      </x:c>
      <x:c r="I179" s="23">
        <x:v>13973</x:v>
      </x:c>
      <x:c r="J179" s="23">
        <x:v>221</x:v>
      </x:c>
      <x:c r="K179" s="23">
        <x:v>617</x:v>
      </x:c>
      <x:c r="L179" s="23" t="s">
        <x:v>317</x:v>
      </x:c>
      <x:c r="M179" s="23">
        <x:f t="shared" si="2"/>
        <x:v>681</x:v>
      </x:c>
      <x:c r="N179" s="24" t="str">
        <x:f t="array" ref="N179">INDEX('MATCH INFO'!O:O, INT((ROW()-2)/10)+2 + 124)</x:f>
        <x:v>260704_ZETA_FLC_S1</x:v>
      </x:c>
    </x:row>
    <x:row r="180">
      <x:c r="A180" s="23" t="s">
        <x:v>47</x:v>
      </x:c>
      <x:c r="B180" s="23" t="s">
        <x:v>53</x:v>
      </x:c>
      <x:c r="C180" s="23" t="s">
        <x:v>16</x:v>
      </x:c>
      <x:c r="D180" s="23" t="s">
        <x:v>107</x:v>
      </x:c>
      <x:c r="E180" s="23" t="s">
        <x:v>184</x:v>
      </x:c>
      <x:c r="F180" s="23">
        <x:v>17</x:v>
      </x:c>
      <x:c r="G180" s="23">
        <x:v>8</x:v>
      </x:c>
      <x:c r="H180" s="23">
        <x:v>30</x:v>
      </x:c>
      <x:c r="I180" s="23">
        <x:v>4778</x:v>
      </x:c>
      <x:c r="J180" s="23">
        <x:v>13458</x:v>
      </x:c>
      <x:c r="K180" s="23">
        <x:v>0</x:v>
      </x:c>
      <x:c r="L180" s="23" t="s">
        <x:v>317</x:v>
      </x:c>
      <x:c r="M180" s="23">
        <x:f t="shared" si="2"/>
        <x:v>681</x:v>
      </x:c>
      <x:c r="N180" s="24" t="str">
        <x:f t="array" ref="N180">INDEX('MATCH INFO'!O:O, INT((ROW()-2)/10)+2 + 124)</x:f>
        <x:v>260704_ZETA_FLC_S1</x:v>
      </x:c>
    </x:row>
    <x:row r="181">
      <x:c r="A181" s="23" t="s">
        <x:v>47</x:v>
      </x:c>
      <x:c r="B181" s="23" t="s">
        <x:v>52</x:v>
      </x:c>
      <x:c r="C181" s="23" t="s">
        <x:v>16</x:v>
      </x:c>
      <x:c r="D181" s="23" t="s">
        <x:v>107</x:v>
      </x:c>
      <x:c r="E181" s="23" t="s">
        <x:v>184</x:v>
      </x:c>
      <x:c r="F181" s="23">
        <x:v>24</x:v>
      </x:c>
      <x:c r="G181" s="23">
        <x:v>10</x:v>
      </x:c>
      <x:c r="H181" s="23">
        <x:v>18</x:v>
      </x:c>
      <x:c r="I181" s="23">
        <x:v>6626</x:v>
      </x:c>
      <x:c r="J181" s="23">
        <x:v>9734</x:v>
      </x:c>
      <x:c r="K181" s="23">
        <x:v>0</x:v>
      </x:c>
      <x:c r="L181" s="23" t="s">
        <x:v>317</x:v>
      </x:c>
      <x:c r="M181" s="23">
        <x:f t="shared" si="2"/>
        <x:v>681</x:v>
      </x:c>
      <x:c r="N181" s="24" t="str">
        <x:f t="array" ref="N181">INDEX('MATCH INFO'!O:O, INT((ROW()-2)/10)+2 + 124)</x:f>
        <x:v>260704_ZETA_FLC_S1</x:v>
      </x:c>
    </x:row>
    <x:row r="182">
      <x:c r="A182" s="23" t="s">
        <x:v>72</x:v>
      </x:c>
      <x:c r="B182" s="23" t="s">
        <x:v>76</x:v>
      </x:c>
      <x:c r="C182" s="23" t="s">
        <x:v>11</x:v>
      </x:c>
      <x:c r="D182" s="23" t="s">
        <x:v>119</x:v>
      </x:c>
      <x:c r="E182" s="23" t="s">
        <x:v>191</x:v>
      </x:c>
      <x:c r="F182" s="23">
        <x:v>26</x:v>
      </x:c>
      <x:c r="G182" s="23">
        <x:v>13</x:v>
      </x:c>
      <x:c r="H182" s="23">
        <x:v>2</x:v>
      </x:c>
      <x:c r="I182" s="23">
        <x:v>12828</x:v>
      </x:c>
      <x:c r="J182" s="23">
        <x:v>1781</x:v>
      </x:c>
      <x:c r="K182" s="23">
        <x:v>568</x:v>
      </x:c>
      <x:c r="L182" s="23" t="s">
        <x:v>318</x:v>
      </x:c>
      <x:c r="M182" s="23">
        <x:f t="shared" si="2"/>
        <x:v>820</x:v>
      </x:c>
      <x:c r="N182" s="24" t="str">
        <x:f t="array" ref="N182">INDEX('MATCH INFO'!O:O, INT((ROW()-2)/10)+2 + 124)</x:f>
        <x:v>260704_ZETA_FLC_S2</x:v>
      </x:c>
    </x:row>
    <x:row r="183">
      <x:c r="A183" s="23" t="s">
        <x:v>72</x:v>
      </x:c>
      <x:c r="B183" s="23" t="s">
        <x:v>78</x:v>
      </x:c>
      <x:c r="C183" s="23" t="s">
        <x:v>16</x:v>
      </x:c>
      <x:c r="D183" s="23" t="s">
        <x:v>119</x:v>
      </x:c>
      <x:c r="E183" s="23" t="s">
        <x:v>191</x:v>
      </x:c>
      <x:c r="F183" s="23">
        <x:v>21</x:v>
      </x:c>
      <x:c r="G183" s="23">
        <x:v>16</x:v>
      </x:c>
      <x:c r="H183" s="23">
        <x:v>20</x:v>
      </x:c>
      <x:c r="I183" s="23">
        <x:v>6612</x:v>
      </x:c>
      <x:c r="J183" s="23">
        <x:v>10869</x:v>
      </x:c>
      <x:c r="K183" s="23">
        <x:v>2673</x:v>
      </x:c>
      <x:c r="L183" s="23" t="s">
        <x:v>318</x:v>
      </x:c>
      <x:c r="M183" s="23">
        <x:f t="shared" si="2"/>
        <x:v>820</x:v>
      </x:c>
      <x:c r="N183" s="24" t="str">
        <x:f t="array" ref="N183">INDEX('MATCH INFO'!O:O, INT((ROW()-2)/10)+2 + 124)</x:f>
        <x:v>260704_ZETA_FLC_S2</x:v>
      </x:c>
    </x:row>
    <x:row r="184">
      <x:c r="A184" s="23" t="s">
        <x:v>72</x:v>
      </x:c>
      <x:c r="B184" s="23" t="s">
        <x:v>79</x:v>
      </x:c>
      <x:c r="C184" s="23" t="s">
        <x:v>16</x:v>
      </x:c>
      <x:c r="D184" s="23" t="s">
        <x:v>119</x:v>
      </x:c>
      <x:c r="E184" s="23" t="s">
        <x:v>191</x:v>
      </x:c>
      <x:c r="F184" s="23">
        <x:v>18</x:v>
      </x:c>
      <x:c r="G184" s="23">
        <x:v>11</x:v>
      </x:c>
      <x:c r="H184" s="23">
        <x:v>31</x:v>
      </x:c>
      <x:c r="I184" s="23">
        <x:v>6189</x:v>
      </x:c>
      <x:c r="J184" s="23">
        <x:v>19429</x:v>
      </x:c>
      <x:c r="K184" s="23">
        <x:v>0</x:v>
      </x:c>
      <x:c r="L184" s="23" t="s">
        <x:v>318</x:v>
      </x:c>
      <x:c r="M184" s="23">
        <x:f t="shared" si="2"/>
        <x:v>820</x:v>
      </x:c>
      <x:c r="N184" s="24" t="str">
        <x:f t="array" ref="N184">INDEX('MATCH INFO'!O:O, INT((ROW()-2)/10)+2 + 124)</x:f>
        <x:v>260704_ZETA_FLC_S2</x:v>
      </x:c>
    </x:row>
    <x:row r="185">
      <x:c r="A185" s="23" t="s">
        <x:v>72</x:v>
      </x:c>
      <x:c r="B185" s="23" t="s">
        <x:v>73</x:v>
      </x:c>
      <x:c r="C185" s="23" t="s">
        <x:v>8</x:v>
      </x:c>
      <x:c r="D185" s="23" t="s">
        <x:v>119</x:v>
      </x:c>
      <x:c r="E185" s="23" t="s">
        <x:v>191</x:v>
      </x:c>
      <x:c r="F185" s="23">
        <x:v>32</x:v>
      </x:c>
      <x:c r="G185" s="23">
        <x:v>7</x:v>
      </x:c>
      <x:c r="H185" s="23">
        <x:v>2</x:v>
      </x:c>
      <x:c r="I185" s="23">
        <x:v>17978</x:v>
      </x:c>
      <x:c r="J185" s="23">
        <x:v>798</x:v>
      </x:c>
      <x:c r="K185" s="23">
        <x:v>27210</x:v>
      </x:c>
      <x:c r="L185" s="23" t="s">
        <x:v>318</x:v>
      </x:c>
      <x:c r="M185" s="23">
        <x:f t="shared" si="2"/>
        <x:v>820</x:v>
      </x:c>
      <x:c r="N185" s="24" t="str">
        <x:f t="array" ref="N185">INDEX('MATCH INFO'!O:O, INT((ROW()-2)/10)+2 + 124)</x:f>
        <x:v>260704_ZETA_FLC_S2</x:v>
      </x:c>
    </x:row>
    <x:row r="186">
      <x:c r="A186" s="23" t="s">
        <x:v>72</x:v>
      </x:c>
      <x:c r="B186" s="23" t="s">
        <x:v>75</x:v>
      </x:c>
      <x:c r="C186" s="23" t="s">
        <x:v>11</x:v>
      </x:c>
      <x:c r="D186" s="23" t="s">
        <x:v>119</x:v>
      </x:c>
      <x:c r="E186" s="23" t="s">
        <x:v>191</x:v>
      </x:c>
      <x:c r="F186" s="23">
        <x:v>19</x:v>
      </x:c>
      <x:c r="G186" s="23">
        <x:v>16</x:v>
      </x:c>
      <x:c r="H186" s="23">
        <x:v>5</x:v>
      </x:c>
      <x:c r="I186" s="23">
        <x:v>11113</x:v>
      </x:c>
      <x:c r="J186" s="23">
        <x:v>0</x:v>
      </x:c>
      <x:c r="K186" s="23">
        <x:v>1034</x:v>
      </x:c>
      <x:c r="L186" s="23" t="s">
        <x:v>318</x:v>
      </x:c>
      <x:c r="M186" s="23">
        <x:f t="shared" si="2"/>
        <x:v>820</x:v>
      </x:c>
      <x:c r="N186" s="24" t="str">
        <x:f t="array" ref="N186">INDEX('MATCH INFO'!O:O, INT((ROW()-2)/10)+2 + 124)</x:f>
        <x:v>260704_ZETA_FLC_S2</x:v>
      </x:c>
    </x:row>
    <x:row r="187">
      <x:c r="A187" s="23" t="s">
        <x:v>47</x:v>
      </x:c>
      <x:c r="B187" s="23" t="s">
        <x:v>49</x:v>
      </x:c>
      <x:c r="C187" s="23" t="s">
        <x:v>8</x:v>
      </x:c>
      <x:c r="D187" s="23" t="s">
        <x:v>119</x:v>
      </x:c>
      <x:c r="E187" s="23" t="s">
        <x:v>191</x:v>
      </x:c>
      <x:c r="F187" s="23">
        <x:v>36</x:v>
      </x:c>
      <x:c r="G187" s="23">
        <x:v>9</x:v>
      </x:c>
      <x:c r="H187" s="23">
        <x:v>19</x:v>
      </x:c>
      <x:c r="I187" s="23">
        <x:v>15738</x:v>
      </x:c>
      <x:c r="J187" s="23">
        <x:v>1664</x:v>
      </x:c>
      <x:c r="K187" s="23">
        <x:v>7439</x:v>
      </x:c>
      <x:c r="L187" s="23" t="s">
        <x:v>318</x:v>
      </x:c>
      <x:c r="M187" s="23">
        <x:f t="shared" si="2"/>
        <x:v>820</x:v>
      </x:c>
      <x:c r="N187" s="24" t="str">
        <x:f t="array" ref="N187">INDEX('MATCH INFO'!O:O, INT((ROW()-2)/10)+2 + 124)</x:f>
        <x:v>260704_ZETA_FLC_S2</x:v>
      </x:c>
    </x:row>
    <x:row r="188">
      <x:c r="A188" s="23" t="s">
        <x:v>47</x:v>
      </x:c>
      <x:c r="B188" s="23" t="s">
        <x:v>51</x:v>
      </x:c>
      <x:c r="C188" s="23" t="s">
        <x:v>11</x:v>
      </x:c>
      <x:c r="D188" s="23" t="s">
        <x:v>119</x:v>
      </x:c>
      <x:c r="E188" s="23" t="s">
        <x:v>191</x:v>
      </x:c>
      <x:c r="F188" s="23">
        <x:v>46</x:v>
      </x:c>
      <x:c r="G188" s="23">
        <x:v>6</x:v>
      </x:c>
      <x:c r="H188" s="23">
        <x:v>0</x:v>
      </x:c>
      <x:c r="I188" s="23">
        <x:v>15708</x:v>
      </x:c>
      <x:c r="J188" s="23">
        <x:v>1847</x:v>
      </x:c>
      <x:c r="K188" s="23">
        <x:v>0</x:v>
      </x:c>
      <x:c r="L188" s="23" t="s">
        <x:v>318</x:v>
      </x:c>
      <x:c r="M188" s="23">
        <x:f t="shared" si="2"/>
        <x:v>820</x:v>
      </x:c>
      <x:c r="N188" s="24" t="str">
        <x:f t="array" ref="N188">INDEX('MATCH INFO'!O:O, INT((ROW()-2)/10)+2 + 124)</x:f>
        <x:v>260704_ZETA_FLC_S2</x:v>
      </x:c>
    </x:row>
    <x:row r="189">
      <x:c r="A189" s="23" t="s">
        <x:v>47</x:v>
      </x:c>
      <x:c r="B189" s="23" t="s">
        <x:v>50</x:v>
      </x:c>
      <x:c r="C189" s="23" t="s">
        <x:v>11</x:v>
      </x:c>
      <x:c r="D189" s="23" t="s">
        <x:v>119</x:v>
      </x:c>
      <x:c r="E189" s="23" t="s">
        <x:v>191</x:v>
      </x:c>
      <x:c r="F189" s="23">
        <x:v>37</x:v>
      </x:c>
      <x:c r="G189" s="23">
        <x:v>10</x:v>
      </x:c>
      <x:c r="H189" s="23">
        <x:v>5</x:v>
      </x:c>
      <x:c r="I189" s="23">
        <x:v>15442</x:v>
      </x:c>
      <x:c r="J189" s="23">
        <x:v>0</x:v>
      </x:c>
      <x:c r="K189" s="23">
        <x:v>909</x:v>
      </x:c>
      <x:c r="L189" s="23" t="s">
        <x:v>318</x:v>
      </x:c>
      <x:c r="M189" s="23">
        <x:f t="shared" si="2"/>
        <x:v>820</x:v>
      </x:c>
      <x:c r="N189" s="24" t="str">
        <x:f t="array" ref="N189">INDEX('MATCH INFO'!O:O, INT((ROW()-2)/10)+2 + 124)</x:f>
        <x:v>260704_ZETA_FLC_S2</x:v>
      </x:c>
    </x:row>
    <x:row r="190">
      <x:c r="A190" s="23" t="s">
        <x:v>47</x:v>
      </x:c>
      <x:c r="B190" s="23" t="s">
        <x:v>53</x:v>
      </x:c>
      <x:c r="C190" s="23" t="s">
        <x:v>16</x:v>
      </x:c>
      <x:c r="D190" s="23" t="s">
        <x:v>119</x:v>
      </x:c>
      <x:c r="E190" s="23" t="s">
        <x:v>191</x:v>
      </x:c>
      <x:c r="F190" s="23">
        <x:v>22</x:v>
      </x:c>
      <x:c r="G190" s="23">
        <x:v>8</x:v>
      </x:c>
      <x:c r="H190" s="23">
        <x:v>41</x:v>
      </x:c>
      <x:c r="I190" s="23">
        <x:v>5510</x:v>
      </x:c>
      <x:c r="J190" s="23">
        <x:v>14654</x:v>
      </x:c>
      <x:c r="K190" s="23">
        <x:v>0</x:v>
      </x:c>
      <x:c r="L190" s="23" t="s">
        <x:v>318</x:v>
      </x:c>
      <x:c r="M190" s="23">
        <x:f t="shared" si="2"/>
        <x:v>820</x:v>
      </x:c>
      <x:c r="N190" s="24" t="str">
        <x:f t="array" ref="N190">INDEX('MATCH INFO'!O:O, INT((ROW()-2)/10)+2 + 124)</x:f>
        <x:v>260704_ZETA_FLC_S2</x:v>
      </x:c>
    </x:row>
    <x:row r="191">
      <x:c r="A191" s="23" t="s">
        <x:v>47</x:v>
      </x:c>
      <x:c r="B191" s="23" t="s">
        <x:v>52</x:v>
      </x:c>
      <x:c r="C191" s="23" t="s">
        <x:v>16</x:v>
      </x:c>
      <x:c r="D191" s="23" t="s">
        <x:v>119</x:v>
      </x:c>
      <x:c r="E191" s="23" t="s">
        <x:v>191</x:v>
      </x:c>
      <x:c r="F191" s="23">
        <x:v>37</x:v>
      </x:c>
      <x:c r="G191" s="23">
        <x:v>7</x:v>
      </x:c>
      <x:c r="H191" s="23">
        <x:v>30</x:v>
      </x:c>
      <x:c r="I191" s="23">
        <x:v>9589</x:v>
      </x:c>
      <x:c r="J191" s="23">
        <x:v>12699</x:v>
      </x:c>
      <x:c r="K191" s="23">
        <x:v>0</x:v>
      </x:c>
      <x:c r="L191" s="23" t="s">
        <x:v>318</x:v>
      </x:c>
      <x:c r="M191" s="23">
        <x:f t="shared" si="2"/>
        <x:v>820</x:v>
      </x:c>
      <x:c r="N191" s="24" t="str">
        <x:f t="array" ref="N191">INDEX('MATCH INFO'!O:O, INT((ROW()-2)/10)+2 + 124)</x:f>
        <x:v>260704_ZETA_FLC_S2</x:v>
      </x:c>
    </x:row>
    <x:row r="192">
      <x:c r="A192" s="23" t="s">
        <x:v>72</x:v>
      </x:c>
      <x:c r="B192" s="23" t="s">
        <x:v>76</x:v>
      </x:c>
      <x:c r="C192" s="23" t="s">
        <x:v>11</x:v>
      </x:c>
      <x:c r="D192" s="23" t="s">
        <x:v>168</x:v>
      </x:c>
      <x:c r="E192" s="23" t="s">
        <x:v>188</x:v>
      </x:c>
      <x:c r="F192" s="23">
        <x:v>26</x:v>
      </x:c>
      <x:c r="G192" s="23">
        <x:v>9</x:v>
      </x:c>
      <x:c r="H192" s="23">
        <x:v>0</x:v>
      </x:c>
      <x:c r="I192" s="23">
        <x:v>8632</x:v>
      </x:c>
      <x:c r="J192" s="23">
        <x:v>1531</x:v>
      </x:c>
      <x:c r="K192" s="23">
        <x:v>0</x:v>
      </x:c>
      <x:c r="L192" s="23" t="s">
        <x:v>237</x:v>
      </x:c>
      <x:c r="M192" s="23">
        <x:f t="shared" si="2"/>
        <x:v>632</x:v>
      </x:c>
      <x:c r="N192" s="24" t="str">
        <x:f t="array" ref="N192">INDEX('MATCH INFO'!O:O, INT((ROW()-2)/10)+2 + 124)</x:f>
        <x:v>260704_ZETA_FLC_S3</x:v>
      </x:c>
    </x:row>
    <x:row r="193">
      <x:c r="A193" s="23" t="s">
        <x:v>72</x:v>
      </x:c>
      <x:c r="B193" s="23" t="s">
        <x:v>78</x:v>
      </x:c>
      <x:c r="C193" s="23" t="s">
        <x:v>16</x:v>
      </x:c>
      <x:c r="D193" s="23" t="s">
        <x:v>168</x:v>
      </x:c>
      <x:c r="E193" s="23" t="s">
        <x:v>188</x:v>
      </x:c>
      <x:c r="F193" s="23">
        <x:v>22</x:v>
      </x:c>
      <x:c r="G193" s="23">
        <x:v>8</x:v>
      </x:c>
      <x:c r="H193" s="23">
        <x:v>21</x:v>
      </x:c>
      <x:c r="I193" s="23">
        <x:v>5940</x:v>
      </x:c>
      <x:c r="J193" s="23">
        <x:v>9598</x:v>
      </x:c>
      <x:c r="K193" s="23">
        <x:v>2338</x:v>
      </x:c>
      <x:c r="L193" s="23" t="s">
        <x:v>237</x:v>
      </x:c>
      <x:c r="M193" s="23">
        <x:f t="shared" si="2"/>
        <x:v>632</x:v>
      </x:c>
      <x:c r="N193" s="24" t="str">
        <x:f t="array" ref="N193">INDEX('MATCH INFO'!O:O, INT((ROW()-2)/10)+2 + 124)</x:f>
        <x:v>260704_ZETA_FLC_S3</x:v>
      </x:c>
    </x:row>
    <x:row r="194">
      <x:c r="A194" s="23" t="s">
        <x:v>72</x:v>
      </x:c>
      <x:c r="B194" s="23" t="s">
        <x:v>79</x:v>
      </x:c>
      <x:c r="C194" s="23" t="s">
        <x:v>16</x:v>
      </x:c>
      <x:c r="D194" s="23" t="s">
        <x:v>168</x:v>
      </x:c>
      <x:c r="E194" s="23" t="s">
        <x:v>188</x:v>
      </x:c>
      <x:c r="F194" s="23">
        <x:v>18</x:v>
      </x:c>
      <x:c r="G194" s="23">
        <x:v>10</x:v>
      </x:c>
      <x:c r="H194" s="23">
        <x:v>24</x:v>
      </x:c>
      <x:c r="I194" s="23">
        <x:v>4522</x:v>
      </x:c>
      <x:c r="J194" s="23">
        <x:v>13953</x:v>
      </x:c>
      <x:c r="K194" s="23">
        <x:v>0</x:v>
      </x:c>
      <x:c r="L194" s="23" t="s">
        <x:v>237</x:v>
      </x:c>
      <x:c r="M194" s="23" t="e">
        <x:f t="shared" ref="M194:M257" si="3">L194*86400</x:f>
        <x:v>#VALUE!</x:v>
      </x:c>
      <x:c r="N194" s="24" t="str">
        <x:f t="array" ref="N194">INDEX('MATCH INFO'!O:O, INT((ROW()-2)/10)+2 + 124)</x:f>
        <x:v>260704_ZETA_FLC_S3</x:v>
      </x:c>
    </x:row>
    <x:row r="195">
      <x:c r="A195" s="23" t="s">
        <x:v>72</x:v>
      </x:c>
      <x:c r="B195" s="23" t="s">
        <x:v>73</x:v>
      </x:c>
      <x:c r="C195" s="23" t="s">
        <x:v>8</x:v>
      </x:c>
      <x:c r="D195" s="23" t="s">
        <x:v>168</x:v>
      </x:c>
      <x:c r="E195" s="23" t="s">
        <x:v>188</x:v>
      </x:c>
      <x:c r="F195" s="23">
        <x:v>31</x:v>
      </x:c>
      <x:c r="G195" s="23">
        <x:v>7</x:v>
      </x:c>
      <x:c r="H195" s="23">
        <x:v>5</x:v>
      </x:c>
      <x:c r="I195" s="23">
        <x:v>15819</x:v>
      </x:c>
      <x:c r="J195" s="23">
        <x:v>0</x:v>
      </x:c>
      <x:c r="K195" s="23">
        <x:v>24736</x:v>
      </x:c>
      <x:c r="L195" s="23" t="s">
        <x:v>237</x:v>
      </x:c>
      <x:c r="M195" s="23">
        <x:f t="shared" si="3"/>
        <x:v>632</x:v>
      </x:c>
      <x:c r="N195" s="24" t="str">
        <x:f t="array" ref="N195">INDEX('MATCH INFO'!O:O, INT((ROW()-2)/10)+2 + 124)</x:f>
        <x:v>260704_ZETA_FLC_S3</x:v>
      </x:c>
    </x:row>
    <x:row r="196">
      <x:c r="A196" s="23" t="s">
        <x:v>72</x:v>
      </x:c>
      <x:c r="B196" s="23" t="s">
        <x:v>75</x:v>
      </x:c>
      <x:c r="C196" s="23" t="s">
        <x:v>11</x:v>
      </x:c>
      <x:c r="D196" s="23" t="s">
        <x:v>168</x:v>
      </x:c>
      <x:c r="E196" s="23" t="s">
        <x:v>188</x:v>
      </x:c>
      <x:c r="F196" s="23">
        <x:v>25</x:v>
      </x:c>
      <x:c r="G196" s="23">
        <x:v>10</x:v>
      </x:c>
      <x:c r="H196" s="23">
        <x:v>2</x:v>
      </x:c>
      <x:c r="I196" s="23">
        <x:v>11864</x:v>
      </x:c>
      <x:c r="J196" s="23">
        <x:v>75</x:v>
      </x:c>
      <x:c r="K196" s="23">
        <x:v>824</x:v>
      </x:c>
      <x:c r="L196" s="23" t="s">
        <x:v>237</x:v>
      </x:c>
      <x:c r="M196" s="23">
        <x:f t="shared" si="3"/>
        <x:v>632</x:v>
      </x:c>
      <x:c r="N196" s="24" t="str">
        <x:f t="array" ref="N196">INDEX('MATCH INFO'!O:O, INT((ROW()-2)/10)+2 + 124)</x:f>
        <x:v>260704_ZETA_FLC_S3</x:v>
      </x:c>
    </x:row>
    <x:row r="197">
      <x:c r="A197" s="23" t="s">
        <x:v>47</x:v>
      </x:c>
      <x:c r="B197" s="23" t="s">
        <x:v>49</x:v>
      </x:c>
      <x:c r="C197" s="23" t="s">
        <x:v>8</x:v>
      </x:c>
      <x:c r="D197" s="23" t="s">
        <x:v>168</x:v>
      </x:c>
      <x:c r="E197" s="23" t="s">
        <x:v>188</x:v>
      </x:c>
      <x:c r="F197" s="23">
        <x:v>36</x:v>
      </x:c>
      <x:c r="G197" s="23">
        <x:v>7</x:v>
      </x:c>
      <x:c r="H197" s="23">
        <x:v>22</x:v>
      </x:c>
      <x:c r="I197" s="23">
        <x:v>12513</x:v>
      </x:c>
      <x:c r="J197" s="23">
        <x:v>2557</x:v>
      </x:c>
      <x:c r="K197" s="23">
        <x:v>4752</x:v>
      </x:c>
      <x:c r="L197" s="23" t="s">
        <x:v>237</x:v>
      </x:c>
      <x:c r="M197" s="23">
        <x:f t="shared" si="3"/>
        <x:v>632</x:v>
      </x:c>
      <x:c r="N197" s="24" t="str">
        <x:f t="array" ref="N197">INDEX('MATCH INFO'!O:O, INT((ROW()-2)/10)+2 + 124)</x:f>
        <x:v>260704_ZETA_FLC_S3</x:v>
      </x:c>
    </x:row>
    <x:row r="198">
      <x:c r="A198" s="23" t="s">
        <x:v>47</x:v>
      </x:c>
      <x:c r="B198" s="23" t="s">
        <x:v>51</x:v>
      </x:c>
      <x:c r="C198" s="23" t="s">
        <x:v>11</x:v>
      </x:c>
      <x:c r="D198" s="23" t="s">
        <x:v>168</x:v>
      </x:c>
      <x:c r="E198" s="23" t="s">
        <x:v>188</x:v>
      </x:c>
      <x:c r="F198" s="23">
        <x:v>36</x:v>
      </x:c>
      <x:c r="G198" s="23">
        <x:v>7</x:v>
      </x:c>
      <x:c r="H198" s="23">
        <x:v>0</x:v>
      </x:c>
      <x:c r="I198" s="23">
        <x:v>15191</x:v>
      </x:c>
      <x:c r="J198" s="23">
        <x:v>940</x:v>
      </x:c>
      <x:c r="K198" s="23">
        <x:v>873</x:v>
      </x:c>
      <x:c r="L198" s="23" t="s">
        <x:v>237</x:v>
      </x:c>
      <x:c r="M198" s="23">
        <x:f t="shared" si="3"/>
        <x:v>632</x:v>
      </x:c>
      <x:c r="N198" s="24" t="str">
        <x:f t="array" ref="N198">INDEX('MATCH INFO'!O:O, INT((ROW()-2)/10)+2 + 124)</x:f>
        <x:v>260704_ZETA_FLC_S3</x:v>
      </x:c>
    </x:row>
    <x:row r="199">
      <x:c r="A199" s="23" t="s">
        <x:v>47</x:v>
      </x:c>
      <x:c r="B199" s="23" t="s">
        <x:v>50</x:v>
      </x:c>
      <x:c r="C199" s="23" t="s">
        <x:v>11</x:v>
      </x:c>
      <x:c r="D199" s="23" t="s">
        <x:v>168</x:v>
      </x:c>
      <x:c r="E199" s="23" t="s">
        <x:v>188</x:v>
      </x:c>
      <x:c r="F199" s="23">
        <x:v>26</x:v>
      </x:c>
      <x:c r="G199" s="23">
        <x:v>11</x:v>
      </x:c>
      <x:c r="H199" s="23">
        <x:v>3</x:v>
      </x:c>
      <x:c r="I199" s="23">
        <x:v>10407</x:v>
      </x:c>
      <x:c r="J199" s="23">
        <x:v>22</x:v>
      </x:c>
      <x:c r="K199" s="23">
        <x:v>501</x:v>
      </x:c>
      <x:c r="L199" s="23" t="s">
        <x:v>237</x:v>
      </x:c>
      <x:c r="M199" s="23">
        <x:f t="shared" si="3"/>
        <x:v>632</x:v>
      </x:c>
      <x:c r="N199" s="24" t="str">
        <x:f t="array" ref="N199">INDEX('MATCH INFO'!O:O, INT((ROW()-2)/10)+2 + 124)</x:f>
        <x:v>260704_ZETA_FLC_S3</x:v>
      </x:c>
    </x:row>
    <x:row r="200">
      <x:c r="A200" s="23" t="s">
        <x:v>47</x:v>
      </x:c>
      <x:c r="B200" s="23" t="s">
        <x:v>53</x:v>
      </x:c>
      <x:c r="C200" s="23" t="s">
        <x:v>16</x:v>
      </x:c>
      <x:c r="D200" s="23" t="s">
        <x:v>168</x:v>
      </x:c>
      <x:c r="E200" s="23" t="s">
        <x:v>188</x:v>
      </x:c>
      <x:c r="F200" s="23">
        <x:v>10</x:v>
      </x:c>
      <x:c r="G200" s="23">
        <x:v>8</x:v>
      </x:c>
      <x:c r="H200" s="23">
        <x:v>30</x:v>
      </x:c>
      <x:c r="I200" s="23">
        <x:v>4377</x:v>
      </x:c>
      <x:c r="J200" s="23">
        <x:v>13060</x:v>
      </x:c>
      <x:c r="K200" s="23">
        <x:v>0</x:v>
      </x:c>
      <x:c r="L200" s="23" t="s">
        <x:v>237</x:v>
      </x:c>
      <x:c r="M200" s="23">
        <x:f t="shared" si="3"/>
        <x:v>632</x:v>
      </x:c>
      <x:c r="N200" s="24" t="str">
        <x:f t="array" ref="N200">INDEX('MATCH INFO'!O:O, INT((ROW()-2)/10)+2 + 124)</x:f>
        <x:v>260704_ZETA_FLC_S3</x:v>
      </x:c>
    </x:row>
    <x:row r="201">
      <x:c r="A201" s="23" t="s">
        <x:v>47</x:v>
      </x:c>
      <x:c r="B201" s="23" t="s">
        <x:v>52</x:v>
      </x:c>
      <x:c r="C201" s="23" t="s">
        <x:v>16</x:v>
      </x:c>
      <x:c r="D201" s="23" t="s">
        <x:v>168</x:v>
      </x:c>
      <x:c r="E201" s="23" t="s">
        <x:v>188</x:v>
      </x:c>
      <x:c r="F201" s="23">
        <x:v>20</x:v>
      </x:c>
      <x:c r="G201" s="23">
        <x:v>7</x:v>
      </x:c>
      <x:c r="H201" s="23">
        <x:v>21</x:v>
      </x:c>
      <x:c r="I201" s="23">
        <x:v>4722</x:v>
      </x:c>
      <x:c r="J201" s="23">
        <x:v>10114</x:v>
      </x:c>
      <x:c r="K201" s="23">
        <x:v>0</x:v>
      </x:c>
      <x:c r="L201" s="23" t="s">
        <x:v>237</x:v>
      </x:c>
      <x:c r="M201" s="23">
        <x:f t="shared" si="3"/>
        <x:v>632</x:v>
      </x:c>
      <x:c r="N201" s="24" t="str">
        <x:f t="array" ref="N201">INDEX('MATCH INFO'!O:O, INT((ROW()-2)/10)+2 + 124)</x:f>
        <x:v>260704_ZETA_FLC_S3</x:v>
      </x:c>
    </x:row>
    <x:row r="202">
      <x:c r="A202" s="23" t="s">
        <x:v>72</x:v>
      </x:c>
      <x:c r="B202" s="23" t="s">
        <x:v>76</x:v>
      </x:c>
      <x:c r="C202" s="23" t="s">
        <x:v>11</x:v>
      </x:c>
      <x:c r="D202" s="23" t="s">
        <x:v>145</x:v>
      </x:c>
      <x:c r="E202" s="23" t="s">
        <x:v>195</x:v>
      </x:c>
      <x:c r="F202" s="23">
        <x:v>33</x:v>
      </x:c>
      <x:c r="G202" s="23">
        <x:v>8</x:v>
      </x:c>
      <x:c r="H202" s="23">
        <x:v>3</x:v>
      </x:c>
      <x:c r="I202" s="23">
        <x:v>14320</x:v>
      </x:c>
      <x:c r="J202" s="23">
        <x:v>1403</x:v>
      </x:c>
      <x:c r="K202" s="23">
        <x:v>9323</x:v>
      </x:c>
      <x:c r="L202" s="23" t="s">
        <x:v>319</x:v>
      </x:c>
      <x:c r="M202" s="23">
        <x:f t="shared" si="3"/>
        <x:v>861</x:v>
      </x:c>
      <x:c r="N202" s="24" t="str">
        <x:f t="array" ref="N202">INDEX('MATCH INFO'!O:O, INT((ROW()-2)/10)+2 + 124)</x:f>
        <x:v>260704_ZETA_FLC_S4</x:v>
      </x:c>
    </x:row>
    <x:row r="203">
      <x:c r="A203" s="23" t="s">
        <x:v>72</x:v>
      </x:c>
      <x:c r="B203" s="23" t="s">
        <x:v>78</x:v>
      </x:c>
      <x:c r="C203" s="23" t="s">
        <x:v>16</x:v>
      </x:c>
      <x:c r="D203" s="23" t="s">
        <x:v>145</x:v>
      </x:c>
      <x:c r="E203" s="23" t="s">
        <x:v>195</x:v>
      </x:c>
      <x:c r="F203" s="23">
        <x:v>36</x:v>
      </x:c>
      <x:c r="G203" s="23">
        <x:v>8</x:v>
      </x:c>
      <x:c r="H203" s="23">
        <x:v>41</x:v>
      </x:c>
      <x:c r="I203" s="23">
        <x:v>6376</x:v>
      </x:c>
      <x:c r="J203" s="23">
        <x:v>16308</x:v>
      </x:c>
      <x:c r="K203" s="23">
        <x:v>0</x:v>
      </x:c>
      <x:c r="L203" s="23" t="s">
        <x:v>319</x:v>
      </x:c>
      <x:c r="M203" s="23">
        <x:f t="shared" si="3"/>
        <x:v>861</x:v>
      </x:c>
      <x:c r="N203" s="24" t="str">
        <x:f t="array" ref="N203">INDEX('MATCH INFO'!O:O, INT((ROW()-2)/10)+2 + 124)</x:f>
        <x:v>260704_ZETA_FLC_S4</x:v>
      </x:c>
    </x:row>
    <x:row r="204">
      <x:c r="A204" s="23" t="s">
        <x:v>72</x:v>
      </x:c>
      <x:c r="B204" s="23" t="s">
        <x:v>79</x:v>
      </x:c>
      <x:c r="C204" s="23" t="s">
        <x:v>16</x:v>
      </x:c>
      <x:c r="D204" s="23" t="s">
        <x:v>145</x:v>
      </x:c>
      <x:c r="E204" s="23" t="s">
        <x:v>195</x:v>
      </x:c>
      <x:c r="F204" s="23">
        <x:v>24</x:v>
      </x:c>
      <x:c r="G204" s="23">
        <x:v>5</x:v>
      </x:c>
      <x:c r="H204" s="23">
        <x:v>45</x:v>
      </x:c>
      <x:c r="I204" s="23">
        <x:v>6949</x:v>
      </x:c>
      <x:c r="J204" s="23">
        <x:v>18370</x:v>
      </x:c>
      <x:c r="K204" s="23">
        <x:v>0</x:v>
      </x:c>
      <x:c r="L204" s="23" t="s">
        <x:v>319</x:v>
      </x:c>
      <x:c r="M204" s="23">
        <x:f t="shared" si="3"/>
        <x:v>861</x:v>
      </x:c>
      <x:c r="N204" s="24" t="str">
        <x:f t="array" ref="N204">INDEX('MATCH INFO'!O:O, INT((ROW()-2)/10)+2 + 124)</x:f>
        <x:v>260704_ZETA_FLC_S4</x:v>
      </x:c>
    </x:row>
    <x:row r="205">
      <x:c r="A205" s="23" t="s">
        <x:v>72</x:v>
      </x:c>
      <x:c r="B205" s="23" t="s">
        <x:v>73</x:v>
      </x:c>
      <x:c r="C205" s="23" t="s">
        <x:v>8</x:v>
      </x:c>
      <x:c r="D205" s="23" t="s">
        <x:v>145</x:v>
      </x:c>
      <x:c r="E205" s="23" t="s">
        <x:v>195</x:v>
      </x:c>
      <x:c r="F205" s="23">
        <x:v>43</x:v>
      </x:c>
      <x:c r="G205" s="23">
        <x:v>7</x:v>
      </x:c>
      <x:c r="H205" s="23">
        <x:v>12</x:v>
      </x:c>
      <x:c r="I205" s="23">
        <x:v>20633</x:v>
      </x:c>
      <x:c r="J205" s="23">
        <x:v>1505</x:v>
      </x:c>
      <x:c r="K205" s="23">
        <x:v>19325</x:v>
      </x:c>
      <x:c r="L205" s="23" t="s">
        <x:v>319</x:v>
      </x:c>
      <x:c r="M205" s="23">
        <x:f t="shared" si="3"/>
        <x:v>861</x:v>
      </x:c>
      <x:c r="N205" s="24" t="str">
        <x:f t="array" ref="N205">INDEX('MATCH INFO'!O:O, INT((ROW()-2)/10)+2 + 124)</x:f>
        <x:v>260704_ZETA_FLC_S4</x:v>
      </x:c>
    </x:row>
    <x:row r="206">
      <x:c r="A206" s="23" t="s">
        <x:v>72</x:v>
      </x:c>
      <x:c r="B206" s="23" t="s">
        <x:v>75</x:v>
      </x:c>
      <x:c r="C206" s="23" t="s">
        <x:v>11</x:v>
      </x:c>
      <x:c r="D206" s="23" t="s">
        <x:v>145</x:v>
      </x:c>
      <x:c r="E206" s="23" t="s">
        <x:v>195</x:v>
      </x:c>
      <x:c r="F206" s="23">
        <x:v>30</x:v>
      </x:c>
      <x:c r="G206" s="23">
        <x:v>10</x:v>
      </x:c>
      <x:c r="H206" s="23">
        <x:v>5</x:v>
      </x:c>
      <x:c r="I206" s="23">
        <x:v>13415</x:v>
      </x:c>
      <x:c r="J206" s="23">
        <x:v>75</x:v>
      </x:c>
      <x:c r="K206" s="23">
        <x:v>0</x:v>
      </x:c>
      <x:c r="L206" s="23" t="s">
        <x:v>319</x:v>
      </x:c>
      <x:c r="M206" s="23">
        <x:f t="shared" si="3"/>
        <x:v>861</x:v>
      </x:c>
      <x:c r="N206" s="24" t="str">
        <x:f t="array" ref="N206">INDEX('MATCH INFO'!O:O, INT((ROW()-2)/10)+2 + 124)</x:f>
        <x:v>260704_ZETA_FLC_S4</x:v>
      </x:c>
    </x:row>
    <x:row r="207">
      <x:c r="A207" s="23" t="s">
        <x:v>47</x:v>
      </x:c>
      <x:c r="B207" s="23" t="s">
        <x:v>49</x:v>
      </x:c>
      <x:c r="C207" s="23" t="s">
        <x:v>8</x:v>
      </x:c>
      <x:c r="D207" s="23" t="s">
        <x:v>145</x:v>
      </x:c>
      <x:c r="E207" s="23" t="s">
        <x:v>195</x:v>
      </x:c>
      <x:c r="F207" s="23">
        <x:v>32</x:v>
      </x:c>
      <x:c r="G207" s="23">
        <x:v>12</x:v>
      </x:c>
      <x:c r="H207" s="23">
        <x:v>11</x:v>
      </x:c>
      <x:c r="I207" s="23">
        <x:v>17459</x:v>
      </x:c>
      <x:c r="J207" s="23">
        <x:v>1035</x:v>
      </x:c>
      <x:c r="K207" s="23">
        <x:v>24902</x:v>
      </x:c>
      <x:c r="L207" s="23" t="s">
        <x:v>319</x:v>
      </x:c>
      <x:c r="M207" s="23">
        <x:f t="shared" si="3"/>
        <x:v>861</x:v>
      </x:c>
      <x:c r="N207" s="24" t="str">
        <x:f t="array" ref="N207">INDEX('MATCH INFO'!O:O, INT((ROW()-2)/10)+2 + 124)</x:f>
        <x:v>260704_ZETA_FLC_S4</x:v>
      </x:c>
    </x:row>
    <x:row r="208">
      <x:c r="A208" s="23" t="s">
        <x:v>47</x:v>
      </x:c>
      <x:c r="B208" s="23" t="s">
        <x:v>51</x:v>
      </x:c>
      <x:c r="C208" s="23" t="s">
        <x:v>11</x:v>
      </x:c>
      <x:c r="D208" s="23" t="s">
        <x:v>145</x:v>
      </x:c>
      <x:c r="E208" s="23" t="s">
        <x:v>195</x:v>
      </x:c>
      <x:c r="F208" s="23">
        <x:v>24</x:v>
      </x:c>
      <x:c r="G208" s="23">
        <x:v>15</x:v>
      </x:c>
      <x:c r="H208" s="23">
        <x:v>0</x:v>
      </x:c>
      <x:c r="I208" s="23">
        <x:v>13546</x:v>
      </x:c>
      <x:c r="J208" s="23">
        <x:v>591</x:v>
      </x:c>
      <x:c r="K208" s="23">
        <x:v>307</x:v>
      </x:c>
      <x:c r="L208" s="23" t="s">
        <x:v>319</x:v>
      </x:c>
      <x:c r="M208" s="23">
        <x:f t="shared" si="3"/>
        <x:v>861</x:v>
      </x:c>
      <x:c r="N208" s="24" t="str">
        <x:f t="array" ref="N208">INDEX('MATCH INFO'!O:O, INT((ROW()-2)/10)+2 + 124)</x:f>
        <x:v>260704_ZETA_FLC_S4</x:v>
      </x:c>
    </x:row>
    <x:row r="209">
      <x:c r="A209" s="23" t="s">
        <x:v>47</x:v>
      </x:c>
      <x:c r="B209" s="23" t="s">
        <x:v>50</x:v>
      </x:c>
      <x:c r="C209" s="23" t="s">
        <x:v>11</x:v>
      </x:c>
      <x:c r="D209" s="23" t="s">
        <x:v>145</x:v>
      </x:c>
      <x:c r="E209" s="23" t="s">
        <x:v>195</x:v>
      </x:c>
      <x:c r="F209" s="23">
        <x:v>27</x:v>
      </x:c>
      <x:c r="G209" s="23">
        <x:v>11</x:v>
      </x:c>
      <x:c r="H209" s="23">
        <x:v>4</x:v>
      </x:c>
      <x:c r="I209" s="23">
        <x:v>13296</x:v>
      </x:c>
      <x:c r="J209" s="23">
        <x:v>1436</x:v>
      </x:c>
      <x:c r="K209" s="23">
        <x:v>8286</x:v>
      </x:c>
      <x:c r="L209" s="23" t="s">
        <x:v>319</x:v>
      </x:c>
      <x:c r="M209" s="23">
        <x:f t="shared" si="3"/>
        <x:v>861</x:v>
      </x:c>
      <x:c r="N209" s="24" t="str">
        <x:f t="array" ref="N209">INDEX('MATCH INFO'!O:O, INT((ROW()-2)/10)+2 + 124)</x:f>
        <x:v>260704_ZETA_FLC_S4</x:v>
      </x:c>
    </x:row>
    <x:row r="210">
      <x:c r="A210" s="23" t="s">
        <x:v>47</x:v>
      </x:c>
      <x:c r="B210" s="23" t="s">
        <x:v>53</x:v>
      </x:c>
      <x:c r="C210" s="23" t="s">
        <x:v>16</x:v>
      </x:c>
      <x:c r="D210" s="23" t="s">
        <x:v>145</x:v>
      </x:c>
      <x:c r="E210" s="23" t="s">
        <x:v>195</x:v>
      </x:c>
      <x:c r="F210" s="23">
        <x:v>10</x:v>
      </x:c>
      <x:c r="G210" s="23">
        <x:v>11</x:v>
      </x:c>
      <x:c r="H210" s="23">
        <x:v>26</x:v>
      </x:c>
      <x:c r="I210" s="23">
        <x:v>6268</x:v>
      </x:c>
      <x:c r="J210" s="23">
        <x:v>18188</x:v>
      </x:c>
      <x:c r="K210" s="23">
        <x:v>0</x:v>
      </x:c>
      <x:c r="L210" s="23" t="s">
        <x:v>319</x:v>
      </x:c>
      <x:c r="M210" s="23">
        <x:f t="shared" si="3"/>
        <x:v>861</x:v>
      </x:c>
      <x:c r="N210" s="24" t="str">
        <x:f t="array" ref="N210">INDEX('MATCH INFO'!O:O, INT((ROW()-2)/10)+2 + 124)</x:f>
        <x:v>260704_ZETA_FLC_S4</x:v>
      </x:c>
    </x:row>
    <x:row r="211">
      <x:c r="A211" s="23" t="s">
        <x:v>47</x:v>
      </x:c>
      <x:c r="B211" s="23" t="s">
        <x:v>52</x:v>
      </x:c>
      <x:c r="C211" s="23" t="s">
        <x:v>16</x:v>
      </x:c>
      <x:c r="D211" s="23" t="s">
        <x:v>145</x:v>
      </x:c>
      <x:c r="E211" s="23" t="s">
        <x:v>195</x:v>
      </x:c>
      <x:c r="F211" s="23">
        <x:v>16</x:v>
      </x:c>
      <x:c r="G211" s="23">
        <x:v>12</x:v>
      </x:c>
      <x:c r="H211" s="23">
        <x:v>22</x:v>
      </x:c>
      <x:c r="I211" s="23">
        <x:v>7712</x:v>
      </x:c>
      <x:c r="J211" s="23">
        <x:v>11928</x:v>
      </x:c>
      <x:c r="K211" s="23">
        <x:v>194</x:v>
      </x:c>
      <x:c r="L211" s="23" t="s">
        <x:v>319</x:v>
      </x:c>
      <x:c r="M211" s="23">
        <x:f t="shared" si="3"/>
        <x:v>861</x:v>
      </x:c>
      <x:c r="N211" s="24" t="str">
        <x:f t="array" ref="N211">INDEX('MATCH INFO'!O:O, INT((ROW()-2)/10)+2 + 124)</x:f>
        <x:v>260704_ZETA_FLC_S4</x:v>
      </x:c>
    </x:row>
    <x:row r="212">
      <x:c r="A212" s="23" t="s">
        <x:v>72</x:v>
      </x:c>
      <x:c r="B212" s="23" t="s">
        <x:v>76</x:v>
      </x:c>
      <x:c r="C212" s="23" t="s">
        <x:v>11</x:v>
      </x:c>
      <x:c r="D212" s="23" t="s">
        <x:v>124</x:v>
      </x:c>
      <x:c r="E212" s="23" t="s">
        <x:v>186</x:v>
      </x:c>
      <x:c r="F212" s="23">
        <x:v>13</x:v>
      </x:c>
      <x:c r="G212" s="23">
        <x:v>9</x:v>
      </x:c>
      <x:c r="H212" s="23">
        <x:v>0</x:v>
      </x:c>
      <x:c r="I212" s="23">
        <x:v>8209</x:v>
      </x:c>
      <x:c r="J212" s="23">
        <x:v>1120</x:v>
      </x:c>
      <x:c r="K212" s="23">
        <x:v>566</x:v>
      </x:c>
      <x:c r="L212" s="23" t="s">
        <x:v>320</x:v>
      </x:c>
      <x:c r="M212" s="23">
        <x:f t="shared" si="3"/>
        <x:v>482.99999999999994</x:v>
      </x:c>
      <x:c r="N212" s="24" t="str">
        <x:f t="array" ref="N212">INDEX('MATCH INFO'!O:O, INT((ROW()-2)/10)+2 + 124)</x:f>
        <x:v>260704_ZETA_FLC_S5</x:v>
      </x:c>
    </x:row>
    <x:row r="213">
      <x:c r="A213" s="23" t="s">
        <x:v>72</x:v>
      </x:c>
      <x:c r="B213" s="23" t="s">
        <x:v>78</x:v>
      </x:c>
      <x:c r="C213" s="23" t="s">
        <x:v>16</x:v>
      </x:c>
      <x:c r="D213" s="23" t="s">
        <x:v>124</x:v>
      </x:c>
      <x:c r="E213" s="23" t="s">
        <x:v>186</x:v>
      </x:c>
      <x:c r="F213" s="23">
        <x:v>12</x:v>
      </x:c>
      <x:c r="G213" s="23">
        <x:v>6</x:v>
      </x:c>
      <x:c r="H213" s="23">
        <x:v>8</x:v>
      </x:c>
      <x:c r="I213" s="23">
        <x:v>3436</x:v>
      </x:c>
      <x:c r="J213" s="23">
        <x:v>7377</x:v>
      </x:c>
      <x:c r="K213" s="23">
        <x:v>0</x:v>
      </x:c>
      <x:c r="L213" s="23" t="s">
        <x:v>320</x:v>
      </x:c>
      <x:c r="M213" s="23">
        <x:f t="shared" si="3"/>
        <x:v>482.99999999999994</x:v>
      </x:c>
      <x:c r="N213" s="24" t="str">
        <x:f t="array" ref="N213">INDEX('MATCH INFO'!O:O, INT((ROW()-2)/10)+2 + 124)</x:f>
        <x:v>260704_ZETA_FLC_S5</x:v>
      </x:c>
    </x:row>
    <x:row r="214">
      <x:c r="A214" s="23" t="s">
        <x:v>72</x:v>
      </x:c>
      <x:c r="B214" s="23" t="s">
        <x:v>79</x:v>
      </x:c>
      <x:c r="C214" s="23" t="s">
        <x:v>16</x:v>
      </x:c>
      <x:c r="D214" s="23" t="s">
        <x:v>124</x:v>
      </x:c>
      <x:c r="E214" s="23" t="s">
        <x:v>186</x:v>
      </x:c>
      <x:c r="F214" s="23">
        <x:v>9</x:v>
      </x:c>
      <x:c r="G214" s="23">
        <x:v>11</x:v>
      </x:c>
      <x:c r="H214" s="23">
        <x:v>18</x:v>
      </x:c>
      <x:c r="I214" s="23">
        <x:v>4091</x:v>
      </x:c>
      <x:c r="J214" s="23">
        <x:v>7762</x:v>
      </x:c>
      <x:c r="K214" s="23">
        <x:v>0</x:v>
      </x:c>
      <x:c r="L214" s="23" t="s">
        <x:v>320</x:v>
      </x:c>
      <x:c r="M214" s="23">
        <x:f t="shared" si="3"/>
        <x:v>482.99999999999994</x:v>
      </x:c>
      <x:c r="N214" s="24" t="str">
        <x:f t="array" ref="N214">INDEX('MATCH INFO'!O:O, INT((ROW()-2)/10)+2 + 124)</x:f>
        <x:v>260704_ZETA_FLC_S5</x:v>
      </x:c>
    </x:row>
    <x:row r="215">
      <x:c r="A215" s="23" t="s">
        <x:v>72</x:v>
      </x:c>
      <x:c r="B215" s="23" t="s">
        <x:v>74</x:v>
      </x:c>
      <x:c r="C215" s="23" t="s">
        <x:v>8</x:v>
      </x:c>
      <x:c r="D215" s="23" t="s">
        <x:v>124</x:v>
      </x:c>
      <x:c r="E215" s="23" t="s">
        <x:v>186</x:v>
      </x:c>
      <x:c r="F215" s="23">
        <x:v>11</x:v>
      </x:c>
      <x:c r="G215" s="23">
        <x:v>10</x:v>
      </x:c>
      <x:c r="H215" s="23">
        <x:v>11</x:v>
      </x:c>
      <x:c r="I215" s="23">
        <x:v>8283</x:v>
      </x:c>
      <x:c r="J215" s="23">
        <x:v>2750</x:v>
      </x:c>
      <x:c r="K215" s="23">
        <x:v>4501</x:v>
      </x:c>
      <x:c r="L215" s="23" t="s">
        <x:v>320</x:v>
      </x:c>
      <x:c r="M215" s="23">
        <x:f t="shared" si="3"/>
        <x:v>482.99999999999994</x:v>
      </x:c>
      <x:c r="N215" s="24" t="str">
        <x:f t="array" ref="N215">INDEX('MATCH INFO'!O:O, INT((ROW()-2)/10)+2 + 124)</x:f>
        <x:v>260704_ZETA_FLC_S5</x:v>
      </x:c>
    </x:row>
    <x:row r="216">
      <x:c r="A216" s="23" t="s">
        <x:v>72</x:v>
      </x:c>
      <x:c r="B216" s="23" t="s">
        <x:v>75</x:v>
      </x:c>
      <x:c r="C216" s="23" t="s">
        <x:v>11</x:v>
      </x:c>
      <x:c r="D216" s="23" t="s">
        <x:v>124</x:v>
      </x:c>
      <x:c r="E216" s="23" t="s">
        <x:v>186</x:v>
      </x:c>
      <x:c r="F216" s="23">
        <x:v>11</x:v>
      </x:c>
      <x:c r="G216" s="23">
        <x:v>10</x:v>
      </x:c>
      <x:c r="H216" s="23">
        <x:v>1</x:v>
      </x:c>
      <x:c r="I216" s="23">
        <x:v>8137</x:v>
      </x:c>
      <x:c r="J216" s="23">
        <x:v>0</x:v>
      </x:c>
      <x:c r="K216" s="23">
        <x:v>605</x:v>
      </x:c>
      <x:c r="L216" s="23" t="s">
        <x:v>320</x:v>
      </x:c>
      <x:c r="M216" s="23">
        <x:f t="shared" si="3"/>
        <x:v>482.99999999999994</x:v>
      </x:c>
      <x:c r="N216" s="24" t="str">
        <x:f t="array" ref="N216">INDEX('MATCH INFO'!O:O, INT((ROW()-2)/10)+2 + 124)</x:f>
        <x:v>260704_ZETA_FLC_S5</x:v>
      </x:c>
    </x:row>
    <x:row r="217">
      <x:c r="A217" s="23" t="s">
        <x:v>47</x:v>
      </x:c>
      <x:c r="B217" s="23" t="s">
        <x:v>49</x:v>
      </x:c>
      <x:c r="C217" s="23" t="s">
        <x:v>8</x:v>
      </x:c>
      <x:c r="D217" s="23" t="s">
        <x:v>124</x:v>
      </x:c>
      <x:c r="E217" s="23" t="s">
        <x:v>186</x:v>
      </x:c>
      <x:c r="F217" s="23">
        <x:v>31</x:v>
      </x:c>
      <x:c r="G217" s="23">
        <x:v>4</x:v>
      </x:c>
      <x:c r="H217" s="23">
        <x:v>22</x:v>
      </x:c>
      <x:c r="I217" s="23">
        <x:v>10564</x:v>
      </x:c>
      <x:c r="J217" s="23">
        <x:v>2276</x:v>
      </x:c>
      <x:c r="K217" s="23">
        <x:v>3136</x:v>
      </x:c>
      <x:c r="L217" s="23" t="s">
        <x:v>320</x:v>
      </x:c>
      <x:c r="M217" s="23">
        <x:f t="shared" si="3"/>
        <x:v>482.99999999999994</x:v>
      </x:c>
      <x:c r="N217" s="24" t="str">
        <x:f t="array" ref="N217">INDEX('MATCH INFO'!O:O, INT((ROW()-2)/10)+2 + 124)</x:f>
        <x:v>260704_ZETA_FLC_S5</x:v>
      </x:c>
    </x:row>
    <x:row r="218">
      <x:c r="A218" s="23" t="s">
        <x:v>47</x:v>
      </x:c>
      <x:c r="B218" s="23" t="s">
        <x:v>51</x:v>
      </x:c>
      <x:c r="C218" s="23" t="s">
        <x:v>11</x:v>
      </x:c>
      <x:c r="D218" s="23" t="s">
        <x:v>124</x:v>
      </x:c>
      <x:c r="E218" s="23" t="s">
        <x:v>186</x:v>
      </x:c>
      <x:c r="F218" s="23">
        <x:v>22</x:v>
      </x:c>
      <x:c r="G218" s="23">
        <x:v>6</x:v>
      </x:c>
      <x:c r="H218" s="23">
        <x:v>2</x:v>
      </x:c>
      <x:c r="I218" s="23">
        <x:v>7876</x:v>
      </x:c>
      <x:c r="J218" s="23">
        <x:v>893</x:v>
      </x:c>
      <x:c r="K218" s="23">
        <x:v>282</x:v>
      </x:c>
      <x:c r="L218" s="23" t="s">
        <x:v>320</x:v>
      </x:c>
      <x:c r="M218" s="23">
        <x:f t="shared" si="3"/>
        <x:v>482.99999999999994</x:v>
      </x:c>
      <x:c r="N218" s="24" t="str">
        <x:f t="array" ref="N218">INDEX('MATCH INFO'!O:O, INT((ROW()-2)/10)+2 + 124)</x:f>
        <x:v>260704_ZETA_FLC_S5</x:v>
      </x:c>
    </x:row>
    <x:row r="219">
      <x:c r="A219" s="23" t="s">
        <x:v>47</x:v>
      </x:c>
      <x:c r="B219" s="23" t="s">
        <x:v>50</x:v>
      </x:c>
      <x:c r="C219" s="23" t="s">
        <x:v>11</x:v>
      </x:c>
      <x:c r="D219" s="23" t="s">
        <x:v>124</x:v>
      </x:c>
      <x:c r="E219" s="23" t="s">
        <x:v>186</x:v>
      </x:c>
      <x:c r="F219" s="23">
        <x:v>28</x:v>
      </x:c>
      <x:c r="G219" s="23">
        <x:v>3</x:v>
      </x:c>
      <x:c r="H219" s="23">
        <x:v>2</x:v>
      </x:c>
      <x:c r="I219" s="23">
        <x:v>10775</x:v>
      </x:c>
      <x:c r="J219" s="23">
        <x:v>0</x:v>
      </x:c>
      <x:c r="K219" s="23">
        <x:v>610</x:v>
      </x:c>
      <x:c r="L219" s="23" t="s">
        <x:v>320</x:v>
      </x:c>
      <x:c r="M219" s="23">
        <x:f t="shared" si="3"/>
        <x:v>482.99999999999994</x:v>
      </x:c>
      <x:c r="N219" s="24" t="str">
        <x:f t="array" ref="N219">INDEX('MATCH INFO'!O:O, INT((ROW()-2)/10)+2 + 124)</x:f>
        <x:v>260704_ZETA_FLC_S5</x:v>
      </x:c>
    </x:row>
    <x:row r="220">
      <x:c r="A220" s="23" t="s">
        <x:v>47</x:v>
      </x:c>
      <x:c r="B220" s="23" t="s">
        <x:v>53</x:v>
      </x:c>
      <x:c r="C220" s="23" t="s">
        <x:v>16</x:v>
      </x:c>
      <x:c r="D220" s="23" t="s">
        <x:v>124</x:v>
      </x:c>
      <x:c r="E220" s="23" t="s">
        <x:v>186</x:v>
      </x:c>
      <x:c r="F220" s="23">
        <x:v>19</x:v>
      </x:c>
      <x:c r="G220" s="23">
        <x:v>4</x:v>
      </x:c>
      <x:c r="H220" s="23">
        <x:v>34</x:v>
      </x:c>
      <x:c r="I220" s="23">
        <x:v>5290</x:v>
      </x:c>
      <x:c r="J220" s="23">
        <x:v>9514</x:v>
      </x:c>
      <x:c r="K220" s="23">
        <x:v>0</x:v>
      </x:c>
      <x:c r="L220" s="23" t="s">
        <x:v>320</x:v>
      </x:c>
      <x:c r="M220" s="23">
        <x:f t="shared" si="3"/>
        <x:v>482.99999999999994</x:v>
      </x:c>
      <x:c r="N220" s="24" t="str">
        <x:f t="array" ref="N220">INDEX('MATCH INFO'!O:O, INT((ROW()-2)/10)+2 + 124)</x:f>
        <x:v>260704_ZETA_FLC_S5</x:v>
      </x:c>
    </x:row>
    <x:row r="221">
      <x:c r="A221" s="23" t="s">
        <x:v>47</x:v>
      </x:c>
      <x:c r="B221" s="23" t="s">
        <x:v>52</x:v>
      </x:c>
      <x:c r="C221" s="23" t="s">
        <x:v>16</x:v>
      </x:c>
      <x:c r="D221" s="23" t="s">
        <x:v>124</x:v>
      </x:c>
      <x:c r="E221" s="23" t="s">
        <x:v>186</x:v>
      </x:c>
      <x:c r="F221" s="23">
        <x:v>29</x:v>
      </x:c>
      <x:c r="G221" s="23">
        <x:v>3</x:v>
      </x:c>
      <x:c r="H221" s="23">
        <x:v>16</x:v>
      </x:c>
      <x:c r="I221" s="23">
        <x:v>5026</x:v>
      </x:c>
      <x:c r="J221" s="23">
        <x:v>6801</x:v>
      </x:c>
      <x:c r="K221" s="23">
        <x:v>0</x:v>
      </x:c>
      <x:c r="L221" s="23" t="s">
        <x:v>320</x:v>
      </x:c>
      <x:c r="M221" s="23">
        <x:f t="shared" si="3"/>
        <x:v>482.99999999999994</x:v>
      </x:c>
      <x:c r="N221" s="24" t="str">
        <x:f t="array" ref="N221">INDEX('MATCH INFO'!O:O, INT((ROW()-2)/10)+2 + 124)</x:f>
        <x:v>260704_ZETA_FLC_S5</x:v>
      </x:c>
    </x:row>
    <x:row r="222">
      <x:c r="A222" s="23" t="s">
        <x:v>6</x:v>
      </x:c>
      <x:c r="B222" s="23" t="s">
        <x:v>15</x:v>
      </x:c>
      <x:c r="C222" s="23" t="s">
        <x:v>16</x:v>
      </x:c>
      <x:c r="D222" s="23" t="s">
        <x:v>116</x:v>
      </x:c>
      <x:c r="E222" s="23" t="s">
        <x:v>184</x:v>
      </x:c>
      <x:c r="F222" s="23">
        <x:v>34</x:v>
      </x:c>
      <x:c r="G222" s="23">
        <x:v>7</x:v>
      </x:c>
      <x:c r="H222" s="23">
        <x:v>28</x:v>
      </x:c>
      <x:c r="I222" s="23">
        <x:v>6944</x:v>
      </x:c>
      <x:c r="J222" s="23">
        <x:v>12738</x:v>
      </x:c>
      <x:c r="K222" s="23">
        <x:v>0</x:v>
      </x:c>
      <x:c r="L222" s="23" t="s">
        <x:v>309</x:v>
      </x:c>
      <x:c r="M222" s="23">
        <x:f t="shared" si="3"/>
        <x:v>758.99999999999989</x:v>
      </x:c>
      <x:c r="N222" s="24" t="str">
        <x:f t="array" ref="N222">INDEX('MATCH INFO'!O:O, INT((ROW()-2)/10)+2 + 124)</x:f>
        <x:v>260705_O2_CB_S1</x:v>
      </x:c>
    </x:row>
    <x:row r="223">
      <x:c r="A223" s="23" t="s">
        <x:v>6</x:v>
      </x:c>
      <x:c r="B223" s="23" t="s">
        <x:v>7</x:v>
      </x:c>
      <x:c r="C223" s="23" t="s">
        <x:v>8</x:v>
      </x:c>
      <x:c r="D223" s="23" t="s">
        <x:v>116</x:v>
      </x:c>
      <x:c r="E223" s="23" t="s">
        <x:v>184</x:v>
      </x:c>
      <x:c r="F223" s="23">
        <x:v>36</x:v>
      </x:c>
      <x:c r="G223" s="23">
        <x:v>10</x:v>
      </x:c>
      <x:c r="H223" s="23">
        <x:v>30</x:v>
      </x:c>
      <x:c r="I223" s="23">
        <x:v>17048</x:v>
      </x:c>
      <x:c r="J223" s="23">
        <x:v>4467</x:v>
      </x:c>
      <x:c r="K223" s="23">
        <x:v>6758</x:v>
      </x:c>
      <x:c r="L223" s="23" t="s">
        <x:v>309</x:v>
      </x:c>
      <x:c r="M223" s="23">
        <x:f t="shared" si="3"/>
        <x:v>758.99999999999989</x:v>
      </x:c>
      <x:c r="N223" s="24" t="str">
        <x:f t="array" ref="N223">INDEX('MATCH INFO'!O:O, INT((ROW()-2)/10)+2 + 124)</x:f>
        <x:v>260705_O2_CB_S1</x:v>
      </x:c>
    </x:row>
    <x:row r="224">
      <x:c r="A224" s="23" t="s">
        <x:v>6</x:v>
      </x:c>
      <x:c r="B224" s="23" t="s">
        <x:v>18</x:v>
      </x:c>
      <x:c r="C224" s="23" t="s">
        <x:v>16</x:v>
      </x:c>
      <x:c r="D224" s="23" t="s">
        <x:v>116</x:v>
      </x:c>
      <x:c r="E224" s="23" t="s">
        <x:v>184</x:v>
      </x:c>
      <x:c r="F224" s="23">
        <x:v>25</x:v>
      </x:c>
      <x:c r="G224" s="23">
        <x:v>9</x:v>
      </x:c>
      <x:c r="H224" s="23">
        <x:v>35</x:v>
      </x:c>
      <x:c r="I224" s="23">
        <x:v>6890</x:v>
      </x:c>
      <x:c r="J224" s="23">
        <x:v>17042</x:v>
      </x:c>
      <x:c r="K224" s="23">
        <x:v>0</x:v>
      </x:c>
      <x:c r="L224" s="23" t="s">
        <x:v>309</x:v>
      </x:c>
      <x:c r="M224" s="23">
        <x:f t="shared" si="3"/>
        <x:v>758.99999999999989</x:v>
      </x:c>
      <x:c r="N224" s="24" t="str">
        <x:f t="array" ref="N224">INDEX('MATCH INFO'!O:O, INT((ROW()-2)/10)+2 + 124)</x:f>
        <x:v>260705_O2_CB_S1</x:v>
      </x:c>
    </x:row>
    <x:row r="225">
      <x:c r="A225" s="23" t="s">
        <x:v>6</x:v>
      </x:c>
      <x:c r="B225" s="23" t="s">
        <x:v>13</x:v>
      </x:c>
      <x:c r="C225" s="23" t="s">
        <x:v>11</x:v>
      </x:c>
      <x:c r="D225" s="23" t="s">
        <x:v>116</x:v>
      </x:c>
      <x:c r="E225" s="23" t="s">
        <x:v>184</x:v>
      </x:c>
      <x:c r="F225" s="23">
        <x:v>36</x:v>
      </x:c>
      <x:c r="G225" s="23">
        <x:v>8</x:v>
      </x:c>
      <x:c r="H225" s="23">
        <x:v>9</x:v>
      </x:c>
      <x:c r="I225" s="23">
        <x:v>13838</x:v>
      </x:c>
      <x:c r="J225" s="23">
        <x:v>0</x:v>
      </x:c>
      <x:c r="K225" s="23">
        <x:v>460</x:v>
      </x:c>
      <x:c r="L225" s="23" t="s">
        <x:v>309</x:v>
      </x:c>
      <x:c r="M225" s="23">
        <x:f t="shared" si="3"/>
        <x:v>758.99999999999989</x:v>
      </x:c>
      <x:c r="N225" s="24" t="str">
        <x:f t="array" ref="N225">INDEX('MATCH INFO'!O:O, INT((ROW()-2)/10)+2 + 124)</x:f>
        <x:v>260705_O2_CB_S1</x:v>
      </x:c>
    </x:row>
    <x:row r="226">
      <x:c r="A226" s="23" t="s">
        <x:v>6</x:v>
      </x:c>
      <x:c r="B226" s="23" t="s">
        <x:v>10</x:v>
      </x:c>
      <x:c r="C226" s="23" t="s">
        <x:v>11</x:v>
      </x:c>
      <x:c r="D226" s="23" t="s">
        <x:v>116</x:v>
      </x:c>
      <x:c r="E226" s="23" t="s">
        <x:v>184</x:v>
      </x:c>
      <x:c r="F226" s="23">
        <x:v>32</x:v>
      </x:c>
      <x:c r="G226" s="23">
        <x:v>10</x:v>
      </x:c>
      <x:c r="H226" s="23">
        <x:v>0</x:v>
      </x:c>
      <x:c r="I226" s="23">
        <x:v>14477</x:v>
      </x:c>
      <x:c r="J226" s="23">
        <x:v>2299</x:v>
      </x:c>
      <x:c r="K226" s="23">
        <x:v>0</x:v>
      </x:c>
      <x:c r="L226" s="23" t="s">
        <x:v>309</x:v>
      </x:c>
      <x:c r="M226" s="23">
        <x:f t="shared" si="3"/>
        <x:v>758.99999999999989</x:v>
      </x:c>
      <x:c r="N226" s="24" t="str">
        <x:f t="array" ref="N226">INDEX('MATCH INFO'!O:O, INT((ROW()-2)/10)+2 + 124)</x:f>
        <x:v>260705_O2_CB_S1</x:v>
      </x:c>
    </x:row>
    <x:row r="227">
      <x:c r="A227" s="23" t="s">
        <x:v>31</x:v>
      </x:c>
      <x:c r="B227" s="23" t="s">
        <x:v>34</x:v>
      </x:c>
      <x:c r="C227" s="23" t="s">
        <x:v>11</x:v>
      </x:c>
      <x:c r="D227" s="23" t="s">
        <x:v>116</x:v>
      </x:c>
      <x:c r="E227" s="23" t="s">
        <x:v>184</x:v>
      </x:c>
      <x:c r="F227" s="23">
        <x:v>33</x:v>
      </x:c>
      <x:c r="G227" s="23">
        <x:v>9</x:v>
      </x:c>
      <x:c r="H227" s="23">
        <x:v>0</x:v>
      </x:c>
      <x:c r="I227" s="23">
        <x:v>14694</x:v>
      </x:c>
      <x:c r="J227" s="23">
        <x:v>2242</x:v>
      </x:c>
      <x:c r="K227" s="23">
        <x:v>0</x:v>
      </x:c>
      <x:c r="L227" s="23" t="s">
        <x:v>309</x:v>
      </x:c>
      <x:c r="M227" s="23">
        <x:f t="shared" si="3"/>
        <x:v>758.99999999999989</x:v>
      </x:c>
      <x:c r="N227" s="24" t="str">
        <x:f t="array" ref="N227">INDEX('MATCH INFO'!O:O, INT((ROW()-2)/10)+2 + 124)</x:f>
        <x:v>260705_O2_CB_S1</x:v>
      </x:c>
    </x:row>
    <x:row r="228">
      <x:c r="A228" s="23" t="s">
        <x:v>31</x:v>
      </x:c>
      <x:c r="B228" s="23" t="s">
        <x:v>33</x:v>
      </x:c>
      <x:c r="C228" s="23" t="s">
        <x:v>8</x:v>
      </x:c>
      <x:c r="D228" s="23" t="s">
        <x:v>116</x:v>
      </x:c>
      <x:c r="E228" s="23" t="s">
        <x:v>184</x:v>
      </x:c>
      <x:c r="F228" s="23">
        <x:v>29</x:v>
      </x:c>
      <x:c r="G228" s="23">
        <x:v>13</x:v>
      </x:c>
      <x:c r="H228" s="23">
        <x:v>23</x:v>
      </x:c>
      <x:c r="I228" s="23">
        <x:v>15634</x:v>
      </x:c>
      <x:c r="J228" s="23">
        <x:v>4614</x:v>
      </x:c>
      <x:c r="K228" s="23">
        <x:v>9857</x:v>
      </x:c>
      <x:c r="L228" s="23" t="s">
        <x:v>309</x:v>
      </x:c>
      <x:c r="M228" s="23">
        <x:f t="shared" si="3"/>
        <x:v>758.99999999999989</x:v>
      </x:c>
      <x:c r="N228" s="24" t="str">
        <x:f t="array" ref="N228">INDEX('MATCH INFO'!O:O, INT((ROW()-2)/10)+2 + 124)</x:f>
        <x:v>260705_O2_CB_S1</x:v>
      </x:c>
    </x:row>
    <x:row r="229">
      <x:c r="A229" s="23" t="s">
        <x:v>31</x:v>
      </x:c>
      <x:c r="B229" s="23" t="s">
        <x:v>35</x:v>
      </x:c>
      <x:c r="C229" s="23" t="s">
        <x:v>11</x:v>
      </x:c>
      <x:c r="D229" s="23" t="s">
        <x:v>116</x:v>
      </x:c>
      <x:c r="E229" s="23" t="s">
        <x:v>184</x:v>
      </x:c>
      <x:c r="F229" s="23">
        <x:v>26</x:v>
      </x:c>
      <x:c r="G229" s="23">
        <x:v>12</x:v>
      </x:c>
      <x:c r="H229" s="23">
        <x:v>3</x:v>
      </x:c>
      <x:c r="I229" s="23">
        <x:v>13451</x:v>
      </x:c>
      <x:c r="J229" s="23">
        <x:v>0</x:v>
      </x:c>
      <x:c r="K229" s="23">
        <x:v>553</x:v>
      </x:c>
      <x:c r="L229" s="23" t="s">
        <x:v>309</x:v>
      </x:c>
      <x:c r="M229" s="23">
        <x:f t="shared" si="3"/>
        <x:v>758.99999999999989</x:v>
      </x:c>
      <x:c r="N229" s="24" t="str">
        <x:f t="array" ref="N229">INDEX('MATCH INFO'!O:O, INT((ROW()-2)/10)+2 + 124)</x:f>
        <x:v>260705_O2_CB_S1</x:v>
      </x:c>
    </x:row>
    <x:row r="230">
      <x:c r="A230" s="23" t="s">
        <x:v>31</x:v>
      </x:c>
      <x:c r="B230" s="23" t="s">
        <x:v>36</x:v>
      </x:c>
      <x:c r="C230" s="23" t="s">
        <x:v>16</x:v>
      </x:c>
      <x:c r="D230" s="23" t="s">
        <x:v>116</x:v>
      </x:c>
      <x:c r="E230" s="23" t="s">
        <x:v>184</x:v>
      </x:c>
      <x:c r="F230" s="23">
        <x:v>26</x:v>
      </x:c>
      <x:c r="G230" s="23">
        <x:v>6</x:v>
      </x:c>
      <x:c r="H230" s="23">
        <x:v>21</x:v>
      </x:c>
      <x:c r="I230" s="23">
        <x:v>7775</x:v>
      </x:c>
      <x:c r="J230" s="23">
        <x:v>11184</x:v>
      </x:c>
      <x:c r="K230" s="23">
        <x:v>0</x:v>
      </x:c>
      <x:c r="L230" s="23" t="s">
        <x:v>309</x:v>
      </x:c>
      <x:c r="M230" s="23">
        <x:f t="shared" si="3"/>
        <x:v>758.99999999999989</x:v>
      </x:c>
      <x:c r="N230" s="24" t="str">
        <x:f t="array" ref="N230">INDEX('MATCH INFO'!O:O, INT((ROW()-2)/10)+2 + 124)</x:f>
        <x:v>260705_O2_CB_S1</x:v>
      </x:c>
    </x:row>
    <x:row r="231">
      <x:c r="A231" s="23" t="s">
        <x:v>31</x:v>
      </x:c>
      <x:c r="B231" s="23" t="s">
        <x:v>37</x:v>
      </x:c>
      <x:c r="C231" s="23" t="s">
        <x:v>16</x:v>
      </x:c>
      <x:c r="D231" s="23" t="s">
        <x:v>116</x:v>
      </x:c>
      <x:c r="E231" s="23" t="s">
        <x:v>184</x:v>
      </x:c>
      <x:c r="F231" s="23">
        <x:v>22</x:v>
      </x:c>
      <x:c r="G231" s="23">
        <x:v>11</x:v>
      </x:c>
      <x:c r="H231" s="23">
        <x:v>28</x:v>
      </x:c>
      <x:c r="I231" s="23">
        <x:v>8723</x:v>
      </x:c>
      <x:c r="J231" s="23">
        <x:v>13958</x:v>
      </x:c>
      <x:c r="K231" s="23">
        <x:v>0</x:v>
      </x:c>
      <x:c r="L231" s="23" t="s">
        <x:v>309</x:v>
      </x:c>
      <x:c r="M231" s="23">
        <x:f t="shared" si="3"/>
        <x:v>758.99999999999989</x:v>
      </x:c>
      <x:c r="N231" s="24" t="str">
        <x:f t="array" ref="N231">INDEX('MATCH INFO'!O:O, INT((ROW()-2)/10)+2 + 124)</x:f>
        <x:v>260705_O2_CB_S1</x:v>
      </x:c>
    </x:row>
    <x:row r="232">
      <x:c r="A232" s="23" t="s">
        <x:v>31</x:v>
      </x:c>
      <x:c r="B232" s="23" t="s">
        <x:v>34</x:v>
      </x:c>
      <x:c r="C232" s="23" t="s">
        <x:v>11</x:v>
      </x:c>
      <x:c r="D232" s="23" t="s">
        <x:v>166</x:v>
      </x:c>
      <x:c r="E232" s="23" t="s">
        <x:v>191</x:v>
      </x:c>
      <x:c r="F232" s="23">
        <x:v>17</x:v>
      </x:c>
      <x:c r="G232" s="23">
        <x:v>5</x:v>
      </x:c>
      <x:c r="H232" s="23">
        <x:v>13</x:v>
      </x:c>
      <x:c r="I232" s="23">
        <x:v>8103</x:v>
      </x:c>
      <x:c r="J232" s="23">
        <x:v>1827</x:v>
      </x:c>
      <x:c r="K232" s="23">
        <x:v>2394</x:v>
      </x:c>
      <x:c r="L232" s="23" t="s">
        <x:v>278</x:v>
      </x:c>
      <x:c r="M232" s="23">
        <x:f t="shared" si="3"/>
        <x:v>678</x:v>
      </x:c>
      <x:c r="N232" s="24" t="str">
        <x:f t="array" ref="N232">INDEX('MATCH INFO'!O:O, INT((ROW()-2)/10)+2 + 124)</x:f>
        <x:v>260705_O2_CB_S2</x:v>
      </x:c>
    </x:row>
    <x:row r="233">
      <x:c r="A233" s="23" t="s">
        <x:v>31</x:v>
      </x:c>
      <x:c r="B233" s="23" t="s">
        <x:v>33</x:v>
      </x:c>
      <x:c r="C233" s="23" t="s">
        <x:v>8</x:v>
      </x:c>
      <x:c r="D233" s="23" t="s">
        <x:v>166</x:v>
      </x:c>
      <x:c r="E233" s="23" t="s">
        <x:v>191</x:v>
      </x:c>
      <x:c r="F233" s="23">
        <x:v>24</x:v>
      </x:c>
      <x:c r="G233" s="23">
        <x:v>5</x:v>
      </x:c>
      <x:c r="H233" s="23">
        <x:v>7</x:v>
      </x:c>
      <x:c r="I233" s="23">
        <x:v>12520</x:v>
      </x:c>
      <x:c r="J233" s="23">
        <x:v>0</x:v>
      </x:c>
      <x:c r="K233" s="23">
        <x:v>17974</x:v>
      </x:c>
      <x:c r="L233" s="23" t="s">
        <x:v>278</x:v>
      </x:c>
      <x:c r="M233" s="23">
        <x:f t="shared" si="3"/>
        <x:v>678</x:v>
      </x:c>
      <x:c r="N233" s="24" t="str">
        <x:f t="array" ref="N233">INDEX('MATCH INFO'!O:O, INT((ROW()-2)/10)+2 + 124)</x:f>
        <x:v>260705_O2_CB_S2</x:v>
      </x:c>
    </x:row>
    <x:row r="234">
      <x:c r="A234" s="23" t="s">
        <x:v>31</x:v>
      </x:c>
      <x:c r="B234" s="23" t="s">
        <x:v>35</x:v>
      </x:c>
      <x:c r="C234" s="23" t="s">
        <x:v>11</x:v>
      </x:c>
      <x:c r="D234" s="23" t="s">
        <x:v>166</x:v>
      </x:c>
      <x:c r="E234" s="23" t="s">
        <x:v>191</x:v>
      </x:c>
      <x:c r="F234" s="23">
        <x:v>22</x:v>
      </x:c>
      <x:c r="G234" s="23">
        <x:v>6</x:v>
      </x:c>
      <x:c r="H234" s="23">
        <x:v>6</x:v>
      </x:c>
      <x:c r="I234" s="23">
        <x:v>11307</x:v>
      </x:c>
      <x:c r="J234" s="23">
        <x:v>43</x:v>
      </x:c>
      <x:c r="K234" s="23">
        <x:v>372</x:v>
      </x:c>
      <x:c r="L234" s="23" t="s">
        <x:v>278</x:v>
      </x:c>
      <x:c r="M234" s="23">
        <x:f t="shared" si="3"/>
        <x:v>678</x:v>
      </x:c>
      <x:c r="N234" s="24" t="str">
        <x:f t="array" ref="N234">INDEX('MATCH INFO'!O:O, INT((ROW()-2)/10)+2 + 124)</x:f>
        <x:v>260705_O2_CB_S2</x:v>
      </x:c>
    </x:row>
    <x:row r="235">
      <x:c r="A235" s="23" t="s">
        <x:v>31</x:v>
      </x:c>
      <x:c r="B235" s="23" t="s">
        <x:v>36</x:v>
      </x:c>
      <x:c r="C235" s="23" t="s">
        <x:v>16</x:v>
      </x:c>
      <x:c r="D235" s="23" t="s">
        <x:v>166</x:v>
      </x:c>
      <x:c r="E235" s="23" t="s">
        <x:v>191</x:v>
      </x:c>
      <x:c r="F235" s="23">
        <x:v>21</x:v>
      </x:c>
      <x:c r="G235" s="23">
        <x:v>1</x:v>
      </x:c>
      <x:c r="H235" s="23">
        <x:v>16</x:v>
      </x:c>
      <x:c r="I235" s="23">
        <x:v>4664</x:v>
      </x:c>
      <x:c r="J235" s="23">
        <x:v>10847</x:v>
      </x:c>
      <x:c r="K235" s="23">
        <x:v>0</x:v>
      </x:c>
      <x:c r="L235" s="23" t="s">
        <x:v>278</x:v>
      </x:c>
      <x:c r="M235" s="23">
        <x:f t="shared" si="3"/>
        <x:v>678</x:v>
      </x:c>
      <x:c r="N235" s="24" t="str">
        <x:f t="array" ref="N235">INDEX('MATCH INFO'!O:O, INT((ROW()-2)/10)+2 + 124)</x:f>
        <x:v>260705_O2_CB_S2</x:v>
      </x:c>
    </x:row>
    <x:row r="236">
      <x:c r="A236" s="23" t="s">
        <x:v>31</x:v>
      </x:c>
      <x:c r="B236" s="23" t="s">
        <x:v>37</x:v>
      </x:c>
      <x:c r="C236" s="23" t="s">
        <x:v>16</x:v>
      </x:c>
      <x:c r="D236" s="23" t="s">
        <x:v>166</x:v>
      </x:c>
      <x:c r="E236" s="23" t="s">
        <x:v>191</x:v>
      </x:c>
      <x:c r="F236" s="23">
        <x:v>14</x:v>
      </x:c>
      <x:c r="G236" s="23">
        <x:v>4</x:v>
      </x:c>
      <x:c r="H236" s="23">
        <x:v>26</x:v>
      </x:c>
      <x:c r="I236" s="23">
        <x:v>4044</x:v>
      </x:c>
      <x:c r="J236" s="23">
        <x:v>13128</x:v>
      </x:c>
      <x:c r="K236" s="23">
        <x:v>0</x:v>
      </x:c>
      <x:c r="L236" s="23" t="s">
        <x:v>278</x:v>
      </x:c>
      <x:c r="M236" s="23">
        <x:f t="shared" si="3"/>
        <x:v>678</x:v>
      </x:c>
      <x:c r="N236" s="24" t="str">
        <x:f t="array" ref="N236">INDEX('MATCH INFO'!O:O, INT((ROW()-2)/10)+2 + 124)</x:f>
        <x:v>260705_O2_CB_S2</x:v>
      </x:c>
    </x:row>
    <x:row r="237">
      <x:c r="A237" s="23" t="s">
        <x:v>6</x:v>
      </x:c>
      <x:c r="B237" s="23" t="s">
        <x:v>15</x:v>
      </x:c>
      <x:c r="C237" s="23" t="s">
        <x:v>16</x:v>
      </x:c>
      <x:c r="D237" s="23" t="s">
        <x:v>166</x:v>
      </x:c>
      <x:c r="E237" s="23" t="s">
        <x:v>191</x:v>
      </x:c>
      <x:c r="F237" s="23">
        <x:v>9</x:v>
      </x:c>
      <x:c r="G237" s="23">
        <x:v>6</x:v>
      </x:c>
      <x:c r="H237" s="23">
        <x:v>10</x:v>
      </x:c>
      <x:c r="I237" s="23">
        <x:v>1801</x:v>
      </x:c>
      <x:c r="J237" s="23">
        <x:v>8967</x:v>
      </x:c>
      <x:c r="K237" s="23">
        <x:v>0</x:v>
      </x:c>
      <x:c r="L237" s="23" t="s">
        <x:v>278</x:v>
      </x:c>
      <x:c r="M237" s="23">
        <x:f t="shared" si="3"/>
        <x:v>678</x:v>
      </x:c>
      <x:c r="N237" s="24" t="str">
        <x:f t="array" ref="N237">INDEX('MATCH INFO'!O:O, INT((ROW()-2)/10)+2 + 124)</x:f>
        <x:v>260705_O2_CB_S2</x:v>
      </x:c>
    </x:row>
    <x:row r="238">
      <x:c r="A238" s="23" t="s">
        <x:v>6</x:v>
      </x:c>
      <x:c r="B238" s="23" t="s">
        <x:v>18</x:v>
      </x:c>
      <x:c r="C238" s="23" t="s">
        <x:v>16</x:v>
      </x:c>
      <x:c r="D238" s="23" t="s">
        <x:v>166</x:v>
      </x:c>
      <x:c r="E238" s="23" t="s">
        <x:v>191</x:v>
      </x:c>
      <x:c r="F238" s="23">
        <x:v>7</x:v>
      </x:c>
      <x:c r="G238" s="23">
        <x:v>7</x:v>
      </x:c>
      <x:c r="H238" s="23">
        <x:v>10</x:v>
      </x:c>
      <x:c r="I238" s="23">
        <x:v>3624</x:v>
      </x:c>
      <x:c r="J238" s="23">
        <x:v>13986</x:v>
      </x:c>
      <x:c r="K238" s="23">
        <x:v>0</x:v>
      </x:c>
      <x:c r="L238" s="23" t="s">
        <x:v>278</x:v>
      </x:c>
      <x:c r="M238" s="23">
        <x:f t="shared" si="3"/>
        <x:v>678</x:v>
      </x:c>
      <x:c r="N238" s="24" t="str">
        <x:f t="array" ref="N238">INDEX('MATCH INFO'!O:O, INT((ROW()-2)/10)+2 + 124)</x:f>
        <x:v>260705_O2_CB_S2</x:v>
      </x:c>
    </x:row>
    <x:row r="239">
      <x:c r="A239" s="23" t="s">
        <x:v>6</x:v>
      </x:c>
      <x:c r="B239" s="23" t="s">
        <x:v>13</x:v>
      </x:c>
      <x:c r="C239" s="23" t="s">
        <x:v>11</x:v>
      </x:c>
      <x:c r="D239" s="23" t="s">
        <x:v>166</x:v>
      </x:c>
      <x:c r="E239" s="23" t="s">
        <x:v>191</x:v>
      </x:c>
      <x:c r="F239" s="23">
        <x:v>11</x:v>
      </x:c>
      <x:c r="G239" s="23">
        <x:v>8</x:v>
      </x:c>
      <x:c r="H239" s="23">
        <x:v>3</x:v>
      </x:c>
      <x:c r="I239" s="23">
        <x:v>10445</x:v>
      </x:c>
      <x:c r="J239" s="23">
        <x:v>0</x:v>
      </x:c>
      <x:c r="K239" s="23">
        <x:v>906</x:v>
      </x:c>
      <x:c r="L239" s="23" t="s">
        <x:v>278</x:v>
      </x:c>
      <x:c r="M239" s="23">
        <x:f t="shared" si="3"/>
        <x:v>678</x:v>
      </x:c>
      <x:c r="N239" s="24" t="str">
        <x:f t="array" ref="N239">INDEX('MATCH INFO'!O:O, INT((ROW()-2)/10)+2 + 124)</x:f>
        <x:v>260705_O2_CB_S2</x:v>
      </x:c>
    </x:row>
    <x:row r="240">
      <x:c r="A240" s="23" t="s">
        <x:v>6</x:v>
      </x:c>
      <x:c r="B240" s="23" t="s">
        <x:v>9</x:v>
      </x:c>
      <x:c r="C240" s="23" t="s">
        <x:v>8</x:v>
      </x:c>
      <x:c r="D240" s="23" t="s">
        <x:v>166</x:v>
      </x:c>
      <x:c r="E240" s="23" t="s">
        <x:v>191</x:v>
      </x:c>
      <x:c r="F240" s="23">
        <x:v>16</x:v>
      </x:c>
      <x:c r="G240" s="23">
        <x:v>6</x:v>
      </x:c>
      <x:c r="H240" s="23">
        <x:v>4</x:v>
      </x:c>
      <x:c r="I240" s="23">
        <x:v>12150</x:v>
      </x:c>
      <x:c r="J240" s="23">
        <x:v>0</x:v>
      </x:c>
      <x:c r="K240" s="23">
        <x:v>23086</x:v>
      </x:c>
      <x:c r="L240" s="23" t="s">
        <x:v>278</x:v>
      </x:c>
      <x:c r="M240" s="23">
        <x:f t="shared" si="3"/>
        <x:v>678</x:v>
      </x:c>
      <x:c r="N240" s="24" t="str">
        <x:f t="array" ref="N240">INDEX('MATCH INFO'!O:O, INT((ROW()-2)/10)+2 + 124)</x:f>
        <x:v>260705_O2_CB_S2</x:v>
      </x:c>
    </x:row>
    <x:row r="241">
      <x:c r="A241" s="23" t="s">
        <x:v>6</x:v>
      </x:c>
      <x:c r="B241" s="23" t="s">
        <x:v>10</x:v>
      </x:c>
      <x:c r="C241" s="23" t="s">
        <x:v>11</x:v>
      </x:c>
      <x:c r="D241" s="23" t="s">
        <x:v>166</x:v>
      </x:c>
      <x:c r="E241" s="23" t="s">
        <x:v>191</x:v>
      </x:c>
      <x:c r="F241" s="23">
        <x:v>15</x:v>
      </x:c>
      <x:c r="G241" s="23">
        <x:v>8</x:v>
      </x:c>
      <x:c r="H241" s="23">
        <x:v>5</x:v>
      </x:c>
      <x:c r="I241" s="23">
        <x:v>7955</x:v>
      </x:c>
      <x:c r="J241" s="23">
        <x:v>1410</x:v>
      </x:c>
      <x:c r="K241" s="23">
        <x:v>3409</x:v>
      </x:c>
      <x:c r="L241" s="23" t="s">
        <x:v>278</x:v>
      </x:c>
      <x:c r="M241" s="23">
        <x:f t="shared" si="3"/>
        <x:v>678</x:v>
      </x:c>
      <x:c r="N241" s="24" t="str">
        <x:f t="array" ref="N241">INDEX('MATCH INFO'!O:O, INT((ROW()-2)/10)+2 + 124)</x:f>
        <x:v>260705_O2_CB_S2</x:v>
      </x:c>
    </x:row>
    <x:row r="242">
      <x:c r="A242" s="23" t="s">
        <x:v>6</x:v>
      </x:c>
      <x:c r="B242" s="23" t="s">
        <x:v>15</x:v>
      </x:c>
      <x:c r="C242" s="23" t="s">
        <x:v>16</x:v>
      </x:c>
      <x:c r="D242" s="23" t="s">
        <x:v>124</x:v>
      </x:c>
      <x:c r="E242" s="23" t="s">
        <x:v>186</x:v>
      </x:c>
      <x:c r="F242" s="23">
        <x:v>13</x:v>
      </x:c>
      <x:c r="G242" s="23">
        <x:v>4</x:v>
      </x:c>
      <x:c r="H242" s="23">
        <x:v>5</x:v>
      </x:c>
      <x:c r="I242" s="23">
        <x:v>3162</x:v>
      </x:c>
      <x:c r="J242" s="23">
        <x:v>8528</x:v>
      </x:c>
      <x:c r="K242" s="23">
        <x:v>0</x:v>
      </x:c>
      <x:c r="L242" s="23" t="s">
        <x:v>321</x:v>
      </x:c>
      <x:c r="M242" s="23">
        <x:f t="shared" si="3"/>
        <x:v>560</x:v>
      </x:c>
      <x:c r="N242" s="24" t="str">
        <x:f t="array" ref="N242">INDEX('MATCH INFO'!O:O, INT((ROW()-2)/10)+2 + 124)</x:f>
        <x:v>260705_O2_CB_S3</x:v>
      </x:c>
    </x:row>
    <x:row r="243">
      <x:c r="A243" s="23" t="s">
        <x:v>6</x:v>
      </x:c>
      <x:c r="B243" s="23" t="s">
        <x:v>7</x:v>
      </x:c>
      <x:c r="C243" s="23" t="s">
        <x:v>8</x:v>
      </x:c>
      <x:c r="D243" s="23" t="s">
        <x:v>124</x:v>
      </x:c>
      <x:c r="E243" s="23" t="s">
        <x:v>186</x:v>
      </x:c>
      <x:c r="F243" s="23">
        <x:v>19</x:v>
      </x:c>
      <x:c r="G243" s="23">
        <x:v>3</x:v>
      </x:c>
      <x:c r="H243" s="23">
        <x:v>5</x:v>
      </x:c>
      <x:c r="I243" s="23">
        <x:v>8440</x:v>
      </x:c>
      <x:c r="J243" s="23">
        <x:v>1331</x:v>
      </x:c>
      <x:c r="K243" s="23">
        <x:v>7458</x:v>
      </x:c>
      <x:c r="L243" s="23" t="s">
        <x:v>321</x:v>
      </x:c>
      <x:c r="M243" s="23">
        <x:f t="shared" si="3"/>
        <x:v>560</x:v>
      </x:c>
      <x:c r="N243" s="24" t="str">
        <x:f t="array" ref="N243">INDEX('MATCH INFO'!O:O, INT((ROW()-2)/10)+2 + 124)</x:f>
        <x:v>260705_O2_CB_S3</x:v>
      </x:c>
    </x:row>
    <x:row r="244">
      <x:c r="A244" s="23" t="s">
        <x:v>6</x:v>
      </x:c>
      <x:c r="B244" s="23" t="s">
        <x:v>18</x:v>
      </x:c>
      <x:c r="C244" s="23" t="s">
        <x:v>16</x:v>
      </x:c>
      <x:c r="D244" s="23" t="s">
        <x:v>124</x:v>
      </x:c>
      <x:c r="E244" s="23" t="s">
        <x:v>186</x:v>
      </x:c>
      <x:c r="F244" s="23">
        <x:v>12</x:v>
      </x:c>
      <x:c r="G244" s="23">
        <x:v>4</x:v>
      </x:c>
      <x:c r="H244" s="23">
        <x:v>13</x:v>
      </x:c>
      <x:c r="I244" s="23">
        <x:v>3441</x:v>
      </x:c>
      <x:c r="J244" s="23">
        <x:v>9946</x:v>
      </x:c>
      <x:c r="K244" s="23">
        <x:v>0</x:v>
      </x:c>
      <x:c r="L244" s="23" t="s">
        <x:v>321</x:v>
      </x:c>
      <x:c r="M244" s="23">
        <x:f t="shared" si="3"/>
        <x:v>560</x:v>
      </x:c>
      <x:c r="N244" s="24" t="str">
        <x:f t="array" ref="N244">INDEX('MATCH INFO'!O:O, INT((ROW()-2)/10)+2 + 124)</x:f>
        <x:v>260705_O2_CB_S3</x:v>
      </x:c>
    </x:row>
    <x:row r="245">
      <x:c r="A245" s="23" t="s">
        <x:v>6</x:v>
      </x:c>
      <x:c r="B245" s="23" t="s">
        <x:v>13</x:v>
      </x:c>
      <x:c r="C245" s="23" t="s">
        <x:v>11</x:v>
      </x:c>
      <x:c r="D245" s="23" t="s">
        <x:v>124</x:v>
      </x:c>
      <x:c r="E245" s="23" t="s">
        <x:v>186</x:v>
      </x:c>
      <x:c r="F245" s="23">
        <x:v>19</x:v>
      </x:c>
      <x:c r="G245" s="23">
        <x:v>5</x:v>
      </x:c>
      <x:c r="H245" s="23">
        <x:v>2</x:v>
      </x:c>
      <x:c r="I245" s="23">
        <x:v>7775</x:v>
      </x:c>
      <x:c r="J245" s="23">
        <x:v>75</x:v>
      </x:c>
      <x:c r="K245" s="23">
        <x:v>623</x:v>
      </x:c>
      <x:c r="L245" s="23" t="s">
        <x:v>321</x:v>
      </x:c>
      <x:c r="M245" s="23">
        <x:f t="shared" si="3"/>
        <x:v>560</x:v>
      </x:c>
      <x:c r="N245" s="24" t="str">
        <x:f t="array" ref="N245">INDEX('MATCH INFO'!O:O, INT((ROW()-2)/10)+2 + 124)</x:f>
        <x:v>260705_O2_CB_S3</x:v>
      </x:c>
    </x:row>
    <x:row r="246">
      <x:c r="A246" s="23" t="s">
        <x:v>6</x:v>
      </x:c>
      <x:c r="B246" s="23" t="s">
        <x:v>10</x:v>
      </x:c>
      <x:c r="C246" s="23" t="s">
        <x:v>11</x:v>
      </x:c>
      <x:c r="D246" s="23" t="s">
        <x:v>124</x:v>
      </x:c>
      <x:c r="E246" s="23" t="s">
        <x:v>186</x:v>
      </x:c>
      <x:c r="F246" s="23">
        <x:v>14</x:v>
      </x:c>
      <x:c r="G246" s="23">
        <x:v>1</x:v>
      </x:c>
      <x:c r="H246" s="23">
        <x:v>0</x:v>
      </x:c>
      <x:c r="I246" s="23">
        <x:v>7443</x:v>
      </x:c>
      <x:c r="J246" s="23">
        <x:v>274</x:v>
      </x:c>
      <x:c r="K246" s="23">
        <x:v>0</x:v>
      </x:c>
      <x:c r="L246" s="23" t="s">
        <x:v>321</x:v>
      </x:c>
      <x:c r="M246" s="23">
        <x:f t="shared" si="3"/>
        <x:v>560</x:v>
      </x:c>
      <x:c r="N246" s="24" t="str">
        <x:f t="array" ref="N246">INDEX('MATCH INFO'!O:O, INT((ROW()-2)/10)+2 + 124)</x:f>
        <x:v>260705_O2_CB_S3</x:v>
      </x:c>
    </x:row>
    <x:row r="247">
      <x:c r="A247" s="23" t="s">
        <x:v>31</x:v>
      </x:c>
      <x:c r="B247" s="23" t="s">
        <x:v>34</x:v>
      </x:c>
      <x:c r="C247" s="23" t="s">
        <x:v>11</x:v>
      </x:c>
      <x:c r="D247" s="23" t="s">
        <x:v>124</x:v>
      </x:c>
      <x:c r="E247" s="23" t="s">
        <x:v>186</x:v>
      </x:c>
      <x:c r="F247" s="23">
        <x:v>11</x:v>
      </x:c>
      <x:c r="G247" s="23">
        <x:v>6</x:v>
      </x:c>
      <x:c r="H247" s="23">
        <x:v>0</x:v>
      </x:c>
      <x:c r="I247" s="23">
        <x:v>6604</x:v>
      </x:c>
      <x:c r="J247" s="23">
        <x:v>379</x:v>
      </x:c>
      <x:c r="K247" s="23">
        <x:v>71</x:v>
      </x:c>
      <x:c r="L247" s="23" t="s">
        <x:v>321</x:v>
      </x:c>
      <x:c r="M247" s="23">
        <x:f t="shared" si="3"/>
        <x:v>560</x:v>
      </x:c>
      <x:c r="N247" s="24" t="str">
        <x:f t="array" ref="N247">INDEX('MATCH INFO'!O:O, INT((ROW()-2)/10)+2 + 124)</x:f>
        <x:v>260705_O2_CB_S3</x:v>
      </x:c>
    </x:row>
    <x:row r="248">
      <x:c r="A248" s="23" t="s">
        <x:v>31</x:v>
      </x:c>
      <x:c r="B248" s="23" t="s">
        <x:v>32</x:v>
      </x:c>
      <x:c r="C248" s="23" t="s">
        <x:v>8</x:v>
      </x:c>
      <x:c r="D248" s="23" t="s">
        <x:v>124</x:v>
      </x:c>
      <x:c r="E248" s="23" t="s">
        <x:v>186</x:v>
      </x:c>
      <x:c r="F248" s="23">
        <x:v>12</x:v>
      </x:c>
      <x:c r="G248" s="23">
        <x:v>4</x:v>
      </x:c>
      <x:c r="H248" s="23">
        <x:v>5</x:v>
      </x:c>
      <x:c r="I248" s="23">
        <x:v>7611</x:v>
      </x:c>
      <x:c r="J248" s="23">
        <x:v>1534</x:v>
      </x:c>
      <x:c r="K248" s="23">
        <x:v>5263</x:v>
      </x:c>
      <x:c r="L248" s="23" t="s">
        <x:v>321</x:v>
      </x:c>
      <x:c r="M248" s="23">
        <x:f t="shared" si="3"/>
        <x:v>560</x:v>
      </x:c>
      <x:c r="N248" s="24" t="str">
        <x:f t="array" ref="N248">INDEX('MATCH INFO'!O:O, INT((ROW()-2)/10)+2 + 124)</x:f>
        <x:v>260705_O2_CB_S3</x:v>
      </x:c>
    </x:row>
    <x:row r="249">
      <x:c r="A249" s="23" t="s">
        <x:v>31</x:v>
      </x:c>
      <x:c r="B249" s="23" t="s">
        <x:v>35</x:v>
      </x:c>
      <x:c r="C249" s="23" t="s">
        <x:v>11</x:v>
      </x:c>
      <x:c r="D249" s="23" t="s">
        <x:v>124</x:v>
      </x:c>
      <x:c r="E249" s="23" t="s">
        <x:v>186</x:v>
      </x:c>
      <x:c r="F249" s="23">
        <x:v>10</x:v>
      </x:c>
      <x:c r="G249" s="23">
        <x:v>6</x:v>
      </x:c>
      <x:c r="H249" s="23">
        <x:v>3</x:v>
      </x:c>
      <x:c r="I249" s="23">
        <x:v>10032</x:v>
      </x:c>
      <x:c r="J249" s="23">
        <x:v>0</x:v>
      </x:c>
      <x:c r="K249" s="23">
        <x:v>897</x:v>
      </x:c>
      <x:c r="L249" s="23" t="s">
        <x:v>321</x:v>
      </x:c>
      <x:c r="M249" s="23">
        <x:f t="shared" si="3"/>
        <x:v>560</x:v>
      </x:c>
      <x:c r="N249" s="24" t="str">
        <x:f t="array" ref="N249">INDEX('MATCH INFO'!O:O, INT((ROW()-2)/10)+2 + 124)</x:f>
        <x:v>260705_O2_CB_S3</x:v>
      </x:c>
    </x:row>
    <x:row r="250">
      <x:c r="A250" s="23" t="s">
        <x:v>31</x:v>
      </x:c>
      <x:c r="B250" s="23" t="s">
        <x:v>36</x:v>
      </x:c>
      <x:c r="C250" s="23" t="s">
        <x:v>16</x:v>
      </x:c>
      <x:c r="D250" s="23" t="s">
        <x:v>124</x:v>
      </x:c>
      <x:c r="E250" s="23" t="s">
        <x:v>186</x:v>
      </x:c>
      <x:c r="F250" s="23">
        <x:v>8</x:v>
      </x:c>
      <x:c r="G250" s="23">
        <x:v>2</x:v>
      </x:c>
      <x:c r="H250" s="23">
        <x:v>12</x:v>
      </x:c>
      <x:c r="I250" s="23">
        <x:v>2979</x:v>
      </x:c>
      <x:c r="J250" s="23">
        <x:v>8361</x:v>
      </x:c>
      <x:c r="K250" s="23">
        <x:v>0</x:v>
      </x:c>
      <x:c r="L250" s="23" t="s">
        <x:v>321</x:v>
      </x:c>
      <x:c r="M250" s="23">
        <x:f t="shared" si="3"/>
        <x:v>560</x:v>
      </x:c>
      <x:c r="N250" s="24" t="str">
        <x:f t="array" ref="N250">INDEX('MATCH INFO'!O:O, INT((ROW()-2)/10)+2 + 124)</x:f>
        <x:v>260705_O2_CB_S3</x:v>
      </x:c>
    </x:row>
    <x:row r="251">
      <x:c r="A251" s="23" t="s">
        <x:v>31</x:v>
      </x:c>
      <x:c r="B251" s="23" t="s">
        <x:v>37</x:v>
      </x:c>
      <x:c r="C251" s="23" t="s">
        <x:v>16</x:v>
      </x:c>
      <x:c r="D251" s="23" t="s">
        <x:v>124</x:v>
      </x:c>
      <x:c r="E251" s="23" t="s">
        <x:v>186</x:v>
      </x:c>
      <x:c r="F251" s="23">
        <x:v>7</x:v>
      </x:c>
      <x:c r="G251" s="23">
        <x:v>7</x:v>
      </x:c>
      <x:c r="H251" s="23">
        <x:v>8</x:v>
      </x:c>
      <x:c r="I251" s="23">
        <x:v>4222</x:v>
      </x:c>
      <x:c r="J251" s="23">
        <x:v>6955</x:v>
      </x:c>
      <x:c r="K251" s="23">
        <x:v>0</x:v>
      </x:c>
      <x:c r="L251" s="23" t="s">
        <x:v>321</x:v>
      </x:c>
      <x:c r="M251" s="23">
        <x:f t="shared" si="3"/>
        <x:v>560</x:v>
      </x:c>
      <x:c r="N251" s="24" t="str">
        <x:f t="array" ref="N251">INDEX('MATCH INFO'!O:O, INT((ROW()-2)/10)+2 + 124)</x:f>
        <x:v>260705_O2_CB_S3</x:v>
      </x:c>
    </x:row>
    <x:row r="252">
      <x:c r="A252" s="23" t="s">
        <x:v>31</x:v>
      </x:c>
      <x:c r="B252" s="23" t="s">
        <x:v>34</x:v>
      </x:c>
      <x:c r="C252" s="23" t="s">
        <x:v>11</x:v>
      </x:c>
      <x:c r="D252" s="23" t="s">
        <x:v>168</x:v>
      </x:c>
      <x:c r="E252" s="23" t="s">
        <x:v>188</x:v>
      </x:c>
      <x:c r="F252" s="23">
        <x:v>23</x:v>
      </x:c>
      <x:c r="G252" s="23">
        <x:v>6</x:v>
      </x:c>
      <x:c r="H252" s="23">
        <x:v>0</x:v>
      </x:c>
      <x:c r="I252" s="23">
        <x:v>12993</x:v>
      </x:c>
      <x:c r="J252" s="23">
        <x:v>1991</x:v>
      </x:c>
      <x:c r="K252" s="23">
        <x:v>0</x:v>
      </x:c>
      <x:c r="L252" s="23" t="s">
        <x:v>322</x:v>
      </x:c>
      <x:c r="M252" s="23">
        <x:f t="shared" si="3"/>
        <x:v>663</x:v>
      </x:c>
      <x:c r="N252" s="24" t="str">
        <x:f t="array" ref="N252">INDEX('MATCH INFO'!O:O, INT((ROW()-2)/10)+2 + 124)</x:f>
        <x:v>260705_O2_CB_S4</x:v>
      </x:c>
    </x:row>
    <x:row r="253">
      <x:c r="A253" s="23" t="s">
        <x:v>31</x:v>
      </x:c>
      <x:c r="B253" s="23" t="s">
        <x:v>33</x:v>
      </x:c>
      <x:c r="C253" s="23" t="s">
        <x:v>8</x:v>
      </x:c>
      <x:c r="D253" s="23" t="s">
        <x:v>168</x:v>
      </x:c>
      <x:c r="E253" s="23" t="s">
        <x:v>188</x:v>
      </x:c>
      <x:c r="F253" s="23">
        <x:v>22</x:v>
      </x:c>
      <x:c r="G253" s="23">
        <x:v>7</x:v>
      </x:c>
      <x:c r="H253" s="23">
        <x:v>19</x:v>
      </x:c>
      <x:c r="I253" s="23">
        <x:v>16473</x:v>
      </x:c>
      <x:c r="J253" s="23">
        <x:v>3517</x:v>
      </x:c>
      <x:c r="K253" s="23">
        <x:v>9381</x:v>
      </x:c>
      <x:c r="L253" s="23" t="s">
        <x:v>322</x:v>
      </x:c>
      <x:c r="M253" s="23">
        <x:f t="shared" si="3"/>
        <x:v>663</x:v>
      </x:c>
      <x:c r="N253" s="24" t="str">
        <x:f t="array" ref="N253">INDEX('MATCH INFO'!O:O, INT((ROW()-2)/10)+2 + 124)</x:f>
        <x:v>260705_O2_CB_S4</x:v>
      </x:c>
    </x:row>
    <x:row r="254">
      <x:c r="A254" s="23" t="s">
        <x:v>31</x:v>
      </x:c>
      <x:c r="B254" s="23" t="s">
        <x:v>35</x:v>
      </x:c>
      <x:c r="C254" s="23" t="s">
        <x:v>11</x:v>
      </x:c>
      <x:c r="D254" s="23" t="s">
        <x:v>168</x:v>
      </x:c>
      <x:c r="E254" s="23" t="s">
        <x:v>188</x:v>
      </x:c>
      <x:c r="F254" s="23">
        <x:v>20</x:v>
      </x:c>
      <x:c r="G254" s="23">
        <x:v>10</x:v>
      </x:c>
      <x:c r="H254" s="23">
        <x:v>1</x:v>
      </x:c>
      <x:c r="I254" s="23">
        <x:v>11348</x:v>
      </x:c>
      <x:c r="J254" s="23">
        <x:v>150</x:v>
      </x:c>
      <x:c r="K254" s="23">
        <x:v>319</x:v>
      </x:c>
      <x:c r="L254" s="23" t="s">
        <x:v>322</x:v>
      </x:c>
      <x:c r="M254" s="23">
        <x:f t="shared" si="3"/>
        <x:v>663</x:v>
      </x:c>
      <x:c r="N254" s="24" t="str">
        <x:f t="array" ref="N254">INDEX('MATCH INFO'!O:O, INT((ROW()-2)/10)+2 + 124)</x:f>
        <x:v>260705_O2_CB_S4</x:v>
      </x:c>
    </x:row>
    <x:row r="255">
      <x:c r="A255" s="23" t="s">
        <x:v>31</x:v>
      </x:c>
      <x:c r="B255" s="23" t="s">
        <x:v>36</x:v>
      </x:c>
      <x:c r="C255" s="23" t="s">
        <x:v>16</x:v>
      </x:c>
      <x:c r="D255" s="23" t="s">
        <x:v>168</x:v>
      </x:c>
      <x:c r="E255" s="23" t="s">
        <x:v>188</x:v>
      </x:c>
      <x:c r="F255" s="23">
        <x:v>16</x:v>
      </x:c>
      <x:c r="G255" s="23">
        <x:v>7</x:v>
      </x:c>
      <x:c r="H255" s="23">
        <x:v>16</x:v>
      </x:c>
      <x:c r="I255" s="23">
        <x:v>4588</x:v>
      </x:c>
      <x:c r="J255" s="23">
        <x:v>11163</x:v>
      </x:c>
      <x:c r="K255" s="23">
        <x:v>0</x:v>
      </x:c>
      <x:c r="L255" s="23" t="s">
        <x:v>322</x:v>
      </x:c>
      <x:c r="M255" s="23">
        <x:f t="shared" si="3"/>
        <x:v>663</x:v>
      </x:c>
      <x:c r="N255" s="24" t="str">
        <x:f t="array" ref="N255">INDEX('MATCH INFO'!O:O, INT((ROW()-2)/10)+2 + 124)</x:f>
        <x:v>260705_O2_CB_S4</x:v>
      </x:c>
    </x:row>
    <x:row r="256">
      <x:c r="A256" s="23" t="s">
        <x:v>31</x:v>
      </x:c>
      <x:c r="B256" s="23" t="s">
        <x:v>37</x:v>
      </x:c>
      <x:c r="C256" s="23" t="s">
        <x:v>16</x:v>
      </x:c>
      <x:c r="D256" s="23" t="s">
        <x:v>168</x:v>
      </x:c>
      <x:c r="E256" s="23" t="s">
        <x:v>188</x:v>
      </x:c>
      <x:c r="F256" s="23">
        <x:v>16</x:v>
      </x:c>
      <x:c r="G256" s="23">
        <x:v>12</x:v>
      </x:c>
      <x:c r="H256" s="23">
        <x:v>25</x:v>
      </x:c>
      <x:c r="I256" s="23">
        <x:v>5783</x:v>
      </x:c>
      <x:c r="J256" s="23">
        <x:v>12941</x:v>
      </x:c>
      <x:c r="K256" s="23">
        <x:v>0</x:v>
      </x:c>
      <x:c r="L256" s="23" t="s">
        <x:v>322</x:v>
      </x:c>
      <x:c r="M256" s="23">
        <x:f t="shared" si="3"/>
        <x:v>663</x:v>
      </x:c>
      <x:c r="N256" s="24" t="str">
        <x:f t="array" ref="N256">INDEX('MATCH INFO'!O:O, INT((ROW()-2)/10)+2 + 124)</x:f>
        <x:v>260705_O2_CB_S4</x:v>
      </x:c>
    </x:row>
    <x:row r="257">
      <x:c r="A257" s="23" t="s">
        <x:v>6</x:v>
      </x:c>
      <x:c r="B257" s="23" t="s">
        <x:v>15</x:v>
      </x:c>
      <x:c r="C257" s="23" t="s">
        <x:v>16</x:v>
      </x:c>
      <x:c r="D257" s="23" t="s">
        <x:v>168</x:v>
      </x:c>
      <x:c r="E257" s="23" t="s">
        <x:v>188</x:v>
      </x:c>
      <x:c r="F257" s="23">
        <x:v>23</x:v>
      </x:c>
      <x:c r="G257" s="23">
        <x:v>3</x:v>
      </x:c>
      <x:c r="H257" s="23">
        <x:v>25</x:v>
      </x:c>
      <x:c r="I257" s="23">
        <x:v>5508</x:v>
      </x:c>
      <x:c r="J257" s="23">
        <x:v>10744</x:v>
      </x:c>
      <x:c r="K257" s="23">
        <x:v>0</x:v>
      </x:c>
      <x:c r="L257" s="23" t="s">
        <x:v>322</x:v>
      </x:c>
      <x:c r="M257" s="23">
        <x:f t="shared" si="3"/>
        <x:v>663</x:v>
      </x:c>
      <x:c r="N257" s="24" t="str">
        <x:f t="array" ref="N257">INDEX('MATCH INFO'!O:O, INT((ROW()-2)/10)+2 + 124)</x:f>
        <x:v>260705_O2_CB_S4</x:v>
      </x:c>
    </x:row>
    <x:row r="258">
      <x:c r="A258" s="23" t="s">
        <x:v>6</x:v>
      </x:c>
      <x:c r="B258" s="23" t="s">
        <x:v>7</x:v>
      </x:c>
      <x:c r="C258" s="23" t="s">
        <x:v>8</x:v>
      </x:c>
      <x:c r="D258" s="23" t="s">
        <x:v>168</x:v>
      </x:c>
      <x:c r="E258" s="23" t="s">
        <x:v>188</x:v>
      </x:c>
      <x:c r="F258" s="23">
        <x:v>33</x:v>
      </x:c>
      <x:c r="G258" s="23">
        <x:v>7</x:v>
      </x:c>
      <x:c r="H258" s="23">
        <x:v>22</x:v>
      </x:c>
      <x:c r="I258" s="23">
        <x:v>16653</x:v>
      </x:c>
      <x:c r="J258" s="23">
        <x:v>3668</x:v>
      </x:c>
      <x:c r="K258" s="23">
        <x:v>8401</x:v>
      </x:c>
      <x:c r="L258" s="23" t="s">
        <x:v>322</x:v>
      </x:c>
      <x:c r="M258" s="23" t="e">
        <x:f t="shared" ref="M258:M321" si="4">L258*86400</x:f>
        <x:v>#VALUE!</x:v>
      </x:c>
      <x:c r="N258" s="24" t="str">
        <x:f t="array" ref="N258">INDEX('MATCH INFO'!O:O, INT((ROW()-2)/10)+2 + 124)</x:f>
        <x:v>260705_O2_CB_S4</x:v>
      </x:c>
    </x:row>
    <x:row r="259">
      <x:c r="A259" s="23" t="s">
        <x:v>6</x:v>
      </x:c>
      <x:c r="B259" s="23" t="s">
        <x:v>18</x:v>
      </x:c>
      <x:c r="C259" s="23" t="s">
        <x:v>16</x:v>
      </x:c>
      <x:c r="D259" s="23" t="s">
        <x:v>168</x:v>
      </x:c>
      <x:c r="E259" s="23" t="s">
        <x:v>188</x:v>
      </x:c>
      <x:c r="F259" s="23">
        <x:v>15</x:v>
      </x:c>
      <x:c r="G259" s="23">
        <x:v>7</x:v>
      </x:c>
      <x:c r="H259" s="23">
        <x:v>33</x:v>
      </x:c>
      <x:c r="I259" s="23">
        <x:v>5625</x:v>
      </x:c>
      <x:c r="J259" s="23">
        <x:v>15302</x:v>
      </x:c>
      <x:c r="K259" s="23">
        <x:v>0</x:v>
      </x:c>
      <x:c r="L259" s="23" t="s">
        <x:v>322</x:v>
      </x:c>
      <x:c r="M259" s="23">
        <x:f t="shared" si="4"/>
        <x:v>663</x:v>
      </x:c>
      <x:c r="N259" s="24" t="str">
        <x:f t="array" ref="N259">INDEX('MATCH INFO'!O:O, INT((ROW()-2)/10)+2 + 124)</x:f>
        <x:v>260705_O2_CB_S4</x:v>
      </x:c>
    </x:row>
    <x:row r="260">
      <x:c r="A260" s="23" t="s">
        <x:v>6</x:v>
      </x:c>
      <x:c r="B260" s="23" t="s">
        <x:v>13</x:v>
      </x:c>
      <x:c r="C260" s="23" t="s">
        <x:v>11</x:v>
      </x:c>
      <x:c r="D260" s="23" t="s">
        <x:v>168</x:v>
      </x:c>
      <x:c r="E260" s="23" t="s">
        <x:v>188</x:v>
      </x:c>
      <x:c r="F260" s="23">
        <x:v>21</x:v>
      </x:c>
      <x:c r="G260" s="23">
        <x:v>8</x:v>
      </x:c>
      <x:c r="H260" s="23">
        <x:v>3</x:v>
      </x:c>
      <x:c r="I260" s="23">
        <x:v>11526</x:v>
      </x:c>
      <x:c r="J260" s="23">
        <x:v>0</x:v>
      </x:c>
      <x:c r="K260" s="23">
        <x:v>658</x:v>
      </x:c>
      <x:c r="L260" s="23" t="s">
        <x:v>322</x:v>
      </x:c>
      <x:c r="M260" s="23">
        <x:f t="shared" si="4"/>
        <x:v>663</x:v>
      </x:c>
      <x:c r="N260" s="24" t="str">
        <x:f t="array" ref="N260">INDEX('MATCH INFO'!O:O, INT((ROW()-2)/10)+2 + 124)</x:f>
        <x:v>260705_O2_CB_S4</x:v>
      </x:c>
    </x:row>
    <x:row r="261">
      <x:c r="A261" s="23" t="s">
        <x:v>6</x:v>
      </x:c>
      <x:c r="B261" s="23" t="s">
        <x:v>10</x:v>
      </x:c>
      <x:c r="C261" s="23" t="s">
        <x:v>11</x:v>
      </x:c>
      <x:c r="D261" s="23" t="s">
        <x:v>168</x:v>
      </x:c>
      <x:c r="E261" s="23" t="s">
        <x:v>188</x:v>
      </x:c>
      <x:c r="F261" s="23">
        <x:v>28</x:v>
      </x:c>
      <x:c r="G261" s="23">
        <x:v>7</x:v>
      </x:c>
      <x:c r="H261" s="23">
        <x:v>0</x:v>
      </x:c>
      <x:c r="I261" s="23">
        <x:v>13083</x:v>
      </x:c>
      <x:c r="J261" s="23">
        <x:v>2185</x:v>
      </x:c>
      <x:c r="K261" s="23">
        <x:v>0</x:v>
      </x:c>
      <x:c r="L261" s="23" t="s">
        <x:v>322</x:v>
      </x:c>
      <x:c r="M261" s="23">
        <x:f t="shared" si="4"/>
        <x:v>663</x:v>
      </x:c>
      <x:c r="N261" s="24" t="str">
        <x:f t="array" ref="N261">INDEX('MATCH INFO'!O:O, INT((ROW()-2)/10)+2 + 124)</x:f>
        <x:v>260705_O2_CB_S4</x:v>
      </x:c>
    </x:row>
    <x:row r="262">
      <x:c r="A262" s="23" t="s">
        <x:v>55</x:v>
      </x:c>
      <x:c r="B262" s="23" t="s">
        <x:v>61</x:v>
      </x:c>
      <x:c r="C262" s="23" t="s">
        <x:v>16</x:v>
      </x:c>
      <x:c r="D262" s="23" t="s">
        <x:v>116</x:v>
      </x:c>
      <x:c r="E262" s="23" t="s">
        <x:v>184</x:v>
      </x:c>
      <x:c r="F262" s="23">
        <x:v>27</x:v>
      </x:c>
      <x:c r="G262" s="23">
        <x:v>12</x:v>
      </x:c>
      <x:c r="H262" s="23">
        <x:v>31</x:v>
      </x:c>
      <x:c r="I262" s="23">
        <x:v>8361</x:v>
      </x:c>
      <x:c r="J262" s="23">
        <x:v>12488</x:v>
      </x:c>
      <x:c r="K262" s="23">
        <x:v>3285</x:v>
      </x:c>
      <x:c r="L262" s="23" t="s">
        <x:v>323</x:v>
      </x:c>
      <x:c r="M262" s="23">
        <x:f t="shared" si="4"/>
        <x:v>850</x:v>
      </x:c>
      <x:c r="N262" s="24" t="str">
        <x:f t="array" ref="N262">INDEX('MATCH INFO'!O:O, INT((ROW()-2)/10)+2 + 124)</x:f>
        <x:v>260705_CR_ZETA_S1</x:v>
      </x:c>
    </x:row>
    <x:row r="263">
      <x:c r="A263" s="23" t="s">
        <x:v>55</x:v>
      </x:c>
      <x:c r="B263" s="23" t="s">
        <x:v>58</x:v>
      </x:c>
      <x:c r="C263" s="23" t="s">
        <x:v>11</x:v>
      </x:c>
      <x:c r="D263" s="23" t="s">
        <x:v>116</x:v>
      </x:c>
      <x:c r="E263" s="23" t="s">
        <x:v>184</x:v>
      </x:c>
      <x:c r="F263" s="23">
        <x:v>32</x:v>
      </x:c>
      <x:c r="G263" s="23">
        <x:v>14</x:v>
      </x:c>
      <x:c r="H263" s="23">
        <x:v>0</x:v>
      </x:c>
      <x:c r="I263" s="23">
        <x:v>13825</x:v>
      </x:c>
      <x:c r="J263" s="23">
        <x:v>2200</x:v>
      </x:c>
      <x:c r="K263" s="23">
        <x:v>0</x:v>
      </x:c>
      <x:c r="L263" s="23" t="s">
        <x:v>323</x:v>
      </x:c>
      <x:c r="M263" s="23">
        <x:f t="shared" si="4"/>
        <x:v>850</x:v>
      </x:c>
      <x:c r="N263" s="24" t="str">
        <x:f t="array" ref="N263">INDEX('MATCH INFO'!O:O, INT((ROW()-2)/10)+2 + 124)</x:f>
        <x:v>260705_CR_ZETA_S1</x:v>
      </x:c>
    </x:row>
    <x:row r="264">
      <x:c r="A264" s="23" t="s">
        <x:v>55</x:v>
      </x:c>
      <x:c r="B264" s="23" t="s">
        <x:v>57</x:v>
      </x:c>
      <x:c r="C264" s="23" t="s">
        <x:v>8</x:v>
      </x:c>
      <x:c r="D264" s="23" t="s">
        <x:v>116</x:v>
      </x:c>
      <x:c r="E264" s="23" t="s">
        <x:v>184</x:v>
      </x:c>
      <x:c r="F264" s="23">
        <x:v>35</x:v>
      </x:c>
      <x:c r="G264" s="23">
        <x:v>10</x:v>
      </x:c>
      <x:c r="H264" s="23">
        <x:v>25</x:v>
      </x:c>
      <x:c r="I264" s="23">
        <x:v>21759</x:v>
      </x:c>
      <x:c r="J264" s="23">
        <x:v>4054</x:v>
      </x:c>
      <x:c r="K264" s="23">
        <x:v>9041</x:v>
      </x:c>
      <x:c r="L264" s="23" t="s">
        <x:v>323</x:v>
      </x:c>
      <x:c r="M264" s="23">
        <x:f t="shared" si="4"/>
        <x:v>850</x:v>
      </x:c>
      <x:c r="N264" s="24" t="str">
        <x:f t="array" ref="N264">INDEX('MATCH INFO'!O:O, INT((ROW()-2)/10)+2 + 124)</x:f>
        <x:v>260705_CR_ZETA_S1</x:v>
      </x:c>
    </x:row>
    <x:row r="265">
      <x:c r="A265" s="23" t="s">
        <x:v>55</x:v>
      </x:c>
      <x:c r="B265" s="23" t="s">
        <x:v>60</x:v>
      </x:c>
      <x:c r="C265" s="23" t="s">
        <x:v>11</x:v>
      </x:c>
      <x:c r="D265" s="23" t="s">
        <x:v>116</x:v>
      </x:c>
      <x:c r="E265" s="23" t="s">
        <x:v>184</x:v>
      </x:c>
      <x:c r="F265" s="23">
        <x:v>35</x:v>
      </x:c>
      <x:c r="G265" s="23">
        <x:v>11</x:v>
      </x:c>
      <x:c r="H265" s="23">
        <x:v>5</x:v>
      </x:c>
      <x:c r="I265" s="23">
        <x:v>19766</x:v>
      </x:c>
      <x:c r="J265" s="23">
        <x:v>0</x:v>
      </x:c>
      <x:c r="K265" s="23">
        <x:v>655</x:v>
      </x:c>
      <x:c r="L265" s="23" t="s">
        <x:v>323</x:v>
      </x:c>
      <x:c r="M265" s="23">
        <x:f t="shared" si="4"/>
        <x:v>850</x:v>
      </x:c>
      <x:c r="N265" s="24" t="str">
        <x:f t="array" ref="N265">INDEX('MATCH INFO'!O:O, INT((ROW()-2)/10)+2 + 124)</x:f>
        <x:v>260705_CR_ZETA_S1</x:v>
      </x:c>
    </x:row>
    <x:row r="266">
      <x:c r="A266" s="23" t="s">
        <x:v>55</x:v>
      </x:c>
      <x:c r="B266" s="23" t="s">
        <x:v>62</x:v>
      </x:c>
      <x:c r="C266" s="23" t="s">
        <x:v>16</x:v>
      </x:c>
      <x:c r="D266" s="23" t="s">
        <x:v>116</x:v>
      </x:c>
      <x:c r="E266" s="23" t="s">
        <x:v>184</x:v>
      </x:c>
      <x:c r="F266" s="23">
        <x:v>17</x:v>
      </x:c>
      <x:c r="G266" s="23">
        <x:v>9</x:v>
      </x:c>
      <x:c r="H266" s="23">
        <x:v>36</x:v>
      </x:c>
      <x:c r="I266" s="23">
        <x:v>8688</x:v>
      </x:c>
      <x:c r="J266" s="23">
        <x:v>20937</x:v>
      </x:c>
      <x:c r="K266" s="23">
        <x:v>0</x:v>
      </x:c>
      <x:c r="L266" s="23" t="s">
        <x:v>323</x:v>
      </x:c>
      <x:c r="M266" s="23">
        <x:f t="shared" si="4"/>
        <x:v>850</x:v>
      </x:c>
      <x:c r="N266" s="24" t="str">
        <x:f t="array" ref="N266">INDEX('MATCH INFO'!O:O, INT((ROW()-2)/10)+2 + 124)</x:f>
        <x:v>260705_CR_ZETA_S1</x:v>
      </x:c>
    </x:row>
    <x:row r="267">
      <x:c r="A267" s="23" t="s">
        <x:v>47</x:v>
      </x:c>
      <x:c r="B267" s="23" t="s">
        <x:v>49</x:v>
      </x:c>
      <x:c r="C267" s="23" t="s">
        <x:v>8</x:v>
      </x:c>
      <x:c r="D267" s="23" t="s">
        <x:v>116</x:v>
      </x:c>
      <x:c r="E267" s="23" t="s">
        <x:v>184</x:v>
      </x:c>
      <x:c r="F267" s="23">
        <x:v>45</x:v>
      </x:c>
      <x:c r="G267" s="23">
        <x:v>9</x:v>
      </x:c>
      <x:c r="H267" s="23">
        <x:v>37</x:v>
      </x:c>
      <x:c r="I267" s="23">
        <x:v>20500</x:v>
      </x:c>
      <x:c r="J267" s="23">
        <x:v>5335</x:v>
      </x:c>
      <x:c r="K267" s="23">
        <x:v>9867</x:v>
      </x:c>
      <x:c r="L267" s="23" t="s">
        <x:v>323</x:v>
      </x:c>
      <x:c r="M267" s="23">
        <x:f t="shared" si="4"/>
        <x:v>850</x:v>
      </x:c>
      <x:c r="N267" s="24" t="str">
        <x:f t="array" ref="N267">INDEX('MATCH INFO'!O:O, INT((ROW()-2)/10)+2 + 124)</x:f>
        <x:v>260705_CR_ZETA_S1</x:v>
      </x:c>
    </x:row>
    <x:row r="268">
      <x:c r="A268" s="23" t="s">
        <x:v>47</x:v>
      </x:c>
      <x:c r="B268" s="23" t="s">
        <x:v>51</x:v>
      </x:c>
      <x:c r="C268" s="23" t="s">
        <x:v>11</x:v>
      </x:c>
      <x:c r="D268" s="23" t="s">
        <x:v>116</x:v>
      </x:c>
      <x:c r="E268" s="23" t="s">
        <x:v>184</x:v>
      </x:c>
      <x:c r="F268" s="23">
        <x:v>35</x:v>
      </x:c>
      <x:c r="G268" s="23">
        <x:v>11</x:v>
      </x:c>
      <x:c r="H268" s="23">
        <x:v>0</x:v>
      </x:c>
      <x:c r="I268" s="23">
        <x:v>13915</x:v>
      </x:c>
      <x:c r="J268" s="23">
        <x:v>2259</x:v>
      </x:c>
      <x:c r="K268" s="23">
        <x:v>0</x:v>
      </x:c>
      <x:c r="L268" s="23" t="s">
        <x:v>323</x:v>
      </x:c>
      <x:c r="M268" s="23">
        <x:f t="shared" si="4"/>
        <x:v>850</x:v>
      </x:c>
      <x:c r="N268" s="24" t="str">
        <x:f t="array" ref="N268">INDEX('MATCH INFO'!O:O, INT((ROW()-2)/10)+2 + 124)</x:f>
        <x:v>260705_CR_ZETA_S1</x:v>
      </x:c>
    </x:row>
    <x:row r="269">
      <x:c r="A269" s="23" t="s">
        <x:v>47</x:v>
      </x:c>
      <x:c r="B269" s="23" t="s">
        <x:v>50</x:v>
      </x:c>
      <x:c r="C269" s="23" t="s">
        <x:v>11</x:v>
      </x:c>
      <x:c r="D269" s="23" t="s">
        <x:v>116</x:v>
      </x:c>
      <x:c r="E269" s="23" t="s">
        <x:v>184</x:v>
      </x:c>
      <x:c r="F269" s="23">
        <x:v>45</x:v>
      </x:c>
      <x:c r="G269" s="23">
        <x:v>11</x:v>
      </x:c>
      <x:c r="H269" s="23">
        <x:v>7</x:v>
      </x:c>
      <x:c r="I269" s="23">
        <x:v>21886</x:v>
      </x:c>
      <x:c r="J269" s="23">
        <x:v>0</x:v>
      </x:c>
      <x:c r="K269" s="23">
        <x:v>675</x:v>
      </x:c>
      <x:c r="L269" s="23" t="s">
        <x:v>323</x:v>
      </x:c>
      <x:c r="M269" s="23">
        <x:f t="shared" si="4"/>
        <x:v>850</x:v>
      </x:c>
      <x:c r="N269" s="24" t="str">
        <x:f t="array" ref="N269">INDEX('MATCH INFO'!O:O, INT((ROW()-2)/10)+2 + 124)</x:f>
        <x:v>260705_CR_ZETA_S1</x:v>
      </x:c>
    </x:row>
    <x:row r="270">
      <x:c r="A270" s="23" t="s">
        <x:v>47</x:v>
      </x:c>
      <x:c r="B270" s="23" t="s">
        <x:v>53</x:v>
      </x:c>
      <x:c r="C270" s="23" t="s">
        <x:v>16</x:v>
      </x:c>
      <x:c r="D270" s="23" t="s">
        <x:v>116</x:v>
      </x:c>
      <x:c r="E270" s="23" t="s">
        <x:v>184</x:v>
      </x:c>
      <x:c r="F270" s="23">
        <x:v>24</x:v>
      </x:c>
      <x:c r="G270" s="23">
        <x:v>9</x:v>
      </x:c>
      <x:c r="H270" s="23">
        <x:v>43</x:v>
      </x:c>
      <x:c r="I270" s="23">
        <x:v>7637</x:v>
      </x:c>
      <x:c r="J270" s="23">
        <x:v>20495</x:v>
      </x:c>
      <x:c r="K270" s="23">
        <x:v>0</x:v>
      </x:c>
      <x:c r="L270" s="23" t="s">
        <x:v>323</x:v>
      </x:c>
      <x:c r="M270" s="23">
        <x:f t="shared" si="4"/>
        <x:v>850</x:v>
      </x:c>
      <x:c r="N270" s="24" t="str">
        <x:f t="array" ref="N270">INDEX('MATCH INFO'!O:O, INT((ROW()-2)/10)+2 + 124)</x:f>
        <x:v>260705_CR_ZETA_S1</x:v>
      </x:c>
    </x:row>
    <x:row r="271">
      <x:c r="A271" s="23" t="s">
        <x:v>47</x:v>
      </x:c>
      <x:c r="B271" s="23" t="s">
        <x:v>52</x:v>
      </x:c>
      <x:c r="C271" s="23" t="s">
        <x:v>16</x:v>
      </x:c>
      <x:c r="D271" s="23" t="s">
        <x:v>116</x:v>
      </x:c>
      <x:c r="E271" s="23" t="s">
        <x:v>184</x:v>
      </x:c>
      <x:c r="F271" s="23">
        <x:v>29</x:v>
      </x:c>
      <x:c r="G271" s="23">
        <x:v>7</x:v>
      </x:c>
      <x:c r="H271" s="23">
        <x:v>33</x:v>
      </x:c>
      <x:c r="I271" s="23">
        <x:v>8867</x:v>
      </x:c>
      <x:c r="J271" s="23">
        <x:v>14414</x:v>
      </x:c>
      <x:c r="K271" s="23">
        <x:v>4588</x:v>
      </x:c>
      <x:c r="L271" s="23" t="s">
        <x:v>323</x:v>
      </x:c>
      <x:c r="M271" s="23">
        <x:f t="shared" si="4"/>
        <x:v>850</x:v>
      </x:c>
      <x:c r="N271" s="24" t="str">
        <x:f t="array" ref="N271">INDEX('MATCH INFO'!O:O, INT((ROW()-2)/10)+2 + 124)</x:f>
        <x:v>260705_CR_ZETA_S1</x:v>
      </x:c>
    </x:row>
    <x:row r="272">
      <x:c r="A272" s="23" t="s">
        <x:v>47</x:v>
      </x:c>
      <x:c r="B272" s="23" t="s">
        <x:v>49</x:v>
      </x:c>
      <x:c r="C272" s="23" t="s">
        <x:v>8</x:v>
      </x:c>
      <x:c r="D272" s="23" t="s">
        <x:v>119</x:v>
      </x:c>
      <x:c r="E272" s="23" t="s">
        <x:v>191</x:v>
      </x:c>
      <x:c r="F272" s="23">
        <x:v>22</x:v>
      </x:c>
      <x:c r="G272" s="23">
        <x:v>11</x:v>
      </x:c>
      <x:c r="H272" s="23">
        <x:v>6</x:v>
      </x:c>
      <x:c r="I272" s="23">
        <x:v>15392</x:v>
      </x:c>
      <x:c r="J272" s="23">
        <x:v>832</x:v>
      </x:c>
      <x:c r="K272" s="23">
        <x:v>22838</x:v>
      </x:c>
      <x:c r="L272" s="23" t="s">
        <x:v>324</x:v>
      </x:c>
      <x:c r="M272" s="23">
        <x:f t="shared" si="4"/>
        <x:v>975.99999999999989</x:v>
      </x:c>
      <x:c r="N272" s="24" t="str">
        <x:f t="array" ref="N272">INDEX('MATCH INFO'!O:O, INT((ROW()-2)/10)+2 + 124)</x:f>
        <x:v>260705_CR_ZETA_S2</x:v>
      </x:c>
    </x:row>
    <x:row r="273">
      <x:c r="A273" s="23" t="s">
        <x:v>47</x:v>
      </x:c>
      <x:c r="B273" s="23" t="s">
        <x:v>51</x:v>
      </x:c>
      <x:c r="C273" s="23" t="s">
        <x:v>11</x:v>
      </x:c>
      <x:c r="D273" s="23" t="s">
        <x:v>119</x:v>
      </x:c>
      <x:c r="E273" s="23" t="s">
        <x:v>191</x:v>
      </x:c>
      <x:c r="F273" s="23">
        <x:v>19</x:v>
      </x:c>
      <x:c r="G273" s="23">
        <x:v>12</x:v>
      </x:c>
      <x:c r="H273" s="23">
        <x:v>1</x:v>
      </x:c>
      <x:c r="I273" s="23">
        <x:v>10718</x:v>
      </x:c>
      <x:c r="J273" s="23">
        <x:v>1822</x:v>
      </x:c>
      <x:c r="K273" s="23">
        <x:v>2413</x:v>
      </x:c>
      <x:c r="L273" s="23" t="s">
        <x:v>324</x:v>
      </x:c>
      <x:c r="M273" s="23">
        <x:f t="shared" si="4"/>
        <x:v>975.99999999999989</x:v>
      </x:c>
      <x:c r="N273" s="24" t="str">
        <x:f t="array" ref="N273">INDEX('MATCH INFO'!O:O, INT((ROW()-2)/10)+2 + 124)</x:f>
        <x:v>260705_CR_ZETA_S2</x:v>
      </x:c>
    </x:row>
    <x:row r="274">
      <x:c r="A274" s="23" t="s">
        <x:v>47</x:v>
      </x:c>
      <x:c r="B274" s="23" t="s">
        <x:v>50</x:v>
      </x:c>
      <x:c r="C274" s="23" t="s">
        <x:v>11</x:v>
      </x:c>
      <x:c r="D274" s="23" t="s">
        <x:v>119</x:v>
      </x:c>
      <x:c r="E274" s="23" t="s">
        <x:v>191</x:v>
      </x:c>
      <x:c r="F274" s="23">
        <x:v>24</x:v>
      </x:c>
      <x:c r="G274" s="23">
        <x:v>12</x:v>
      </x:c>
      <x:c r="H274" s="23">
        <x:v>4</x:v>
      </x:c>
      <x:c r="I274" s="23">
        <x:v>16438</x:v>
      </x:c>
      <x:c r="J274" s="23">
        <x:v>45</x:v>
      </x:c>
      <x:c r="K274" s="23">
        <x:v>831</x:v>
      </x:c>
      <x:c r="L274" s="23" t="s">
        <x:v>324</x:v>
      </x:c>
      <x:c r="M274" s="23">
        <x:f t="shared" si="4"/>
        <x:v>975.99999999999989</x:v>
      </x:c>
      <x:c r="N274" s="24" t="str">
        <x:f t="array" ref="N274">INDEX('MATCH INFO'!O:O, INT((ROW()-2)/10)+2 + 124)</x:f>
        <x:v>260705_CR_ZETA_S2</x:v>
      </x:c>
    </x:row>
    <x:row r="275">
      <x:c r="A275" s="23" t="s">
        <x:v>47</x:v>
      </x:c>
      <x:c r="B275" s="23" t="s">
        <x:v>53</x:v>
      </x:c>
      <x:c r="C275" s="23" t="s">
        <x:v>16</x:v>
      </x:c>
      <x:c r="D275" s="23" t="s">
        <x:v>119</x:v>
      </x:c>
      <x:c r="E275" s="23" t="s">
        <x:v>191</x:v>
      </x:c>
      <x:c r="F275" s="23">
        <x:v>14</x:v>
      </x:c>
      <x:c r="G275" s="23">
        <x:v>10</x:v>
      </x:c>
      <x:c r="H275" s="23">
        <x:v>21</x:v>
      </x:c>
      <x:c r="I275" s="23">
        <x:v>5783</x:v>
      </x:c>
      <x:c r="J275" s="23">
        <x:v>20862</x:v>
      </x:c>
      <x:c r="K275" s="23">
        <x:v>103</x:v>
      </x:c>
      <x:c r="L275" s="23" t="s">
        <x:v>324</x:v>
      </x:c>
      <x:c r="M275" s="23">
        <x:f t="shared" si="4"/>
        <x:v>975.99999999999989</x:v>
      </x:c>
      <x:c r="N275" s="24" t="str">
        <x:f t="array" ref="N275">INDEX('MATCH INFO'!O:O, INT((ROW()-2)/10)+2 + 124)</x:f>
        <x:v>260705_CR_ZETA_S2</x:v>
      </x:c>
    </x:row>
    <x:row r="276">
      <x:c r="A276" s="23" t="s">
        <x:v>47</x:v>
      </x:c>
      <x:c r="B276" s="23" t="s">
        <x:v>52</x:v>
      </x:c>
      <x:c r="C276" s="23" t="s">
        <x:v>16</x:v>
      </x:c>
      <x:c r="D276" s="23" t="s">
        <x:v>119</x:v>
      </x:c>
      <x:c r="E276" s="23" t="s">
        <x:v>191</x:v>
      </x:c>
      <x:c r="F276" s="23">
        <x:v>18</x:v>
      </x:c>
      <x:c r="G276" s="23">
        <x:v>12</x:v>
      </x:c>
      <x:c r="H276" s="23">
        <x:v>16</x:v>
      </x:c>
      <x:c r="I276" s="23">
        <x:v>6942</x:v>
      </x:c>
      <x:c r="J276" s="23">
        <x:v>12576</x:v>
      </x:c>
      <x:c r="K276" s="23">
        <x:v>1137</x:v>
      </x:c>
      <x:c r="L276" s="23" t="s">
        <x:v>324</x:v>
      </x:c>
      <x:c r="M276" s="23">
        <x:f t="shared" si="4"/>
        <x:v>975.99999999999989</x:v>
      </x:c>
      <x:c r="N276" s="24" t="str">
        <x:f t="array" ref="N276">INDEX('MATCH INFO'!O:O, INT((ROW()-2)/10)+2 + 124)</x:f>
        <x:v>260705_CR_ZETA_S2</x:v>
      </x:c>
    </x:row>
    <x:row r="277">
      <x:c r="A277" s="23" t="s">
        <x:v>55</x:v>
      </x:c>
      <x:c r="B277" s="23" t="s">
        <x:v>61</x:v>
      </x:c>
      <x:c r="C277" s="23" t="s">
        <x:v>16</x:v>
      </x:c>
      <x:c r="D277" s="23" t="s">
        <x:v>119</x:v>
      </x:c>
      <x:c r="E277" s="23" t="s">
        <x:v>191</x:v>
      </x:c>
      <x:c r="F277" s="23">
        <x:v>33</x:v>
      </x:c>
      <x:c r="G277" s="23">
        <x:v>7</x:v>
      </x:c>
      <x:c r="H277" s="23">
        <x:v>37</x:v>
      </x:c>
      <x:c r="I277" s="23">
        <x:v>7742</x:v>
      </x:c>
      <x:c r="J277" s="23">
        <x:v>15624</x:v>
      </x:c>
      <x:c r="K277" s="23">
        <x:v>1757</x:v>
      </x:c>
      <x:c r="L277" s="23" t="s">
        <x:v>324</x:v>
      </x:c>
      <x:c r="M277" s="23">
        <x:f t="shared" si="4"/>
        <x:v>975.99999999999989</x:v>
      </x:c>
      <x:c r="N277" s="24" t="str">
        <x:f t="array" ref="N277">INDEX('MATCH INFO'!O:O, INT((ROW()-2)/10)+2 + 124)</x:f>
        <x:v>260705_CR_ZETA_S2</x:v>
      </x:c>
    </x:row>
    <x:row r="278">
      <x:c r="A278" s="23" t="s">
        <x:v>55</x:v>
      </x:c>
      <x:c r="B278" s="23" t="s">
        <x:v>58</x:v>
      </x:c>
      <x:c r="C278" s="23" t="s">
        <x:v>11</x:v>
      </x:c>
      <x:c r="D278" s="23" t="s">
        <x:v>119</x:v>
      </x:c>
      <x:c r="E278" s="23" t="s">
        <x:v>191</x:v>
      </x:c>
      <x:c r="F278" s="23">
        <x:v>34</x:v>
      </x:c>
      <x:c r="G278" s="23">
        <x:v>8</x:v>
      </x:c>
      <x:c r="H278" s="23">
        <x:v>10</x:v>
      </x:c>
      <x:c r="I278" s="23">
        <x:v>13832</x:v>
      </x:c>
      <x:c r="J278" s="23">
        <x:v>1110</x:v>
      </x:c>
      <x:c r="K278" s="23">
        <x:v>1945</x:v>
      </x:c>
      <x:c r="L278" s="23" t="s">
        <x:v>324</x:v>
      </x:c>
      <x:c r="M278" s="23">
        <x:f t="shared" si="4"/>
        <x:v>975.99999999999989</x:v>
      </x:c>
      <x:c r="N278" s="24" t="str">
        <x:f t="array" ref="N278">INDEX('MATCH INFO'!O:O, INT((ROW()-2)/10)+2 + 124)</x:f>
        <x:v>260705_CR_ZETA_S2</x:v>
      </x:c>
    </x:row>
    <x:row r="279">
      <x:c r="A279" s="23" t="s">
        <x:v>55</x:v>
      </x:c>
      <x:c r="B279" s="23" t="s">
        <x:v>57</x:v>
      </x:c>
      <x:c r="C279" s="23" t="s">
        <x:v>8</x:v>
      </x:c>
      <x:c r="D279" s="23" t="s">
        <x:v>119</x:v>
      </x:c>
      <x:c r="E279" s="23" t="s">
        <x:v>191</x:v>
      </x:c>
      <x:c r="F279" s="23">
        <x:v>36</x:v>
      </x:c>
      <x:c r="G279" s="23">
        <x:v>6</x:v>
      </x:c>
      <x:c r="H279" s="23">
        <x:v>13</x:v>
      </x:c>
      <x:c r="I279" s="23">
        <x:v>17856</x:v>
      </x:c>
      <x:c r="J279" s="23">
        <x:v>318</x:v>
      </x:c>
      <x:c r="K279" s="23">
        <x:v>21810</x:v>
      </x:c>
      <x:c r="L279" s="23" t="s">
        <x:v>324</x:v>
      </x:c>
      <x:c r="M279" s="23">
        <x:f t="shared" si="4"/>
        <x:v>975.99999999999989</x:v>
      </x:c>
      <x:c r="N279" s="24" t="str">
        <x:f t="array" ref="N279">INDEX('MATCH INFO'!O:O, INT((ROW()-2)/10)+2 + 124)</x:f>
        <x:v>260705_CR_ZETA_S2</x:v>
      </x:c>
    </x:row>
    <x:row r="280">
      <x:c r="A280" s="23" t="s">
        <x:v>55</x:v>
      </x:c>
      <x:c r="B280" s="23" t="s">
        <x:v>60</x:v>
      </x:c>
      <x:c r="C280" s="23" t="s">
        <x:v>11</x:v>
      </x:c>
      <x:c r="D280" s="23" t="s">
        <x:v>119</x:v>
      </x:c>
      <x:c r="E280" s="23" t="s">
        <x:v>191</x:v>
      </x:c>
      <x:c r="F280" s="23">
        <x:v>42</x:v>
      </x:c>
      <x:c r="G280" s="23">
        <x:v>10</x:v>
      </x:c>
      <x:c r="H280" s="23">
        <x:v>2</x:v>
      </x:c>
      <x:c r="I280" s="23">
        <x:v>15483</x:v>
      </x:c>
      <x:c r="J280" s="23">
        <x:v>0</x:v>
      </x:c>
      <x:c r="K280" s="23">
        <x:v>443</x:v>
      </x:c>
      <x:c r="L280" s="23" t="s">
        <x:v>324</x:v>
      </x:c>
      <x:c r="M280" s="23">
        <x:f t="shared" si="4"/>
        <x:v>975.99999999999989</x:v>
      </x:c>
      <x:c r="N280" s="24" t="str">
        <x:f t="array" ref="N280">INDEX('MATCH INFO'!O:O, INT((ROW()-2)/10)+2 + 124)</x:f>
        <x:v>260705_CR_ZETA_S2</x:v>
      </x:c>
    </x:row>
    <x:row r="281">
      <x:c r="A281" s="23" t="s">
        <x:v>55</x:v>
      </x:c>
      <x:c r="B281" s="23" t="s">
        <x:v>62</x:v>
      </x:c>
      <x:c r="C281" s="23" t="s">
        <x:v>16</x:v>
      </x:c>
      <x:c r="D281" s="23" t="s">
        <x:v>119</x:v>
      </x:c>
      <x:c r="E281" s="23" t="s">
        <x:v>191</x:v>
      </x:c>
      <x:c r="F281" s="23">
        <x:v>28</x:v>
      </x:c>
      <x:c r="G281" s="23">
        <x:v>4</x:v>
      </x:c>
      <x:c r="H281" s="23">
        <x:v>43</x:v>
      </x:c>
      <x:c r="I281" s="23">
        <x:v>7951</x:v>
      </x:c>
      <x:c r="J281" s="23">
        <x:v>21330</x:v>
      </x:c>
      <x:c r="K281" s="23">
        <x:v>0</x:v>
      </x:c>
      <x:c r="L281" s="23" t="s">
        <x:v>324</x:v>
      </x:c>
      <x:c r="M281" s="23">
        <x:f t="shared" si="4"/>
        <x:v>975.99999999999989</x:v>
      </x:c>
      <x:c r="N281" s="24" t="str">
        <x:f t="array" ref="N281">INDEX('MATCH INFO'!O:O, INT((ROW()-2)/10)+2 + 124)</x:f>
        <x:v>260705_CR_ZETA_S2</x:v>
      </x:c>
    </x:row>
    <x:row r="282">
      <x:c r="A282" s="23" t="s">
        <x:v>55</x:v>
      </x:c>
      <x:c r="B282" s="23" t="s">
        <x:v>61</x:v>
      </x:c>
      <x:c r="C282" s="23" t="s">
        <x:v>16</x:v>
      </x:c>
      <x:c r="D282" s="23" t="s">
        <x:v>168</x:v>
      </x:c>
      <x:c r="E282" s="23" t="s">
        <x:v>188</x:v>
      </x:c>
      <x:c r="F282" s="23">
        <x:v>22</x:v>
      </x:c>
      <x:c r="G282" s="23">
        <x:v>9</x:v>
      </x:c>
      <x:c r="H282" s="23">
        <x:v>16</x:v>
      </x:c>
      <x:c r="I282" s="23">
        <x:v>4991</x:v>
      </x:c>
      <x:c r="J282" s="23">
        <x:v>7618</x:v>
      </x:c>
      <x:c r="K282" s="23">
        <x:v>784</x:v>
      </x:c>
      <x:c r="L282" s="23" t="s">
        <x:v>294</x:v>
      </x:c>
      <x:c r="M282" s="23">
        <x:f t="shared" si="4"/>
        <x:v>605</x:v>
      </x:c>
      <x:c r="N282" s="24" t="str">
        <x:f t="array" ref="N282">INDEX('MATCH INFO'!O:O, INT((ROW()-2)/10)+2 + 124)</x:f>
        <x:v>260705_CR_ZETA_S3</x:v>
      </x:c>
    </x:row>
    <x:row r="283">
      <x:c r="A283" s="23" t="s">
        <x:v>55</x:v>
      </x:c>
      <x:c r="B283" s="23" t="s">
        <x:v>58</x:v>
      </x:c>
      <x:c r="C283" s="23" t="s">
        <x:v>11</x:v>
      </x:c>
      <x:c r="D283" s="23" t="s">
        <x:v>168</x:v>
      </x:c>
      <x:c r="E283" s="23" t="s">
        <x:v>188</x:v>
      </x:c>
      <x:c r="F283" s="23">
        <x:v>25</x:v>
      </x:c>
      <x:c r="G283" s="23">
        <x:v>7</x:v>
      </x:c>
      <x:c r="H283" s="23">
        <x:v>0</x:v>
      </x:c>
      <x:c r="I283" s="23">
        <x:v>8582</x:v>
      </x:c>
      <x:c r="J283" s="23">
        <x:v>401</x:v>
      </x:c>
      <x:c r="K283" s="23">
        <x:v>0</x:v>
      </x:c>
      <x:c r="L283" s="23" t="s">
        <x:v>294</x:v>
      </x:c>
      <x:c r="M283" s="23">
        <x:f t="shared" si="4"/>
        <x:v>605</x:v>
      </x:c>
      <x:c r="N283" s="24" t="str">
        <x:f t="array" ref="N283">INDEX('MATCH INFO'!O:O, INT((ROW()-2)/10)+2 + 124)</x:f>
        <x:v>260705_CR_ZETA_S3</x:v>
      </x:c>
    </x:row>
    <x:row r="284">
      <x:c r="A284" s="23" t="s">
        <x:v>55</x:v>
      </x:c>
      <x:c r="B284" s="23" t="s">
        <x:v>57</x:v>
      </x:c>
      <x:c r="C284" s="23" t="s">
        <x:v>8</x:v>
      </x:c>
      <x:c r="D284" s="23" t="s">
        <x:v>168</x:v>
      </x:c>
      <x:c r="E284" s="23" t="s">
        <x:v>188</x:v>
      </x:c>
      <x:c r="F284" s="23">
        <x:v>32</x:v>
      </x:c>
      <x:c r="G284" s="23">
        <x:v>4</x:v>
      </x:c>
      <x:c r="H284" s="23">
        <x:v>22</x:v>
      </x:c>
      <x:c r="I284" s="23">
        <x:v>9414</x:v>
      </x:c>
      <x:c r="J284" s="23">
        <x:v>1863</x:v>
      </x:c>
      <x:c r="K284" s="23">
        <x:v>14328</x:v>
      </x:c>
      <x:c r="L284" s="23" t="s">
        <x:v>294</x:v>
      </x:c>
      <x:c r="M284" s="23">
        <x:f t="shared" si="4"/>
        <x:v>605</x:v>
      </x:c>
      <x:c r="N284" s="24" t="str">
        <x:f t="array" ref="N284">INDEX('MATCH INFO'!O:O, INT((ROW()-2)/10)+2 + 124)</x:f>
        <x:v>260705_CR_ZETA_S3</x:v>
      </x:c>
    </x:row>
    <x:row r="285">
      <x:c r="A285" s="23" t="s">
        <x:v>55</x:v>
      </x:c>
      <x:c r="B285" s="23" t="s">
        <x:v>60</x:v>
      </x:c>
      <x:c r="C285" s="23" t="s">
        <x:v>11</x:v>
      </x:c>
      <x:c r="D285" s="23" t="s">
        <x:v>168</x:v>
      </x:c>
      <x:c r="E285" s="23" t="s">
        <x:v>188</x:v>
      </x:c>
      <x:c r="F285" s="23">
        <x:v>25</x:v>
      </x:c>
      <x:c r="G285" s="23">
        <x:v>8</x:v>
      </x:c>
      <x:c r="H285" s="23">
        <x:v>6</x:v>
      </x:c>
      <x:c r="I285" s="23">
        <x:v>9382</x:v>
      </x:c>
      <x:c r="J285" s="23">
        <x:v>0</x:v>
      </x:c>
      <x:c r="K285" s="23">
        <x:v>646</x:v>
      </x:c>
      <x:c r="L285" s="23" t="s">
        <x:v>294</x:v>
      </x:c>
      <x:c r="M285" s="23">
        <x:f t="shared" si="4"/>
        <x:v>605</x:v>
      </x:c>
      <x:c r="N285" s="24" t="str">
        <x:f t="array" ref="N285">INDEX('MATCH INFO'!O:O, INT((ROW()-2)/10)+2 + 124)</x:f>
        <x:v>260705_CR_ZETA_S3</x:v>
      </x:c>
    </x:row>
    <x:row r="286">
      <x:c r="A286" s="23" t="s">
        <x:v>55</x:v>
      </x:c>
      <x:c r="B286" s="23" t="s">
        <x:v>62</x:v>
      </x:c>
      <x:c r="C286" s="23" t="s">
        <x:v>16</x:v>
      </x:c>
      <x:c r="D286" s="23" t="s">
        <x:v>168</x:v>
      </x:c>
      <x:c r="E286" s="23" t="s">
        <x:v>188</x:v>
      </x:c>
      <x:c r="F286" s="23">
        <x:v>15</x:v>
      </x:c>
      <x:c r="G286" s="23">
        <x:v>6</x:v>
      </x:c>
      <x:c r="H286" s="23">
        <x:v>23</x:v>
      </x:c>
      <x:c r="I286" s="23">
        <x:v>6024</x:v>
      </x:c>
      <x:c r="J286" s="23">
        <x:v>9685</x:v>
      </x:c>
      <x:c r="K286" s="23">
        <x:v>0</x:v>
      </x:c>
      <x:c r="L286" s="23" t="s">
        <x:v>294</x:v>
      </x:c>
      <x:c r="M286" s="23">
        <x:f t="shared" si="4"/>
        <x:v>605</x:v>
      </x:c>
      <x:c r="N286" s="24" t="str">
        <x:f t="array" ref="N286">INDEX('MATCH INFO'!O:O, INT((ROW()-2)/10)+2 + 124)</x:f>
        <x:v>260705_CR_ZETA_S3</x:v>
      </x:c>
    </x:row>
    <x:row r="287">
      <x:c r="A287" s="23" t="s">
        <x:v>47</x:v>
      </x:c>
      <x:c r="B287" s="23" t="s">
        <x:v>49</x:v>
      </x:c>
      <x:c r="C287" s="23" t="s">
        <x:v>8</x:v>
      </x:c>
      <x:c r="D287" s="23" t="s">
        <x:v>168</x:v>
      </x:c>
      <x:c r="E287" s="23" t="s">
        <x:v>188</x:v>
      </x:c>
      <x:c r="F287" s="23">
        <x:v>21</x:v>
      </x:c>
      <x:c r="G287" s="23">
        <x:v>8</x:v>
      </x:c>
      <x:c r="H287" s="23">
        <x:v>10</x:v>
      </x:c>
      <x:c r="I287" s="23">
        <x:v>9484</x:v>
      </x:c>
      <x:c r="J287" s="23">
        <x:v>1704</x:v>
      </x:c>
      <x:c r="K287" s="23">
        <x:v>6803</x:v>
      </x:c>
      <x:c r="L287" s="23" t="s">
        <x:v>294</x:v>
      </x:c>
      <x:c r="M287" s="23">
        <x:f t="shared" si="4"/>
        <x:v>605</x:v>
      </x:c>
      <x:c r="N287" s="24" t="str">
        <x:f t="array" ref="N287">INDEX('MATCH INFO'!O:O, INT((ROW()-2)/10)+2 + 124)</x:f>
        <x:v>260705_CR_ZETA_S3</x:v>
      </x:c>
    </x:row>
    <x:row r="288">
      <x:c r="A288" s="23" t="s">
        <x:v>47</x:v>
      </x:c>
      <x:c r="B288" s="23" t="s">
        <x:v>51</x:v>
      </x:c>
      <x:c r="C288" s="23" t="s">
        <x:v>11</x:v>
      </x:c>
      <x:c r="D288" s="23" t="s">
        <x:v>168</x:v>
      </x:c>
      <x:c r="E288" s="23" t="s">
        <x:v>188</x:v>
      </x:c>
      <x:c r="F288" s="23">
        <x:v>21</x:v>
      </x:c>
      <x:c r="G288" s="23">
        <x:v>8</x:v>
      </x:c>
      <x:c r="H288" s="23">
        <x:v>4</x:v>
      </x:c>
      <x:c r="I288" s="23">
        <x:v>11505</x:v>
      </x:c>
      <x:c r="J288" s="23">
        <x:v>116</x:v>
      </x:c>
      <x:c r="K288" s="23">
        <x:v>825</x:v>
      </x:c>
      <x:c r="L288" s="23" t="s">
        <x:v>294</x:v>
      </x:c>
      <x:c r="M288" s="23">
        <x:f t="shared" si="4"/>
        <x:v>605</x:v>
      </x:c>
      <x:c r="N288" s="24" t="str">
        <x:f t="array" ref="N288">INDEX('MATCH INFO'!O:O, INT((ROW()-2)/10)+2 + 124)</x:f>
        <x:v>260705_CR_ZETA_S3</x:v>
      </x:c>
    </x:row>
    <x:row r="289">
      <x:c r="A289" s="23" t="s">
        <x:v>47</x:v>
      </x:c>
      <x:c r="B289" s="23" t="s">
        <x:v>50</x:v>
      </x:c>
      <x:c r="C289" s="23" t="s">
        <x:v>11</x:v>
      </x:c>
      <x:c r="D289" s="23" t="s">
        <x:v>168</x:v>
      </x:c>
      <x:c r="E289" s="23" t="s">
        <x:v>188</x:v>
      </x:c>
      <x:c r="F289" s="23">
        <x:v>15</x:v>
      </x:c>
      <x:c r="G289" s="23">
        <x:v>10</x:v>
      </x:c>
      <x:c r="H289" s="23">
        <x:v>2</x:v>
      </x:c>
      <x:c r="I289" s="23">
        <x:v>7244</x:v>
      </x:c>
      <x:c r="J289" s="23">
        <x:v>24</x:v>
      </x:c>
      <x:c r="K289" s="23">
        <x:v>326</x:v>
      </x:c>
      <x:c r="L289" s="23" t="s">
        <x:v>294</x:v>
      </x:c>
      <x:c r="M289" s="23">
        <x:f t="shared" si="4"/>
        <x:v>605</x:v>
      </x:c>
      <x:c r="N289" s="24" t="str">
        <x:f t="array" ref="N289">INDEX('MATCH INFO'!O:O, INT((ROW()-2)/10)+2 + 124)</x:f>
        <x:v>260705_CR_ZETA_S3</x:v>
      </x:c>
    </x:row>
    <x:row r="290">
      <x:c r="A290" s="23" t="s">
        <x:v>47</x:v>
      </x:c>
      <x:c r="B290" s="23" t="s">
        <x:v>53</x:v>
      </x:c>
      <x:c r="C290" s="23" t="s">
        <x:v>16</x:v>
      </x:c>
      <x:c r="D290" s="23" t="s">
        <x:v>168</x:v>
      </x:c>
      <x:c r="E290" s="23" t="s">
        <x:v>188</x:v>
      </x:c>
      <x:c r="F290" s="23">
        <x:v>11</x:v>
      </x:c>
      <x:c r="G290" s="23">
        <x:v>9</x:v>
      </x:c>
      <x:c r="H290" s="23">
        <x:v>19</x:v>
      </x:c>
      <x:c r="I290" s="23">
        <x:v>4730</x:v>
      </x:c>
      <x:c r="J290" s="23">
        <x:v>8646</x:v>
      </x:c>
      <x:c r="K290" s="23">
        <x:v>0</x:v>
      </x:c>
      <x:c r="L290" s="23" t="s">
        <x:v>294</x:v>
      </x:c>
      <x:c r="M290" s="23">
        <x:f t="shared" si="4"/>
        <x:v>605</x:v>
      </x:c>
      <x:c r="N290" s="24" t="str">
        <x:f t="array" ref="N290">INDEX('MATCH INFO'!O:O, INT((ROW()-2)/10)+2 + 124)</x:f>
        <x:v>260705_CR_ZETA_S3</x:v>
      </x:c>
    </x:row>
    <x:row r="291">
      <x:c r="A291" s="23" t="s">
        <x:v>47</x:v>
      </x:c>
      <x:c r="B291" s="23" t="s">
        <x:v>52</x:v>
      </x:c>
      <x:c r="C291" s="23" t="s">
        <x:v>16</x:v>
      </x:c>
      <x:c r="D291" s="23" t="s">
        <x:v>168</x:v>
      </x:c>
      <x:c r="E291" s="23" t="s">
        <x:v>188</x:v>
      </x:c>
      <x:c r="F291" s="23">
        <x:v>16</x:v>
      </x:c>
      <x:c r="G291" s="23">
        <x:v>8</x:v>
      </x:c>
      <x:c r="H291" s="23">
        <x:v>14</x:v>
      </x:c>
      <x:c r="I291" s="23">
        <x:v>3324</x:v>
      </x:c>
      <x:c r="J291" s="23">
        <x:v>8566</x:v>
      </x:c>
      <x:c r="K291" s="23">
        <x:v>0</x:v>
      </x:c>
      <x:c r="L291" s="23" t="s">
        <x:v>294</x:v>
      </x:c>
      <x:c r="M291" s="23">
        <x:f t="shared" si="4"/>
        <x:v>605</x:v>
      </x:c>
      <x:c r="N291" s="24" t="str">
        <x:f t="array" ref="N291">INDEX('MATCH INFO'!O:O, INT((ROW()-2)/10)+2 + 124)</x:f>
        <x:v>260705_CR_ZETA_S3</x:v>
      </x:c>
    </x:row>
    <x:row r="292">
      <x:c r="A292" s="23" t="s">
        <x:v>55</x:v>
      </x:c>
      <x:c r="B292" s="23" t="s">
        <x:v>61</x:v>
      </x:c>
      <x:c r="C292" s="23" t="s">
        <x:v>16</x:v>
      </x:c>
      <x:c r="D292" s="23" t="s">
        <x:v>124</x:v>
      </x:c>
      <x:c r="E292" s="23" t="s">
        <x:v>186</x:v>
      </x:c>
      <x:c r="F292" s="23">
        <x:v>30</x:v>
      </x:c>
      <x:c r="G292" s="23">
        <x:v>7</x:v>
      </x:c>
      <x:c r="H292" s="23">
        <x:v>31</x:v>
      </x:c>
      <x:c r="I292" s="23">
        <x:v>6866</x:v>
      </x:c>
      <x:c r="J292" s="23">
        <x:v>7392</x:v>
      </x:c>
      <x:c r="K292" s="23">
        <x:v>2853</x:v>
      </x:c>
      <x:c r="L292" s="23" t="s">
        <x:v>262</x:v>
      </x:c>
      <x:c r="M292" s="23">
        <x:f t="shared" si="4"/>
        <x:v>703</x:v>
      </x:c>
      <x:c r="N292" s="24" t="str">
        <x:f t="array" ref="N292">INDEX('MATCH INFO'!O:O, INT((ROW()-2)/10)+2 + 124)</x:f>
        <x:v>260705_CR_ZETA_S4</x:v>
      </x:c>
    </x:row>
    <x:row r="293">
      <x:c r="A293" s="23" t="s">
        <x:v>55</x:v>
      </x:c>
      <x:c r="B293" s="23" t="s">
        <x:v>58</x:v>
      </x:c>
      <x:c r="C293" s="23" t="s">
        <x:v>11</x:v>
      </x:c>
      <x:c r="D293" s="23" t="s">
        <x:v>124</x:v>
      </x:c>
      <x:c r="E293" s="23" t="s">
        <x:v>186</x:v>
      </x:c>
      <x:c r="F293" s="23">
        <x:v>37</x:v>
      </x:c>
      <x:c r="G293" s="23">
        <x:v>8</x:v>
      </x:c>
      <x:c r="H293" s="23">
        <x:v>0</x:v>
      </x:c>
      <x:c r="I293" s="23">
        <x:v>12772</x:v>
      </x:c>
      <x:c r="J293" s="23">
        <x:v>1788</x:v>
      </x:c>
      <x:c r="K293" s="23">
        <x:v>0</x:v>
      </x:c>
      <x:c r="L293" s="23" t="s">
        <x:v>262</x:v>
      </x:c>
      <x:c r="M293" s="23">
        <x:f t="shared" si="4"/>
        <x:v>703</x:v>
      </x:c>
      <x:c r="N293" s="24" t="str">
        <x:f t="array" ref="N293">INDEX('MATCH INFO'!O:O, INT((ROW()-2)/10)+2 + 124)</x:f>
        <x:v>260705_CR_ZETA_S4</x:v>
      </x:c>
    </x:row>
    <x:row r="294">
      <x:c r="A294" s="23" t="s">
        <x:v>55</x:v>
      </x:c>
      <x:c r="B294" s="23" t="s">
        <x:v>57</x:v>
      </x:c>
      <x:c r="C294" s="23" t="s">
        <x:v>8</x:v>
      </x:c>
      <x:c r="D294" s="23" t="s">
        <x:v>124</x:v>
      </x:c>
      <x:c r="E294" s="23" t="s">
        <x:v>186</x:v>
      </x:c>
      <x:c r="F294" s="23">
        <x:v>34</x:v>
      </x:c>
      <x:c r="G294" s="23">
        <x:v>4</x:v>
      </x:c>
      <x:c r="H294" s="23">
        <x:v>20</x:v>
      </x:c>
      <x:c r="I294" s="23">
        <x:v>14307</x:v>
      </x:c>
      <x:c r="J294" s="23">
        <x:v>2378</x:v>
      </x:c>
      <x:c r="K294" s="23">
        <x:v>16165</x:v>
      </x:c>
      <x:c r="L294" s="23" t="s">
        <x:v>262</x:v>
      </x:c>
      <x:c r="M294" s="23">
        <x:f t="shared" si="4"/>
        <x:v>703</x:v>
      </x:c>
      <x:c r="N294" s="24" t="str">
        <x:f t="array" ref="N294">INDEX('MATCH INFO'!O:O, INT((ROW()-2)/10)+2 + 124)</x:f>
        <x:v>260705_CR_ZETA_S4</x:v>
      </x:c>
    </x:row>
    <x:row r="295">
      <x:c r="A295" s="23" t="s">
        <x:v>55</x:v>
      </x:c>
      <x:c r="B295" s="23" t="s">
        <x:v>60</x:v>
      </x:c>
      <x:c r="C295" s="23" t="s">
        <x:v>11</x:v>
      </x:c>
      <x:c r="D295" s="23" t="s">
        <x:v>124</x:v>
      </x:c>
      <x:c r="E295" s="23" t="s">
        <x:v>186</x:v>
      </x:c>
      <x:c r="F295" s="23">
        <x:v>30</x:v>
      </x:c>
      <x:c r="G295" s="23">
        <x:v>7</x:v>
      </x:c>
      <x:c r="H295" s="23">
        <x:v>1</x:v>
      </x:c>
      <x:c r="I295" s="23">
        <x:v>9217</x:v>
      </x:c>
      <x:c r="J295" s="23">
        <x:v>51</x:v>
      </x:c>
      <x:c r="K295" s="23">
        <x:v>149</x:v>
      </x:c>
      <x:c r="L295" s="23" t="s">
        <x:v>262</x:v>
      </x:c>
      <x:c r="M295" s="23">
        <x:f t="shared" si="4"/>
        <x:v>703</x:v>
      </x:c>
      <x:c r="N295" s="24" t="str">
        <x:f t="array" ref="N295">INDEX('MATCH INFO'!O:O, INT((ROW()-2)/10)+2 + 124)</x:f>
        <x:v>260705_CR_ZETA_S4</x:v>
      </x:c>
    </x:row>
    <x:row r="296">
      <x:c r="A296" s="23" t="s">
        <x:v>55</x:v>
      </x:c>
      <x:c r="B296" s="23" t="s">
        <x:v>62</x:v>
      </x:c>
      <x:c r="C296" s="23" t="s">
        <x:v>16</x:v>
      </x:c>
      <x:c r="D296" s="23" t="s">
        <x:v>124</x:v>
      </x:c>
      <x:c r="E296" s="23" t="s">
        <x:v>186</x:v>
      </x:c>
      <x:c r="F296" s="23">
        <x:v>30</x:v>
      </x:c>
      <x:c r="G296" s="23">
        <x:v>5</x:v>
      </x:c>
      <x:c r="H296" s="23">
        <x:v>39</x:v>
      </x:c>
      <x:c r="I296" s="23">
        <x:v>6204</x:v>
      </x:c>
      <x:c r="J296" s="23">
        <x:v>15261</x:v>
      </x:c>
      <x:c r="K296" s="23">
        <x:v>0</x:v>
      </x:c>
      <x:c r="L296" s="23" t="s">
        <x:v>262</x:v>
      </x:c>
      <x:c r="M296" s="23">
        <x:f t="shared" si="4"/>
        <x:v>703</x:v>
      </x:c>
      <x:c r="N296" s="24" t="str">
        <x:f t="array" ref="N296">INDEX('MATCH INFO'!O:O, INT((ROW()-2)/10)+2 + 124)</x:f>
        <x:v>260705_CR_ZETA_S4</x:v>
      </x:c>
    </x:row>
    <x:row r="297">
      <x:c r="A297" s="23" t="s">
        <x:v>47</x:v>
      </x:c>
      <x:c r="B297" s="23" t="s">
        <x:v>49</x:v>
      </x:c>
      <x:c r="C297" s="23" t="s">
        <x:v>8</x:v>
      </x:c>
      <x:c r="D297" s="23" t="s">
        <x:v>124</x:v>
      </x:c>
      <x:c r="E297" s="23" t="s">
        <x:v>186</x:v>
      </x:c>
      <x:c r="F297" s="23">
        <x:v>13</x:v>
      </x:c>
      <x:c r="G297" s="23">
        <x:v>12</x:v>
      </x:c>
      <x:c r="H297" s="23">
        <x:v>10</x:v>
      </x:c>
      <x:c r="I297" s="23">
        <x:v>13473</x:v>
      </x:c>
      <x:c r="J297" s="23">
        <x:v>1939</x:v>
      </x:c>
      <x:c r="K297" s="23">
        <x:v>4512</x:v>
      </x:c>
      <x:c r="L297" s="23" t="s">
        <x:v>262</x:v>
      </x:c>
      <x:c r="M297" s="23">
        <x:f t="shared" si="4"/>
        <x:v>703</x:v>
      </x:c>
      <x:c r="N297" s="24" t="str">
        <x:f t="array" ref="N297">INDEX('MATCH INFO'!O:O, INT((ROW()-2)/10)+2 + 124)</x:f>
        <x:v>260705_CR_ZETA_S4</x:v>
      </x:c>
    </x:row>
    <x:row r="298">
      <x:c r="A298" s="23" t="s">
        <x:v>47</x:v>
      </x:c>
      <x:c r="B298" s="23" t="s">
        <x:v>51</x:v>
      </x:c>
      <x:c r="C298" s="23" t="s">
        <x:v>11</x:v>
      </x:c>
      <x:c r="D298" s="23" t="s">
        <x:v>124</x:v>
      </x:c>
      <x:c r="E298" s="23" t="s">
        <x:v>186</x:v>
      </x:c>
      <x:c r="F298" s="23">
        <x:v>17</x:v>
      </x:c>
      <x:c r="G298" s="23">
        <x:v>11</x:v>
      </x:c>
      <x:c r="H298" s="23">
        <x:v>0</x:v>
      </x:c>
      <x:c r="I298" s="23">
        <x:v>8531</x:v>
      </x:c>
      <x:c r="J298" s="23">
        <x:v>1463</x:v>
      </x:c>
      <x:c r="K298" s="23">
        <x:v>0</x:v>
      </x:c>
      <x:c r="L298" s="23" t="s">
        <x:v>262</x:v>
      </x:c>
      <x:c r="M298" s="23">
        <x:f t="shared" si="4"/>
        <x:v>703</x:v>
      </x:c>
      <x:c r="N298" s="24" t="str">
        <x:f t="array" ref="N298">INDEX('MATCH INFO'!O:O, INT((ROW()-2)/10)+2 + 124)</x:f>
        <x:v>260705_CR_ZETA_S4</x:v>
      </x:c>
    </x:row>
    <x:row r="299">
      <x:c r="A299" s="23" t="s">
        <x:v>47</x:v>
      </x:c>
      <x:c r="B299" s="23" t="s">
        <x:v>50</x:v>
      </x:c>
      <x:c r="C299" s="23" t="s">
        <x:v>11</x:v>
      </x:c>
      <x:c r="D299" s="23" t="s">
        <x:v>124</x:v>
      </x:c>
      <x:c r="E299" s="23" t="s">
        <x:v>186</x:v>
      </x:c>
      <x:c r="F299" s="23">
        <x:v>24</x:v>
      </x:c>
      <x:c r="G299" s="23">
        <x:v>9</x:v>
      </x:c>
      <x:c r="H299" s="23">
        <x:v>1</x:v>
      </x:c>
      <x:c r="I299" s="23">
        <x:v>13838</x:v>
      </x:c>
      <x:c r="J299" s="23">
        <x:v>71</x:v>
      </x:c>
      <x:c r="K299" s="23">
        <x:v>663</x:v>
      </x:c>
      <x:c r="L299" s="23" t="s">
        <x:v>262</x:v>
      </x:c>
      <x:c r="M299" s="23">
        <x:f t="shared" si="4"/>
        <x:v>703</x:v>
      </x:c>
      <x:c r="N299" s="24" t="str">
        <x:f t="array" ref="N299">INDEX('MATCH INFO'!O:O, INT((ROW()-2)/10)+2 + 124)</x:f>
        <x:v>260705_CR_ZETA_S4</x:v>
      </x:c>
    </x:row>
    <x:row r="300">
      <x:c r="A300" s="23" t="s">
        <x:v>47</x:v>
      </x:c>
      <x:c r="B300" s="23" t="s">
        <x:v>53</x:v>
      </x:c>
      <x:c r="C300" s="23" t="s">
        <x:v>16</x:v>
      </x:c>
      <x:c r="D300" s="23" t="s">
        <x:v>124</x:v>
      </x:c>
      <x:c r="E300" s="23" t="s">
        <x:v>186</x:v>
      </x:c>
      <x:c r="F300" s="23">
        <x:v>6</x:v>
      </x:c>
      <x:c r="G300" s="23">
        <x:v>12</x:v>
      </x:c>
      <x:c r="H300" s="23">
        <x:v>18</x:v>
      </x:c>
      <x:c r="I300" s="23">
        <x:v>4301</x:v>
      </x:c>
      <x:c r="J300" s="23">
        <x:v>10252</x:v>
      </x:c>
      <x:c r="K300" s="23">
        <x:v>0</x:v>
      </x:c>
      <x:c r="L300" s="23" t="s">
        <x:v>262</x:v>
      </x:c>
      <x:c r="M300" s="23">
        <x:f t="shared" si="4"/>
        <x:v>703</x:v>
      </x:c>
      <x:c r="N300" s="24" t="str">
        <x:f t="array" ref="N300">INDEX('MATCH INFO'!O:O, INT((ROW()-2)/10)+2 + 124)</x:f>
        <x:v>260705_CR_ZETA_S4</x:v>
      </x:c>
    </x:row>
    <x:row r="301">
      <x:c r="A301" s="23" t="s">
        <x:v>47</x:v>
      </x:c>
      <x:c r="B301" s="23" t="s">
        <x:v>52</x:v>
      </x:c>
      <x:c r="C301" s="23" t="s">
        <x:v>16</x:v>
      </x:c>
      <x:c r="D301" s="23" t="s">
        <x:v>124</x:v>
      </x:c>
      <x:c r="E301" s="23" t="s">
        <x:v>186</x:v>
      </x:c>
      <x:c r="F301" s="23">
        <x:v>13</x:v>
      </x:c>
      <x:c r="G301" s="23">
        <x:v>13</x:v>
      </x:c>
      <x:c r="H301" s="23">
        <x:v>13</x:v>
      </x:c>
      <x:c r="I301" s="23">
        <x:v>5611</x:v>
      </x:c>
      <x:c r="J301" s="23">
        <x:v>9135</x:v>
      </x:c>
      <x:c r="K301" s="23">
        <x:v>0</x:v>
      </x:c>
      <x:c r="L301" s="23" t="s">
        <x:v>262</x:v>
      </x:c>
      <x:c r="M301" s="23">
        <x:f t="shared" si="4"/>
        <x:v>703</x:v>
      </x:c>
      <x:c r="N301" s="24" t="str">
        <x:f t="array" ref="N301">INDEX('MATCH INFO'!O:O, INT((ROW()-2)/10)+2 + 124)</x:f>
        <x:v>260705_CR_ZETA_S4</x:v>
      </x:c>
    </x:row>
    <x:row r="302">
      <x:c r="A302" s="23" t="s">
        <x:v>63</x:v>
      </x:c>
      <x:c r="B302" s="23" t="s">
        <x:v>69</x:v>
      </x:c>
      <x:c r="C302" s="23" t="s">
        <x:v>16</x:v>
      </x:c>
      <x:c r="D302" s="23" t="s">
        <x:v>107</x:v>
      </x:c>
      <x:c r="E302" s="23" t="s">
        <x:v>184</x:v>
      </x:c>
      <x:c r="F302" s="23">
        <x:v>18</x:v>
      </x:c>
      <x:c r="G302" s="23">
        <x:v>4</x:v>
      </x:c>
      <x:c r="H302" s="23">
        <x:v>21</x:v>
      </x:c>
      <x:c r="I302" s="23">
        <x:v>3040</x:v>
      </x:c>
      <x:c r="J302" s="23">
        <x:v>8408</x:v>
      </x:c>
      <x:c r="K302" s="23">
        <x:v>0</x:v>
      </x:c>
      <x:c r="L302" s="23" t="s">
        <x:v>325</x:v>
      </x:c>
      <x:c r="M302" s="23">
        <x:f t="shared" si="4"/>
        <x:v>539</x:v>
      </x:c>
      <x:c r="N302" s="24" t="str">
        <x:f t="array" ref="N302">INDEX('MATCH INFO'!O:O, INT((ROW()-2)/10)+2 + 124)</x:f>
        <x:v>260705_T1_FLC_S1</x:v>
      </x:c>
    </x:row>
    <x:row r="303">
      <x:c r="A303" s="23" t="s">
        <x:v>63</x:v>
      </x:c>
      <x:c r="B303" s="23" t="s">
        <x:v>64</x:v>
      </x:c>
      <x:c r="C303" s="23" t="s">
        <x:v>8</x:v>
      </x:c>
      <x:c r="D303" s="23" t="s">
        <x:v>107</x:v>
      </x:c>
      <x:c r="E303" s="23" t="s">
        <x:v>184</x:v>
      </x:c>
      <x:c r="F303" s="23">
        <x:v>19</x:v>
      </x:c>
      <x:c r="G303" s="23">
        <x:v>5</x:v>
      </x:c>
      <x:c r="H303" s="23">
        <x:v>9</x:v>
      </x:c>
      <x:c r="I303" s="23">
        <x:v>11848</x:v>
      </x:c>
      <x:c r="J303" s="23">
        <x:v>3138</x:v>
      </x:c>
      <x:c r="K303" s="23">
        <x:v>4654</x:v>
      </x:c>
      <x:c r="L303" s="23" t="s">
        <x:v>325</x:v>
      </x:c>
      <x:c r="M303" s="23">
        <x:f t="shared" si="4"/>
        <x:v>539</x:v>
      </x:c>
      <x:c r="N303" s="24" t="str">
        <x:f t="array" ref="N303">INDEX('MATCH INFO'!O:O, INT((ROW()-2)/10)+2 + 124)</x:f>
        <x:v>260705_T1_FLC_S1</x:v>
      </x:c>
    </x:row>
    <x:row r="304">
      <x:c r="A304" s="23" t="s">
        <x:v>63</x:v>
      </x:c>
      <x:c r="B304" s="23" t="s">
        <x:v>67</x:v>
      </x:c>
      <x:c r="C304" s="23" t="s">
        <x:v>11</x:v>
      </x:c>
      <x:c r="D304" s="23" t="s">
        <x:v>107</x:v>
      </x:c>
      <x:c r="E304" s="23" t="s">
        <x:v>184</x:v>
      </x:c>
      <x:c r="F304" s="23">
        <x:v>25</x:v>
      </x:c>
      <x:c r="G304" s="23">
        <x:v>7</x:v>
      </x:c>
      <x:c r="H304" s="23">
        <x:v>4</x:v>
      </x:c>
      <x:c r="I304" s="23">
        <x:v>13054</x:v>
      </x:c>
      <x:c r="J304" s="23">
        <x:v>165</x:v>
      </x:c>
      <x:c r="K304" s="23">
        <x:v>1892</x:v>
      </x:c>
      <x:c r="L304" s="23" t="s">
        <x:v>325</x:v>
      </x:c>
      <x:c r="M304" s="23">
        <x:f t="shared" si="4"/>
        <x:v>539</x:v>
      </x:c>
      <x:c r="N304" s="24" t="str">
        <x:f t="array" ref="N304">INDEX('MATCH INFO'!O:O, INT((ROW()-2)/10)+2 + 124)</x:f>
        <x:v>260705_T1_FLC_S1</x:v>
      </x:c>
    </x:row>
    <x:row r="305">
      <x:c r="A305" s="23" t="s">
        <x:v>63</x:v>
      </x:c>
      <x:c r="B305" s="23" t="s">
        <x:v>70</x:v>
      </x:c>
      <x:c r="C305" s="23" t="s">
        <x:v>16</x:v>
      </x:c>
      <x:c r="D305" s="23" t="s">
        <x:v>107</x:v>
      </x:c>
      <x:c r="E305" s="23" t="s">
        <x:v>184</x:v>
      </x:c>
      <x:c r="F305" s="23">
        <x:v>16</x:v>
      </x:c>
      <x:c r="G305" s="23">
        <x:v>6</x:v>
      </x:c>
      <x:c r="H305" s="23">
        <x:v>21</x:v>
      </x:c>
      <x:c r="I305" s="23">
        <x:v>4090</x:v>
      </x:c>
      <x:c r="J305" s="23">
        <x:v>8468</x:v>
      </x:c>
      <x:c r="K305" s="23">
        <x:v>0</x:v>
      </x:c>
      <x:c r="L305" s="23" t="s">
        <x:v>325</x:v>
      </x:c>
      <x:c r="M305" s="23">
        <x:f t="shared" si="4"/>
        <x:v>539</x:v>
      </x:c>
      <x:c r="N305" s="24" t="str">
        <x:f t="array" ref="N305">INDEX('MATCH INFO'!O:O, INT((ROW()-2)/10)+2 + 124)</x:f>
        <x:v>260705_T1_FLC_S1</x:v>
      </x:c>
    </x:row>
    <x:row r="306">
      <x:c r="A306" s="23" t="s">
        <x:v>63</x:v>
      </x:c>
      <x:c r="B306" s="23" t="s">
        <x:v>66</x:v>
      </x:c>
      <x:c r="C306" s="23" t="s">
        <x:v>11</x:v>
      </x:c>
      <x:c r="D306" s="23" t="s">
        <x:v>107</x:v>
      </x:c>
      <x:c r="E306" s="23" t="s">
        <x:v>184</x:v>
      </x:c>
      <x:c r="F306" s="23">
        <x:v>26</x:v>
      </x:c>
      <x:c r="G306" s="23">
        <x:v>5</x:v>
      </x:c>
      <x:c r="H306" s="23">
        <x:v>0</x:v>
      </x:c>
      <x:c r="I306" s="23">
        <x:v>6995</x:v>
      </x:c>
      <x:c r="J306" s="23">
        <x:v>582</x:v>
      </x:c>
      <x:c r="K306" s="23">
        <x:v>0</x:v>
      </x:c>
      <x:c r="L306" s="23" t="s">
        <x:v>325</x:v>
      </x:c>
      <x:c r="M306" s="23">
        <x:f t="shared" si="4"/>
        <x:v>539</x:v>
      </x:c>
      <x:c r="N306" s="24" t="str">
        <x:f t="array" ref="N306">INDEX('MATCH INFO'!O:O, INT((ROW()-2)/10)+2 + 124)</x:f>
        <x:v>260705_T1_FLC_S1</x:v>
      </x:c>
    </x:row>
    <x:row r="307">
      <x:c r="A307" s="23" t="s">
        <x:v>72</x:v>
      </x:c>
      <x:c r="B307" s="23" t="s">
        <x:v>76</x:v>
      </x:c>
      <x:c r="C307" s="23" t="s">
        <x:v>11</x:v>
      </x:c>
      <x:c r="D307" s="23" t="s">
        <x:v>107</x:v>
      </x:c>
      <x:c r="E307" s="23" t="s">
        <x:v>184</x:v>
      </x:c>
      <x:c r="F307" s="23">
        <x:v>11</x:v>
      </x:c>
      <x:c r="G307" s="23">
        <x:v>8</x:v>
      </x:c>
      <x:c r="H307" s="23">
        <x:v>3</x:v>
      </x:c>
      <x:c r="I307" s="23">
        <x:v>9815</x:v>
      </x:c>
      <x:c r="J307" s="23">
        <x:v>236</x:v>
      </x:c>
      <x:c r="K307" s="23">
        <x:v>1715</x:v>
      </x:c>
      <x:c r="L307" s="23" t="s">
        <x:v>325</x:v>
      </x:c>
      <x:c r="M307" s="23">
        <x:f t="shared" si="4"/>
        <x:v>539</x:v>
      </x:c>
      <x:c r="N307" s="24" t="str">
        <x:f t="array" ref="N307">INDEX('MATCH INFO'!O:O, INT((ROW()-2)/10)+2 + 124)</x:f>
        <x:v>260705_T1_FLC_S1</x:v>
      </x:c>
    </x:row>
    <x:row r="308">
      <x:c r="A308" s="23" t="s">
        <x:v>72</x:v>
      </x:c>
      <x:c r="B308" s="23" t="s">
        <x:v>78</x:v>
      </x:c>
      <x:c r="C308" s="23" t="s">
        <x:v>16</x:v>
      </x:c>
      <x:c r="D308" s="23" t="s">
        <x:v>107</x:v>
      </x:c>
      <x:c r="E308" s="23" t="s">
        <x:v>184</x:v>
      </x:c>
      <x:c r="F308" s="23">
        <x:v>10</x:v>
      </x:c>
      <x:c r="G308" s="23">
        <x:v>6</x:v>
      </x:c>
      <x:c r="H308" s="23">
        <x:v>9</x:v>
      </x:c>
      <x:c r="I308" s="23">
        <x:v>4163</x:v>
      </x:c>
      <x:c r="J308" s="23">
        <x:v>7544</x:v>
      </x:c>
      <x:c r="K308" s="23">
        <x:v>0</x:v>
      </x:c>
      <x:c r="L308" s="23" t="s">
        <x:v>325</x:v>
      </x:c>
      <x:c r="M308" s="23">
        <x:f t="shared" si="4"/>
        <x:v>539</x:v>
      </x:c>
      <x:c r="N308" s="24" t="str">
        <x:f t="array" ref="N308">INDEX('MATCH INFO'!O:O, INT((ROW()-2)/10)+2 + 124)</x:f>
        <x:v>260705_T1_FLC_S1</x:v>
      </x:c>
    </x:row>
    <x:row r="309">
      <x:c r="A309" s="23" t="s">
        <x:v>72</x:v>
      </x:c>
      <x:c r="B309" s="23" t="s">
        <x:v>79</x:v>
      </x:c>
      <x:c r="C309" s="23" t="s">
        <x:v>16</x:v>
      </x:c>
      <x:c r="D309" s="23" t="s">
        <x:v>107</x:v>
      </x:c>
      <x:c r="E309" s="23" t="s">
        <x:v>184</x:v>
      </x:c>
      <x:c r="F309" s="23">
        <x:v>15</x:v>
      </x:c>
      <x:c r="G309" s="23">
        <x:v>6</x:v>
      </x:c>
      <x:c r="H309" s="23">
        <x:v>19</x:v>
      </x:c>
      <x:c r="I309" s="23">
        <x:v>3973</x:v>
      </x:c>
      <x:c r="J309" s="23">
        <x:v>8497</x:v>
      </x:c>
      <x:c r="K309" s="23">
        <x:v>0</x:v>
      </x:c>
      <x:c r="L309" s="23" t="s">
        <x:v>325</x:v>
      </x:c>
      <x:c r="M309" s="23">
        <x:f t="shared" si="4"/>
        <x:v>539</x:v>
      </x:c>
      <x:c r="N309" s="24" t="str">
        <x:f t="array" ref="N309">INDEX('MATCH INFO'!O:O, INT((ROW()-2)/10)+2 + 124)</x:f>
        <x:v>260705_T1_FLC_S1</x:v>
      </x:c>
    </x:row>
    <x:row r="310">
      <x:c r="A310" s="23" t="s">
        <x:v>72</x:v>
      </x:c>
      <x:c r="B310" s="23" t="s">
        <x:v>74</x:v>
      </x:c>
      <x:c r="C310" s="23" t="s">
        <x:v>8</x:v>
      </x:c>
      <x:c r="D310" s="23" t="s">
        <x:v>107</x:v>
      </x:c>
      <x:c r="E310" s="23" t="s">
        <x:v>184</x:v>
      </x:c>
      <x:c r="F310" s="23">
        <x:v>17</x:v>
      </x:c>
      <x:c r="G310" s="23">
        <x:v>8</x:v>
      </x:c>
      <x:c r="H310" s="23">
        <x:v>9</x:v>
      </x:c>
      <x:c r="I310" s="23">
        <x:v>9474</x:v>
      </x:c>
      <x:c r="J310" s="23">
        <x:v>2621</x:v>
      </x:c>
      <x:c r="K310" s="23">
        <x:v>6263</x:v>
      </x:c>
      <x:c r="L310" s="23" t="s">
        <x:v>325</x:v>
      </x:c>
      <x:c r="M310" s="23">
        <x:f t="shared" si="4"/>
        <x:v>539</x:v>
      </x:c>
      <x:c r="N310" s="24" t="str">
        <x:f t="array" ref="N310">INDEX('MATCH INFO'!O:O, INT((ROW()-2)/10)+2 + 124)</x:f>
        <x:v>260705_T1_FLC_S1</x:v>
      </x:c>
    </x:row>
    <x:row r="311">
      <x:c r="A311" s="23" t="s">
        <x:v>72</x:v>
      </x:c>
      <x:c r="B311" s="23" t="s">
        <x:v>75</x:v>
      </x:c>
      <x:c r="C311" s="23" t="s">
        <x:v>11</x:v>
      </x:c>
      <x:c r="D311" s="23" t="s">
        <x:v>107</x:v>
      </x:c>
      <x:c r="E311" s="23" t="s">
        <x:v>184</x:v>
      </x:c>
      <x:c r="F311" s="23">
        <x:v>22</x:v>
      </x:c>
      <x:c r="G311" s="23">
        <x:v>7</x:v>
      </x:c>
      <x:c r="H311" s="23">
        <x:v>1</x:v>
      </x:c>
      <x:c r="I311" s="23">
        <x:v>9512</x:v>
      </x:c>
      <x:c r="J311" s="23">
        <x:v>143</x:v>
      </x:c>
      <x:c r="K311" s="23">
        <x:v>753</x:v>
      </x:c>
      <x:c r="L311" s="23" t="s">
        <x:v>325</x:v>
      </x:c>
      <x:c r="M311" s="23">
        <x:f t="shared" si="4"/>
        <x:v>539</x:v>
      </x:c>
      <x:c r="N311" s="24" t="str">
        <x:f t="array" ref="N311">INDEX('MATCH INFO'!O:O, INT((ROW()-2)/10)+2 + 124)</x:f>
        <x:v>260705_T1_FLC_S1</x:v>
      </x:c>
    </x:row>
    <x:row r="312">
      <x:c r="A312" s="23" t="s">
        <x:v>63</x:v>
      </x:c>
      <x:c r="B312" s="23" t="s">
        <x:v>69</x:v>
      </x:c>
      <x:c r="C312" s="23" t="s">
        <x:v>16</x:v>
      </x:c>
      <x:c r="D312" s="23" t="s">
        <x:v>119</x:v>
      </x:c>
      <x:c r="E312" s="23" t="s">
        <x:v>191</x:v>
      </x:c>
      <x:c r="F312" s="23">
        <x:v>19</x:v>
      </x:c>
      <x:c r="G312" s="23">
        <x:v>5</x:v>
      </x:c>
      <x:c r="H312" s="23">
        <x:v>17</x:v>
      </x:c>
      <x:c r="I312" s="23">
        <x:v>6195</x:v>
      </x:c>
      <x:c r="J312" s="23">
        <x:v>11272</x:v>
      </x:c>
      <x:c r="K312" s="23">
        <x:v>1689</x:v>
      </x:c>
      <x:c r="L312" s="23" t="s">
        <x:v>319</x:v>
      </x:c>
      <x:c r="M312" s="23">
        <x:f t="shared" si="4"/>
        <x:v>861</x:v>
      </x:c>
      <x:c r="N312" s="24" t="str">
        <x:f t="array" ref="N312">INDEX('MATCH INFO'!O:O, INT((ROW()-2)/10)+2 + 124)</x:f>
        <x:v>260705_T1_FLC_S2</x:v>
      </x:c>
    </x:row>
    <x:row r="313">
      <x:c r="A313" s="23" t="s">
        <x:v>63</x:v>
      </x:c>
      <x:c r="B313" s="23" t="s">
        <x:v>65</x:v>
      </x:c>
      <x:c r="C313" s="23" t="s">
        <x:v>8</x:v>
      </x:c>
      <x:c r="D313" s="23" t="s">
        <x:v>119</x:v>
      </x:c>
      <x:c r="E313" s="23" t="s">
        <x:v>191</x:v>
      </x:c>
      <x:c r="F313" s="23">
        <x:v>18</x:v>
      </x:c>
      <x:c r="G313" s="23">
        <x:v>8</x:v>
      </x:c>
      <x:c r="H313" s="23">
        <x:v>5</x:v>
      </x:c>
      <x:c r="I313" s="23">
        <x:v>18626</x:v>
      </x:c>
      <x:c r="J313" s="23">
        <x:v>992</x:v>
      </x:c>
      <x:c r="K313" s="23">
        <x:v>19619</x:v>
      </x:c>
      <x:c r="L313" s="23" t="s">
        <x:v>319</x:v>
      </x:c>
      <x:c r="M313" s="23">
        <x:f t="shared" si="4"/>
        <x:v>861</x:v>
      </x:c>
      <x:c r="N313" s="24" t="str">
        <x:f t="array" ref="N313">INDEX('MATCH INFO'!O:O, INT((ROW()-2)/10)+2 + 124)</x:f>
        <x:v>260705_T1_FLC_S2</x:v>
      </x:c>
    </x:row>
    <x:row r="314">
      <x:c r="A314" s="23" t="s">
        <x:v>63</x:v>
      </x:c>
      <x:c r="B314" s="23" t="s">
        <x:v>67</x:v>
      </x:c>
      <x:c r="C314" s="23" t="s">
        <x:v>11</x:v>
      </x:c>
      <x:c r="D314" s="23" t="s">
        <x:v>119</x:v>
      </x:c>
      <x:c r="E314" s="23" t="s">
        <x:v>191</x:v>
      </x:c>
      <x:c r="F314" s="23">
        <x:v>24</x:v>
      </x:c>
      <x:c r="G314" s="23">
        <x:v>5</x:v>
      </x:c>
      <x:c r="H314" s="23">
        <x:v>0</x:v>
      </x:c>
      <x:c r="I314" s="23">
        <x:v>15923</x:v>
      </x:c>
      <x:c r="J314" s="23">
        <x:v>0</x:v>
      </x:c>
      <x:c r="K314" s="23">
        <x:v>18</x:v>
      </x:c>
      <x:c r="L314" s="23" t="s">
        <x:v>319</x:v>
      </x:c>
      <x:c r="M314" s="23">
        <x:f t="shared" si="4"/>
        <x:v>861</x:v>
      </x:c>
      <x:c r="N314" s="24" t="str">
        <x:f t="array" ref="N314">INDEX('MATCH INFO'!O:O, INT((ROW()-2)/10)+2 + 124)</x:f>
        <x:v>260705_T1_FLC_S2</x:v>
      </x:c>
    </x:row>
    <x:row r="315">
      <x:c r="A315" s="23" t="s">
        <x:v>63</x:v>
      </x:c>
      <x:c r="B315" s="23" t="s">
        <x:v>70</x:v>
      </x:c>
      <x:c r="C315" s="23" t="s">
        <x:v>16</x:v>
      </x:c>
      <x:c r="D315" s="23" t="s">
        <x:v>119</x:v>
      </x:c>
      <x:c r="E315" s="23" t="s">
        <x:v>191</x:v>
      </x:c>
      <x:c r="F315" s="23">
        <x:v>17</x:v>
      </x:c>
      <x:c r="G315" s="23">
        <x:v>5</x:v>
      </x:c>
      <x:c r="H315" s="23">
        <x:v>24</x:v>
      </x:c>
      <x:c r="I315" s="23">
        <x:v>6400</x:v>
      </x:c>
      <x:c r="J315" s="23">
        <x:v>18090</x:v>
      </x:c>
      <x:c r="K315" s="23">
        <x:v>0</x:v>
      </x:c>
      <x:c r="L315" s="23" t="s">
        <x:v>319</x:v>
      </x:c>
      <x:c r="M315" s="23">
        <x:f t="shared" si="4"/>
        <x:v>861</x:v>
      </x:c>
      <x:c r="N315" s="24" t="str">
        <x:f t="array" ref="N315">INDEX('MATCH INFO'!O:O, INT((ROW()-2)/10)+2 + 124)</x:f>
        <x:v>260705_T1_FLC_S2</x:v>
      </x:c>
    </x:row>
    <x:row r="316">
      <x:c r="A316" s="23" t="s">
        <x:v>63</x:v>
      </x:c>
      <x:c r="B316" s="23" t="s">
        <x:v>66</x:v>
      </x:c>
      <x:c r="C316" s="23" t="s">
        <x:v>11</x:v>
      </x:c>
      <x:c r="D316" s="23" t="s">
        <x:v>119</x:v>
      </x:c>
      <x:c r="E316" s="23" t="s">
        <x:v>191</x:v>
      </x:c>
      <x:c r="F316" s="23">
        <x:v>22</x:v>
      </x:c>
      <x:c r="G316" s="23">
        <x:v>7</x:v>
      </x:c>
      <x:c r="H316" s="23">
        <x:v>6</x:v>
      </x:c>
      <x:c r="I316" s="23">
        <x:v>10062</x:v>
      </x:c>
      <x:c r="J316" s="23">
        <x:v>772</x:v>
      </x:c>
      <x:c r="K316" s="23">
        <x:v>2093</x:v>
      </x:c>
      <x:c r="L316" s="23" t="s">
        <x:v>319</x:v>
      </x:c>
      <x:c r="M316" s="23">
        <x:f t="shared" si="4"/>
        <x:v>861</x:v>
      </x:c>
      <x:c r="N316" s="24" t="str">
        <x:f t="array" ref="N316">INDEX('MATCH INFO'!O:O, INT((ROW()-2)/10)+2 + 124)</x:f>
        <x:v>260705_T1_FLC_S2</x:v>
      </x:c>
    </x:row>
    <x:row r="317">
      <x:c r="A317" s="23" t="s">
        <x:v>72</x:v>
      </x:c>
      <x:c r="B317" s="23" t="s">
        <x:v>76</x:v>
      </x:c>
      <x:c r="C317" s="23" t="s">
        <x:v>11</x:v>
      </x:c>
      <x:c r="D317" s="23" t="s">
        <x:v>119</x:v>
      </x:c>
      <x:c r="E317" s="23" t="s">
        <x:v>191</x:v>
      </x:c>
      <x:c r="F317" s="23">
        <x:v>23</x:v>
      </x:c>
      <x:c r="G317" s="23">
        <x:v>6</x:v>
      </x:c>
      <x:c r="H317" s="23">
        <x:v>10</x:v>
      </x:c>
      <x:c r="I317" s="23">
        <x:v>10806</x:v>
      </x:c>
      <x:c r="J317" s="23">
        <x:v>3004</x:v>
      </x:c>
      <x:c r="K317" s="23">
        <x:v>8524</x:v>
      </x:c>
      <x:c r="L317" s="23" t="s">
        <x:v>319</x:v>
      </x:c>
      <x:c r="M317" s="23">
        <x:f t="shared" si="4"/>
        <x:v>861</x:v>
      </x:c>
      <x:c r="N317" s="24" t="str">
        <x:f t="array" ref="N317">INDEX('MATCH INFO'!O:O, INT((ROW()-2)/10)+2 + 124)</x:f>
        <x:v>260705_T1_FLC_S2</x:v>
      </x:c>
    </x:row>
    <x:row r="318">
      <x:c r="A318" s="23" t="s">
        <x:v>72</x:v>
      </x:c>
      <x:c r="B318" s="23" t="s">
        <x:v>78</x:v>
      </x:c>
      <x:c r="C318" s="23" t="s">
        <x:v>16</x:v>
      </x:c>
      <x:c r="D318" s="23" t="s">
        <x:v>119</x:v>
      </x:c>
      <x:c r="E318" s="23" t="s">
        <x:v>191</x:v>
      </x:c>
      <x:c r="F318" s="23">
        <x:v>15</x:v>
      </x:c>
      <x:c r="G318" s="23">
        <x:v>5</x:v>
      </x:c>
      <x:c r="H318" s="23">
        <x:v>8</x:v>
      </x:c>
      <x:c r="I318" s="23">
        <x:v>5541</x:v>
      </x:c>
      <x:c r="J318" s="23">
        <x:v>15841</x:v>
      </x:c>
      <x:c r="K318" s="23">
        <x:v>0</x:v>
      </x:c>
      <x:c r="L318" s="23" t="s">
        <x:v>319</x:v>
      </x:c>
      <x:c r="M318" s="23">
        <x:f t="shared" si="4"/>
        <x:v>861</x:v>
      </x:c>
      <x:c r="N318" s="24" t="str">
        <x:f t="array" ref="N318">INDEX('MATCH INFO'!O:O, INT((ROW()-2)/10)+2 + 124)</x:f>
        <x:v>260705_T1_FLC_S2</x:v>
      </x:c>
    </x:row>
    <x:row r="319">
      <x:c r="A319" s="23" t="s">
        <x:v>72</x:v>
      </x:c>
      <x:c r="B319" s="23" t="s">
        <x:v>79</x:v>
      </x:c>
      <x:c r="C319" s="23" t="s">
        <x:v>16</x:v>
      </x:c>
      <x:c r="D319" s="23" t="s">
        <x:v>119</x:v>
      </x:c>
      <x:c r="E319" s="23" t="s">
        <x:v>191</x:v>
      </x:c>
      <x:c r="F319" s="23">
        <x:v>13</x:v>
      </x:c>
      <x:c r="G319" s="23">
        <x:v>6</x:v>
      </x:c>
      <x:c r="H319" s="23">
        <x:v>23</x:v>
      </x:c>
      <x:c r="I319" s="23">
        <x:v>5990</x:v>
      </x:c>
      <x:c r="J319" s="23">
        <x:v>18384</x:v>
      </x:c>
      <x:c r="K319" s="23">
        <x:v>0</x:v>
      </x:c>
      <x:c r="L319" s="23" t="s">
        <x:v>319</x:v>
      </x:c>
      <x:c r="M319" s="23">
        <x:f t="shared" si="4"/>
        <x:v>861</x:v>
      </x:c>
      <x:c r="N319" s="24" t="str">
        <x:f t="array" ref="N319">INDEX('MATCH INFO'!O:O, INT((ROW()-2)/10)+2 + 124)</x:f>
        <x:v>260705_T1_FLC_S2</x:v>
      </x:c>
    </x:row>
    <x:row r="320">
      <x:c r="A320" s="23" t="s">
        <x:v>72</x:v>
      </x:c>
      <x:c r="B320" s="23" t="s">
        <x:v>73</x:v>
      </x:c>
      <x:c r="C320" s="23" t="s">
        <x:v>8</x:v>
      </x:c>
      <x:c r="D320" s="23" t="s">
        <x:v>119</x:v>
      </x:c>
      <x:c r="E320" s="23" t="s">
        <x:v>191</x:v>
      </x:c>
      <x:c r="F320" s="23">
        <x:v>16</x:v>
      </x:c>
      <x:c r="G320" s="23">
        <x:v>9</x:v>
      </x:c>
      <x:c r="H320" s="23">
        <x:v>3</x:v>
      </x:c>
      <x:c r="I320" s="23">
        <x:v>15278</x:v>
      </x:c>
      <x:c r="J320" s="23">
        <x:v>730</x:v>
      </x:c>
      <x:c r="K320" s="23">
        <x:v>26273</x:v>
      </x:c>
      <x:c r="L320" s="23" t="s">
        <x:v>319</x:v>
      </x:c>
      <x:c r="M320" s="23">
        <x:f t="shared" si="4"/>
        <x:v>861</x:v>
      </x:c>
      <x:c r="N320" s="24" t="str">
        <x:f t="array" ref="N320">INDEX('MATCH INFO'!O:O, INT((ROW()-2)/10)+2 + 124)</x:f>
        <x:v>260705_T1_FLC_S2</x:v>
      </x:c>
    </x:row>
    <x:row r="321">
      <x:c r="A321" s="23" t="s">
        <x:v>72</x:v>
      </x:c>
      <x:c r="B321" s="23" t="s">
        <x:v>75</x:v>
      </x:c>
      <x:c r="C321" s="23" t="s">
        <x:v>11</x:v>
      </x:c>
      <x:c r="D321" s="23" t="s">
        <x:v>119</x:v>
      </x:c>
      <x:c r="E321" s="23" t="s">
        <x:v>191</x:v>
      </x:c>
      <x:c r="F321" s="23">
        <x:v>22</x:v>
      </x:c>
      <x:c r="G321" s="23">
        <x:v>9</x:v>
      </x:c>
      <x:c r="H321" s="23">
        <x:v>2</x:v>
      </x:c>
      <x:c r="I321" s="23">
        <x:v>12140</x:v>
      </x:c>
      <x:c r="J321" s="23">
        <x:v>181</x:v>
      </x:c>
      <x:c r="K321" s="23">
        <x:v>497</x:v>
      </x:c>
      <x:c r="L321" s="23" t="s">
        <x:v>319</x:v>
      </x:c>
      <x:c r="M321" s="23">
        <x:f t="shared" si="4"/>
        <x:v>861</x:v>
      </x:c>
      <x:c r="N321" s="24" t="str">
        <x:f t="array" ref="N321">INDEX('MATCH INFO'!O:O, INT((ROW()-2)/10)+2 + 124)</x:f>
        <x:v>260705_T1_FLC_S2</x:v>
      </x:c>
    </x:row>
    <x:row r="322">
      <x:c r="A322" s="23" t="s">
        <x:v>72</x:v>
      </x:c>
      <x:c r="B322" s="23" t="s">
        <x:v>76</x:v>
      </x:c>
      <x:c r="C322" s="23" t="s">
        <x:v>11</x:v>
      </x:c>
      <x:c r="D322" s="23" t="s">
        <x:v>168</x:v>
      </x:c>
      <x:c r="E322" s="23" t="s">
        <x:v>188</x:v>
      </x:c>
      <x:c r="F322" s="23">
        <x:v>1</x:v>
      </x:c>
      <x:c r="G322" s="23">
        <x:v>7</x:v>
      </x:c>
      <x:c r="H322" s="23">
        <x:v>1</x:v>
      </x:c>
      <x:c r="I322" s="23">
        <x:v>4187</x:v>
      </x:c>
      <x:c r="J322" s="23">
        <x:v>197</x:v>
      </x:c>
      <x:c r="K322" s="23">
        <x:v>1840</x:v>
      </x:c>
      <x:c r="L322" s="23" t="s">
        <x:v>326</x:v>
      </x:c>
      <x:c r="M322" s="23" t="e">
        <x:f t="shared" ref="M322:M331" si="5">L322*86400</x:f>
        <x:v>#VALUE!</x:v>
      </x:c>
      <x:c r="N322" s="24" t="str">
        <x:f t="array" ref="N322">INDEX('MATCH INFO'!O:O, INT((ROW()-2)/10)+2 + 124)</x:f>
        <x:v>260705_T1_FLC_S3</x:v>
      </x:c>
    </x:row>
    <x:row r="323">
      <x:c r="A323" s="23" t="s">
        <x:v>72</x:v>
      </x:c>
      <x:c r="B323" s="23" t="s">
        <x:v>78</x:v>
      </x:c>
      <x:c r="C323" s="23" t="s">
        <x:v>16</x:v>
      </x:c>
      <x:c r="D323" s="23" t="s">
        <x:v>168</x:v>
      </x:c>
      <x:c r="E323" s="23" t="s">
        <x:v>188</x:v>
      </x:c>
      <x:c r="F323" s="23">
        <x:v>3</x:v>
      </x:c>
      <x:c r="G323" s="23">
        <x:v>7</x:v>
      </x:c>
      <x:c r="H323" s="23">
        <x:v>1</x:v>
      </x:c>
      <x:c r="I323" s="23">
        <x:v>2268</x:v>
      </x:c>
      <x:c r="J323" s="23">
        <x:v>7383</x:v>
      </x:c>
      <x:c r="K323" s="23">
        <x:v>0</x:v>
      </x:c>
      <x:c r="L323" s="23" t="s">
        <x:v>326</x:v>
      </x:c>
      <x:c r="M323" s="23">
        <x:f t="shared" si="5"/>
        <x:v>393</x:v>
      </x:c>
      <x:c r="N323" s="24" t="str">
        <x:f t="array" ref="N323">INDEX('MATCH INFO'!O:O, INT((ROW()-2)/10)+2 + 124)</x:f>
        <x:v>260705_T1_FLC_S3</x:v>
      </x:c>
    </x:row>
    <x:row r="324">
      <x:c r="A324" s="23" t="s">
        <x:v>72</x:v>
      </x:c>
      <x:c r="B324" s="23" t="s">
        <x:v>79</x:v>
      </x:c>
      <x:c r="C324" s="23" t="s">
        <x:v>16</x:v>
      </x:c>
      <x:c r="D324" s="23" t="s">
        <x:v>168</x:v>
      </x:c>
      <x:c r="E324" s="23" t="s">
        <x:v>188</x:v>
      </x:c>
      <x:c r="F324" s="23">
        <x:v>0</x:v>
      </x:c>
      <x:c r="G324" s="23">
        <x:v>8</x:v>
      </x:c>
      <x:c r="H324" s="23">
        <x:v>1</x:v>
      </x:c>
      <x:c r="I324" s="23">
        <x:v>1682</x:v>
      </x:c>
      <x:c r="J324" s="23">
        <x:v>8310</x:v>
      </x:c>
      <x:c r="K324" s="23">
        <x:v>852</x:v>
      </x:c>
      <x:c r="L324" s="23" t="s">
        <x:v>326</x:v>
      </x:c>
      <x:c r="M324" s="23">
        <x:f t="shared" si="5"/>
        <x:v>393</x:v>
      </x:c>
      <x:c r="N324" s="24" t="str">
        <x:f t="array" ref="N324">INDEX('MATCH INFO'!O:O, INT((ROW()-2)/10)+2 + 124)</x:f>
        <x:v>260705_T1_FLC_S3</x:v>
      </x:c>
    </x:row>
    <x:row r="325">
      <x:c r="A325" s="23" t="s">
        <x:v>72</x:v>
      </x:c>
      <x:c r="B325" s="23" t="s">
        <x:v>73</x:v>
      </x:c>
      <x:c r="C325" s="23" t="s">
        <x:v>8</x:v>
      </x:c>
      <x:c r="D325" s="23" t="s">
        <x:v>168</x:v>
      </x:c>
      <x:c r="E325" s="23" t="s">
        <x:v>188</x:v>
      </x:c>
      <x:c r="F325" s="23">
        <x:v>2</x:v>
      </x:c>
      <x:c r="G325" s="23">
        <x:v>5</x:v>
      </x:c>
      <x:c r="H325" s="23">
        <x:v>1</x:v>
      </x:c>
      <x:c r="I325" s="23">
        <x:v>5974</x:v>
      </x:c>
      <x:c r="J325" s="23">
        <x:v>439</x:v>
      </x:c>
      <x:c r="K325" s="23">
        <x:v>10925</x:v>
      </x:c>
      <x:c r="L325" s="23" t="s">
        <x:v>326</x:v>
      </x:c>
      <x:c r="M325" s="23">
        <x:f t="shared" si="5"/>
        <x:v>393</x:v>
      </x:c>
      <x:c r="N325" s="24" t="str">
        <x:f t="array" ref="N325">INDEX('MATCH INFO'!O:O, INT((ROW()-2)/10)+2 + 124)</x:f>
        <x:v>260705_T1_FLC_S3</x:v>
      </x:c>
    </x:row>
    <x:row r="326">
      <x:c r="A326" s="23" t="s">
        <x:v>72</x:v>
      </x:c>
      <x:c r="B326" s="23" t="s">
        <x:v>75</x:v>
      </x:c>
      <x:c r="C326" s="23" t="s">
        <x:v>11</x:v>
      </x:c>
      <x:c r="D326" s="23" t="s">
        <x:v>168</x:v>
      </x:c>
      <x:c r="E326" s="23" t="s">
        <x:v>188</x:v>
      </x:c>
      <x:c r="F326" s="23">
        <x:v>1</x:v>
      </x:c>
      <x:c r="G326" s="23">
        <x:v>7</x:v>
      </x:c>
      <x:c r="H326" s="23">
        <x:v>0</x:v>
      </x:c>
      <x:c r="I326" s="23">
        <x:v>5430</x:v>
      </x:c>
      <x:c r="J326" s="23">
        <x:v>0</x:v>
      </x:c>
      <x:c r="K326" s="23">
        <x:v>835</x:v>
      </x:c>
      <x:c r="L326" s="23" t="s">
        <x:v>326</x:v>
      </x:c>
      <x:c r="M326" s="23">
        <x:f t="shared" si="5"/>
        <x:v>393</x:v>
      </x:c>
      <x:c r="N326" s="24" t="str">
        <x:f t="array" ref="N326">INDEX('MATCH INFO'!O:O, INT((ROW()-2)/10)+2 + 124)</x:f>
        <x:v>260705_T1_FLC_S3</x:v>
      </x:c>
    </x:row>
    <x:row r="327">
      <x:c r="A327" s="23" t="s">
        <x:v>63</x:v>
      </x:c>
      <x:c r="B327" s="23" t="s">
        <x:v>69</x:v>
      </x:c>
      <x:c r="C327" s="23" t="s">
        <x:v>16</x:v>
      </x:c>
      <x:c r="D327" s="23" t="s">
        <x:v>168</x:v>
      </x:c>
      <x:c r="E327" s="23" t="s">
        <x:v>188</x:v>
      </x:c>
      <x:c r="F327" s="23">
        <x:v>13</x:v>
      </x:c>
      <x:c r="G327" s="23">
        <x:v>0</x:v>
      </x:c>
      <x:c r="H327" s="23">
        <x:v>18</x:v>
      </x:c>
      <x:c r="I327" s="23">
        <x:v>1293</x:v>
      </x:c>
      <x:c r="J327" s="23">
        <x:v>6693</x:v>
      </x:c>
      <x:c r="K327" s="23">
        <x:v>0</x:v>
      </x:c>
      <x:c r="L327" s="23" t="s">
        <x:v>326</x:v>
      </x:c>
      <x:c r="M327" s="23">
        <x:f t="shared" si="5"/>
        <x:v>393</x:v>
      </x:c>
      <x:c r="N327" s="24" t="str">
        <x:f t="array" ref="N327">INDEX('MATCH INFO'!O:O, INT((ROW()-2)/10)+2 + 124)</x:f>
        <x:v>260705_T1_FLC_S3</x:v>
      </x:c>
    </x:row>
    <x:row r="328">
      <x:c r="A328" s="23" t="s">
        <x:v>63</x:v>
      </x:c>
      <x:c r="B328" s="23" t="s">
        <x:v>65</x:v>
      </x:c>
      <x:c r="C328" s="23" t="s">
        <x:v>8</x:v>
      </x:c>
      <x:c r="D328" s="23" t="s">
        <x:v>168</x:v>
      </x:c>
      <x:c r="E328" s="23" t="s">
        <x:v>188</x:v>
      </x:c>
      <x:c r="F328" s="23">
        <x:v>16</x:v>
      </x:c>
      <x:c r="G328" s="23">
        <x:v>0</x:v>
      </x:c>
      <x:c r="H328" s="23">
        <x:v>2</x:v>
      </x:c>
      <x:c r="I328" s="23">
        <x:v>7853</x:v>
      </x:c>
      <x:c r="J328" s="23">
        <x:v>0</x:v>
      </x:c>
      <x:c r="K328" s="23">
        <x:v>10154</x:v>
      </x:c>
      <x:c r="L328" s="23" t="s">
        <x:v>326</x:v>
      </x:c>
      <x:c r="M328" s="23">
        <x:f t="shared" si="5"/>
        <x:v>393</x:v>
      </x:c>
      <x:c r="N328" s="24" t="str">
        <x:f t="array" ref="N328">INDEX('MATCH INFO'!O:O, INT((ROW()-2)/10)+2 + 124)</x:f>
        <x:v>260705_T1_FLC_S3</x:v>
      </x:c>
    </x:row>
    <x:row r="329">
      <x:c r="A329" s="23" t="s">
        <x:v>63</x:v>
      </x:c>
      <x:c r="B329" s="23" t="s">
        <x:v>67</x:v>
      </x:c>
      <x:c r="C329" s="23" t="s">
        <x:v>11</x:v>
      </x:c>
      <x:c r="D329" s="23" t="s">
        <x:v>168</x:v>
      </x:c>
      <x:c r="E329" s="23" t="s">
        <x:v>188</x:v>
      </x:c>
      <x:c r="F329" s="23">
        <x:v>28</x:v>
      </x:c>
      <x:c r="G329" s="23">
        <x:v>0</x:v>
      </x:c>
      <x:c r="H329" s="23">
        <x:v>4</x:v>
      </x:c>
      <x:c r="I329" s="23">
        <x:v>11338</x:v>
      </x:c>
      <x:c r="J329" s="23">
        <x:v>114</x:v>
      </x:c>
      <x:c r="K329" s="23">
        <x:v>599</x:v>
      </x:c>
      <x:c r="L329" s="23" t="s">
        <x:v>326</x:v>
      </x:c>
      <x:c r="M329" s="23">
        <x:f t="shared" si="5"/>
        <x:v>393</x:v>
      </x:c>
      <x:c r="N329" s="24" t="str">
        <x:f t="array" ref="N329">INDEX('MATCH INFO'!O:O, INT((ROW()-2)/10)+2 + 124)</x:f>
        <x:v>260705_T1_FLC_S3</x:v>
      </x:c>
    </x:row>
    <x:row r="330">
      <x:c r="A330" s="23" t="s">
        <x:v>63</x:v>
      </x:c>
      <x:c r="B330" s="23" t="s">
        <x:v>70</x:v>
      </x:c>
      <x:c r="C330" s="23" t="s">
        <x:v>16</x:v>
      </x:c>
      <x:c r="D330" s="23" t="s">
        <x:v>168</x:v>
      </x:c>
      <x:c r="E330" s="23" t="s">
        <x:v>188</x:v>
      </x:c>
      <x:c r="F330" s="23">
        <x:v>13</x:v>
      </x:c>
      <x:c r="G330" s="23">
        <x:v>1</x:v>
      </x:c>
      <x:c r="H330" s="23">
        <x:v>19</x:v>
      </x:c>
      <x:c r="I330" s="23">
        <x:v>3418</x:v>
      </x:c>
      <x:c r="J330" s="23">
        <x:v>8348</x:v>
      </x:c>
      <x:c r="K330" s="23">
        <x:v>0</x:v>
      </x:c>
      <x:c r="L330" s="23" t="s">
        <x:v>326</x:v>
      </x:c>
      <x:c r="M330" s="23">
        <x:f t="shared" si="5"/>
        <x:v>393</x:v>
      </x:c>
      <x:c r="N330" s="24" t="str">
        <x:f t="array" ref="N330">INDEX('MATCH INFO'!O:O, INT((ROW()-2)/10)+2 + 124)</x:f>
        <x:v>260705_T1_FLC_S3</x:v>
      </x:c>
    </x:row>
    <x:row r="331">
      <x:c r="A331" s="23" t="s">
        <x:v>63</x:v>
      </x:c>
      <x:c r="B331" s="23" t="s">
        <x:v>66</x:v>
      </x:c>
      <x:c r="C331" s="23" t="s">
        <x:v>11</x:v>
      </x:c>
      <x:c r="D331" s="23" t="s">
        <x:v>168</x:v>
      </x:c>
      <x:c r="E331" s="23" t="s">
        <x:v>188</x:v>
      </x:c>
      <x:c r="F331" s="23">
        <x:v>16</x:v>
      </x:c>
      <x:c r="G331" s="23">
        <x:v>3</x:v>
      </x:c>
      <x:c r="H331" s="23">
        <x:v>1</x:v>
      </x:c>
      <x:c r="I331" s="23">
        <x:v>6967</x:v>
      </x:c>
      <x:c r="J331" s="23">
        <x:v>225</x:v>
      </x:c>
      <x:c r="K331" s="23">
        <x:v>336</x:v>
      </x:c>
      <x:c r="L331" s="23" t="s">
        <x:v>326</x:v>
      </x:c>
      <x:c r="M331" s="23">
        <x:f t="shared" si="5"/>
        <x:v>393</x:v>
      </x:c>
      <x:c r="N331" s="24" t="str">
        <x:f t="array" ref="N331">INDEX('MATCH INFO'!O:O, INT((ROW()-2)/10)+2 + 124)</x:f>
        <x:v>260705_T1_FLC_S3</x:v>
      </x:c>
    </x:row>
  </x:sheetData>
  <x:conditionalFormatting sqref="A2:N331">
    <x:cfRule type="expression" dxfId="3" priority="1">
      <x:formula>MOD(ROW()-1, 10)=0</x:formula>
    </x:cfRule>
    <x:cfRule type="expression" dxfId="2" priority="2">
      <x:formula>MOD(INT((ROW()-2)/10), 2)=1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8"/>
  <x:cols>
    <x:col min="2" max="2" width="13.28515625" style="3" customWidth="1"/>
    <x:col min="4" max="4" width="15.28515625" style="3" customWidth="1"/>
    <x:col min="13" max="13" width="16.7109375" style="3" customWidth="1"/>
    <x:col min="14" max="14" width="25" style="3" customWidth="1"/>
  </x:cols>
  <x:sheetData>
    <x:row r="1">
      <x:c r="A1" s="4" t="s">
        <x:v>171</x:v>
      </x:c>
      <x:c r="B1" s="4" t="s">
        <x:v>172</x:v>
      </x:c>
      <x:c r="C1" s="4" t="s">
        <x:v>173</x:v>
      </x:c>
      <x:c r="D1" s="4" t="s">
        <x:v>174</x:v>
      </x:c>
      <x:c r="E1" s="4" t="s">
        <x:v>175</x:v>
      </x:c>
      <x:c r="F1" s="4" t="s">
        <x:v>176</x:v>
      </x:c>
      <x:c r="G1" s="4" t="s">
        <x:v>177</x:v>
      </x:c>
      <x:c r="H1" s="4" t="s">
        <x:v>178</x:v>
      </x:c>
      <x:c r="I1" s="4" t="s">
        <x:v>179</x:v>
      </x:c>
      <x:c r="J1" s="4" t="s">
        <x:v>180</x:v>
      </x:c>
      <x:c r="K1" s="4" t="s">
        <x:v>181</x:v>
      </x:c>
      <x:c r="L1" s="4" t="s">
        <x:v>182</x:v>
      </x:c>
      <x:c r="M1" s="4" t="s">
        <x:v>183</x:v>
      </x:c>
      <x:c r="N1" s="26" t="s">
        <x:v>103</x:v>
      </x:c>
    </x:row>
    <x:row r="2">
      <x:c r="A2" s="23" t="s">
        <x:v>72</x:v>
      </x:c>
      <x:c r="B2" s="23" t="s">
        <x:v>76</x:v>
      </x:c>
      <x:c r="C2" s="23" t="s">
        <x:v>11</x:v>
      </x:c>
      <x:c r="D2" s="23" t="s">
        <x:v>116</x:v>
      </x:c>
      <x:c r="E2" s="23" t="s">
        <x:v>184</x:v>
      </x:c>
      <x:c r="F2" s="23">
        <x:v>21</x:v>
      </x:c>
      <x:c r="G2" s="23">
        <x:v>6</x:v>
      </x:c>
      <x:c r="H2" s="23">
        <x:v>3</x:v>
      </x:c>
      <x:c r="I2" s="23">
        <x:v>10423</x:v>
      </x:c>
      <x:c r="J2" s="23">
        <x:v>482</x:v>
      </x:c>
      <x:c r="K2" s="23">
        <x:v>1317</x:v>
      </x:c>
      <x:c r="L2" s="23" t="s">
        <x:v>327</x:v>
      </x:c>
      <x:c r="M2" s="23" t="e">
        <x:f t="shared" ref="M2:M65" si="0">L2*86400</x:f>
        <x:v>#VALUE!</x:v>
      </x:c>
      <x:c r="N2" s="24" t="str">
        <x:f t="array" ref="N2">INDEX('MATCH INFO'!O:O, INT((ROW()-2)/10)+2 + 157)</x:f>
        <x:v>260710_FLC_ROZE_S1</x:v>
      </x:c>
    </x:row>
    <x:row r="3">
      <x:c r="A3" s="23" t="s">
        <x:v>72</x:v>
      </x:c>
      <x:c r="B3" s="23" t="s">
        <x:v>78</x:v>
      </x:c>
      <x:c r="C3" s="23" t="s">
        <x:v>16</x:v>
      </x:c>
      <x:c r="D3" s="23" t="s">
        <x:v>116</x:v>
      </x:c>
      <x:c r="E3" s="23" t="s">
        <x:v>184</x:v>
      </x:c>
      <x:c r="F3" s="23">
        <x:v>10</x:v>
      </x:c>
      <x:c r="G3" s="23">
        <x:v>10</x:v>
      </x:c>
      <x:c r="H3" s="23">
        <x:v>17</x:v>
      </x:c>
      <x:c r="I3" s="23">
        <x:v>6807</x:v>
      </x:c>
      <x:c r="J3" s="23">
        <x:v>9586</x:v>
      </x:c>
      <x:c r="K3" s="23">
        <x:v>2298</x:v>
      </x:c>
      <x:c r="L3" s="23" t="s">
        <x:v>327</x:v>
      </x:c>
      <x:c r="M3" s="23">
        <x:f t="shared" si="0"/>
        <x:v>717.99999999999989</x:v>
      </x:c>
      <x:c r="N3" s="24" t="str">
        <x:f t="array" ref="N3">INDEX('MATCH INFO'!O:O, INT((ROW()-2)/10)+2 + 157)</x:f>
        <x:v>260710_FLC_ROZE_S1</x:v>
      </x:c>
    </x:row>
    <x:row r="4">
      <x:c r="A4" s="23" t="s">
        <x:v>72</x:v>
      </x:c>
      <x:c r="B4" s="23" t="s">
        <x:v>79</x:v>
      </x:c>
      <x:c r="C4" s="23" t="s">
        <x:v>16</x:v>
      </x:c>
      <x:c r="D4" s="23" t="s">
        <x:v>116</x:v>
      </x:c>
      <x:c r="E4" s="23" t="s">
        <x:v>184</x:v>
      </x:c>
      <x:c r="F4" s="23">
        <x:v>10</x:v>
      </x:c>
      <x:c r="G4" s="23">
        <x:v>8</x:v>
      </x:c>
      <x:c r="H4" s="23">
        <x:v>20</x:v>
      </x:c>
      <x:c r="I4" s="23">
        <x:v>5888</x:v>
      </x:c>
      <x:c r="J4" s="23">
        <x:v>16754</x:v>
      </x:c>
      <x:c r="K4" s="23">
        <x:v>0</x:v>
      </x:c>
      <x:c r="L4" s="23" t="s">
        <x:v>327</x:v>
      </x:c>
      <x:c r="M4" s="23">
        <x:f t="shared" si="0"/>
        <x:v>717.99999999999989</x:v>
      </x:c>
      <x:c r="N4" s="24" t="str">
        <x:f t="array" ref="N4">INDEX('MATCH INFO'!O:O, INT((ROW()-2)/10)+2 + 157)</x:f>
        <x:v>260710_FLC_ROZE_S1</x:v>
      </x:c>
    </x:row>
    <x:row r="5">
      <x:c r="A5" s="23" t="s">
        <x:v>72</x:v>
      </x:c>
      <x:c r="B5" s="23" t="s">
        <x:v>74</x:v>
      </x:c>
      <x:c r="C5" s="23" t="s">
        <x:v>8</x:v>
      </x:c>
      <x:c r="D5" s="23" t="s">
        <x:v>116</x:v>
      </x:c>
      <x:c r="E5" s="23" t="s">
        <x:v>184</x:v>
      </x:c>
      <x:c r="F5" s="23">
        <x:v>19</x:v>
      </x:c>
      <x:c r="G5" s="23">
        <x:v>11</x:v>
      </x:c>
      <x:c r="H5" s="23">
        <x:v>11</x:v>
      </x:c>
      <x:c r="I5" s="23">
        <x:v>18073</x:v>
      </x:c>
      <x:c r="J5" s="23">
        <x:v>5137</x:v>
      </x:c>
      <x:c r="K5" s="23">
        <x:v>11000</x:v>
      </x:c>
      <x:c r="L5" s="23" t="s">
        <x:v>327</x:v>
      </x:c>
      <x:c r="M5" s="23">
        <x:f t="shared" si="0"/>
        <x:v>717.99999999999989</x:v>
      </x:c>
      <x:c r="N5" s="24" t="str">
        <x:f t="array" ref="N5">INDEX('MATCH INFO'!O:O, INT((ROW()-2)/10)+2 + 157)</x:f>
        <x:v>260710_FLC_ROZE_S1</x:v>
      </x:c>
    </x:row>
    <x:row r="6">
      <x:c r="A6" s="23" t="s">
        <x:v>72</x:v>
      </x:c>
      <x:c r="B6" s="23" t="s">
        <x:v>75</x:v>
      </x:c>
      <x:c r="C6" s="23" t="s">
        <x:v>11</x:v>
      </x:c>
      <x:c r="D6" s="23" t="s">
        <x:v>116</x:v>
      </x:c>
      <x:c r="E6" s="23" t="s">
        <x:v>184</x:v>
      </x:c>
      <x:c r="F6" s="23">
        <x:v>15</x:v>
      </x:c>
      <x:c r="G6" s="23">
        <x:v>9</x:v>
      </x:c>
      <x:c r="H6" s="23">
        <x:v>1</x:v>
      </x:c>
      <x:c r="I6" s="23">
        <x:v>12355</x:v>
      </x:c>
      <x:c r="J6" s="23">
        <x:v>0</x:v>
      </x:c>
      <x:c r="K6" s="23">
        <x:v>613</x:v>
      </x:c>
      <x:c r="L6" s="23" t="s">
        <x:v>327</x:v>
      </x:c>
      <x:c r="M6" s="23">
        <x:f t="shared" si="0"/>
        <x:v>717.99999999999989</x:v>
      </x:c>
      <x:c r="N6" s="24" t="str">
        <x:f t="array" ref="N6">INDEX('MATCH INFO'!O:O, INT((ROW()-2)/10)+2 + 157)</x:f>
        <x:v>260710_FLC_ROZE_S1</x:v>
      </x:c>
    </x:row>
    <x:row r="7">
      <x:c r="A7" s="23" t="s">
        <x:v>22</x:v>
      </x:c>
      <x:c r="B7" s="23" t="s">
        <x:v>25</x:v>
      </x:c>
      <x:c r="C7" s="23" t="s">
        <x:v>11</x:v>
      </x:c>
      <x:c r="D7" s="23" t="s">
        <x:v>116</x:v>
      </x:c>
      <x:c r="E7" s="23" t="s">
        <x:v>184</x:v>
      </x:c>
      <x:c r="F7" s="23">
        <x:v>27</x:v>
      </x:c>
      <x:c r="G7" s="23">
        <x:v>7</x:v>
      </x:c>
      <x:c r="H7" s="23">
        <x:v>5</x:v>
      </x:c>
      <x:c r="I7" s="23">
        <x:v>10591</x:v>
      </x:c>
      <x:c r="J7" s="23">
        <x:v>380</x:v>
      </x:c>
      <x:c r="K7" s="23">
        <x:v>1449</x:v>
      </x:c>
      <x:c r="L7" s="23" t="s">
        <x:v>327</x:v>
      </x:c>
      <x:c r="M7" s="23">
        <x:f t="shared" si="0"/>
        <x:v>717.99999999999989</x:v>
      </x:c>
      <x:c r="N7" s="24" t="str">
        <x:f t="array" ref="N7">INDEX('MATCH INFO'!O:O, INT((ROW()-2)/10)+2 + 157)</x:f>
        <x:v>260710_FLC_ROZE_S1</x:v>
      </x:c>
    </x:row>
    <x:row r="8">
      <x:c r="A8" s="23" t="s">
        <x:v>22</x:v>
      </x:c>
      <x:c r="B8" s="23" t="s">
        <x:v>24</x:v>
      </x:c>
      <x:c r="C8" s="23" t="s">
        <x:v>8</x:v>
      </x:c>
      <x:c r="D8" s="23" t="s">
        <x:v>116</x:v>
      </x:c>
      <x:c r="E8" s="23" t="s">
        <x:v>184</x:v>
      </x:c>
      <x:c r="F8" s="23">
        <x:v>31</x:v>
      </x:c>
      <x:c r="G8" s="23">
        <x:v>4</x:v>
      </x:c>
      <x:c r="H8" s="23">
        <x:v>15</x:v>
      </x:c>
      <x:c r="I8" s="23">
        <x:v>20571</x:v>
      </x:c>
      <x:c r="J8" s="23">
        <x:v>4407</x:v>
      </x:c>
      <x:c r="K8" s="23">
        <x:v>8541</x:v>
      </x:c>
      <x:c r="L8" s="23" t="s">
        <x:v>327</x:v>
      </x:c>
      <x:c r="M8" s="23">
        <x:f t="shared" si="0"/>
        <x:v>717.99999999999989</x:v>
      </x:c>
      <x:c r="N8" s="24" t="str">
        <x:f t="array" ref="N8">INDEX('MATCH INFO'!O:O, INT((ROW()-2)/10)+2 + 157)</x:f>
        <x:v>260710_FLC_ROZE_S1</x:v>
      </x:c>
    </x:row>
    <x:row r="9">
      <x:c r="A9" s="23" t="s">
        <x:v>22</x:v>
      </x:c>
      <x:c r="B9" s="23" t="s">
        <x:v>29</x:v>
      </x:c>
      <x:c r="C9" s="23" t="s">
        <x:v>16</x:v>
      </x:c>
      <x:c r="D9" s="23" t="s">
        <x:v>116</x:v>
      </x:c>
      <x:c r="E9" s="23" t="s">
        <x:v>184</x:v>
      </x:c>
      <x:c r="F9" s="23">
        <x:v>12</x:v>
      </x:c>
      <x:c r="G9" s="23">
        <x:v>7</x:v>
      </x:c>
      <x:c r="H9" s="23">
        <x:v>27</x:v>
      </x:c>
      <x:c r="I9" s="23">
        <x:v>6074</x:v>
      </x:c>
      <x:c r="J9" s="23">
        <x:v>18170</x:v>
      </x:c>
      <x:c r="K9" s="23">
        <x:v>0</x:v>
      </x:c>
      <x:c r="L9" s="23" t="s">
        <x:v>327</x:v>
      </x:c>
      <x:c r="M9" s="23">
        <x:f t="shared" si="0"/>
        <x:v>717.99999999999989</x:v>
      </x:c>
      <x:c r="N9" s="24" t="str">
        <x:f t="array" ref="N9">INDEX('MATCH INFO'!O:O, INT((ROW()-2)/10)+2 + 157)</x:f>
        <x:v>260710_FLC_ROZE_S1</x:v>
      </x:c>
    </x:row>
    <x:row r="10">
      <x:c r="A10" s="23" t="s">
        <x:v>22</x:v>
      </x:c>
      <x:c r="B10" s="23" t="s">
        <x:v>28</x:v>
      </x:c>
      <x:c r="C10" s="23" t="s">
        <x:v>16</x:v>
      </x:c>
      <x:c r="D10" s="23" t="s">
        <x:v>116</x:v>
      </x:c>
      <x:c r="E10" s="23" t="s">
        <x:v>184</x:v>
      </x:c>
      <x:c r="F10" s="23">
        <x:v>21</x:v>
      </x:c>
      <x:c r="G10" s="23">
        <x:v>6</x:v>
      </x:c>
      <x:c r="H10" s="23">
        <x:v>18</x:v>
      </x:c>
      <x:c r="I10" s="23">
        <x:v>5705</x:v>
      </x:c>
      <x:c r="J10" s="23">
        <x:v>9549</x:v>
      </x:c>
      <x:c r="K10" s="23">
        <x:v>1976</x:v>
      </x:c>
      <x:c r="L10" s="23" t="s">
        <x:v>327</x:v>
      </x:c>
      <x:c r="M10" s="23">
        <x:f t="shared" si="0"/>
        <x:v>717.99999999999989</x:v>
      </x:c>
      <x:c r="N10" s="24" t="str">
        <x:f t="array" ref="N10">INDEX('MATCH INFO'!O:O, INT((ROW()-2)/10)+2 + 157)</x:f>
        <x:v>260710_FLC_ROZE_S1</x:v>
      </x:c>
    </x:row>
    <x:row r="11">
      <x:c r="A11" s="23" t="s">
        <x:v>22</x:v>
      </x:c>
      <x:c r="B11" s="23" t="s">
        <x:v>27</x:v>
      </x:c>
      <x:c r="C11" s="23" t="s">
        <x:v>11</x:v>
      </x:c>
      <x:c r="D11" s="23" t="s">
        <x:v>116</x:v>
      </x:c>
      <x:c r="E11" s="23" t="s">
        <x:v>184</x:v>
      </x:c>
      <x:c r="F11" s="23">
        <x:v>29</x:v>
      </x:c>
      <x:c r="G11" s="23">
        <x:v>7</x:v>
      </x:c>
      <x:c r="H11" s="23">
        <x:v>6</x:v>
      </x:c>
      <x:c r="I11" s="23">
        <x:v>15909</x:v>
      </x:c>
      <x:c r="J11" s="23">
        <x:v>37</x:v>
      </x:c>
      <x:c r="K11" s="23">
        <x:v>394</x:v>
      </x:c>
      <x:c r="L11" s="23" t="s">
        <x:v>327</x:v>
      </x:c>
      <x:c r="M11" s="23">
        <x:f t="shared" si="0"/>
        <x:v>717.99999999999989</x:v>
      </x:c>
      <x:c r="N11" s="24" t="str">
        <x:f t="array" ref="N11">INDEX('MATCH INFO'!O:O, INT((ROW()-2)/10)+2 + 157)</x:f>
        <x:v>260710_FLC_ROZE_S1</x:v>
      </x:c>
    </x:row>
    <x:row r="12">
      <x:c r="A12" s="23" t="s">
        <x:v>72</x:v>
      </x:c>
      <x:c r="B12" s="23" t="s">
        <x:v>76</x:v>
      </x:c>
      <x:c r="C12" s="23" t="s">
        <x:v>11</x:v>
      </x:c>
      <x:c r="D12" s="23" t="s">
        <x:v>124</x:v>
      </x:c>
      <x:c r="E12" s="23" t="s">
        <x:v>186</x:v>
      </x:c>
      <x:c r="F12" s="23">
        <x:v>8</x:v>
      </x:c>
      <x:c r="G12" s="23">
        <x:v>7</x:v>
      </x:c>
      <x:c r="H12" s="23">
        <x:v>0</x:v>
      </x:c>
      <x:c r="I12" s="23">
        <x:v>7595</x:v>
      </x:c>
      <x:c r="J12" s="23">
        <x:v>1491</x:v>
      </x:c>
      <x:c r="K12" s="23">
        <x:v>0</x:v>
      </x:c>
      <x:c r="L12" s="23" t="s">
        <x:v>270</x:v>
      </x:c>
      <x:c r="M12" s="23">
        <x:f t="shared" si="0"/>
        <x:v>544</x:v>
      </x:c>
      <x:c r="N12" s="24" t="str">
        <x:f t="array" ref="N12">INDEX('MATCH INFO'!O:O, INT((ROW()-2)/10)+2 + 157)</x:f>
        <x:v>260710_FLC_ROZE_S2</x:v>
      </x:c>
    </x:row>
    <x:row r="13">
      <x:c r="A13" s="23" t="s">
        <x:v>72</x:v>
      </x:c>
      <x:c r="B13" s="23" t="s">
        <x:v>78</x:v>
      </x:c>
      <x:c r="C13" s="23" t="s">
        <x:v>16</x:v>
      </x:c>
      <x:c r="D13" s="23" t="s">
        <x:v>124</x:v>
      </x:c>
      <x:c r="E13" s="23" t="s">
        <x:v>186</x:v>
      </x:c>
      <x:c r="F13" s="23">
        <x:v>11</x:v>
      </x:c>
      <x:c r="G13" s="23">
        <x:v>7</x:v>
      </x:c>
      <x:c r="H13" s="23">
        <x:v>10</x:v>
      </x:c>
      <x:c r="I13" s="23">
        <x:v>5013</x:v>
      </x:c>
      <x:c r="J13" s="23">
        <x:v>6265</x:v>
      </x:c>
      <x:c r="K13" s="23">
        <x:v>1618</x:v>
      </x:c>
      <x:c r="L13" s="23" t="s">
        <x:v>270</x:v>
      </x:c>
      <x:c r="M13" s="23">
        <x:f t="shared" si="0"/>
        <x:v>544</x:v>
      </x:c>
      <x:c r="N13" s="24" t="str">
        <x:f t="array" ref="N13">INDEX('MATCH INFO'!O:O, INT((ROW()-2)/10)+2 + 157)</x:f>
        <x:v>260710_FLC_ROZE_S2</x:v>
      </x:c>
    </x:row>
    <x:row r="14">
      <x:c r="A14" s="23" t="s">
        <x:v>72</x:v>
      </x:c>
      <x:c r="B14" s="23" t="s">
        <x:v>79</x:v>
      </x:c>
      <x:c r="C14" s="23" t="s">
        <x:v>16</x:v>
      </x:c>
      <x:c r="D14" s="23" t="s">
        <x:v>124</x:v>
      </x:c>
      <x:c r="E14" s="23" t="s">
        <x:v>186</x:v>
      </x:c>
      <x:c r="F14" s="23">
        <x:v>8</x:v>
      </x:c>
      <x:c r="G14" s="23">
        <x:v>8</x:v>
      </x:c>
      <x:c r="H14" s="23">
        <x:v>15</x:v>
      </x:c>
      <x:c r="I14" s="23">
        <x:v>4097</x:v>
      </x:c>
      <x:c r="J14" s="23">
        <x:v>12252</x:v>
      </x:c>
      <x:c r="K14" s="23">
        <x:v>0</x:v>
      </x:c>
      <x:c r="L14" s="23" t="s">
        <x:v>270</x:v>
      </x:c>
      <x:c r="M14" s="23">
        <x:f t="shared" si="0"/>
        <x:v>544</x:v>
      </x:c>
      <x:c r="N14" s="24" t="str">
        <x:f t="array" ref="N14">INDEX('MATCH INFO'!O:O, INT((ROW()-2)/10)+2 + 157)</x:f>
        <x:v>260710_FLC_ROZE_S2</x:v>
      </x:c>
    </x:row>
    <x:row r="15">
      <x:c r="A15" s="23" t="s">
        <x:v>72</x:v>
      </x:c>
      <x:c r="B15" s="23" t="s">
        <x:v>74</x:v>
      </x:c>
      <x:c r="C15" s="23" t="s">
        <x:v>8</x:v>
      </x:c>
      <x:c r="D15" s="23" t="s">
        <x:v>124</x:v>
      </x:c>
      <x:c r="E15" s="23" t="s">
        <x:v>186</x:v>
      </x:c>
      <x:c r="F15" s="23">
        <x:v>18</x:v>
      </x:c>
      <x:c r="G15" s="23">
        <x:v>7</x:v>
      </x:c>
      <x:c r="H15" s="23">
        <x:v>14</x:v>
      </x:c>
      <x:c r="I15" s="23">
        <x:v>11872</x:v>
      </x:c>
      <x:c r="J15" s="23">
        <x:v>3833</x:v>
      </x:c>
      <x:c r="K15" s="23">
        <x:v>5650</x:v>
      </x:c>
      <x:c r="L15" s="23" t="s">
        <x:v>270</x:v>
      </x:c>
      <x:c r="M15" s="23">
        <x:f t="shared" si="0"/>
        <x:v>544</x:v>
      </x:c>
      <x:c r="N15" s="24" t="str">
        <x:f t="array" ref="N15">INDEX('MATCH INFO'!O:O, INT((ROW()-2)/10)+2 + 157)</x:f>
        <x:v>260710_FLC_ROZE_S2</x:v>
      </x:c>
    </x:row>
    <x:row r="16">
      <x:c r="A16" s="23" t="s">
        <x:v>72</x:v>
      </x:c>
      <x:c r="B16" s="23" t="s">
        <x:v>75</x:v>
      </x:c>
      <x:c r="C16" s="23" t="s">
        <x:v>11</x:v>
      </x:c>
      <x:c r="D16" s="23" t="s">
        <x:v>124</x:v>
      </x:c>
      <x:c r="E16" s="23" t="s">
        <x:v>186</x:v>
      </x:c>
      <x:c r="F16" s="23">
        <x:v>19</x:v>
      </x:c>
      <x:c r="G16" s="23">
        <x:v>8</x:v>
      </x:c>
      <x:c r="H16" s="23">
        <x:v>1</x:v>
      </x:c>
      <x:c r="I16" s="23">
        <x:v>9298</x:v>
      </x:c>
      <x:c r="J16" s="23">
        <x:v>344</x:v>
      </x:c>
      <x:c r="K16" s="23">
        <x:v>665</x:v>
      </x:c>
      <x:c r="L16" s="23" t="s">
        <x:v>270</x:v>
      </x:c>
      <x:c r="M16" s="23">
        <x:f t="shared" si="0"/>
        <x:v>544</x:v>
      </x:c>
      <x:c r="N16" s="24" t="str">
        <x:f t="array" ref="N16">INDEX('MATCH INFO'!O:O, INT((ROW()-2)/10)+2 + 157)</x:f>
        <x:v>260710_FLC_ROZE_S2</x:v>
      </x:c>
    </x:row>
    <x:row r="17">
      <x:c r="A17" s="23" t="s">
        <x:v>22</x:v>
      </x:c>
      <x:c r="B17" s="23" t="s">
        <x:v>25</x:v>
      </x:c>
      <x:c r="C17" s="23" t="s">
        <x:v>11</x:v>
      </x:c>
      <x:c r="D17" s="23" t="s">
        <x:v>124</x:v>
      </x:c>
      <x:c r="E17" s="23" t="s">
        <x:v>186</x:v>
      </x:c>
      <x:c r="F17" s="23">
        <x:v>23</x:v>
      </x:c>
      <x:c r="G17" s="23">
        <x:v>5</x:v>
      </x:c>
      <x:c r="H17" s="23">
        <x:v>6</x:v>
      </x:c>
      <x:c r="I17" s="23">
        <x:v>8433</x:v>
      </x:c>
      <x:c r="J17" s="23">
        <x:v>220</x:v>
      </x:c>
      <x:c r="K17" s="23">
        <x:v>688</x:v>
      </x:c>
      <x:c r="L17" s="23" t="s">
        <x:v>270</x:v>
      </x:c>
      <x:c r="M17" s="23">
        <x:f t="shared" si="0"/>
        <x:v>544</x:v>
      </x:c>
      <x:c r="N17" s="24" t="str">
        <x:f t="array" ref="N17">INDEX('MATCH INFO'!O:O, INT((ROW()-2)/10)+2 + 157)</x:f>
        <x:v>260710_FLC_ROZE_S2</x:v>
      </x:c>
    </x:row>
    <x:row r="18">
      <x:c r="A18" s="23" t="s">
        <x:v>22</x:v>
      </x:c>
      <x:c r="B18" s="23" t="s">
        <x:v>24</x:v>
      </x:c>
      <x:c r="C18" s="23" t="s">
        <x:v>8</x:v>
      </x:c>
      <x:c r="D18" s="23" t="s">
        <x:v>124</x:v>
      </x:c>
      <x:c r="E18" s="23" t="s">
        <x:v>186</x:v>
      </x:c>
      <x:c r="F18" s="23">
        <x:v>28</x:v>
      </x:c>
      <x:c r="G18" s="23">
        <x:v>5</x:v>
      </x:c>
      <x:c r="H18" s="23">
        <x:v>17</x:v>
      </x:c>
      <x:c r="I18" s="23">
        <x:v>13700</x:v>
      </x:c>
      <x:c r="J18" s="23">
        <x:v>3143</x:v>
      </x:c>
      <x:c r="K18" s="23">
        <x:v>6506</x:v>
      </x:c>
      <x:c r="L18" s="23" t="s">
        <x:v>270</x:v>
      </x:c>
      <x:c r="M18" s="23">
        <x:f t="shared" si="0"/>
        <x:v>544</x:v>
      </x:c>
      <x:c r="N18" s="24" t="str">
        <x:f t="array" ref="N18">INDEX('MATCH INFO'!O:O, INT((ROW()-2)/10)+2 + 157)</x:f>
        <x:v>260710_FLC_ROZE_S2</x:v>
      </x:c>
    </x:row>
    <x:row r="19">
      <x:c r="A19" s="23" t="s">
        <x:v>22</x:v>
      </x:c>
      <x:c r="B19" s="23" t="s">
        <x:v>29</x:v>
      </x:c>
      <x:c r="C19" s="23" t="s">
        <x:v>16</x:v>
      </x:c>
      <x:c r="D19" s="23" t="s">
        <x:v>124</x:v>
      </x:c>
      <x:c r="E19" s="23" t="s">
        <x:v>186</x:v>
      </x:c>
      <x:c r="F19" s="23">
        <x:v>13</x:v>
      </x:c>
      <x:c r="G19" s="23">
        <x:v>4</x:v>
      </x:c>
      <x:c r="H19" s="23">
        <x:v>29</x:v>
      </x:c>
      <x:c r="I19" s="23">
        <x:v>4925</x:v>
      </x:c>
      <x:c r="J19" s="23">
        <x:v>12650</x:v>
      </x:c>
      <x:c r="K19" s="23">
        <x:v>0</x:v>
      </x:c>
      <x:c r="L19" s="23" t="s">
        <x:v>270</x:v>
      </x:c>
      <x:c r="M19" s="23">
        <x:f t="shared" si="0"/>
        <x:v>544</x:v>
      </x:c>
      <x:c r="N19" s="24" t="str">
        <x:f t="array" ref="N19">INDEX('MATCH INFO'!O:O, INT((ROW()-2)/10)+2 + 157)</x:f>
        <x:v>260710_FLC_ROZE_S2</x:v>
      </x:c>
    </x:row>
    <x:row r="20">
      <x:c r="A20" s="23" t="s">
        <x:v>22</x:v>
      </x:c>
      <x:c r="B20" s="23" t="s">
        <x:v>28</x:v>
      </x:c>
      <x:c r="C20" s="23" t="s">
        <x:v>16</x:v>
      </x:c>
      <x:c r="D20" s="23" t="s">
        <x:v>124</x:v>
      </x:c>
      <x:c r="E20" s="23" t="s">
        <x:v>186</x:v>
      </x:c>
      <x:c r="F20" s="23">
        <x:v>17</x:v>
      </x:c>
      <x:c r="G20" s="23">
        <x:v>5</x:v>
      </x:c>
      <x:c r="H20" s="23">
        <x:v>19</x:v>
      </x:c>
      <x:c r="I20" s="23">
        <x:v>4330</x:v>
      </x:c>
      <x:c r="J20" s="23">
        <x:v>6497</x:v>
      </x:c>
      <x:c r="K20" s="23">
        <x:v>1543</x:v>
      </x:c>
      <x:c r="L20" s="23" t="s">
        <x:v>270</x:v>
      </x:c>
      <x:c r="M20" s="23">
        <x:f t="shared" si="0"/>
        <x:v>544</x:v>
      </x:c>
      <x:c r="N20" s="24" t="str">
        <x:f t="array" ref="N20">INDEX('MATCH INFO'!O:O, INT((ROW()-2)/10)+2 + 157)</x:f>
        <x:v>260710_FLC_ROZE_S2</x:v>
      </x:c>
    </x:row>
    <x:row r="21">
      <x:c r="A21" s="23" t="s">
        <x:v>22</x:v>
      </x:c>
      <x:c r="B21" s="23" t="s">
        <x:v>27</x:v>
      </x:c>
      <x:c r="C21" s="23" t="s">
        <x:v>11</x:v>
      </x:c>
      <x:c r="D21" s="23" t="s">
        <x:v>124</x:v>
      </x:c>
      <x:c r="E21" s="23" t="s">
        <x:v>186</x:v>
      </x:c>
      <x:c r="F21" s="23">
        <x:v>29</x:v>
      </x:c>
      <x:c r="G21" s="23">
        <x:v>3</x:v>
      </x:c>
      <x:c r="H21" s="23">
        <x:v>2</x:v>
      </x:c>
      <x:c r="I21" s="23">
        <x:v>12235</x:v>
      </x:c>
      <x:c r="J21" s="23">
        <x:v>75</x:v>
      </x:c>
      <x:c r="K21" s="23">
        <x:v>455</x:v>
      </x:c>
      <x:c r="L21" s="23" t="s">
        <x:v>270</x:v>
      </x:c>
      <x:c r="M21" s="23">
        <x:f t="shared" si="0"/>
        <x:v>544</x:v>
      </x:c>
      <x:c r="N21" s="24" t="str">
        <x:f t="array" ref="N21">INDEX('MATCH INFO'!O:O, INT((ROW()-2)/10)+2 + 157)</x:f>
        <x:v>260710_FLC_ROZE_S2</x:v>
      </x:c>
    </x:row>
    <x:row r="22">
      <x:c r="A22" s="23" t="s">
        <x:v>22</x:v>
      </x:c>
      <x:c r="B22" s="23" t="s">
        <x:v>25</x:v>
      </x:c>
      <x:c r="C22" s="23" t="s">
        <x:v>11</x:v>
      </x:c>
      <x:c r="D22" s="23" t="s">
        <x:v>145</x:v>
      </x:c>
      <x:c r="E22" s="23" t="s">
        <x:v>195</x:v>
      </x:c>
      <x:c r="F22" s="23">
        <x:v>25</x:v>
      </x:c>
      <x:c r="G22" s="23">
        <x:v>11</x:v>
      </x:c>
      <x:c r="H22" s="23">
        <x:v>4</x:v>
      </x:c>
      <x:c r="I22" s="23">
        <x:v>12642</x:v>
      </x:c>
      <x:c r="J22" s="23">
        <x:v>768</x:v>
      </x:c>
      <x:c r="K22" s="23">
        <x:v>7471</x:v>
      </x:c>
      <x:c r="L22" s="23" t="s">
        <x:v>328</x:v>
      </x:c>
      <x:c r="M22" s="23">
        <x:f t="shared" si="0"/>
        <x:v>964</x:v>
      </x:c>
      <x:c r="N22" s="24" t="str">
        <x:f t="array" ref="N22">INDEX('MATCH INFO'!O:O, INT((ROW()-2)/10)+2 + 157)</x:f>
        <x:v>260710_FLC_ROZE_S3</x:v>
      </x:c>
    </x:row>
    <x:row r="23">
      <x:c r="A23" s="23" t="s">
        <x:v>22</x:v>
      </x:c>
      <x:c r="B23" s="23" t="s">
        <x:v>24</x:v>
      </x:c>
      <x:c r="C23" s="23" t="s">
        <x:v>8</x:v>
      </x:c>
      <x:c r="D23" s="23" t="s">
        <x:v>145</x:v>
      </x:c>
      <x:c r="E23" s="23" t="s">
        <x:v>195</x:v>
      </x:c>
      <x:c r="F23" s="23">
        <x:v>26</x:v>
      </x:c>
      <x:c r="G23" s="23">
        <x:v>11</x:v>
      </x:c>
      <x:c r="H23" s="23">
        <x:v>8</x:v>
      </x:c>
      <x:c r="I23" s="23">
        <x:v>17922</x:v>
      </x:c>
      <x:c r="J23" s="23">
        <x:v>678</x:v>
      </x:c>
      <x:c r="K23" s="23">
        <x:v>26190</x:v>
      </x:c>
      <x:c r="L23" s="23" t="s">
        <x:v>328</x:v>
      </x:c>
      <x:c r="M23" s="23">
        <x:f t="shared" si="0"/>
        <x:v>964</x:v>
      </x:c>
      <x:c r="N23" s="24" t="str">
        <x:f t="array" ref="N23">INDEX('MATCH INFO'!O:O, INT((ROW()-2)/10)+2 + 157)</x:f>
        <x:v>260710_FLC_ROZE_S3</x:v>
      </x:c>
    </x:row>
    <x:row r="24">
      <x:c r="A24" s="23" t="s">
        <x:v>22</x:v>
      </x:c>
      <x:c r="B24" s="23" t="s">
        <x:v>29</x:v>
      </x:c>
      <x:c r="C24" s="23" t="s">
        <x:v>16</x:v>
      </x:c>
      <x:c r="D24" s="23" t="s">
        <x:v>145</x:v>
      </x:c>
      <x:c r="E24" s="23" t="s">
        <x:v>195</x:v>
      </x:c>
      <x:c r="F24" s="23">
        <x:v>9</x:v>
      </x:c>
      <x:c r="G24" s="23">
        <x:v>10</x:v>
      </x:c>
      <x:c r="H24" s="23">
        <x:v>25</x:v>
      </x:c>
      <x:c r="I24" s="23">
        <x:v>4361</x:v>
      </x:c>
      <x:c r="J24" s="23">
        <x:v>20037</x:v>
      </x:c>
      <x:c r="K24" s="23">
        <x:v>0</x:v>
      </x:c>
      <x:c r="L24" s="23" t="s">
        <x:v>328</x:v>
      </x:c>
      <x:c r="M24" s="23">
        <x:f t="shared" si="0"/>
        <x:v>964</x:v>
      </x:c>
      <x:c r="N24" s="24" t="str">
        <x:f t="array" ref="N24">INDEX('MATCH INFO'!O:O, INT((ROW()-2)/10)+2 + 157)</x:f>
        <x:v>260710_FLC_ROZE_S3</x:v>
      </x:c>
    </x:row>
    <x:row r="25">
      <x:c r="A25" s="23" t="s">
        <x:v>22</x:v>
      </x:c>
      <x:c r="B25" s="23" t="s">
        <x:v>26</x:v>
      </x:c>
      <x:c r="C25" s="23" t="s">
        <x:v>11</x:v>
      </x:c>
      <x:c r="D25" s="23" t="s">
        <x:v>145</x:v>
      </x:c>
      <x:c r="E25" s="23" t="s">
        <x:v>195</x:v>
      </x:c>
      <x:c r="F25" s="23">
        <x:v>32</x:v>
      </x:c>
      <x:c r="G25" s="23">
        <x:v>10</x:v>
      </x:c>
      <x:c r="H25" s="23">
        <x:v>1</x:v>
      </x:c>
      <x:c r="I25" s="23">
        <x:v>16037</x:v>
      </x:c>
      <x:c r="J25" s="23">
        <x:v>0</x:v>
      </x:c>
      <x:c r="K25" s="23">
        <x:v>81</x:v>
      </x:c>
      <x:c r="L25" s="23" t="s">
        <x:v>328</x:v>
      </x:c>
      <x:c r="M25" s="23">
        <x:f t="shared" si="0"/>
        <x:v>964</x:v>
      </x:c>
      <x:c r="N25" s="24" t="str">
        <x:f t="array" ref="N25">INDEX('MATCH INFO'!O:O, INT((ROW()-2)/10)+2 + 157)</x:f>
        <x:v>260710_FLC_ROZE_S3</x:v>
      </x:c>
    </x:row>
    <x:row r="26">
      <x:c r="A26" s="23" t="s">
        <x:v>22</x:v>
      </x:c>
      <x:c r="B26" s="23" t="s">
        <x:v>28</x:v>
      </x:c>
      <x:c r="C26" s="23" t="s">
        <x:v>16</x:v>
      </x:c>
      <x:c r="D26" s="23" t="s">
        <x:v>145</x:v>
      </x:c>
      <x:c r="E26" s="23" t="s">
        <x:v>195</x:v>
      </x:c>
      <x:c r="F26" s="23">
        <x:v>16</x:v>
      </x:c>
      <x:c r="G26" s="23">
        <x:v>11</x:v>
      </x:c>
      <x:c r="H26" s="23">
        <x:v>19</x:v>
      </x:c>
      <x:c r="I26" s="23">
        <x:v>6330</x:v>
      </x:c>
      <x:c r="J26" s="23">
        <x:v>12593</x:v>
      </x:c>
      <x:c r="K26" s="23">
        <x:v>2018</x:v>
      </x:c>
      <x:c r="L26" s="23" t="s">
        <x:v>328</x:v>
      </x:c>
      <x:c r="M26" s="23">
        <x:f t="shared" si="0"/>
        <x:v>964</x:v>
      </x:c>
      <x:c r="N26" s="24" t="str">
        <x:f t="array" ref="N26">INDEX('MATCH INFO'!O:O, INT((ROW()-2)/10)+2 + 157)</x:f>
        <x:v>260710_FLC_ROZE_S3</x:v>
      </x:c>
    </x:row>
    <x:row r="27">
      <x:c r="A27" s="23" t="s">
        <x:v>72</x:v>
      </x:c>
      <x:c r="B27" s="23" t="s">
        <x:v>76</x:v>
      </x:c>
      <x:c r="C27" s="23" t="s">
        <x:v>11</x:v>
      </x:c>
      <x:c r="D27" s="23" t="s">
        <x:v>145</x:v>
      </x:c>
      <x:c r="E27" s="23" t="s">
        <x:v>195</x:v>
      </x:c>
      <x:c r="F27" s="23">
        <x:v>44</x:v>
      </x:c>
      <x:c r="G27" s="23">
        <x:v>8</x:v>
      </x:c>
      <x:c r="H27" s="23">
        <x:v>12</x:v>
      </x:c>
      <x:c r="I27" s="23">
        <x:v>14586</x:v>
      </x:c>
      <x:c r="J27" s="23">
        <x:v>1473</x:v>
      </x:c>
      <x:c r="K27" s="23">
        <x:v>12307</x:v>
      </x:c>
      <x:c r="L27" s="23" t="s">
        <x:v>328</x:v>
      </x:c>
      <x:c r="M27" s="23">
        <x:f t="shared" si="0"/>
        <x:v>964</x:v>
      </x:c>
      <x:c r="N27" s="24" t="str">
        <x:f t="array" ref="N27">INDEX('MATCH INFO'!O:O, INT((ROW()-2)/10)+2 + 157)</x:f>
        <x:v>260710_FLC_ROZE_S3</x:v>
      </x:c>
    </x:row>
    <x:row r="28">
      <x:c r="A28" s="23" t="s">
        <x:v>72</x:v>
      </x:c>
      <x:c r="B28" s="23" t="s">
        <x:v>78</x:v>
      </x:c>
      <x:c r="C28" s="23" t="s">
        <x:v>16</x:v>
      </x:c>
      <x:c r="D28" s="23" t="s">
        <x:v>145</x:v>
      </x:c>
      <x:c r="E28" s="23" t="s">
        <x:v>195</x:v>
      </x:c>
      <x:c r="F28" s="23">
        <x:v>26</x:v>
      </x:c>
      <x:c r="G28" s="23">
        <x:v>8</x:v>
      </x:c>
      <x:c r="H28" s="23">
        <x:v>30</x:v>
      </x:c>
      <x:c r="I28" s="23">
        <x:v>7426</x:v>
      </x:c>
      <x:c r="J28" s="23">
        <x:v>14686</x:v>
      </x:c>
      <x:c r="K28" s="23">
        <x:v>4116</x:v>
      </x:c>
      <x:c r="L28" s="23" t="s">
        <x:v>328</x:v>
      </x:c>
      <x:c r="M28" s="23">
        <x:f t="shared" si="0"/>
        <x:v>964</x:v>
      </x:c>
      <x:c r="N28" s="24" t="str">
        <x:f t="array" ref="N28">INDEX('MATCH INFO'!O:O, INT((ROW()-2)/10)+2 + 157)</x:f>
        <x:v>260710_FLC_ROZE_S3</x:v>
      </x:c>
    </x:row>
    <x:row r="29">
      <x:c r="A29" s="23" t="s">
        <x:v>72</x:v>
      </x:c>
      <x:c r="B29" s="23" t="s">
        <x:v>79</x:v>
      </x:c>
      <x:c r="C29" s="23" t="s">
        <x:v>16</x:v>
      </x:c>
      <x:c r="D29" s="23" t="s">
        <x:v>145</x:v>
      </x:c>
      <x:c r="E29" s="23" t="s">
        <x:v>195</x:v>
      </x:c>
      <x:c r="F29" s="23">
        <x:v>19</x:v>
      </x:c>
      <x:c r="G29" s="23">
        <x:v>6</x:v>
      </x:c>
      <x:c r="H29" s="23">
        <x:v>48</x:v>
      </x:c>
      <x:c r="I29" s="23">
        <x:v>4823</x:v>
      </x:c>
      <x:c r="J29" s="23">
        <x:v>22382</x:v>
      </x:c>
      <x:c r="K29" s="23">
        <x:v>0</x:v>
      </x:c>
      <x:c r="L29" s="23" t="s">
        <x:v>328</x:v>
      </x:c>
      <x:c r="M29" s="23">
        <x:f t="shared" si="0"/>
        <x:v>964</x:v>
      </x:c>
      <x:c r="N29" s="24" t="str">
        <x:f t="array" ref="N29">INDEX('MATCH INFO'!O:O, INT((ROW()-2)/10)+2 + 157)</x:f>
        <x:v>260710_FLC_ROZE_S3</x:v>
      </x:c>
    </x:row>
    <x:row r="30">
      <x:c r="A30" s="23" t="s">
        <x:v>72</x:v>
      </x:c>
      <x:c r="B30" s="23" t="s">
        <x:v>73</x:v>
      </x:c>
      <x:c r="C30" s="23" t="s">
        <x:v>8</x:v>
      </x:c>
      <x:c r="D30" s="23" t="s">
        <x:v>145</x:v>
      </x:c>
      <x:c r="E30" s="23" t="s">
        <x:v>195</x:v>
      </x:c>
      <x:c r="F30" s="23">
        <x:v>31</x:v>
      </x:c>
      <x:c r="G30" s="23">
        <x:v>6</x:v>
      </x:c>
      <x:c r="H30" s="23">
        <x:v>3</x:v>
      </x:c>
      <x:c r="I30" s="23">
        <x:v>17422</x:v>
      </x:c>
      <x:c r="J30" s="23">
        <x:v>0</x:v>
      </x:c>
      <x:c r="K30" s="23">
        <x:v>35450</x:v>
      </x:c>
      <x:c r="L30" s="23" t="s">
        <x:v>328</x:v>
      </x:c>
      <x:c r="M30" s="23">
        <x:f t="shared" si="0"/>
        <x:v>964</x:v>
      </x:c>
      <x:c r="N30" s="24" t="str">
        <x:f t="array" ref="N30">INDEX('MATCH INFO'!O:O, INT((ROW()-2)/10)+2 + 157)</x:f>
        <x:v>260710_FLC_ROZE_S3</x:v>
      </x:c>
    </x:row>
    <x:row r="31">
      <x:c r="A31" s="23" t="s">
        <x:v>72</x:v>
      </x:c>
      <x:c r="B31" s="23" t="s">
        <x:v>75</x:v>
      </x:c>
      <x:c r="C31" s="23" t="s">
        <x:v>11</x:v>
      </x:c>
      <x:c r="D31" s="23" t="s">
        <x:v>145</x:v>
      </x:c>
      <x:c r="E31" s="23" t="s">
        <x:v>195</x:v>
      </x:c>
      <x:c r="F31" s="23">
        <x:v>33</x:v>
      </x:c>
      <x:c r="G31" s="23">
        <x:v>11</x:v>
      </x:c>
      <x:c r="H31" s="23">
        <x:v>6</x:v>
      </x:c>
      <x:c r="I31" s="23">
        <x:v>13486</x:v>
      </x:c>
      <x:c r="J31" s="23">
        <x:v>105</x:v>
      </x:c>
      <x:c r="K31" s="23">
        <x:v>1688</x:v>
      </x:c>
      <x:c r="L31" s="23" t="s">
        <x:v>328</x:v>
      </x:c>
      <x:c r="M31" s="23">
        <x:f t="shared" si="0"/>
        <x:v>964</x:v>
      </x:c>
      <x:c r="N31" s="24" t="str">
        <x:f t="array" ref="N31">INDEX('MATCH INFO'!O:O, INT((ROW()-2)/10)+2 + 157)</x:f>
        <x:v>260710_FLC_ROZE_S3</x:v>
      </x:c>
    </x:row>
    <x:row r="32">
      <x:c r="A32" s="23" t="s">
        <x:v>22</x:v>
      </x:c>
      <x:c r="B32" s="23" t="s">
        <x:v>25</x:v>
      </x:c>
      <x:c r="C32" s="23" t="s">
        <x:v>11</x:v>
      </x:c>
      <x:c r="D32" s="23" t="s">
        <x:v>166</x:v>
      </x:c>
      <x:c r="E32" s="53" t="s">
        <x:v>191</x:v>
      </x:c>
      <x:c r="F32" s="23">
        <x:v>18</x:v>
      </x:c>
      <x:c r="G32" s="23">
        <x:v>10</x:v>
      </x:c>
      <x:c r="H32" s="23">
        <x:v>4</x:v>
      </x:c>
      <x:c r="I32" s="23">
        <x:v>14143</x:v>
      </x:c>
      <x:c r="J32" s="23">
        <x:v>757</x:v>
      </x:c>
      <x:c r="K32" s="23">
        <x:v>7405</x:v>
      </x:c>
      <x:c r="L32" s="23" t="s">
        <x:v>306</x:v>
      </x:c>
      <x:c r="M32" s="23">
        <x:f t="shared" si="0"/>
        <x:v>752</x:v>
      </x:c>
      <x:c r="N32" s="24" t="str">
        <x:f t="array" ref="N32">INDEX('MATCH INFO'!O:O, INT((ROW()-2)/10)+2 + 157)</x:f>
        <x:v>260710_FLC_ROZE_S4</x:v>
      </x:c>
    </x:row>
    <x:row r="33">
      <x:c r="A33" s="23" t="s">
        <x:v>22</x:v>
      </x:c>
      <x:c r="B33" s="23" t="s">
        <x:v>24</x:v>
      </x:c>
      <x:c r="C33" s="23" t="s">
        <x:v>8</x:v>
      </x:c>
      <x:c r="D33" s="23" t="s">
        <x:v>166</x:v>
      </x:c>
      <x:c r="E33" s="53" t="s">
        <x:v>191</x:v>
      </x:c>
      <x:c r="F33" s="23">
        <x:v>20</x:v>
      </x:c>
      <x:c r="G33" s="23">
        <x:v>9</x:v>
      </x:c>
      <x:c r="H33" s="23">
        <x:v>4</x:v>
      </x:c>
      <x:c r="I33" s="23">
        <x:v>15588</x:v>
      </x:c>
      <x:c r="J33" s="23">
        <x:v>0</x:v>
      </x:c>
      <x:c r="K33" s="23">
        <x:v>26852</x:v>
      </x:c>
      <x:c r="L33" s="23" t="s">
        <x:v>306</x:v>
      </x:c>
      <x:c r="M33" s="23">
        <x:f t="shared" si="0"/>
        <x:v>752</x:v>
      </x:c>
      <x:c r="N33" s="24" t="str">
        <x:f t="array" ref="N33">INDEX('MATCH INFO'!O:O, INT((ROW()-2)/10)+2 + 157)</x:f>
        <x:v>260710_FLC_ROZE_S4</x:v>
      </x:c>
    </x:row>
    <x:row r="34">
      <x:c r="A34" s="23" t="s">
        <x:v>22</x:v>
      </x:c>
      <x:c r="B34" s="23" t="s">
        <x:v>29</x:v>
      </x:c>
      <x:c r="C34" s="23" t="s">
        <x:v>16</x:v>
      </x:c>
      <x:c r="D34" s="23" t="s">
        <x:v>166</x:v>
      </x:c>
      <x:c r="E34" s="53" t="s">
        <x:v>191</x:v>
      </x:c>
      <x:c r="F34" s="23">
        <x:v>16</x:v>
      </x:c>
      <x:c r="G34" s="23">
        <x:v>7</x:v>
      </x:c>
      <x:c r="H34" s="23">
        <x:v>20</x:v>
      </x:c>
      <x:c r="I34" s="23">
        <x:v>3509</x:v>
      </x:c>
      <x:c r="J34" s="23">
        <x:v>18134</x:v>
      </x:c>
      <x:c r="K34" s="23">
        <x:v>0</x:v>
      </x:c>
      <x:c r="L34" s="23" t="s">
        <x:v>306</x:v>
      </x:c>
      <x:c r="M34" s="23">
        <x:f t="shared" si="0"/>
        <x:v>752</x:v>
      </x:c>
      <x:c r="N34" s="24" t="str">
        <x:f t="array" ref="N34">INDEX('MATCH INFO'!O:O, INT((ROW()-2)/10)+2 + 157)</x:f>
        <x:v>260710_FLC_ROZE_S4</x:v>
      </x:c>
    </x:row>
    <x:row r="35">
      <x:c r="A35" s="23" t="s">
        <x:v>22</x:v>
      </x:c>
      <x:c r="B35" s="23" t="s">
        <x:v>26</x:v>
      </x:c>
      <x:c r="C35" s="23" t="s">
        <x:v>11</x:v>
      </x:c>
      <x:c r="D35" s="23" t="s">
        <x:v>166</x:v>
      </x:c>
      <x:c r="E35" s="53" t="s">
        <x:v>191</x:v>
      </x:c>
      <x:c r="F35" s="23">
        <x:v>23</x:v>
      </x:c>
      <x:c r="G35" s="23">
        <x:v>13</x:v>
      </x:c>
      <x:c r="H35" s="23">
        <x:v>2</x:v>
      </x:c>
      <x:c r="I35" s="23">
        <x:v>12378</x:v>
      </x:c>
      <x:c r="J35" s="23">
        <x:v>98</x:v>
      </x:c>
      <x:c r="K35" s="23">
        <x:v>800</x:v>
      </x:c>
      <x:c r="L35" s="23" t="s">
        <x:v>306</x:v>
      </x:c>
      <x:c r="M35" s="23">
        <x:f t="shared" si="0"/>
        <x:v>752</x:v>
      </x:c>
      <x:c r="N35" s="24" t="str">
        <x:f t="array" ref="N35">INDEX('MATCH INFO'!O:O, INT((ROW()-2)/10)+2 + 157)</x:f>
        <x:v>260710_FLC_ROZE_S4</x:v>
      </x:c>
    </x:row>
    <x:row r="36">
      <x:c r="A36" s="23" t="s">
        <x:v>22</x:v>
      </x:c>
      <x:c r="B36" s="23" t="s">
        <x:v>28</x:v>
      </x:c>
      <x:c r="C36" s="23" t="s">
        <x:v>16</x:v>
      </x:c>
      <x:c r="D36" s="23" t="s">
        <x:v>166</x:v>
      </x:c>
      <x:c r="E36" s="53" t="s">
        <x:v>191</x:v>
      </x:c>
      <x:c r="F36" s="23">
        <x:v>12</x:v>
      </x:c>
      <x:c r="G36" s="23">
        <x:v>10</x:v>
      </x:c>
      <x:c r="H36" s="23">
        <x:v>19</x:v>
      </x:c>
      <x:c r="I36" s="23">
        <x:v>6687</x:v>
      </x:c>
      <x:c r="J36" s="23">
        <x:v>13623</x:v>
      </x:c>
      <x:c r="K36" s="23">
        <x:v>1515</x:v>
      </x:c>
      <x:c r="L36" s="23" t="s">
        <x:v>306</x:v>
      </x:c>
      <x:c r="M36" s="23">
        <x:f t="shared" si="0"/>
        <x:v>752</x:v>
      </x:c>
      <x:c r="N36" s="24" t="str">
        <x:f t="array" ref="N36">INDEX('MATCH INFO'!O:O, INT((ROW()-2)/10)+2 + 157)</x:f>
        <x:v>260710_FLC_ROZE_S4</x:v>
      </x:c>
    </x:row>
    <x:row r="37">
      <x:c r="A37" s="23" t="s">
        <x:v>72</x:v>
      </x:c>
      <x:c r="B37" s="23" t="s">
        <x:v>76</x:v>
      </x:c>
      <x:c r="C37" s="23" t="s">
        <x:v>11</x:v>
      </x:c>
      <x:c r="D37" s="23" t="s">
        <x:v>166</x:v>
      </x:c>
      <x:c r="E37" s="53" t="s">
        <x:v>191</x:v>
      </x:c>
      <x:c r="F37" s="23">
        <x:v>35</x:v>
      </x:c>
      <x:c r="G37" s="23">
        <x:v>9</x:v>
      </x:c>
      <x:c r="H37" s="23">
        <x:v>8</x:v>
      </x:c>
      <x:c r="I37" s="23">
        <x:v>14100</x:v>
      </x:c>
      <x:c r="J37" s="23">
        <x:v>1170</x:v>
      </x:c>
      <x:c r="K37" s="23">
        <x:v>6216</x:v>
      </x:c>
      <x:c r="L37" s="23" t="s">
        <x:v>306</x:v>
      </x:c>
      <x:c r="M37" s="23">
        <x:f t="shared" si="0"/>
        <x:v>752</x:v>
      </x:c>
      <x:c r="N37" s="24" t="str">
        <x:f t="array" ref="N37">INDEX('MATCH INFO'!O:O, INT((ROW()-2)/10)+2 + 157)</x:f>
        <x:v>260710_FLC_ROZE_S4</x:v>
      </x:c>
    </x:row>
    <x:row r="38">
      <x:c r="A38" s="23" t="s">
        <x:v>72</x:v>
      </x:c>
      <x:c r="B38" s="23" t="s">
        <x:v>78</x:v>
      </x:c>
      <x:c r="C38" s="23" t="s">
        <x:v>16</x:v>
      </x:c>
      <x:c r="D38" s="23" t="s">
        <x:v>166</x:v>
      </x:c>
      <x:c r="E38" s="53" t="s">
        <x:v>191</x:v>
      </x:c>
      <x:c r="F38" s="23">
        <x:v>24</x:v>
      </x:c>
      <x:c r="G38" s="23">
        <x:v>6</x:v>
      </x:c>
      <x:c r="H38" s="23">
        <x:v>29</x:v>
      </x:c>
      <x:c r="I38" s="23">
        <x:v>6213</x:v>
      </x:c>
      <x:c r="J38" s="23">
        <x:v>13806</x:v>
      </x:c>
      <x:c r="K38" s="23">
        <x:v>3358</x:v>
      </x:c>
      <x:c r="L38" s="23" t="s">
        <x:v>306</x:v>
      </x:c>
      <x:c r="M38" s="23">
        <x:f t="shared" si="0"/>
        <x:v>752</x:v>
      </x:c>
      <x:c r="N38" s="24" t="str">
        <x:f t="array" ref="N38">INDEX('MATCH INFO'!O:O, INT((ROW()-2)/10)+2 + 157)</x:f>
        <x:v>260710_FLC_ROZE_S4</x:v>
      </x:c>
    </x:row>
    <x:row r="39">
      <x:c r="A39" s="23" t="s">
        <x:v>72</x:v>
      </x:c>
      <x:c r="B39" s="23" t="s">
        <x:v>79</x:v>
      </x:c>
      <x:c r="C39" s="23" t="s">
        <x:v>16</x:v>
      </x:c>
      <x:c r="D39" s="23" t="s">
        <x:v>166</x:v>
      </x:c>
      <x:c r="E39" s="53" t="s">
        <x:v>191</x:v>
      </x:c>
      <x:c r="F39" s="23">
        <x:v>17</x:v>
      </x:c>
      <x:c r="G39" s="23">
        <x:v>5</x:v>
      </x:c>
      <x:c r="H39" s="23">
        <x:v>38</x:v>
      </x:c>
      <x:c r="I39" s="23">
        <x:v>3602</x:v>
      </x:c>
      <x:c r="J39" s="23">
        <x:v>19150</x:v>
      </x:c>
      <x:c r="K39" s="23">
        <x:v>0</x:v>
      </x:c>
      <x:c r="L39" s="23" t="s">
        <x:v>306</x:v>
      </x:c>
      <x:c r="M39" s="23">
        <x:f t="shared" si="0"/>
        <x:v>752</x:v>
      </x:c>
      <x:c r="N39" s="24" t="str">
        <x:f t="array" ref="N39">INDEX('MATCH INFO'!O:O, INT((ROW()-2)/10)+2 + 157)</x:f>
        <x:v>260710_FLC_ROZE_S4</x:v>
      </x:c>
    </x:row>
    <x:row r="40">
      <x:c r="A40" s="23" t="s">
        <x:v>72</x:v>
      </x:c>
      <x:c r="B40" s="23" t="s">
        <x:v>73</x:v>
      </x:c>
      <x:c r="C40" s="23" t="s">
        <x:v>8</x:v>
      </x:c>
      <x:c r="D40" s="23" t="s">
        <x:v>166</x:v>
      </x:c>
      <x:c r="E40" s="53" t="s">
        <x:v>191</x:v>
      </x:c>
      <x:c r="F40" s="23">
        <x:v>31</x:v>
      </x:c>
      <x:c r="G40" s="23">
        <x:v>5</x:v>
      </x:c>
      <x:c r="H40" s="23">
        <x:v>8</x:v>
      </x:c>
      <x:c r="I40" s="23">
        <x:v>16474</x:v>
      </x:c>
      <x:c r="J40" s="23">
        <x:v>20</x:v>
      </x:c>
      <x:c r="K40" s="23">
        <x:v>27368</x:v>
      </x:c>
      <x:c r="L40" s="23" t="s">
        <x:v>306</x:v>
      </x:c>
      <x:c r="M40" s="23">
        <x:f t="shared" si="0"/>
        <x:v>752</x:v>
      </x:c>
      <x:c r="N40" s="24" t="str">
        <x:f t="array" ref="N40">INDEX('MATCH INFO'!O:O, INT((ROW()-2)/10)+2 + 157)</x:f>
        <x:v>260710_FLC_ROZE_S4</x:v>
      </x:c>
    </x:row>
    <x:row r="41">
      <x:c r="A41" s="23" t="s">
        <x:v>72</x:v>
      </x:c>
      <x:c r="B41" s="23" t="s">
        <x:v>75</x:v>
      </x:c>
      <x:c r="C41" s="23" t="s">
        <x:v>11</x:v>
      </x:c>
      <x:c r="D41" s="23" t="s">
        <x:v>166</x:v>
      </x:c>
      <x:c r="E41" s="53" t="s">
        <x:v>191</x:v>
      </x:c>
      <x:c r="F41" s="23">
        <x:v>32</x:v>
      </x:c>
      <x:c r="G41" s="23">
        <x:v>5</x:v>
      </x:c>
      <x:c r="H41" s="23">
        <x:v>13</x:v>
      </x:c>
      <x:c r="I41" s="23">
        <x:v>12231</x:v>
      </x:c>
      <x:c r="J41" s="23">
        <x:v>956</x:v>
      </x:c>
      <x:c r="K41" s="23">
        <x:v>5019</x:v>
      </x:c>
      <x:c r="L41" s="23" t="s">
        <x:v>306</x:v>
      </x:c>
      <x:c r="M41" s="23">
        <x:f t="shared" si="0"/>
        <x:v>752</x:v>
      </x:c>
      <x:c r="N41" s="24" t="str">
        <x:f t="array" ref="N41">INDEX('MATCH INFO'!O:O, INT((ROW()-2)/10)+2 + 157)</x:f>
        <x:v>260710_FLC_ROZE_S4</x:v>
      </x:c>
    </x:row>
    <x:row r="42">
      <x:c r="A42" s="23" t="s">
        <x:v>22</x:v>
      </x:c>
      <x:c r="B42" s="23" t="s">
        <x:v>25</x:v>
      </x:c>
      <x:c r="C42" s="23" t="s">
        <x:v>11</x:v>
      </x:c>
      <x:c r="D42" s="23" t="s">
        <x:v>168</x:v>
      </x:c>
      <x:c r="E42" s="23" t="s">
        <x:v>188</x:v>
      </x:c>
      <x:c r="F42" s="23">
        <x:v>25</x:v>
      </x:c>
      <x:c r="G42" s="23">
        <x:v>6</x:v>
      </x:c>
      <x:c r="H42" s="23">
        <x:v>5</x:v>
      </x:c>
      <x:c r="I42" s="23">
        <x:v>11996</x:v>
      </x:c>
      <x:c r="J42" s="23">
        <x:v>572</x:v>
      </x:c>
      <x:c r="K42" s="23">
        <x:v>944</x:v>
      </x:c>
      <x:c r="L42" s="23" t="s">
        <x:v>329</x:v>
      </x:c>
      <x:c r="M42" s="23">
        <x:f t="shared" si="0"/>
        <x:v>629</x:v>
      </x:c>
      <x:c r="N42" s="24" t="str">
        <x:f t="array" ref="N42">INDEX('MATCH INFO'!O:O, INT((ROW()-2)/10)+2 + 157)</x:f>
        <x:v>260710_FLC_ROZE_S5</x:v>
      </x:c>
    </x:row>
    <x:row r="43">
      <x:c r="A43" s="23" t="s">
        <x:v>22</x:v>
      </x:c>
      <x:c r="B43" s="23" t="s">
        <x:v>24</x:v>
      </x:c>
      <x:c r="C43" s="23" t="s">
        <x:v>8</x:v>
      </x:c>
      <x:c r="D43" s="23" t="s">
        <x:v>168</x:v>
      </x:c>
      <x:c r="E43" s="23" t="s">
        <x:v>188</x:v>
      </x:c>
      <x:c r="F43" s="23">
        <x:v>21</x:v>
      </x:c>
      <x:c r="G43" s="23">
        <x:v>7</x:v>
      </x:c>
      <x:c r="H43" s="23">
        <x:v>10</x:v>
      </x:c>
      <x:c r="I43" s="23">
        <x:v>10107</x:v>
      </x:c>
      <x:c r="J43" s="23">
        <x:v>2582</x:v>
      </x:c>
      <x:c r="K43" s="23">
        <x:v>5205</x:v>
      </x:c>
      <x:c r="L43" s="23" t="s">
        <x:v>329</x:v>
      </x:c>
      <x:c r="M43" s="23">
        <x:f t="shared" si="0"/>
        <x:v>629</x:v>
      </x:c>
      <x:c r="N43" s="24" t="str">
        <x:f t="array" ref="N43">INDEX('MATCH INFO'!O:O, INT((ROW()-2)/10)+2 + 157)</x:f>
        <x:v>260710_FLC_ROZE_S5</x:v>
      </x:c>
    </x:row>
    <x:row r="44">
      <x:c r="A44" s="23" t="s">
        <x:v>22</x:v>
      </x:c>
      <x:c r="B44" s="23" t="s">
        <x:v>29</x:v>
      </x:c>
      <x:c r="C44" s="23" t="s">
        <x:v>16</x:v>
      </x:c>
      <x:c r="D44" s="23" t="s">
        <x:v>168</x:v>
      </x:c>
      <x:c r="E44" s="23" t="s">
        <x:v>188</x:v>
      </x:c>
      <x:c r="F44" s="23">
        <x:v>10</x:v>
      </x:c>
      <x:c r="G44" s="23">
        <x:v>7</x:v>
      </x:c>
      <x:c r="H44" s="23">
        <x:v>29</x:v>
      </x:c>
      <x:c r="I44" s="23">
        <x:v>4281</x:v>
      </x:c>
      <x:c r="J44" s="23">
        <x:v>11239</x:v>
      </x:c>
      <x:c r="K44" s="23">
        <x:v>0</x:v>
      </x:c>
      <x:c r="L44" s="23" t="s">
        <x:v>329</x:v>
      </x:c>
      <x:c r="M44" s="23">
        <x:f t="shared" si="0"/>
        <x:v>629</x:v>
      </x:c>
      <x:c r="N44" s="24" t="str">
        <x:f t="array" ref="N44">INDEX('MATCH INFO'!O:O, INT((ROW()-2)/10)+2 + 157)</x:f>
        <x:v>260710_FLC_ROZE_S5</x:v>
      </x:c>
    </x:row>
    <x:row r="45">
      <x:c r="A45" s="23" t="s">
        <x:v>22</x:v>
      </x:c>
      <x:c r="B45" s="23" t="s">
        <x:v>28</x:v>
      </x:c>
      <x:c r="C45" s="23" t="s">
        <x:v>16</x:v>
      </x:c>
      <x:c r="D45" s="23" t="s">
        <x:v>168</x:v>
      </x:c>
      <x:c r="E45" s="23" t="s">
        <x:v>188</x:v>
      </x:c>
      <x:c r="F45" s="23">
        <x:v>16</x:v>
      </x:c>
      <x:c r="G45" s="23">
        <x:v>7</x:v>
      </x:c>
      <x:c r="H45" s="23">
        <x:v>18</x:v>
      </x:c>
      <x:c r="I45" s="23">
        <x:v>4066</x:v>
      </x:c>
      <x:c r="J45" s="23">
        <x:v>8136</x:v>
      </x:c>
      <x:c r="K45" s="23">
        <x:v>1196</x:v>
      </x:c>
      <x:c r="L45" s="23" t="s">
        <x:v>329</x:v>
      </x:c>
      <x:c r="M45" s="23">
        <x:f t="shared" si="0"/>
        <x:v>629</x:v>
      </x:c>
      <x:c r="N45" s="24" t="str">
        <x:f t="array" ref="N45">INDEX('MATCH INFO'!O:O, INT((ROW()-2)/10)+2 + 157)</x:f>
        <x:v>260710_FLC_ROZE_S5</x:v>
      </x:c>
    </x:row>
    <x:row r="46">
      <x:c r="A46" s="23" t="s">
        <x:v>22</x:v>
      </x:c>
      <x:c r="B46" s="23" t="s">
        <x:v>27</x:v>
      </x:c>
      <x:c r="C46" s="23" t="s">
        <x:v>11</x:v>
      </x:c>
      <x:c r="D46" s="23" t="s">
        <x:v>168</x:v>
      </x:c>
      <x:c r="E46" s="23" t="s">
        <x:v>188</x:v>
      </x:c>
      <x:c r="F46" s="23">
        <x:v>29</x:v>
      </x:c>
      <x:c r="G46" s="23">
        <x:v>5</x:v>
      </x:c>
      <x:c r="H46" s="23">
        <x:v>2</x:v>
      </x:c>
      <x:c r="I46" s="23">
        <x:v>13233</x:v>
      </x:c>
      <x:c r="J46" s="23">
        <x:v>210</x:v>
      </x:c>
      <x:c r="K46" s="23">
        <x:v>199</x:v>
      </x:c>
      <x:c r="L46" s="23" t="s">
        <x:v>329</x:v>
      </x:c>
      <x:c r="M46" s="23">
        <x:f t="shared" si="0"/>
        <x:v>629</x:v>
      </x:c>
      <x:c r="N46" s="24" t="str">
        <x:f t="array" ref="N46">INDEX('MATCH INFO'!O:O, INT((ROW()-2)/10)+2 + 157)</x:f>
        <x:v>260710_FLC_ROZE_S5</x:v>
      </x:c>
    </x:row>
    <x:row r="47">
      <x:c r="A47" s="23" t="s">
        <x:v>72</x:v>
      </x:c>
      <x:c r="B47" s="23" t="s">
        <x:v>76</x:v>
      </x:c>
      <x:c r="C47" s="23" t="s">
        <x:v>11</x:v>
      </x:c>
      <x:c r="D47" s="23" t="s">
        <x:v>168</x:v>
      </x:c>
      <x:c r="E47" s="23" t="s">
        <x:v>188</x:v>
      </x:c>
      <x:c r="F47" s="23">
        <x:v>20</x:v>
      </x:c>
      <x:c r="G47" s="23">
        <x:v>9</x:v>
      </x:c>
      <x:c r="H47" s="23">
        <x:v>0</x:v>
      </x:c>
      <x:c r="I47" s="23">
        <x:v>9441</x:v>
      </x:c>
      <x:c r="J47" s="23">
        <x:v>1401</x:v>
      </x:c>
      <x:c r="K47" s="23">
        <x:v>0</x:v>
      </x:c>
      <x:c r="L47" s="23" t="s">
        <x:v>329</x:v>
      </x:c>
      <x:c r="M47" s="23">
        <x:f t="shared" si="0"/>
        <x:v>629</x:v>
      </x:c>
      <x:c r="N47" s="24" t="str">
        <x:f t="array" ref="N47">INDEX('MATCH INFO'!O:O, INT((ROW()-2)/10)+2 + 157)</x:f>
        <x:v>260710_FLC_ROZE_S5</x:v>
      </x:c>
    </x:row>
    <x:row r="48">
      <x:c r="A48" s="23" t="s">
        <x:v>72</x:v>
      </x:c>
      <x:c r="B48" s="23" t="s">
        <x:v>78</x:v>
      </x:c>
      <x:c r="C48" s="23" t="s">
        <x:v>16</x:v>
      </x:c>
      <x:c r="D48" s="23" t="s">
        <x:v>168</x:v>
      </x:c>
      <x:c r="E48" s="23" t="s">
        <x:v>188</x:v>
      </x:c>
      <x:c r="F48" s="23">
        <x:v>16</x:v>
      </x:c>
      <x:c r="G48" s="23">
        <x:v>7</x:v>
      </x:c>
      <x:c r="H48" s="23">
        <x:v>14</x:v>
      </x:c>
      <x:c r="I48" s="23">
        <x:v>5066</x:v>
      </x:c>
      <x:c r="J48" s="23">
        <x:v>8374</x:v>
      </x:c>
      <x:c r="K48" s="23">
        <x:v>3082</x:v>
      </x:c>
      <x:c r="L48" s="23" t="s">
        <x:v>329</x:v>
      </x:c>
      <x:c r="M48" s="23">
        <x:f t="shared" si="0"/>
        <x:v>629</x:v>
      </x:c>
      <x:c r="N48" s="24" t="str">
        <x:f t="array" ref="N48">INDEX('MATCH INFO'!O:O, INT((ROW()-2)/10)+2 + 157)</x:f>
        <x:v>260710_FLC_ROZE_S5</x:v>
      </x:c>
    </x:row>
    <x:row r="49">
      <x:c r="A49" s="23" t="s">
        <x:v>72</x:v>
      </x:c>
      <x:c r="B49" s="23" t="s">
        <x:v>79</x:v>
      </x:c>
      <x:c r="C49" s="23" t="s">
        <x:v>16</x:v>
      </x:c>
      <x:c r="D49" s="23" t="s">
        <x:v>168</x:v>
      </x:c>
      <x:c r="E49" s="23" t="s">
        <x:v>188</x:v>
      </x:c>
      <x:c r="F49" s="23">
        <x:v>12</x:v>
      </x:c>
      <x:c r="G49" s="23">
        <x:v>7</x:v>
      </x:c>
      <x:c r="H49" s="23">
        <x:v>23</x:v>
      </x:c>
      <x:c r="I49" s="23">
        <x:v>3592</x:v>
      </x:c>
      <x:c r="J49" s="23">
        <x:v>14940</x:v>
      </x:c>
      <x:c r="K49" s="23">
        <x:v>0</x:v>
      </x:c>
      <x:c r="L49" s="23" t="s">
        <x:v>329</x:v>
      </x:c>
      <x:c r="M49" s="23">
        <x:f t="shared" si="0"/>
        <x:v>629</x:v>
      </x:c>
      <x:c r="N49" s="24" t="str">
        <x:f t="array" ref="N49">INDEX('MATCH INFO'!O:O, INT((ROW()-2)/10)+2 + 157)</x:f>
        <x:v>260710_FLC_ROZE_S5</x:v>
      </x:c>
    </x:row>
    <x:row r="50">
      <x:c r="A50" s="23" t="s">
        <x:v>72</x:v>
      </x:c>
      <x:c r="B50" s="23" t="s">
        <x:v>73</x:v>
      </x:c>
      <x:c r="C50" s="23" t="s">
        <x:v>8</x:v>
      </x:c>
      <x:c r="D50" s="23" t="s">
        <x:v>168</x:v>
      </x:c>
      <x:c r="E50" s="23" t="s">
        <x:v>188</x:v>
      </x:c>
      <x:c r="F50" s="23">
        <x:v>21</x:v>
      </x:c>
      <x:c r="G50" s="23">
        <x:v>6</x:v>
      </x:c>
      <x:c r="H50" s="23">
        <x:v>5</x:v>
      </x:c>
      <x:c r="I50" s="23">
        <x:v>14352</x:v>
      </x:c>
      <x:c r="J50" s="23">
        <x:v>0</x:v>
      </x:c>
      <x:c r="K50" s="23">
        <x:v>17675</x:v>
      </x:c>
      <x:c r="L50" s="23" t="s">
        <x:v>329</x:v>
      </x:c>
      <x:c r="M50" s="23">
        <x:f t="shared" si="0"/>
        <x:v>629</x:v>
      </x:c>
      <x:c r="N50" s="24" t="str">
        <x:f t="array" ref="N50">INDEX('MATCH INFO'!O:O, INT((ROW()-2)/10)+2 + 157)</x:f>
        <x:v>260710_FLC_ROZE_S5</x:v>
      </x:c>
    </x:row>
    <x:row r="51">
      <x:c r="A51" s="23" t="s">
        <x:v>72</x:v>
      </x:c>
      <x:c r="B51" s="23" t="s">
        <x:v>75</x:v>
      </x:c>
      <x:c r="C51" s="23" t="s">
        <x:v>11</x:v>
      </x:c>
      <x:c r="D51" s="23" t="s">
        <x:v>168</x:v>
      </x:c>
      <x:c r="E51" s="23" t="s">
        <x:v>188</x:v>
      </x:c>
      <x:c r="F51" s="23">
        <x:v>17</x:v>
      </x:c>
      <x:c r="G51" s="23">
        <x:v>9</x:v>
      </x:c>
      <x:c r="H51" s="23">
        <x:v>0</x:v>
      </x:c>
      <x:c r="I51" s="23">
        <x:v>7959</x:v>
      </x:c>
      <x:c r="J51" s="23">
        <x:v>142</x:v>
      </x:c>
      <x:c r="K51" s="23">
        <x:v>784</x:v>
      </x:c>
      <x:c r="L51" s="23" t="s">
        <x:v>329</x:v>
      </x:c>
      <x:c r="M51" s="23">
        <x:f t="shared" si="0"/>
        <x:v>629</x:v>
      </x:c>
      <x:c r="N51" s="24" t="str">
        <x:f t="array" ref="N51">INDEX('MATCH INFO'!O:O, INT((ROW()-2)/10)+2 + 157)</x:f>
        <x:v>260710_FLC_ROZE_S5</x:v>
      </x:c>
    </x:row>
    <x:row r="52">
      <x:c r="A52" s="23" t="s">
        <x:v>72</x:v>
      </x:c>
      <x:c r="B52" s="23" t="s">
        <x:v>76</x:v>
      </x:c>
      <x:c r="C52" s="23" t="s">
        <x:v>11</x:v>
      </x:c>
      <x:c r="D52" s="23" t="s">
        <x:v>164</x:v>
      </x:c>
      <x:c r="E52" s="23" t="s">
        <x:v>184</x:v>
      </x:c>
      <x:c r="F52" s="23">
        <x:v>19</x:v>
      </x:c>
      <x:c r="G52" s="23">
        <x:v>7</x:v>
      </x:c>
      <x:c r="H52" s="23">
        <x:v>2</x:v>
      </x:c>
      <x:c r="I52" s="23">
        <x:v>10978</x:v>
      </x:c>
      <x:c r="J52" s="23">
        <x:v>510</x:v>
      </x:c>
      <x:c r="K52" s="23">
        <x:v>3060</x:v>
      </x:c>
      <x:c r="L52" s="23" t="s">
        <x:v>330</x:v>
      </x:c>
      <x:c r="M52" s="23">
        <x:f t="shared" si="0"/>
        <x:v>602</x:v>
      </x:c>
      <x:c r="N52" s="24" t="str">
        <x:f t="array" ref="N52">INDEX('MATCH INFO'!O:O, INT((ROW()-2)/10)+2 + 157)</x:f>
        <x:v>260710_FLC_ROZE_S6</x:v>
      </x:c>
    </x:row>
    <x:row r="53">
      <x:c r="A53" s="23" t="s">
        <x:v>72</x:v>
      </x:c>
      <x:c r="B53" s="23" t="s">
        <x:v>78</x:v>
      </x:c>
      <x:c r="C53" s="23" t="s">
        <x:v>16</x:v>
      </x:c>
      <x:c r="D53" s="23" t="s">
        <x:v>164</x:v>
      </x:c>
      <x:c r="E53" s="23" t="s">
        <x:v>184</x:v>
      </x:c>
      <x:c r="F53" s="23">
        <x:v>15</x:v>
      </x:c>
      <x:c r="G53" s="23">
        <x:v>5</x:v>
      </x:c>
      <x:c r="H53" s="23">
        <x:v>13</x:v>
      </x:c>
      <x:c r="I53" s="23">
        <x:v>5889</x:v>
      </x:c>
      <x:c r="J53" s="23">
        <x:v>7005</x:v>
      </x:c>
      <x:c r="K53" s="23">
        <x:v>1071</x:v>
      </x:c>
      <x:c r="L53" s="23" t="s">
        <x:v>330</x:v>
      </x:c>
      <x:c r="M53" s="23">
        <x:f t="shared" si="0"/>
        <x:v>602</x:v>
      </x:c>
      <x:c r="N53" s="24" t="str">
        <x:f t="array" ref="N53">INDEX('MATCH INFO'!O:O, INT((ROW()-2)/10)+2 + 157)</x:f>
        <x:v>260710_FLC_ROZE_S6</x:v>
      </x:c>
    </x:row>
    <x:row r="54">
      <x:c r="A54" s="23" t="s">
        <x:v>72</x:v>
      </x:c>
      <x:c r="B54" s="23" t="s">
        <x:v>79</x:v>
      </x:c>
      <x:c r="C54" s="23" t="s">
        <x:v>16</x:v>
      </x:c>
      <x:c r="D54" s="23" t="s">
        <x:v>164</x:v>
      </x:c>
      <x:c r="E54" s="23" t="s">
        <x:v>184</x:v>
      </x:c>
      <x:c r="F54" s="23">
        <x:v>11</x:v>
      </x:c>
      <x:c r="G54" s="23">
        <x:v>7</x:v>
      </x:c>
      <x:c r="H54" s="23">
        <x:v>15</x:v>
      </x:c>
      <x:c r="I54" s="23">
        <x:v>4794</x:v>
      </x:c>
      <x:c r="J54" s="23">
        <x:v>11700</x:v>
      </x:c>
      <x:c r="K54" s="23">
        <x:v>0</x:v>
      </x:c>
      <x:c r="L54" s="23" t="s">
        <x:v>330</x:v>
      </x:c>
      <x:c r="M54" s="23">
        <x:f t="shared" si="0"/>
        <x:v>602</x:v>
      </x:c>
      <x:c r="N54" s="24" t="str">
        <x:f t="array" ref="N54">INDEX('MATCH INFO'!O:O, INT((ROW()-2)/10)+2 + 157)</x:f>
        <x:v>260710_FLC_ROZE_S6</x:v>
      </x:c>
    </x:row>
    <x:row r="55">
      <x:c r="A55" s="23" t="s">
        <x:v>72</x:v>
      </x:c>
      <x:c r="B55" s="23" t="s">
        <x:v>73</x:v>
      </x:c>
      <x:c r="C55" s="23" t="s">
        <x:v>8</x:v>
      </x:c>
      <x:c r="D55" s="23" t="s">
        <x:v>164</x:v>
      </x:c>
      <x:c r="E55" s="23" t="s">
        <x:v>184</x:v>
      </x:c>
      <x:c r="F55" s="23">
        <x:v>18</x:v>
      </x:c>
      <x:c r="G55" s="23">
        <x:v>5</x:v>
      </x:c>
      <x:c r="H55" s="23">
        <x:v>5</x:v>
      </x:c>
      <x:c r="I55" s="23">
        <x:v>7874</x:v>
      </x:c>
      <x:c r="J55" s="23">
        <x:v>1306</x:v>
      </x:c>
      <x:c r="K55" s="23">
        <x:v>20274</x:v>
      </x:c>
      <x:c r="L55" s="23" t="s">
        <x:v>330</x:v>
      </x:c>
      <x:c r="M55" s="23">
        <x:f t="shared" si="0"/>
        <x:v>602</x:v>
      </x:c>
      <x:c r="N55" s="24" t="str">
        <x:f t="array" ref="N55">INDEX('MATCH INFO'!O:O, INT((ROW()-2)/10)+2 + 157)</x:f>
        <x:v>260710_FLC_ROZE_S6</x:v>
      </x:c>
    </x:row>
    <x:row r="56">
      <x:c r="A56" s="23" t="s">
        <x:v>72</x:v>
      </x:c>
      <x:c r="B56" s="23" t="s">
        <x:v>75</x:v>
      </x:c>
      <x:c r="C56" s="23" t="s">
        <x:v>11</x:v>
      </x:c>
      <x:c r="D56" s="23" t="s">
        <x:v>164</x:v>
      </x:c>
      <x:c r="E56" s="23" t="s">
        <x:v>184</x:v>
      </x:c>
      <x:c r="F56" s="23">
        <x:v>14</x:v>
      </x:c>
      <x:c r="G56" s="23">
        <x:v>8</x:v>
      </x:c>
      <x:c r="H56" s="23">
        <x:v>4</x:v>
      </x:c>
      <x:c r="I56" s="23">
        <x:v>12614</x:v>
      </x:c>
      <x:c r="J56" s="23">
        <x:v>86</x:v>
      </x:c>
      <x:c r="K56" s="23">
        <x:v>1064</x:v>
      </x:c>
      <x:c r="L56" s="23" t="s">
        <x:v>330</x:v>
      </x:c>
      <x:c r="M56" s="23">
        <x:f t="shared" si="0"/>
        <x:v>602</x:v>
      </x:c>
      <x:c r="N56" s="24" t="str">
        <x:f t="array" ref="N56">INDEX('MATCH INFO'!O:O, INT((ROW()-2)/10)+2 + 157)</x:f>
        <x:v>260710_FLC_ROZE_S6</x:v>
      </x:c>
    </x:row>
    <x:row r="57">
      <x:c r="A57" s="23" t="s">
        <x:v>22</x:v>
      </x:c>
      <x:c r="B57" s="23" t="s">
        <x:v>25</x:v>
      </x:c>
      <x:c r="C57" s="23" t="s">
        <x:v>11</x:v>
      </x:c>
      <x:c r="D57" s="23" t="s">
        <x:v>164</x:v>
      </x:c>
      <x:c r="E57" s="23" t="s">
        <x:v>184</x:v>
      </x:c>
      <x:c r="F57" s="23">
        <x:v>17</x:v>
      </x:c>
      <x:c r="G57" s="23">
        <x:v>5</x:v>
      </x:c>
      <x:c r="H57" s="23">
        <x:v>6</x:v>
      </x:c>
      <x:c r="I57" s="23">
        <x:v>8034</x:v>
      </x:c>
      <x:c r="J57" s="23">
        <x:v>1727</x:v>
      </x:c>
      <x:c r="K57" s="23">
        <x:v>2309</x:v>
      </x:c>
      <x:c r="L57" s="23" t="s">
        <x:v>330</x:v>
      </x:c>
      <x:c r="M57" s="23">
        <x:f t="shared" si="0"/>
        <x:v>602</x:v>
      </x:c>
      <x:c r="N57" s="24" t="str">
        <x:f t="array" ref="N57">INDEX('MATCH INFO'!O:O, INT((ROW()-2)/10)+2 + 157)</x:f>
        <x:v>260710_FLC_ROZE_S6</x:v>
      </x:c>
    </x:row>
    <x:row r="58">
      <x:c r="A58" s="23" t="s">
        <x:v>22</x:v>
      </x:c>
      <x:c r="B58" s="23" t="s">
        <x:v>24</x:v>
      </x:c>
      <x:c r="C58" s="23" t="s">
        <x:v>8</x:v>
      </x:c>
      <x:c r="D58" s="23" t="s">
        <x:v>164</x:v>
      </x:c>
      <x:c r="E58" s="23" t="s">
        <x:v>184</x:v>
      </x:c>
      <x:c r="F58" s="23">
        <x:v>20</x:v>
      </x:c>
      <x:c r="G58" s="23">
        <x:v>5</x:v>
      </x:c>
      <x:c r="H58" s="23">
        <x:v>10</x:v>
      </x:c>
      <x:c r="I58" s="23">
        <x:v>9047</x:v>
      </x:c>
      <x:c r="J58" s="23">
        <x:v>1578</x:v>
      </x:c>
      <x:c r="K58" s="23">
        <x:v>3786</x:v>
      </x:c>
      <x:c r="L58" s="23" t="s">
        <x:v>330</x:v>
      </x:c>
      <x:c r="M58" s="23">
        <x:f t="shared" si="0"/>
        <x:v>602</x:v>
      </x:c>
      <x:c r="N58" s="24" t="str">
        <x:f t="array" ref="N58">INDEX('MATCH INFO'!O:O, INT((ROW()-2)/10)+2 + 157)</x:f>
        <x:v>260710_FLC_ROZE_S6</x:v>
      </x:c>
    </x:row>
    <x:row r="59">
      <x:c r="A59" s="23" t="s">
        <x:v>22</x:v>
      </x:c>
      <x:c r="B59" s="23" t="s">
        <x:v>29</x:v>
      </x:c>
      <x:c r="C59" s="23" t="s">
        <x:v>16</x:v>
      </x:c>
      <x:c r="D59" s="23" t="s">
        <x:v>164</x:v>
      </x:c>
      <x:c r="E59" s="23" t="s">
        <x:v>184</x:v>
      </x:c>
      <x:c r="F59" s="23">
        <x:v>6</x:v>
      </x:c>
      <x:c r="G59" s="23">
        <x:v>5</x:v>
      </x:c>
      <x:c r="H59" s="23">
        <x:v>22</x:v>
      </x:c>
      <x:c r="I59" s="23">
        <x:v>3294</x:v>
      </x:c>
      <x:c r="J59" s="23">
        <x:v>15155</x:v>
      </x:c>
      <x:c r="K59" s="23">
        <x:v>0</x:v>
      </x:c>
      <x:c r="L59" s="23" t="s">
        <x:v>330</x:v>
      </x:c>
      <x:c r="M59" s="23">
        <x:f t="shared" si="0"/>
        <x:v>602</x:v>
      </x:c>
      <x:c r="N59" s="24" t="str">
        <x:f t="array" ref="N59">INDEX('MATCH INFO'!O:O, INT((ROW()-2)/10)+2 + 157)</x:f>
        <x:v>260710_FLC_ROZE_S6</x:v>
      </x:c>
    </x:row>
    <x:row r="60">
      <x:c r="A60" s="23" t="s">
        <x:v>22</x:v>
      </x:c>
      <x:c r="B60" s="23" t="s">
        <x:v>28</x:v>
      </x:c>
      <x:c r="C60" s="23" t="s">
        <x:v>16</x:v>
      </x:c>
      <x:c r="D60" s="23" t="s">
        <x:v>164</x:v>
      </x:c>
      <x:c r="E60" s="23" t="s">
        <x:v>184</x:v>
      </x:c>
      <x:c r="F60" s="23">
        <x:v>7</x:v>
      </x:c>
      <x:c r="G60" s="23">
        <x:v>5</x:v>
      </x:c>
      <x:c r="H60" s="23">
        <x:v>14</x:v>
      </x:c>
      <x:c r="I60" s="23">
        <x:v>3036</x:v>
      </x:c>
      <x:c r="J60" s="23">
        <x:v>7825</x:v>
      </x:c>
      <x:c r="K60" s="23">
        <x:v>1731</x:v>
      </x:c>
      <x:c r="L60" s="23" t="s">
        <x:v>330</x:v>
      </x:c>
      <x:c r="M60" s="23">
        <x:f t="shared" si="0"/>
        <x:v>602</x:v>
      </x:c>
      <x:c r="N60" s="24" t="str">
        <x:f t="array" ref="N60">INDEX('MATCH INFO'!O:O, INT((ROW()-2)/10)+2 + 157)</x:f>
        <x:v>260710_FLC_ROZE_S6</x:v>
      </x:c>
    </x:row>
    <x:row r="61">
      <x:c r="A61" s="23" t="s">
        <x:v>22</x:v>
      </x:c>
      <x:c r="B61" s="23" t="s">
        <x:v>27</x:v>
      </x:c>
      <x:c r="C61" s="23" t="s">
        <x:v>11</x:v>
      </x:c>
      <x:c r="D61" s="23" t="s">
        <x:v>164</x:v>
      </x:c>
      <x:c r="E61" s="23" t="s">
        <x:v>184</x:v>
      </x:c>
      <x:c r="F61" s="23">
        <x:v>26</x:v>
      </x:c>
      <x:c r="G61" s="23">
        <x:v>5</x:v>
      </x:c>
      <x:c r="H61" s="23">
        <x:v>3</x:v>
      </x:c>
      <x:c r="I61" s="23">
        <x:v>12634</x:v>
      </x:c>
      <x:c r="J61" s="23">
        <x:v>66</x:v>
      </x:c>
      <x:c r="K61" s="23">
        <x:v>259</x:v>
      </x:c>
      <x:c r="L61" s="23" t="s">
        <x:v>330</x:v>
      </x:c>
      <x:c r="M61" s="23">
        <x:f t="shared" si="0"/>
        <x:v>602</x:v>
      </x:c>
      <x:c r="N61" s="24" t="str">
        <x:f t="array" ref="N61">INDEX('MATCH INFO'!O:O, INT((ROW()-2)/10)+2 + 157)</x:f>
        <x:v>260710_FLC_ROZE_S6</x:v>
      </x:c>
    </x:row>
    <x:row r="62">
      <x:c r="A62" s="23" t="s">
        <x:v>6</x:v>
      </x:c>
      <x:c r="B62" s="23" t="s">
        <x:v>15</x:v>
      </x:c>
      <x:c r="C62" s="23" t="s">
        <x:v>16</x:v>
      </x:c>
      <x:c r="D62" s="23" t="s">
        <x:v>116</x:v>
      </x:c>
      <x:c r="E62" s="23" t="s">
        <x:v>184</x:v>
      </x:c>
      <x:c r="F62" s="23">
        <x:v>6</x:v>
      </x:c>
      <x:c r="G62" s="23">
        <x:v>5</x:v>
      </x:c>
      <x:c r="H62" s="23">
        <x:v>4</x:v>
      </x:c>
      <x:c r="I62" s="23">
        <x:v>2575</x:v>
      </x:c>
      <x:c r="J62" s="23">
        <x:v>2132</x:v>
      </x:c>
      <x:c r="K62" s="23">
        <x:v>339</x:v>
      </x:c>
      <x:c r="L62" s="23" t="s">
        <x:v>331</x:v>
      </x:c>
      <x:c r="M62" s="23">
        <x:f t="shared" si="0"/>
        <x:v>351.99999999999994</x:v>
      </x:c>
      <x:c r="N62" s="24" t="str">
        <x:f t="array" ref="N62">INDEX('MATCH INFO'!O:O, INT((ROW()-2)/10)+2 + 157)</x:f>
        <x:v>260710_ZETA_O2_S1</x:v>
      </x:c>
    </x:row>
    <x:row r="63">
      <x:c r="A63" s="23" t="s">
        <x:v>6</x:v>
      </x:c>
      <x:c r="B63" s="23" t="s">
        <x:v>7</x:v>
      </x:c>
      <x:c r="C63" s="23" t="s">
        <x:v>8</x:v>
      </x:c>
      <x:c r="D63" s="23" t="s">
        <x:v>116</x:v>
      </x:c>
      <x:c r="E63" s="23" t="s">
        <x:v>184</x:v>
      </x:c>
      <x:c r="F63" s="23">
        <x:v>5</x:v>
      </x:c>
      <x:c r="G63" s="23">
        <x:v>6</x:v>
      </x:c>
      <x:c r="H63" s="23">
        <x:v>3</x:v>
      </x:c>
      <x:c r="I63" s="23">
        <x:v>3646</x:v>
      </x:c>
      <x:c r="J63" s="23">
        <x:v>624</x:v>
      </x:c>
      <x:c r="K63" s="23">
        <x:v>9586</x:v>
      </x:c>
      <x:c r="L63" s="23" t="s">
        <x:v>331</x:v>
      </x:c>
      <x:c r="M63" s="23">
        <x:f t="shared" si="0"/>
        <x:v>351.99999999999994</x:v>
      </x:c>
      <x:c r="N63" s="24" t="str">
        <x:f t="array" ref="N63">INDEX('MATCH INFO'!O:O, INT((ROW()-2)/10)+2 + 157)</x:f>
        <x:v>260710_ZETA_O2_S1</x:v>
      </x:c>
    </x:row>
    <x:row r="64">
      <x:c r="A64" s="23" t="s">
        <x:v>6</x:v>
      </x:c>
      <x:c r="B64" s="23" t="s">
        <x:v>18</x:v>
      </x:c>
      <x:c r="C64" s="23" t="s">
        <x:v>16</x:v>
      </x:c>
      <x:c r="D64" s="23" t="s">
        <x:v>116</x:v>
      </x:c>
      <x:c r="E64" s="23" t="s">
        <x:v>184</x:v>
      </x:c>
      <x:c r="F64" s="23">
        <x:v>5</x:v>
      </x:c>
      <x:c r="G64" s="23">
        <x:v>7</x:v>
      </x:c>
      <x:c r="H64" s="23">
        <x:v>9</x:v>
      </x:c>
      <x:c r="I64" s="23">
        <x:v>2140</x:v>
      </x:c>
      <x:c r="J64" s="23">
        <x:v>6749</x:v>
      </x:c>
      <x:c r="K64" s="23">
        <x:v>0</x:v>
      </x:c>
      <x:c r="L64" s="23" t="s">
        <x:v>331</x:v>
      </x:c>
      <x:c r="M64" s="23">
        <x:f t="shared" si="0"/>
        <x:v>351.99999999999994</x:v>
      </x:c>
      <x:c r="N64" s="24" t="str">
        <x:f t="array" ref="N64">INDEX('MATCH INFO'!O:O, INT((ROW()-2)/10)+2 + 157)</x:f>
        <x:v>260710_ZETA_O2_S1</x:v>
      </x:c>
    </x:row>
    <x:row r="65">
      <x:c r="A65" s="23" t="s">
        <x:v>6</x:v>
      </x:c>
      <x:c r="B65" s="23" t="s">
        <x:v>13</x:v>
      </x:c>
      <x:c r="C65" s="23" t="s">
        <x:v>11</x:v>
      </x:c>
      <x:c r="D65" s="23" t="s">
        <x:v>116</x:v>
      </x:c>
      <x:c r="E65" s="23" t="s">
        <x:v>184</x:v>
      </x:c>
      <x:c r="F65" s="23">
        <x:v>5</x:v>
      </x:c>
      <x:c r="G65" s="23">
        <x:v>6</x:v>
      </x:c>
      <x:c r="H65" s="23">
        <x:v>1</x:v>
      </x:c>
      <x:c r="I65" s="23">
        <x:v>3493</x:v>
      </x:c>
      <x:c r="J65" s="23">
        <x:v>150</x:v>
      </x:c>
      <x:c r="K65" s="23">
        <x:v>249</x:v>
      </x:c>
      <x:c r="L65" s="23" t="s">
        <x:v>331</x:v>
      </x:c>
      <x:c r="M65" s="23">
        <x:f t="shared" si="0"/>
        <x:v>351.99999999999994</x:v>
      </x:c>
      <x:c r="N65" s="24" t="str">
        <x:f t="array" ref="N65">INDEX('MATCH INFO'!O:O, INT((ROW()-2)/10)+2 + 157)</x:f>
        <x:v>260710_ZETA_O2_S1</x:v>
      </x:c>
    </x:row>
    <x:row r="66">
      <x:c r="A66" s="23" t="s">
        <x:v>6</x:v>
      </x:c>
      <x:c r="B66" s="23" t="s">
        <x:v>10</x:v>
      </x:c>
      <x:c r="C66" s="23" t="s">
        <x:v>11</x:v>
      </x:c>
      <x:c r="D66" s="23" t="s">
        <x:v>116</x:v>
      </x:c>
      <x:c r="E66" s="23" t="s">
        <x:v>184</x:v>
      </x:c>
      <x:c r="F66" s="23">
        <x:v>4</x:v>
      </x:c>
      <x:c r="G66" s="23">
        <x:v>6</x:v>
      </x:c>
      <x:c r="H66" s="23">
        <x:v>0</x:v>
      </x:c>
      <x:c r="I66" s="23">
        <x:v>2611</x:v>
      </x:c>
      <x:c r="J66" s="23">
        <x:v>134</x:v>
      </x:c>
      <x:c r="K66" s="23">
        <x:v>0</x:v>
      </x:c>
      <x:c r="L66" s="23" t="s">
        <x:v>331</x:v>
      </x:c>
      <x:c r="M66" s="23" t="e">
        <x:f t="shared" ref="M66:M129" si="1">L66*86400</x:f>
        <x:v>#VALUE!</x:v>
      </x:c>
      <x:c r="N66" s="24" t="str">
        <x:f t="array" ref="N66">INDEX('MATCH INFO'!O:O, INT((ROW()-2)/10)+2 + 157)</x:f>
        <x:v>260710_ZETA_O2_S1</x:v>
      </x:c>
    </x:row>
    <x:row r="67">
      <x:c r="A67" s="23" t="s">
        <x:v>47</x:v>
      </x:c>
      <x:c r="B67" s="23" t="s">
        <x:v>49</x:v>
      </x:c>
      <x:c r="C67" s="23" t="s">
        <x:v>8</x:v>
      </x:c>
      <x:c r="D67" s="23" t="s">
        <x:v>116</x:v>
      </x:c>
      <x:c r="E67" s="23" t="s">
        <x:v>184</x:v>
      </x:c>
      <x:c r="F67" s="23">
        <x:v>13</x:v>
      </x:c>
      <x:c r="G67" s="23">
        <x:v>1</x:v>
      </x:c>
      <x:c r="H67" s="23">
        <x:v>2</x:v>
      </x:c>
      <x:c r="I67" s="23">
        <x:v>5265</x:v>
      </x:c>
      <x:c r="J67" s="23">
        <x:v>0</x:v>
      </x:c>
      <x:c r="K67" s="23">
        <x:v>7686</x:v>
      </x:c>
      <x:c r="L67" s="23" t="s">
        <x:v>331</x:v>
      </x:c>
      <x:c r="M67" s="23">
        <x:f t="shared" si="1"/>
        <x:v>351.99999999999994</x:v>
      </x:c>
      <x:c r="N67" s="24" t="str">
        <x:f t="array" ref="N67">INDEX('MATCH INFO'!O:O, INT((ROW()-2)/10)+2 + 157)</x:f>
        <x:v>260710_ZETA_O2_S1</x:v>
      </x:c>
    </x:row>
    <x:row r="68">
      <x:c r="A68" s="23" t="s">
        <x:v>47</x:v>
      </x:c>
      <x:c r="B68" s="23" t="s">
        <x:v>51</x:v>
      </x:c>
      <x:c r="C68" s="23" t="s">
        <x:v>11</x:v>
      </x:c>
      <x:c r="D68" s="23" t="s">
        <x:v>116</x:v>
      </x:c>
      <x:c r="E68" s="23" t="s">
        <x:v>184</x:v>
      </x:c>
      <x:c r="F68" s="23">
        <x:v>19</x:v>
      </x:c>
      <x:c r="G68" s="23">
        <x:v>1</x:v>
      </x:c>
      <x:c r="H68" s="23">
        <x:v>0</x:v>
      </x:c>
      <x:c r="I68" s="23">
        <x:v>6366</x:v>
      </x:c>
      <x:c r="J68" s="23">
        <x:v>0</x:v>
      </x:c>
      <x:c r="K68" s="23">
        <x:v>0</x:v>
      </x:c>
      <x:c r="L68" s="23" t="s">
        <x:v>331</x:v>
      </x:c>
      <x:c r="M68" s="23">
        <x:f t="shared" si="1"/>
        <x:v>351.99999999999994</x:v>
      </x:c>
      <x:c r="N68" s="24" t="str">
        <x:f t="array" ref="N68">INDEX('MATCH INFO'!O:O, INT((ROW()-2)/10)+2 + 157)</x:f>
        <x:v>260710_ZETA_O2_S1</x:v>
      </x:c>
    </x:row>
    <x:row r="69">
      <x:c r="A69" s="23" t="s">
        <x:v>47</x:v>
      </x:c>
      <x:c r="B69" s="23" t="s">
        <x:v>50</x:v>
      </x:c>
      <x:c r="C69" s="23" t="s">
        <x:v>11</x:v>
      </x:c>
      <x:c r="D69" s="23" t="s">
        <x:v>116</x:v>
      </x:c>
      <x:c r="E69" s="23" t="s">
        <x:v>184</x:v>
      </x:c>
      <x:c r="F69" s="23">
        <x:v>15</x:v>
      </x:c>
      <x:c r="G69" s="23">
        <x:v>2</x:v>
      </x:c>
      <x:c r="H69" s="23">
        <x:v>0</x:v>
      </x:c>
      <x:c r="I69" s="23">
        <x:v>4879</x:v>
      </x:c>
      <x:c r="J69" s="23">
        <x:v>0</x:v>
      </x:c>
      <x:c r="K69" s="23">
        <x:v>0</x:v>
      </x:c>
      <x:c r="L69" s="23" t="s">
        <x:v>331</x:v>
      </x:c>
      <x:c r="M69" s="23">
        <x:f t="shared" si="1"/>
        <x:v>351.99999999999994</x:v>
      </x:c>
      <x:c r="N69" s="24" t="str">
        <x:f t="array" ref="N69">INDEX('MATCH INFO'!O:O, INT((ROW()-2)/10)+2 + 157)</x:f>
        <x:v>260710_ZETA_O2_S1</x:v>
      </x:c>
    </x:row>
    <x:row r="70">
      <x:c r="A70" s="23" t="s">
        <x:v>47</x:v>
      </x:c>
      <x:c r="B70" s="23" t="s">
        <x:v>53</x:v>
      </x:c>
      <x:c r="C70" s="23" t="s">
        <x:v>16</x:v>
      </x:c>
      <x:c r="D70" s="23" t="s">
        <x:v>116</x:v>
      </x:c>
      <x:c r="E70" s="23" t="s">
        <x:v>184</x:v>
      </x:c>
      <x:c r="F70" s="23">
        <x:v>8</x:v>
      </x:c>
      <x:c r="G70" s="23">
        <x:v>2</x:v>
      </x:c>
      <x:c r="H70" s="23">
        <x:v>14</x:v>
      </x:c>
      <x:c r="I70" s="23">
        <x:v>2625</x:v>
      </x:c>
      <x:c r="J70" s="23">
        <x:v>6285</x:v>
      </x:c>
      <x:c r="K70" s="23">
        <x:v>0</x:v>
      </x:c>
      <x:c r="L70" s="23" t="s">
        <x:v>331</x:v>
      </x:c>
      <x:c r="M70" s="23">
        <x:f t="shared" si="1"/>
        <x:v>351.99999999999994</x:v>
      </x:c>
      <x:c r="N70" s="24" t="str">
        <x:f t="array" ref="N70">INDEX('MATCH INFO'!O:O, INT((ROW()-2)/10)+2 + 157)</x:f>
        <x:v>260710_ZETA_O2_S1</x:v>
      </x:c>
    </x:row>
    <x:row r="71">
      <x:c r="A71" s="23" t="s">
        <x:v>47</x:v>
      </x:c>
      <x:c r="B71" s="23" t="s">
        <x:v>52</x:v>
      </x:c>
      <x:c r="C71" s="23" t="s">
        <x:v>16</x:v>
      </x:c>
      <x:c r="D71" s="23" t="s">
        <x:v>116</x:v>
      </x:c>
      <x:c r="E71" s="23" t="s">
        <x:v>184</x:v>
      </x:c>
      <x:c r="F71" s="23">
        <x:v>11</x:v>
      </x:c>
      <x:c r="G71" s="23">
        <x:v>3</x:v>
      </x:c>
      <x:c r="H71" s="23">
        <x:v>8</x:v>
      </x:c>
      <x:c r="I71" s="23">
        <x:v>3030</x:v>
      </x:c>
      <x:c r="J71" s="23">
        <x:v>3837</x:v>
      </x:c>
      <x:c r="K71" s="23">
        <x:v>291</x:v>
      </x:c>
      <x:c r="L71" s="23" t="s">
        <x:v>331</x:v>
      </x:c>
      <x:c r="M71" s="23">
        <x:f t="shared" si="1"/>
        <x:v>351.99999999999994</x:v>
      </x:c>
      <x:c r="N71" s="24" t="str">
        <x:f t="array" ref="N71">INDEX('MATCH INFO'!O:O, INT((ROW()-2)/10)+2 + 157)</x:f>
        <x:v>260710_ZETA_O2_S1</x:v>
      </x:c>
    </x:row>
    <x:row r="72">
      <x:c r="A72" s="23" t="s">
        <x:v>6</x:v>
      </x:c>
      <x:c r="B72" s="23" t="s">
        <x:v>15</x:v>
      </x:c>
      <x:c r="C72" s="23" t="s">
        <x:v>16</x:v>
      </x:c>
      <x:c r="D72" s="23" t="s">
        <x:v>165</x:v>
      </x:c>
      <x:c r="E72" s="23" t="s">
        <x:v>186</x:v>
      </x:c>
      <x:c r="F72" s="23">
        <x:v>31</x:v>
      </x:c>
      <x:c r="G72" s="23">
        <x:v>13</x:v>
      </x:c>
      <x:c r="H72" s="23">
        <x:v>21</x:v>
      </x:c>
      <x:c r="I72" s="23">
        <x:v>5767</x:v>
      </x:c>
      <x:c r="J72" s="23">
        <x:v>14847</x:v>
      </x:c>
      <x:c r="K72" s="23">
        <x:v>0</x:v>
      </x:c>
      <x:c r="L72" s="23" t="s">
        <x:v>332</x:v>
      </x:c>
      <x:c r="M72" s="23">
        <x:f t="shared" si="1"/>
        <x:v>905</x:v>
      </x:c>
      <x:c r="N72" s="24" t="str">
        <x:f t="array" ref="N72">INDEX('MATCH INFO'!O:O, INT((ROW()-2)/10)+2 + 157)</x:f>
        <x:v>260710_ZETA_O2_S2</x:v>
      </x:c>
    </x:row>
    <x:row r="73">
      <x:c r="A73" s="23" t="s">
        <x:v>6</x:v>
      </x:c>
      <x:c r="B73" s="23" t="s">
        <x:v>7</x:v>
      </x:c>
      <x:c r="C73" s="23" t="s">
        <x:v>8</x:v>
      </x:c>
      <x:c r="D73" s="23" t="s">
        <x:v>165</x:v>
      </x:c>
      <x:c r="E73" s="23" t="s">
        <x:v>186</x:v>
      </x:c>
      <x:c r="F73" s="23">
        <x:v>41</x:v>
      </x:c>
      <x:c r="G73" s="23">
        <x:v>13</x:v>
      </x:c>
      <x:c r="H73" s="23">
        <x:v>28</x:v>
      </x:c>
      <x:c r="I73" s="23">
        <x:v>21906</x:v>
      </x:c>
      <x:c r="J73" s="23">
        <x:v>5826</x:v>
      </x:c>
      <x:c r="K73" s="23">
        <x:v>10934</x:v>
      </x:c>
      <x:c r="L73" s="23" t="s">
        <x:v>332</x:v>
      </x:c>
      <x:c r="M73" s="23">
        <x:f t="shared" si="1"/>
        <x:v>905</x:v>
      </x:c>
      <x:c r="N73" s="24" t="str">
        <x:f t="array" ref="N73">INDEX('MATCH INFO'!O:O, INT((ROW()-2)/10)+2 + 157)</x:f>
        <x:v>260710_ZETA_O2_S2</x:v>
      </x:c>
    </x:row>
    <x:row r="74">
      <x:c r="A74" s="23" t="s">
        <x:v>6</x:v>
      </x:c>
      <x:c r="B74" s="23" t="s">
        <x:v>18</x:v>
      </x:c>
      <x:c r="C74" s="23" t="s">
        <x:v>16</x:v>
      </x:c>
      <x:c r="D74" s="23" t="s">
        <x:v>165</x:v>
      </x:c>
      <x:c r="E74" s="23" t="s">
        <x:v>186</x:v>
      </x:c>
      <x:c r="F74" s="23">
        <x:v>26</x:v>
      </x:c>
      <x:c r="G74" s="23">
        <x:v>17</x:v>
      </x:c>
      <x:c r="H74" s="23">
        <x:v>35</x:v>
      </x:c>
      <x:c r="I74" s="23">
        <x:v>6281</x:v>
      </x:c>
      <x:c r="J74" s="23">
        <x:v>17169</x:v>
      </x:c>
      <x:c r="K74" s="23">
        <x:v>0</x:v>
      </x:c>
      <x:c r="L74" s="23" t="s">
        <x:v>332</x:v>
      </x:c>
      <x:c r="M74" s="23">
        <x:f t="shared" si="1"/>
        <x:v>905</x:v>
      </x:c>
      <x:c r="N74" s="24" t="str">
        <x:f t="array" ref="N74">INDEX('MATCH INFO'!O:O, INT((ROW()-2)/10)+2 + 157)</x:f>
        <x:v>260710_ZETA_O2_S2</x:v>
      </x:c>
    </x:row>
    <x:row r="75">
      <x:c r="A75" s="23" t="s">
        <x:v>6</x:v>
      </x:c>
      <x:c r="B75" s="23" t="s">
        <x:v>13</x:v>
      </x:c>
      <x:c r="C75" s="23" t="s">
        <x:v>11</x:v>
      </x:c>
      <x:c r="D75" s="23" t="s">
        <x:v>165</x:v>
      </x:c>
      <x:c r="E75" s="23" t="s">
        <x:v>186</x:v>
      </x:c>
      <x:c r="F75" s="23">
        <x:v>34</x:v>
      </x:c>
      <x:c r="G75" s="23">
        <x:v>13</x:v>
      </x:c>
      <x:c r="H75" s="23">
        <x:v>5</x:v>
      </x:c>
      <x:c r="I75" s="23">
        <x:v>17554</x:v>
      </x:c>
      <x:c r="J75" s="23">
        <x:v>696</x:v>
      </x:c>
      <x:c r="K75" s="23">
        <x:v>1576</x:v>
      </x:c>
      <x:c r="L75" s="23" t="s">
        <x:v>332</x:v>
      </x:c>
      <x:c r="M75" s="23">
        <x:f t="shared" si="1"/>
        <x:v>905</x:v>
      </x:c>
      <x:c r="N75" s="24" t="str">
        <x:f t="array" ref="N75">INDEX('MATCH INFO'!O:O, INT((ROW()-2)/10)+2 + 157)</x:f>
        <x:v>260710_ZETA_O2_S2</x:v>
      </x:c>
    </x:row>
    <x:row r="76">
      <x:c r="A76" s="23" t="s">
        <x:v>6</x:v>
      </x:c>
      <x:c r="B76" s="23" t="s">
        <x:v>10</x:v>
      </x:c>
      <x:c r="C76" s="23" t="s">
        <x:v>11</x:v>
      </x:c>
      <x:c r="D76" s="23" t="s">
        <x:v>165</x:v>
      </x:c>
      <x:c r="E76" s="23" t="s">
        <x:v>186</x:v>
      </x:c>
      <x:c r="F76" s="23">
        <x:v>34</x:v>
      </x:c>
      <x:c r="G76" s="23">
        <x:v>17</x:v>
      </x:c>
      <x:c r="H76" s="23">
        <x:v>1</x:v>
      </x:c>
      <x:c r="I76" s="23">
        <x:v>14166</x:v>
      </x:c>
      <x:c r="J76" s="23">
        <x:v>1701</x:v>
      </x:c>
      <x:c r="K76" s="23">
        <x:v>387</x:v>
      </x:c>
      <x:c r="L76" s="23" t="s">
        <x:v>332</x:v>
      </x:c>
      <x:c r="M76" s="23">
        <x:f t="shared" si="1"/>
        <x:v>905</x:v>
      </x:c>
      <x:c r="N76" s="24" t="str">
        <x:f t="array" ref="N76">INDEX('MATCH INFO'!O:O, INT((ROW()-2)/10)+2 + 157)</x:f>
        <x:v>260710_ZETA_O2_S2</x:v>
      </x:c>
    </x:row>
    <x:row r="77">
      <x:c r="A77" s="23" t="s">
        <x:v>47</x:v>
      </x:c>
      <x:c r="B77" s="23" t="s">
        <x:v>49</x:v>
      </x:c>
      <x:c r="C77" s="23" t="s">
        <x:v>8</x:v>
      </x:c>
      <x:c r="D77" s="23" t="s">
        <x:v>165</x:v>
      </x:c>
      <x:c r="E77" s="23" t="s">
        <x:v>186</x:v>
      </x:c>
      <x:c r="F77" s="23">
        <x:v>54</x:v>
      </x:c>
      <x:c r="G77" s="23">
        <x:v>10</x:v>
      </x:c>
      <x:c r="H77" s="23">
        <x:v>32</x:v>
      </x:c>
      <x:c r="I77" s="23">
        <x:v>23502</x:v>
      </x:c>
      <x:c r="J77" s="23">
        <x:v>3406</x:v>
      </x:c>
      <x:c r="K77" s="23">
        <x:v>12543</x:v>
      </x:c>
      <x:c r="L77" s="23" t="s">
        <x:v>332</x:v>
      </x:c>
      <x:c r="M77" s="23">
        <x:f t="shared" si="1"/>
        <x:v>905</x:v>
      </x:c>
      <x:c r="N77" s="24" t="str">
        <x:f t="array" ref="N77">INDEX('MATCH INFO'!O:O, INT((ROW()-2)/10)+2 + 157)</x:f>
        <x:v>260710_ZETA_O2_S2</x:v>
      </x:c>
    </x:row>
    <x:row r="78">
      <x:c r="A78" s="23" t="s">
        <x:v>47</x:v>
      </x:c>
      <x:c r="B78" s="23" t="s">
        <x:v>51</x:v>
      </x:c>
      <x:c r="C78" s="23" t="s">
        <x:v>11</x:v>
      </x:c>
      <x:c r="D78" s="23" t="s">
        <x:v>165</x:v>
      </x:c>
      <x:c r="E78" s="23" t="s">
        <x:v>186</x:v>
      </x:c>
      <x:c r="F78" s="23">
        <x:v>40</x:v>
      </x:c>
      <x:c r="G78" s="23">
        <x:v>16</x:v>
      </x:c>
      <x:c r="H78" s="23">
        <x:v>5</x:v>
      </x:c>
      <x:c r="I78" s="23">
        <x:v>17617</x:v>
      </x:c>
      <x:c r="J78" s="23">
        <x:v>116</x:v>
      </x:c>
      <x:c r="K78" s="23">
        <x:v>2681</x:v>
      </x:c>
      <x:c r="L78" s="23" t="s">
        <x:v>332</x:v>
      </x:c>
      <x:c r="M78" s="23">
        <x:f t="shared" si="1"/>
        <x:v>905</x:v>
      </x:c>
      <x:c r="N78" s="24" t="str">
        <x:f t="array" ref="N78">INDEX('MATCH INFO'!O:O, INT((ROW()-2)/10)+2 + 157)</x:f>
        <x:v>260710_ZETA_O2_S2</x:v>
      </x:c>
    </x:row>
    <x:row r="79">
      <x:c r="A79" s="23" t="s">
        <x:v>47</x:v>
      </x:c>
      <x:c r="B79" s="23" t="s">
        <x:v>50</x:v>
      </x:c>
      <x:c r="C79" s="23" t="s">
        <x:v>11</x:v>
      </x:c>
      <x:c r="D79" s="23" t="s">
        <x:v>165</x:v>
      </x:c>
      <x:c r="E79" s="23" t="s">
        <x:v>186</x:v>
      </x:c>
      <x:c r="F79" s="23">
        <x:v>42</x:v>
      </x:c>
      <x:c r="G79" s="23">
        <x:v>9</x:v>
      </x:c>
      <x:c r="H79" s="23">
        <x:v>0</x:v>
      </x:c>
      <x:c r="I79" s="23">
        <x:v>15421</x:v>
      </x:c>
      <x:c r="J79" s="23">
        <x:v>746</x:v>
      </x:c>
      <x:c r="K79" s="23">
        <x:v>0</x:v>
      </x:c>
      <x:c r="L79" s="23" t="s">
        <x:v>332</x:v>
      </x:c>
      <x:c r="M79" s="23">
        <x:f t="shared" si="1"/>
        <x:v>905</x:v>
      </x:c>
      <x:c r="N79" s="24" t="str">
        <x:f t="array" ref="N79">INDEX('MATCH INFO'!O:O, INT((ROW()-2)/10)+2 + 157)</x:f>
        <x:v>260710_ZETA_O2_S2</x:v>
      </x:c>
    </x:row>
    <x:row r="80">
      <x:c r="A80" s="23" t="s">
        <x:v>47</x:v>
      </x:c>
      <x:c r="B80" s="23" t="s">
        <x:v>53</x:v>
      </x:c>
      <x:c r="C80" s="23" t="s">
        <x:v>16</x:v>
      </x:c>
      <x:c r="D80" s="23" t="s">
        <x:v>165</x:v>
      </x:c>
      <x:c r="E80" s="23" t="s">
        <x:v>186</x:v>
      </x:c>
      <x:c r="F80" s="23">
        <x:v>38</x:v>
      </x:c>
      <x:c r="G80" s="23">
        <x:v>11</x:v>
      </x:c>
      <x:c r="H80" s="23">
        <x:v>52</x:v>
      </x:c>
      <x:c r="I80" s="23">
        <x:v>9250</x:v>
      </x:c>
      <x:c r="J80" s="23">
        <x:v>15774</x:v>
      </x:c>
      <x:c r="K80" s="23">
        <x:v>0</x:v>
      </x:c>
      <x:c r="L80" s="23" t="s">
        <x:v>332</x:v>
      </x:c>
      <x:c r="M80" s="23">
        <x:f t="shared" si="1"/>
        <x:v>905</x:v>
      </x:c>
      <x:c r="N80" s="24" t="str">
        <x:f t="array" ref="N80">INDEX('MATCH INFO'!O:O, INT((ROW()-2)/10)+2 + 157)</x:f>
        <x:v>260710_ZETA_O2_S2</x:v>
      </x:c>
    </x:row>
    <x:row r="81">
      <x:c r="A81" s="23" t="s">
        <x:v>47</x:v>
      </x:c>
      <x:c r="B81" s="23" t="s">
        <x:v>52</x:v>
      </x:c>
      <x:c r="C81" s="23" t="s">
        <x:v>16</x:v>
      </x:c>
      <x:c r="D81" s="23" t="s">
        <x:v>165</x:v>
      </x:c>
      <x:c r="E81" s="23" t="s">
        <x:v>186</x:v>
      </x:c>
      <x:c r="F81" s="23">
        <x:v>48</x:v>
      </x:c>
      <x:c r="G81" s="23">
        <x:v>10</x:v>
      </x:c>
      <x:c r="H81" s="23">
        <x:v>33</x:v>
      </x:c>
      <x:c r="I81" s="23">
        <x:v>9204</x:v>
      </x:c>
      <x:c r="J81" s="23">
        <x:v>14342</x:v>
      </x:c>
      <x:c r="K81" s="23">
        <x:v>818</x:v>
      </x:c>
      <x:c r="L81" s="23" t="s">
        <x:v>332</x:v>
      </x:c>
      <x:c r="M81" s="23">
        <x:f t="shared" si="1"/>
        <x:v>905</x:v>
      </x:c>
      <x:c r="N81" s="24" t="str">
        <x:f t="array" ref="N81">INDEX('MATCH INFO'!O:O, INT((ROW()-2)/10)+2 + 157)</x:f>
        <x:v>260710_ZETA_O2_S2</x:v>
      </x:c>
    </x:row>
    <x:row r="82">
      <x:c r="A82" s="23" t="s">
        <x:v>6</x:v>
      </x:c>
      <x:c r="B82" s="23" t="s">
        <x:v>15</x:v>
      </x:c>
      <x:c r="C82" s="23" t="s">
        <x:v>16</x:v>
      </x:c>
      <x:c r="D82" s="23" t="s">
        <x:v>168</x:v>
      </x:c>
      <x:c r="E82" s="23" t="s">
        <x:v>188</x:v>
      </x:c>
      <x:c r="F82" s="23">
        <x:v>19</x:v>
      </x:c>
      <x:c r="G82" s="23">
        <x:v>13</x:v>
      </x:c>
      <x:c r="H82" s="23">
        <x:v>20</x:v>
      </x:c>
      <x:c r="I82" s="23">
        <x:v>4682</x:v>
      </x:c>
      <x:c r="J82" s="23">
        <x:v>5655</x:v>
      </x:c>
      <x:c r="K82" s="23">
        <x:v>1614</x:v>
      </x:c>
      <x:c r="L82" s="23" t="s">
        <x:v>333</x:v>
      </x:c>
      <x:c r="M82" s="23">
        <x:f t="shared" si="1"/>
        <x:v>624</x:v>
      </x:c>
      <x:c r="N82" s="24" t="str">
        <x:f t="array" ref="N82">INDEX('MATCH INFO'!O:O, INT((ROW()-2)/10)+2 + 157)</x:f>
        <x:v>260710_ZETA_O2_S3</x:v>
      </x:c>
    </x:row>
    <x:row r="83">
      <x:c r="A83" s="23" t="s">
        <x:v>6</x:v>
      </x:c>
      <x:c r="B83" s="23" t="s">
        <x:v>7</x:v>
      </x:c>
      <x:c r="C83" s="23" t="s">
        <x:v>8</x:v>
      </x:c>
      <x:c r="D83" s="23" t="s">
        <x:v>168</x:v>
      </x:c>
      <x:c r="E83" s="23" t="s">
        <x:v>188</x:v>
      </x:c>
      <x:c r="F83" s="23">
        <x:v>19</x:v>
      </x:c>
      <x:c r="G83" s="23">
        <x:v>10</x:v>
      </x:c>
      <x:c r="H83" s="23">
        <x:v>11</x:v>
      </x:c>
      <x:c r="I83" s="23">
        <x:v>13338</x:v>
      </x:c>
      <x:c r="J83" s="23">
        <x:v>3276</x:v>
      </x:c>
      <x:c r="K83" s="23">
        <x:v>7715</x:v>
      </x:c>
      <x:c r="L83" s="23" t="s">
        <x:v>333</x:v>
      </x:c>
      <x:c r="M83" s="23">
        <x:f t="shared" si="1"/>
        <x:v>624</x:v>
      </x:c>
      <x:c r="N83" s="24" t="str">
        <x:f t="array" ref="N83">INDEX('MATCH INFO'!O:O, INT((ROW()-2)/10)+2 + 157)</x:f>
        <x:v>260710_ZETA_O2_S3</x:v>
      </x:c>
    </x:row>
    <x:row r="84">
      <x:c r="A84" s="23" t="s">
        <x:v>6</x:v>
      </x:c>
      <x:c r="B84" s="23" t="s">
        <x:v>18</x:v>
      </x:c>
      <x:c r="C84" s="23" t="s">
        <x:v>16</x:v>
      </x:c>
      <x:c r="D84" s="23" t="s">
        <x:v>168</x:v>
      </x:c>
      <x:c r="E84" s="23" t="s">
        <x:v>188</x:v>
      </x:c>
      <x:c r="F84" s="23">
        <x:v>13</x:v>
      </x:c>
      <x:c r="G84" s="23">
        <x:v>10</x:v>
      </x:c>
      <x:c r="H84" s="23">
        <x:v>21</x:v>
      </x:c>
      <x:c r="I84" s="23">
        <x:v>4945</x:v>
      </x:c>
      <x:c r="J84" s="23">
        <x:v>13160</x:v>
      </x:c>
      <x:c r="K84" s="23">
        <x:v>0</x:v>
      </x:c>
      <x:c r="L84" s="23" t="s">
        <x:v>333</x:v>
      </x:c>
      <x:c r="M84" s="23">
        <x:f t="shared" si="1"/>
        <x:v>624</x:v>
      </x:c>
      <x:c r="N84" s="24" t="str">
        <x:f t="array" ref="N84">INDEX('MATCH INFO'!O:O, INT((ROW()-2)/10)+2 + 157)</x:f>
        <x:v>260710_ZETA_O2_S3</x:v>
      </x:c>
    </x:row>
    <x:row r="85">
      <x:c r="A85" s="23" t="s">
        <x:v>6</x:v>
      </x:c>
      <x:c r="B85" s="23" t="s">
        <x:v>13</x:v>
      </x:c>
      <x:c r="C85" s="23" t="s">
        <x:v>11</x:v>
      </x:c>
      <x:c r="D85" s="23" t="s">
        <x:v>168</x:v>
      </x:c>
      <x:c r="E85" s="23" t="s">
        <x:v>188</x:v>
      </x:c>
      <x:c r="F85" s="23">
        <x:v>20</x:v>
      </x:c>
      <x:c r="G85" s="23">
        <x:v>11</x:v>
      </x:c>
      <x:c r="H85" s="23">
        <x:v>6</x:v>
      </x:c>
      <x:c r="I85" s="23">
        <x:v>10224</x:v>
      </x:c>
      <x:c r="J85" s="23">
        <x:v>318</x:v>
      </x:c>
      <x:c r="K85" s="23">
        <x:v>834</x:v>
      </x:c>
      <x:c r="L85" s="23" t="s">
        <x:v>333</x:v>
      </x:c>
      <x:c r="M85" s="23">
        <x:f t="shared" si="1"/>
        <x:v>624</x:v>
      </x:c>
      <x:c r="N85" s="24" t="str">
        <x:f t="array" ref="N85">INDEX('MATCH INFO'!O:O, INT((ROW()-2)/10)+2 + 157)</x:f>
        <x:v>260710_ZETA_O2_S3</x:v>
      </x:c>
    </x:row>
    <x:row r="86">
      <x:c r="A86" s="23" t="s">
        <x:v>6</x:v>
      </x:c>
      <x:c r="B86" s="23" t="s">
        <x:v>10</x:v>
      </x:c>
      <x:c r="C86" s="23" t="s">
        <x:v>11</x:v>
      </x:c>
      <x:c r="D86" s="23" t="s">
        <x:v>168</x:v>
      </x:c>
      <x:c r="E86" s="23" t="s">
        <x:v>188</x:v>
      </x:c>
      <x:c r="F86" s="23">
        <x:v>22</x:v>
      </x:c>
      <x:c r="G86" s="23">
        <x:v>12</x:v>
      </x:c>
      <x:c r="H86" s="23">
        <x:v>0</x:v>
      </x:c>
      <x:c r="I86" s="23">
        <x:v>9712</x:v>
      </x:c>
      <x:c r="J86" s="23">
        <x:v>1311</x:v>
      </x:c>
      <x:c r="K86" s="23">
        <x:v>0</x:v>
      </x:c>
      <x:c r="L86" s="23" t="s">
        <x:v>333</x:v>
      </x:c>
      <x:c r="M86" s="23">
        <x:f t="shared" si="1"/>
        <x:v>624</x:v>
      </x:c>
      <x:c r="N86" s="24" t="str">
        <x:f t="array" ref="N86">INDEX('MATCH INFO'!O:O, INT((ROW()-2)/10)+2 + 157)</x:f>
        <x:v>260710_ZETA_O2_S3</x:v>
      </x:c>
    </x:row>
    <x:row r="87">
      <x:c r="A87" s="23" t="s">
        <x:v>47</x:v>
      </x:c>
      <x:c r="B87" s="23" t="s">
        <x:v>49</x:v>
      </x:c>
      <x:c r="C87" s="23" t="s">
        <x:v>8</x:v>
      </x:c>
      <x:c r="D87" s="23" t="s">
        <x:v>168</x:v>
      </x:c>
      <x:c r="E87" s="23" t="s">
        <x:v>188</x:v>
      </x:c>
      <x:c r="F87" s="23">
        <x:v>38</x:v>
      </x:c>
      <x:c r="G87" s="23">
        <x:v>6</x:v>
      </x:c>
      <x:c r="H87" s="23">
        <x:v>26</x:v>
      </x:c>
      <x:c r="I87" s="23">
        <x:v>14256</x:v>
      </x:c>
      <x:c r="J87" s="23">
        <x:v>3316</x:v>
      </x:c>
      <x:c r="K87" s="23">
        <x:v>8129</x:v>
      </x:c>
      <x:c r="L87" s="23" t="s">
        <x:v>333</x:v>
      </x:c>
      <x:c r="M87" s="23">
        <x:f t="shared" si="1"/>
        <x:v>624</x:v>
      </x:c>
      <x:c r="N87" s="24" t="str">
        <x:f t="array" ref="N87">INDEX('MATCH INFO'!O:O, INT((ROW()-2)/10)+2 + 157)</x:f>
        <x:v>260710_ZETA_O2_S3</x:v>
      </x:c>
    </x:row>
    <x:row r="88">
      <x:c r="A88" s="23" t="s">
        <x:v>47</x:v>
      </x:c>
      <x:c r="B88" s="23" t="s">
        <x:v>51</x:v>
      </x:c>
      <x:c r="C88" s="23" t="s">
        <x:v>11</x:v>
      </x:c>
      <x:c r="D88" s="23" t="s">
        <x:v>168</x:v>
      </x:c>
      <x:c r="E88" s="23" t="s">
        <x:v>188</x:v>
      </x:c>
      <x:c r="F88" s="23">
        <x:v>31</x:v>
      </x:c>
      <x:c r="G88" s="23">
        <x:v>10</x:v>
      </x:c>
      <x:c r="H88" s="23">
        <x:v>3</x:v>
      </x:c>
      <x:c r="I88" s="23">
        <x:v>11653</x:v>
      </x:c>
      <x:c r="J88" s="23">
        <x:v>1</x:v>
      </x:c>
      <x:c r="K88" s="23">
        <x:v>754</x:v>
      </x:c>
      <x:c r="L88" s="23" t="s">
        <x:v>333</x:v>
      </x:c>
      <x:c r="M88" s="23">
        <x:f t="shared" si="1"/>
        <x:v>624</x:v>
      </x:c>
      <x:c r="N88" s="24" t="str">
        <x:f t="array" ref="N88">INDEX('MATCH INFO'!O:O, INT((ROW()-2)/10)+2 + 157)</x:f>
        <x:v>260710_ZETA_O2_S3</x:v>
      </x:c>
    </x:row>
    <x:row r="89">
      <x:c r="A89" s="23" t="s">
        <x:v>47</x:v>
      </x:c>
      <x:c r="B89" s="23" t="s">
        <x:v>50</x:v>
      </x:c>
      <x:c r="C89" s="23" t="s">
        <x:v>11</x:v>
      </x:c>
      <x:c r="D89" s="23" t="s">
        <x:v>168</x:v>
      </x:c>
      <x:c r="E89" s="23" t="s">
        <x:v>188</x:v>
      </x:c>
      <x:c r="F89" s="23">
        <x:v>38</x:v>
      </x:c>
      <x:c r="G89" s="23">
        <x:v>6</x:v>
      </x:c>
      <x:c r="H89" s="23">
        <x:v>2</x:v>
      </x:c>
      <x:c r="I89" s="23">
        <x:v>12051</x:v>
      </x:c>
      <x:c r="J89" s="23">
        <x:v>49</x:v>
      </x:c>
      <x:c r="K89" s="23">
        <x:v>446</x:v>
      </x:c>
      <x:c r="L89" s="23" t="s">
        <x:v>333</x:v>
      </x:c>
      <x:c r="M89" s="23">
        <x:f t="shared" si="1"/>
        <x:v>624</x:v>
      </x:c>
      <x:c r="N89" s="24" t="str">
        <x:f t="array" ref="N89">INDEX('MATCH INFO'!O:O, INT((ROW()-2)/10)+2 + 157)</x:f>
        <x:v>260710_ZETA_O2_S3</x:v>
      </x:c>
    </x:row>
    <x:row r="90">
      <x:c r="A90" s="23" t="s">
        <x:v>47</x:v>
      </x:c>
      <x:c r="B90" s="23" t="s">
        <x:v>53</x:v>
      </x:c>
      <x:c r="C90" s="23" t="s">
        <x:v>16</x:v>
      </x:c>
      <x:c r="D90" s="23" t="s">
        <x:v>168</x:v>
      </x:c>
      <x:c r="E90" s="23" t="s">
        <x:v>188</x:v>
      </x:c>
      <x:c r="F90" s="23">
        <x:v>22</x:v>
      </x:c>
      <x:c r="G90" s="23">
        <x:v>6</x:v>
      </x:c>
      <x:c r="H90" s="23">
        <x:v>38</x:v>
      </x:c>
      <x:c r="I90" s="23">
        <x:v>4980</x:v>
      </x:c>
      <x:c r="J90" s="23">
        <x:v>13730</x:v>
      </x:c>
      <x:c r="K90" s="23">
        <x:v>0</x:v>
      </x:c>
      <x:c r="L90" s="23" t="s">
        <x:v>333</x:v>
      </x:c>
      <x:c r="M90" s="23">
        <x:f t="shared" si="1"/>
        <x:v>624</x:v>
      </x:c>
      <x:c r="N90" s="24" t="str">
        <x:f t="array" ref="N90">INDEX('MATCH INFO'!O:O, INT((ROW()-2)/10)+2 + 157)</x:f>
        <x:v>260710_ZETA_O2_S3</x:v>
      </x:c>
    </x:row>
    <x:row r="91">
      <x:c r="A91" s="23" t="s">
        <x:v>47</x:v>
      </x:c>
      <x:c r="B91" s="23" t="s">
        <x:v>52</x:v>
      </x:c>
      <x:c r="C91" s="23" t="s">
        <x:v>16</x:v>
      </x:c>
      <x:c r="D91" s="23" t="s">
        <x:v>168</x:v>
      </x:c>
      <x:c r="E91" s="23" t="s">
        <x:v>188</x:v>
      </x:c>
      <x:c r="F91" s="23">
        <x:v>40</x:v>
      </x:c>
      <x:c r="G91" s="23">
        <x:v>3</x:v>
      </x:c>
      <x:c r="H91" s="23">
        <x:v>17</x:v>
      </x:c>
      <x:c r="I91" s="23">
        <x:v>7501</x:v>
      </x:c>
      <x:c r="J91" s="23">
        <x:v>7592</x:v>
      </x:c>
      <x:c r="K91" s="23">
        <x:v>0</x:v>
      </x:c>
      <x:c r="L91" s="23" t="s">
        <x:v>333</x:v>
      </x:c>
      <x:c r="M91" s="23">
        <x:f t="shared" si="1"/>
        <x:v>624</x:v>
      </x:c>
      <x:c r="N91" s="24" t="str">
        <x:f t="array" ref="N91">INDEX('MATCH INFO'!O:O, INT((ROW()-2)/10)+2 + 157)</x:f>
        <x:v>260710_ZETA_O2_S3</x:v>
      </x:c>
    </x:row>
    <x:row r="92">
      <x:c r="A92" s="23" t="s">
        <x:v>6</x:v>
      </x:c>
      <x:c r="B92" s="23" t="s">
        <x:v>15</x:v>
      </x:c>
      <x:c r="C92" s="23" t="s">
        <x:v>16</x:v>
      </x:c>
      <x:c r="D92" s="23" t="s">
        <x:v>138</x:v>
      </x:c>
      <x:c r="E92" s="23" t="s">
        <x:v>191</x:v>
      </x:c>
      <x:c r="F92" s="23">
        <x:v>13</x:v>
      </x:c>
      <x:c r="G92" s="23">
        <x:v>15</x:v>
      </x:c>
      <x:c r="H92" s="23">
        <x:v>14</x:v>
      </x:c>
      <x:c r="I92" s="23">
        <x:v>4976</x:v>
      </x:c>
      <x:c r="J92" s="23">
        <x:v>9308</x:v>
      </x:c>
      <x:c r="K92" s="23">
        <x:v>139</x:v>
      </x:c>
      <x:c r="L92" s="23" t="s">
        <x:v>334</x:v>
      </x:c>
      <x:c r="M92" s="23">
        <x:f t="shared" si="1"/>
        <x:v>958.99999999999989</x:v>
      </x:c>
      <x:c r="N92" s="24" t="str">
        <x:f t="array" ref="N92">INDEX('MATCH INFO'!O:O, INT((ROW()-2)/10)+2 + 157)</x:f>
        <x:v>260710_ZETA_O2_S4</x:v>
      </x:c>
    </x:row>
    <x:row r="93">
      <x:c r="A93" s="23" t="s">
        <x:v>6</x:v>
      </x:c>
      <x:c r="B93" s="23" t="s">
        <x:v>18</x:v>
      </x:c>
      <x:c r="C93" s="23" t="s">
        <x:v>16</x:v>
      </x:c>
      <x:c r="D93" s="23" t="s">
        <x:v>138</x:v>
      </x:c>
      <x:c r="E93" s="23" t="s">
        <x:v>191</x:v>
      </x:c>
      <x:c r="F93" s="23">
        <x:v>15</x:v>
      </x:c>
      <x:c r="G93" s="23">
        <x:v>19</x:v>
      </x:c>
      <x:c r="H93" s="23">
        <x:v>14</x:v>
      </x:c>
      <x:c r="I93" s="23">
        <x:v>5786</x:v>
      </x:c>
      <x:c r="J93" s="23">
        <x:v>8684</x:v>
      </x:c>
      <x:c r="K93" s="23">
        <x:v>440</x:v>
      </x:c>
      <x:c r="L93" s="23" t="s">
        <x:v>334</x:v>
      </x:c>
      <x:c r="M93" s="23">
        <x:f t="shared" si="1"/>
        <x:v>958.99999999999989</x:v>
      </x:c>
      <x:c r="N93" s="24" t="str">
        <x:f t="array" ref="N93">INDEX('MATCH INFO'!O:O, INT((ROW()-2)/10)+2 + 157)</x:f>
        <x:v>260710_ZETA_O2_S4</x:v>
      </x:c>
    </x:row>
    <x:row r="94">
      <x:c r="A94" s="23" t="s">
        <x:v>6</x:v>
      </x:c>
      <x:c r="B94" s="23" t="s">
        <x:v>13</x:v>
      </x:c>
      <x:c r="C94" s="23" t="s">
        <x:v>11</x:v>
      </x:c>
      <x:c r="D94" s="23" t="s">
        <x:v>138</x:v>
      </x:c>
      <x:c r="E94" s="23" t="s">
        <x:v>191</x:v>
      </x:c>
      <x:c r="F94" s="23">
        <x:v>21</x:v>
      </x:c>
      <x:c r="G94" s="23">
        <x:v>19</x:v>
      </x:c>
      <x:c r="H94" s="23">
        <x:v>2</x:v>
      </x:c>
      <x:c r="I94" s="23">
        <x:v>10777</x:v>
      </x:c>
      <x:c r="J94" s="23">
        <x:v>0</x:v>
      </x:c>
      <x:c r="K94" s="23">
        <x:v>601</x:v>
      </x:c>
      <x:c r="L94" s="23" t="s">
        <x:v>334</x:v>
      </x:c>
      <x:c r="M94" s="23">
        <x:f t="shared" si="1"/>
        <x:v>958.99999999999989</x:v>
      </x:c>
      <x:c r="N94" s="24" t="str">
        <x:f t="array" ref="N94">INDEX('MATCH INFO'!O:O, INT((ROW()-2)/10)+2 + 157)</x:f>
        <x:v>260710_ZETA_O2_S4</x:v>
      </x:c>
    </x:row>
    <x:row r="95">
      <x:c r="A95" s="23" t="s">
        <x:v>6</x:v>
      </x:c>
      <x:c r="B95" s="23" t="s">
        <x:v>9</x:v>
      </x:c>
      <x:c r="C95" s="23" t="s">
        <x:v>8</x:v>
      </x:c>
      <x:c r="D95" s="23" t="s">
        <x:v>138</x:v>
      </x:c>
      <x:c r="E95" s="23" t="s">
        <x:v>191</x:v>
      </x:c>
      <x:c r="F95" s="23">
        <x:v>23</x:v>
      </x:c>
      <x:c r="G95" s="23">
        <x:v>13</x:v>
      </x:c>
      <x:c r="H95" s="23">
        <x:v>3</x:v>
      </x:c>
      <x:c r="I95" s="23">
        <x:v>10953</x:v>
      </x:c>
      <x:c r="J95" s="23">
        <x:v>645</x:v>
      </x:c>
      <x:c r="K95" s="23">
        <x:v>23300</x:v>
      </x:c>
      <x:c r="L95" s="23" t="s">
        <x:v>334</x:v>
      </x:c>
      <x:c r="M95" s="23">
        <x:f t="shared" si="1"/>
        <x:v>958.99999999999989</x:v>
      </x:c>
      <x:c r="N95" s="24" t="str">
        <x:f t="array" ref="N95">INDEX('MATCH INFO'!O:O, INT((ROW()-2)/10)+2 + 157)</x:f>
        <x:v>260710_ZETA_O2_S4</x:v>
      </x:c>
    </x:row>
    <x:row r="96">
      <x:c r="A96" s="23" t="s">
        <x:v>6</x:v>
      </x:c>
      <x:c r="B96" s="23" t="s">
        <x:v>10</x:v>
      </x:c>
      <x:c r="C96" s="23" t="s">
        <x:v>11</x:v>
      </x:c>
      <x:c r="D96" s="23" t="s">
        <x:v>138</x:v>
      </x:c>
      <x:c r="E96" s="23" t="s">
        <x:v>191</x:v>
      </x:c>
      <x:c r="F96" s="23">
        <x:v>21</x:v>
      </x:c>
      <x:c r="G96" s="23">
        <x:v>8</x:v>
      </x:c>
      <x:c r="H96" s="23">
        <x:v>0</x:v>
      </x:c>
      <x:c r="I96" s="23">
        <x:v>8599</x:v>
      </x:c>
      <x:c r="J96" s="23">
        <x:v>106</x:v>
      </x:c>
      <x:c r="K96" s="23">
        <x:v>0</x:v>
      </x:c>
      <x:c r="L96" s="23" t="s">
        <x:v>334</x:v>
      </x:c>
      <x:c r="M96" s="23">
        <x:f t="shared" si="1"/>
        <x:v>958.99999999999989</x:v>
      </x:c>
      <x:c r="N96" s="24" t="str">
        <x:f t="array" ref="N96">INDEX('MATCH INFO'!O:O, INT((ROW()-2)/10)+2 + 157)</x:f>
        <x:v>260710_ZETA_O2_S4</x:v>
      </x:c>
    </x:row>
    <x:row r="97">
      <x:c r="A97" s="23" t="s">
        <x:v>47</x:v>
      </x:c>
      <x:c r="B97" s="23" t="s">
        <x:v>49</x:v>
      </x:c>
      <x:c r="C97" s="23" t="s">
        <x:v>8</x:v>
      </x:c>
      <x:c r="D97" s="23" t="s">
        <x:v>138</x:v>
      </x:c>
      <x:c r="E97" s="23" t="s">
        <x:v>191</x:v>
      </x:c>
      <x:c r="F97" s="23">
        <x:v>43</x:v>
      </x:c>
      <x:c r="G97" s="23">
        <x:v>6</x:v>
      </x:c>
      <x:c r="H97" s="23">
        <x:v>15</x:v>
      </x:c>
      <x:c r="I97" s="23">
        <x:v>13429</x:v>
      </x:c>
      <x:c r="J97" s="23">
        <x:v>1602</x:v>
      </x:c>
      <x:c r="K97" s="23">
        <x:v>22332</x:v>
      </x:c>
      <x:c r="L97" s="23" t="s">
        <x:v>334</x:v>
      </x:c>
      <x:c r="M97" s="23">
        <x:f t="shared" si="1"/>
        <x:v>958.99999999999989</x:v>
      </x:c>
      <x:c r="N97" s="24" t="str">
        <x:f t="array" ref="N97">INDEX('MATCH INFO'!O:O, INT((ROW()-2)/10)+2 + 157)</x:f>
        <x:v>260710_ZETA_O2_S4</x:v>
      </x:c>
    </x:row>
    <x:row r="98">
      <x:c r="A98" s="23" t="s">
        <x:v>47</x:v>
      </x:c>
      <x:c r="B98" s="23" t="s">
        <x:v>51</x:v>
      </x:c>
      <x:c r="C98" s="23" t="s">
        <x:v>11</x:v>
      </x:c>
      <x:c r="D98" s="23" t="s">
        <x:v>138</x:v>
      </x:c>
      <x:c r="E98" s="23" t="s">
        <x:v>191</x:v>
      </x:c>
      <x:c r="F98" s="23">
        <x:v>38</x:v>
      </x:c>
      <x:c r="G98" s="23">
        <x:v>12</x:v>
      </x:c>
      <x:c r="H98" s="23">
        <x:v>1</x:v>
      </x:c>
      <x:c r="I98" s="23">
        <x:v>14542</x:v>
      </x:c>
      <x:c r="J98" s="23">
        <x:v>0</x:v>
      </x:c>
      <x:c r="K98" s="23">
        <x:v>234</x:v>
      </x:c>
      <x:c r="L98" s="23" t="s">
        <x:v>334</x:v>
      </x:c>
      <x:c r="M98" s="23">
        <x:f t="shared" si="1"/>
        <x:v>958.99999999999989</x:v>
      </x:c>
      <x:c r="N98" s="24" t="str">
        <x:f t="array" ref="N98">INDEX('MATCH INFO'!O:O, INT((ROW()-2)/10)+2 + 157)</x:f>
        <x:v>260710_ZETA_O2_S4</x:v>
      </x:c>
    </x:row>
    <x:row r="99">
      <x:c r="A99" s="23" t="s">
        <x:v>47</x:v>
      </x:c>
      <x:c r="B99" s="23" t="s">
        <x:v>50</x:v>
      </x:c>
      <x:c r="C99" s="23" t="s">
        <x:v>11</x:v>
      </x:c>
      <x:c r="D99" s="23" t="s">
        <x:v>138</x:v>
      </x:c>
      <x:c r="E99" s="23" t="s">
        <x:v>191</x:v>
      </x:c>
      <x:c r="F99" s="23">
        <x:v>37</x:v>
      </x:c>
      <x:c r="G99" s="23">
        <x:v>6</x:v>
      </x:c>
      <x:c r="H99" s="23">
        <x:v>0</x:v>
      </x:c>
      <x:c r="I99" s="23">
        <x:v>10915</x:v>
      </x:c>
      <x:c r="J99" s="23">
        <x:v>0</x:v>
      </x:c>
      <x:c r="K99" s="23">
        <x:v>0</x:v>
      </x:c>
      <x:c r="L99" s="23" t="s">
        <x:v>334</x:v>
      </x:c>
      <x:c r="M99" s="23">
        <x:f t="shared" si="1"/>
        <x:v>958.99999999999989</x:v>
      </x:c>
      <x:c r="N99" s="24" t="str">
        <x:f t="array" ref="N99">INDEX('MATCH INFO'!O:O, INT((ROW()-2)/10)+2 + 157)</x:f>
        <x:v>260710_ZETA_O2_S4</x:v>
      </x:c>
    </x:row>
    <x:row r="100">
      <x:c r="A100" s="23" t="s">
        <x:v>47</x:v>
      </x:c>
      <x:c r="B100" s="23" t="s">
        <x:v>53</x:v>
      </x:c>
      <x:c r="C100" s="23" t="s">
        <x:v>16</x:v>
      </x:c>
      <x:c r="D100" s="23" t="s">
        <x:v>138</x:v>
      </x:c>
      <x:c r="E100" s="23" t="s">
        <x:v>191</x:v>
      </x:c>
      <x:c r="F100" s="23">
        <x:v>27</x:v>
      </x:c>
      <x:c r="G100" s="23">
        <x:v>10</x:v>
      </x:c>
      <x:c r="H100" s="23">
        <x:v>35</x:v>
      </x:c>
      <x:c r="I100" s="23">
        <x:v>7422</x:v>
      </x:c>
      <x:c r="J100" s="23">
        <x:v>7619</x:v>
      </x:c>
      <x:c r="K100" s="23">
        <x:v>905</x:v>
      </x:c>
      <x:c r="L100" s="23" t="s">
        <x:v>334</x:v>
      </x:c>
      <x:c r="M100" s="23">
        <x:f t="shared" si="1"/>
        <x:v>958.99999999999989</x:v>
      </x:c>
      <x:c r="N100" s="24" t="str">
        <x:f t="array" ref="N100">INDEX('MATCH INFO'!O:O, INT((ROW()-2)/10)+2 + 157)</x:f>
        <x:v>260710_ZETA_O2_S4</x:v>
      </x:c>
    </x:row>
    <x:row r="101">
      <x:c r="A101" s="23" t="s">
        <x:v>47</x:v>
      </x:c>
      <x:c r="B101" s="23" t="s">
        <x:v>52</x:v>
      </x:c>
      <x:c r="C101" s="23" t="s">
        <x:v>16</x:v>
      </x:c>
      <x:c r="D101" s="23" t="s">
        <x:v>138</x:v>
      </x:c>
      <x:c r="E101" s="23" t="s">
        <x:v>191</x:v>
      </x:c>
      <x:c r="F101" s="23">
        <x:v>31</x:v>
      </x:c>
      <x:c r="G101" s="23">
        <x:v>8</x:v>
      </x:c>
      <x:c r="H101" s="23">
        <x:v>26</x:v>
      </x:c>
      <x:c r="I101" s="23">
        <x:v>6442</x:v>
      </x:c>
      <x:c r="J101" s="23">
        <x:v>11215</x:v>
      </x:c>
      <x:c r="K101" s="23">
        <x:v>0</x:v>
      </x:c>
      <x:c r="L101" s="23" t="s">
        <x:v>334</x:v>
      </x:c>
      <x:c r="M101" s="23">
        <x:f t="shared" si="1"/>
        <x:v>958.99999999999989</x:v>
      </x:c>
      <x:c r="N101" s="24" t="str">
        <x:f t="array" ref="N101">INDEX('MATCH INFO'!O:O, INT((ROW()-2)/10)+2 + 157)</x:f>
        <x:v>260710_ZETA_O2_S4</x:v>
      </x:c>
    </x:row>
    <x:row r="102">
      <x:c r="A102" s="23" t="s">
        <x:v>55</x:v>
      </x:c>
      <x:c r="B102" s="23" t="s">
        <x:v>61</x:v>
      </x:c>
      <x:c r="C102" s="23" t="s">
        <x:v>16</x:v>
      </x:c>
      <x:c r="D102" s="23" t="s">
        <x:v>116</x:v>
      </x:c>
      <x:c r="E102" s="23" t="s">
        <x:v>184</x:v>
      </x:c>
      <x:c r="F102" s="23">
        <x:v>11</x:v>
      </x:c>
      <x:c r="G102" s="23">
        <x:v>8</x:v>
      </x:c>
      <x:c r="H102" s="23">
        <x:v>15</x:v>
      </x:c>
      <x:c r="I102" s="23">
        <x:v>5882</x:v>
      </x:c>
      <x:c r="J102" s="23">
        <x:v>6309</x:v>
      </x:c>
      <x:c r="K102" s="23">
        <x:v>485</x:v>
      </x:c>
      <x:c r="L102" s="23" t="s">
        <x:v>263</x:v>
      </x:c>
      <x:c r="M102" s="23">
        <x:f t="shared" si="1"/>
        <x:v>593</x:v>
      </x:c>
      <x:c r="N102" s="24" t="str">
        <x:f t="array" ref="N102">INDEX('MATCH INFO'!O:O, INT((ROW()-2)/10)+2 + 157)</x:f>
        <x:v>260711_CR_ROZE_S1</x:v>
      </x:c>
    </x:row>
    <x:row r="103">
      <x:c r="A103" s="23" t="s">
        <x:v>55</x:v>
      </x:c>
      <x:c r="B103" s="23" t="s">
        <x:v>58</x:v>
      </x:c>
      <x:c r="C103" s="23" t="s">
        <x:v>11</x:v>
      </x:c>
      <x:c r="D103" s="23" t="s">
        <x:v>116</x:v>
      </x:c>
      <x:c r="E103" s="23" t="s">
        <x:v>184</x:v>
      </x:c>
      <x:c r="F103" s="23">
        <x:v>19</x:v>
      </x:c>
      <x:c r="G103" s="23">
        <x:v>2</x:v>
      </x:c>
      <x:c r="H103" s="23">
        <x:v>0</x:v>
      </x:c>
      <x:c r="I103" s="23">
        <x:v>7024</x:v>
      </x:c>
      <x:c r="J103" s="23">
        <x:v>75</x:v>
      </x:c>
      <x:c r="K103" s="23">
        <x:v>0</x:v>
      </x:c>
      <x:c r="L103" s="23" t="s">
        <x:v>263</x:v>
      </x:c>
      <x:c r="M103" s="23">
        <x:f t="shared" si="1"/>
        <x:v>593</x:v>
      </x:c>
      <x:c r="N103" s="24" t="str">
        <x:f t="array" ref="N103">INDEX('MATCH INFO'!O:O, INT((ROW()-2)/10)+2 + 157)</x:f>
        <x:v>260711_CR_ROZE_S1</x:v>
      </x:c>
    </x:row>
    <x:row r="104">
      <x:c r="A104" s="23" t="s">
        <x:v>55</x:v>
      </x:c>
      <x:c r="B104" s="23" t="s">
        <x:v>57</x:v>
      </x:c>
      <x:c r="C104" s="23" t="s">
        <x:v>8</x:v>
      </x:c>
      <x:c r="D104" s="23" t="s">
        <x:v>116</x:v>
      </x:c>
      <x:c r="E104" s="23" t="s">
        <x:v>184</x:v>
      </x:c>
      <x:c r="F104" s="23">
        <x:v>21</x:v>
      </x:c>
      <x:c r="G104" s="23">
        <x:v>5</x:v>
      </x:c>
      <x:c r="H104" s="23">
        <x:v>4</x:v>
      </x:c>
      <x:c r="I104" s="23">
        <x:v>10203</x:v>
      </x:c>
      <x:c r="J104" s="23">
        <x:v>0</x:v>
      </x:c>
      <x:c r="K104" s="23">
        <x:v>12224</x:v>
      </x:c>
      <x:c r="L104" s="23" t="s">
        <x:v>263</x:v>
      </x:c>
      <x:c r="M104" s="23">
        <x:f t="shared" si="1"/>
        <x:v>593</x:v>
      </x:c>
      <x:c r="N104" s="24" t="str">
        <x:f t="array" ref="N104">INDEX('MATCH INFO'!O:O, INT((ROW()-2)/10)+2 + 157)</x:f>
        <x:v>260711_CR_ROZE_S1</x:v>
      </x:c>
    </x:row>
    <x:row r="105">
      <x:c r="A105" s="23" t="s">
        <x:v>55</x:v>
      </x:c>
      <x:c r="B105" s="23" t="s">
        <x:v>60</x:v>
      </x:c>
      <x:c r="C105" s="23" t="s">
        <x:v>11</x:v>
      </x:c>
      <x:c r="D105" s="23" t="s">
        <x:v>116</x:v>
      </x:c>
      <x:c r="E105" s="23" t="s">
        <x:v>184</x:v>
      </x:c>
      <x:c r="F105" s="23">
        <x:v>16</x:v>
      </x:c>
      <x:c r="G105" s="23">
        <x:v>7</x:v>
      </x:c>
      <x:c r="H105" s="23">
        <x:v>0</x:v>
      </x:c>
      <x:c r="I105" s="23">
        <x:v>6005</x:v>
      </x:c>
      <x:c r="J105" s="23">
        <x:v>0</x:v>
      </x:c>
      <x:c r="K105" s="23">
        <x:v>0</x:v>
      </x:c>
      <x:c r="L105" s="23" t="s">
        <x:v>263</x:v>
      </x:c>
      <x:c r="M105" s="23">
        <x:f t="shared" si="1"/>
        <x:v>593</x:v>
      </x:c>
      <x:c r="N105" s="24" t="str">
        <x:f t="array" ref="N105">INDEX('MATCH INFO'!O:O, INT((ROW()-2)/10)+2 + 157)</x:f>
        <x:v>260711_CR_ROZE_S1</x:v>
      </x:c>
    </x:row>
    <x:row r="106">
      <x:c r="A106" s="23" t="s">
        <x:v>55</x:v>
      </x:c>
      <x:c r="B106" s="23" t="s">
        <x:v>62</x:v>
      </x:c>
      <x:c r="C106" s="23" t="s">
        <x:v>16</x:v>
      </x:c>
      <x:c r="D106" s="23" t="s">
        <x:v>116</x:v>
      </x:c>
      <x:c r="E106" s="23" t="s">
        <x:v>184</x:v>
      </x:c>
      <x:c r="F106" s="23">
        <x:v>12</x:v>
      </x:c>
      <x:c r="G106" s="23">
        <x:v>3</x:v>
      </x:c>
      <x:c r="H106" s="23">
        <x:v>16</x:v>
      </x:c>
      <x:c r="I106" s="23">
        <x:v>4349</x:v>
      </x:c>
      <x:c r="J106" s="23">
        <x:v>8174</x:v>
      </x:c>
      <x:c r="K106" s="23">
        <x:v>0</x:v>
      </x:c>
      <x:c r="L106" s="23" t="s">
        <x:v>263</x:v>
      </x:c>
      <x:c r="M106" s="23">
        <x:f t="shared" si="1"/>
        <x:v>593</x:v>
      </x:c>
      <x:c r="N106" s="24" t="str">
        <x:f t="array" ref="N106">INDEX('MATCH INFO'!O:O, INT((ROW()-2)/10)+2 + 157)</x:f>
        <x:v>260711_CR_ROZE_S1</x:v>
      </x:c>
    </x:row>
    <x:row r="107">
      <x:c r="A107" s="23" t="s">
        <x:v>22</x:v>
      </x:c>
      <x:c r="B107" s="23" t="s">
        <x:v>25</x:v>
      </x:c>
      <x:c r="C107" s="23" t="s">
        <x:v>11</x:v>
      </x:c>
      <x:c r="D107" s="23" t="s">
        <x:v>116</x:v>
      </x:c>
      <x:c r="E107" s="23" t="s">
        <x:v>184</x:v>
      </x:c>
      <x:c r="F107" s="23">
        <x:v>11</x:v>
      </x:c>
      <x:c r="G107" s="23">
        <x:v>6</x:v>
      </x:c>
      <x:c r="H107" s="23">
        <x:v>3</x:v>
      </x:c>
      <x:c r="I107" s="23">
        <x:v>6426</x:v>
      </x:c>
      <x:c r="J107" s="23">
        <x:v>213</x:v>
      </x:c>
      <x:c r="K107" s="23">
        <x:v>695</x:v>
      </x:c>
      <x:c r="L107" s="23" t="s">
        <x:v>263</x:v>
      </x:c>
      <x:c r="M107" s="23">
        <x:f t="shared" si="1"/>
        <x:v>593</x:v>
      </x:c>
      <x:c r="N107" s="24" t="str">
        <x:f t="array" ref="N107">INDEX('MATCH INFO'!O:O, INT((ROW()-2)/10)+2 + 157)</x:f>
        <x:v>260711_CR_ROZE_S1</x:v>
      </x:c>
    </x:row>
    <x:row r="108">
      <x:c r="A108" s="23" t="s">
        <x:v>22</x:v>
      </x:c>
      <x:c r="B108" s="23" t="s">
        <x:v>24</x:v>
      </x:c>
      <x:c r="C108" s="23" t="s">
        <x:v>8</x:v>
      </x:c>
      <x:c r="D108" s="23" t="s">
        <x:v>116</x:v>
      </x:c>
      <x:c r="E108" s="23" t="s">
        <x:v>184</x:v>
      </x:c>
      <x:c r="F108" s="23">
        <x:v>15</x:v>
      </x:c>
      <x:c r="G108" s="23">
        <x:v>7</x:v>
      </x:c>
      <x:c r="H108" s="23">
        <x:v>2</x:v>
      </x:c>
      <x:c r="I108" s="23">
        <x:v>7659</x:v>
      </x:c>
      <x:c r="J108" s="23">
        <x:v>2157</x:v>
      </x:c>
      <x:c r="K108" s="23">
        <x:v>4736</x:v>
      </x:c>
      <x:c r="L108" s="23" t="s">
        <x:v>263</x:v>
      </x:c>
      <x:c r="M108" s="23">
        <x:f t="shared" si="1"/>
        <x:v>593</x:v>
      </x:c>
      <x:c r="N108" s="24" t="str">
        <x:f t="array" ref="N108">INDEX('MATCH INFO'!O:O, INT((ROW()-2)/10)+2 + 157)</x:f>
        <x:v>260711_CR_ROZE_S1</x:v>
      </x:c>
    </x:row>
    <x:row r="109">
      <x:c r="A109" s="23" t="s">
        <x:v>22</x:v>
      </x:c>
      <x:c r="B109" s="23" t="s">
        <x:v>29</x:v>
      </x:c>
      <x:c r="C109" s="23" t="s">
        <x:v>16</x:v>
      </x:c>
      <x:c r="D109" s="23" t="s">
        <x:v>116</x:v>
      </x:c>
      <x:c r="E109" s="23" t="s">
        <x:v>184</x:v>
      </x:c>
      <x:c r="F109" s="23">
        <x:v>6</x:v>
      </x:c>
      <x:c r="G109" s="23">
        <x:v>5</x:v>
      </x:c>
      <x:c r="H109" s="23">
        <x:v>14</x:v>
      </x:c>
      <x:c r="I109" s="23">
        <x:v>2834</x:v>
      </x:c>
      <x:c r="J109" s="23">
        <x:v>10656</x:v>
      </x:c>
      <x:c r="K109" s="23">
        <x:v>0</x:v>
      </x:c>
      <x:c r="L109" s="23" t="s">
        <x:v>263</x:v>
      </x:c>
      <x:c r="M109" s="23">
        <x:f t="shared" si="1"/>
        <x:v>593</x:v>
      </x:c>
      <x:c r="N109" s="24" t="str">
        <x:f t="array" ref="N109">INDEX('MATCH INFO'!O:O, INT((ROW()-2)/10)+2 + 157)</x:f>
        <x:v>260711_CR_ROZE_S1</x:v>
      </x:c>
    </x:row>
    <x:row r="110">
      <x:c r="A110" s="23" t="s">
        <x:v>22</x:v>
      </x:c>
      <x:c r="B110" s="23" t="s">
        <x:v>28</x:v>
      </x:c>
      <x:c r="C110" s="23" t="s">
        <x:v>16</x:v>
      </x:c>
      <x:c r="D110" s="23" t="s">
        <x:v>116</x:v>
      </x:c>
      <x:c r="E110" s="23" t="s">
        <x:v>184</x:v>
      </x:c>
      <x:c r="F110" s="23">
        <x:v>10</x:v>
      </x:c>
      <x:c r="G110" s="23">
        <x:v>4</x:v>
      </x:c>
      <x:c r="H110" s="23">
        <x:v>11</x:v>
      </x:c>
      <x:c r="I110" s="23">
        <x:v>2740</x:v>
      </x:c>
      <x:c r="J110" s="23">
        <x:v>6477</x:v>
      </x:c>
      <x:c r="K110" s="23">
        <x:v>1152</x:v>
      </x:c>
      <x:c r="L110" s="23" t="s">
        <x:v>263</x:v>
      </x:c>
      <x:c r="M110" s="23">
        <x:f t="shared" si="1"/>
        <x:v>593</x:v>
      </x:c>
      <x:c r="N110" s="24" t="str">
        <x:f t="array" ref="N110">INDEX('MATCH INFO'!O:O, INT((ROW()-2)/10)+2 + 157)</x:f>
        <x:v>260711_CR_ROZE_S1</x:v>
      </x:c>
    </x:row>
    <x:row r="111">
      <x:c r="A111" s="23" t="s">
        <x:v>22</x:v>
      </x:c>
      <x:c r="B111" s="23" t="s">
        <x:v>27</x:v>
      </x:c>
      <x:c r="C111" s="23" t="s">
        <x:v>11</x:v>
      </x:c>
      <x:c r="D111" s="23" t="s">
        <x:v>116</x:v>
      </x:c>
      <x:c r="E111" s="23" t="s">
        <x:v>184</x:v>
      </x:c>
      <x:c r="F111" s="23">
        <x:v>18</x:v>
      </x:c>
      <x:c r="G111" s="23">
        <x:v>4</x:v>
      </x:c>
      <x:c r="H111" s="23">
        <x:v>2</x:v>
      </x:c>
      <x:c r="I111" s="23">
        <x:v>7926</x:v>
      </x:c>
      <x:c r="J111" s="23">
        <x:v>71</x:v>
      </x:c>
      <x:c r="K111" s="23">
        <x:v>315</x:v>
      </x:c>
      <x:c r="L111" s="23" t="s">
        <x:v>263</x:v>
      </x:c>
      <x:c r="M111" s="23">
        <x:f t="shared" si="1"/>
        <x:v>593</x:v>
      </x:c>
      <x:c r="N111" s="24" t="str">
        <x:f t="array" ref="N111">INDEX('MATCH INFO'!O:O, INT((ROW()-2)/10)+2 + 157)</x:f>
        <x:v>260711_CR_ROZE_S1</x:v>
      </x:c>
    </x:row>
    <x:row r="112">
      <x:c r="A112" s="23" t="s">
        <x:v>22</x:v>
      </x:c>
      <x:c r="B112" s="23" t="s">
        <x:v>25</x:v>
      </x:c>
      <x:c r="C112" s="23" t="s">
        <x:v>11</x:v>
      </x:c>
      <x:c r="D112" s="23" t="s">
        <x:v>124</x:v>
      </x:c>
      <x:c r="E112" s="23" t="s">
        <x:v>186</x:v>
      </x:c>
      <x:c r="F112" s="23">
        <x:v>34</x:v>
      </x:c>
      <x:c r="G112" s="23">
        <x:v>11</x:v>
      </x:c>
      <x:c r="H112" s="23">
        <x:v>3</x:v>
      </x:c>
      <x:c r="I112" s="23">
        <x:v>14090</x:v>
      </x:c>
      <x:c r="J112" s="23">
        <x:v>1208</x:v>
      </x:c>
      <x:c r="K112" s="23">
        <x:v>918</x:v>
      </x:c>
      <x:c r="L112" s="23" t="s">
        <x:v>335</x:v>
      </x:c>
      <x:c r="M112" s="23">
        <x:f t="shared" si="1"/>
        <x:v>889</x:v>
      </x:c>
      <x:c r="N112" s="24" t="str">
        <x:f t="array" ref="N112">INDEX('MATCH INFO'!O:O, INT((ROW()-2)/10)+2 + 157)</x:f>
        <x:v>260711_CR_ROZE_S2</x:v>
      </x:c>
    </x:row>
    <x:row r="113">
      <x:c r="A113" s="23" t="s">
        <x:v>22</x:v>
      </x:c>
      <x:c r="B113" s="23" t="s">
        <x:v>24</x:v>
      </x:c>
      <x:c r="C113" s="23" t="s">
        <x:v>8</x:v>
      </x:c>
      <x:c r="D113" s="23" t="s">
        <x:v>124</x:v>
      </x:c>
      <x:c r="E113" s="23" t="s">
        <x:v>186</x:v>
      </x:c>
      <x:c r="F113" s="23">
        <x:v>32</x:v>
      </x:c>
      <x:c r="G113" s="23">
        <x:v>9</x:v>
      </x:c>
      <x:c r="H113" s="23">
        <x:v>18</x:v>
      </x:c>
      <x:c r="I113" s="23">
        <x:v>20150</x:v>
      </x:c>
      <x:c r="J113" s="23">
        <x:v>4279</x:v>
      </x:c>
      <x:c r="K113" s="23">
        <x:v>6101</x:v>
      </x:c>
      <x:c r="L113" s="23" t="s">
        <x:v>335</x:v>
      </x:c>
      <x:c r="M113" s="23">
        <x:f t="shared" si="1"/>
        <x:v>889</x:v>
      </x:c>
      <x:c r="N113" s="24" t="str">
        <x:f t="array" ref="N113">INDEX('MATCH INFO'!O:O, INT((ROW()-2)/10)+2 + 157)</x:f>
        <x:v>260711_CR_ROZE_S2</x:v>
      </x:c>
    </x:row>
    <x:row r="114">
      <x:c r="A114" s="23" t="s">
        <x:v>22</x:v>
      </x:c>
      <x:c r="B114" s="23" t="s">
        <x:v>29</x:v>
      </x:c>
      <x:c r="C114" s="23" t="s">
        <x:v>16</x:v>
      </x:c>
      <x:c r="D114" s="23" t="s">
        <x:v>124</x:v>
      </x:c>
      <x:c r="E114" s="23" t="s">
        <x:v>186</x:v>
      </x:c>
      <x:c r="F114" s="23">
        <x:v>31</x:v>
      </x:c>
      <x:c r="G114" s="23">
        <x:v>8</x:v>
      </x:c>
      <x:c r="H114" s="23">
        <x:v>35</x:v>
      </x:c>
      <x:c r="I114" s="23">
        <x:v>10073</x:v>
      </x:c>
      <x:c r="J114" s="23">
        <x:v>20353</x:v>
      </x:c>
      <x:c r="K114" s="23">
        <x:v>0</x:v>
      </x:c>
      <x:c r="L114" s="23" t="s">
        <x:v>335</x:v>
      </x:c>
      <x:c r="M114" s="23">
        <x:f t="shared" si="1"/>
        <x:v>889</x:v>
      </x:c>
      <x:c r="N114" s="24" t="str">
        <x:f t="array" ref="N114">INDEX('MATCH INFO'!O:O, INT((ROW()-2)/10)+2 + 157)</x:f>
        <x:v>260711_CR_ROZE_S2</x:v>
      </x:c>
    </x:row>
    <x:row r="115">
      <x:c r="A115" s="23" t="s">
        <x:v>22</x:v>
      </x:c>
      <x:c r="B115" s="23" t="s">
        <x:v>28</x:v>
      </x:c>
      <x:c r="C115" s="23" t="s">
        <x:v>16</x:v>
      </x:c>
      <x:c r="D115" s="23" t="s">
        <x:v>124</x:v>
      </x:c>
      <x:c r="E115" s="23" t="s">
        <x:v>186</x:v>
      </x:c>
      <x:c r="F115" s="23">
        <x:v>14</x:v>
      </x:c>
      <x:c r="G115" s="23">
        <x:v>13</x:v>
      </x:c>
      <x:c r="H115" s="23">
        <x:v>12</x:v>
      </x:c>
      <x:c r="I115" s="23">
        <x:v>5276</x:v>
      </x:c>
      <x:c r="J115" s="23">
        <x:v>8239</x:v>
      </x:c>
      <x:c r="K115" s="23">
        <x:v>0</x:v>
      </x:c>
      <x:c r="L115" s="23" t="s">
        <x:v>335</x:v>
      </x:c>
      <x:c r="M115" s="23">
        <x:f t="shared" si="1"/>
        <x:v>889</x:v>
      </x:c>
      <x:c r="N115" s="24" t="str">
        <x:f t="array" ref="N115">INDEX('MATCH INFO'!O:O, INT((ROW()-2)/10)+2 + 157)</x:f>
        <x:v>260711_CR_ROZE_S2</x:v>
      </x:c>
    </x:row>
    <x:row r="116">
      <x:c r="A116" s="23" t="s">
        <x:v>22</x:v>
      </x:c>
      <x:c r="B116" s="23" t="s">
        <x:v>27</x:v>
      </x:c>
      <x:c r="C116" s="23" t="s">
        <x:v>11</x:v>
      </x:c>
      <x:c r="D116" s="23" t="s">
        <x:v>124</x:v>
      </x:c>
      <x:c r="E116" s="23" t="s">
        <x:v>186</x:v>
      </x:c>
      <x:c r="F116" s="23">
        <x:v>25</x:v>
      </x:c>
      <x:c r="G116" s="23">
        <x:v>12</x:v>
      </x:c>
      <x:c r="H116" s="23">
        <x:v>2</x:v>
      </x:c>
      <x:c r="I116" s="23">
        <x:v>14922</x:v>
      </x:c>
      <x:c r="J116" s="23">
        <x:v>0</x:v>
      </x:c>
      <x:c r="K116" s="23">
        <x:v>753</x:v>
      </x:c>
      <x:c r="L116" s="23" t="s">
        <x:v>335</x:v>
      </x:c>
      <x:c r="M116" s="23">
        <x:f t="shared" si="1"/>
        <x:v>889</x:v>
      </x:c>
      <x:c r="N116" s="24" t="str">
        <x:f t="array" ref="N116">INDEX('MATCH INFO'!O:O, INT((ROW()-2)/10)+2 + 157)</x:f>
        <x:v>260711_CR_ROZE_S2</x:v>
      </x:c>
    </x:row>
    <x:row r="117">
      <x:c r="A117" s="23" t="s">
        <x:v>55</x:v>
      </x:c>
      <x:c r="B117" s="23" t="s">
        <x:v>61</x:v>
      </x:c>
      <x:c r="C117" s="23" t="s">
        <x:v>16</x:v>
      </x:c>
      <x:c r="D117" s="23" t="s">
        <x:v>124</x:v>
      </x:c>
      <x:c r="E117" s="23" t="s">
        <x:v>186</x:v>
      </x:c>
      <x:c r="F117" s="23">
        <x:v>27</x:v>
      </x:c>
      <x:c r="G117" s="23">
        <x:v>6</x:v>
      </x:c>
      <x:c r="H117" s="23">
        <x:v>19</x:v>
      </x:c>
      <x:c r="I117" s="23">
        <x:v>8606</x:v>
      </x:c>
      <x:c r="J117" s="23">
        <x:v>9779</x:v>
      </x:c>
      <x:c r="K117" s="23">
        <x:v>1097</x:v>
      </x:c>
      <x:c r="L117" s="23" t="s">
        <x:v>335</x:v>
      </x:c>
      <x:c r="M117" s="23">
        <x:f t="shared" si="1"/>
        <x:v>889</x:v>
      </x:c>
      <x:c r="N117" s="24" t="str">
        <x:f t="array" ref="N117">INDEX('MATCH INFO'!O:O, INT((ROW()-2)/10)+2 + 157)</x:f>
        <x:v>260711_CR_ROZE_S2</x:v>
      </x:c>
    </x:row>
    <x:row r="118">
      <x:c r="A118" s="23" t="s">
        <x:v>55</x:v>
      </x:c>
      <x:c r="B118" s="23" t="s">
        <x:v>58</x:v>
      </x:c>
      <x:c r="C118" s="23" t="s">
        <x:v>11</x:v>
      </x:c>
      <x:c r="D118" s="23" t="s">
        <x:v>124</x:v>
      </x:c>
      <x:c r="E118" s="23" t="s">
        <x:v>186</x:v>
      </x:c>
      <x:c r="F118" s="23">
        <x:v>32</x:v>
      </x:c>
      <x:c r="G118" s="23">
        <x:v>10</x:v>
      </x:c>
      <x:c r="H118" s="23">
        <x:v>0</x:v>
      </x:c>
      <x:c r="I118" s="23">
        <x:v>14647</x:v>
      </x:c>
      <x:c r="J118" s="23">
        <x:v>2620</x:v>
      </x:c>
      <x:c r="K118" s="23">
        <x:v>0</x:v>
      </x:c>
      <x:c r="L118" s="23" t="s">
        <x:v>335</x:v>
      </x:c>
      <x:c r="M118" s="23">
        <x:f t="shared" si="1"/>
        <x:v>889</x:v>
      </x:c>
      <x:c r="N118" s="24" t="str">
        <x:f t="array" ref="N118">INDEX('MATCH INFO'!O:O, INT((ROW()-2)/10)+2 + 157)</x:f>
        <x:v>260711_CR_ROZE_S2</x:v>
      </x:c>
    </x:row>
    <x:row r="119">
      <x:c r="A119" s="23" t="s">
        <x:v>55</x:v>
      </x:c>
      <x:c r="B119" s="23" t="s">
        <x:v>56</x:v>
      </x:c>
      <x:c r="C119" s="23" t="s">
        <x:v>8</x:v>
      </x:c>
      <x:c r="D119" s="23" t="s">
        <x:v>124</x:v>
      </x:c>
      <x:c r="E119" s="23" t="s">
        <x:v>186</x:v>
      </x:c>
      <x:c r="F119" s="23">
        <x:v>30</x:v>
      </x:c>
      <x:c r="G119" s="23">
        <x:v>10</x:v>
      </x:c>
      <x:c r="H119" s="23">
        <x:v>21</x:v>
      </x:c>
      <x:c r="I119" s="23">
        <x:v>16451</x:v>
      </x:c>
      <x:c r="J119" s="23">
        <x:v>4676</x:v>
      </x:c>
      <x:c r="K119" s="23">
        <x:v>7050</x:v>
      </x:c>
      <x:c r="L119" s="23" t="s">
        <x:v>335</x:v>
      </x:c>
      <x:c r="M119" s="23">
        <x:f t="shared" si="1"/>
        <x:v>889</x:v>
      </x:c>
      <x:c r="N119" s="24" t="str">
        <x:f t="array" ref="N119">INDEX('MATCH INFO'!O:O, INT((ROW()-2)/10)+2 + 157)</x:f>
        <x:v>260711_CR_ROZE_S2</x:v>
      </x:c>
    </x:row>
    <x:row r="120">
      <x:c r="A120" s="23" t="s">
        <x:v>55</x:v>
      </x:c>
      <x:c r="B120" s="23" t="s">
        <x:v>60</x:v>
      </x:c>
      <x:c r="C120" s="23" t="s">
        <x:v>11</x:v>
      </x:c>
      <x:c r="D120" s="23" t="s">
        <x:v>124</x:v>
      </x:c>
      <x:c r="E120" s="23" t="s">
        <x:v>186</x:v>
      </x:c>
      <x:c r="F120" s="23">
        <x:v>28</x:v>
      </x:c>
      <x:c r="G120" s="23">
        <x:v>11</x:v>
      </x:c>
      <x:c r="H120" s="23">
        <x:v>3</x:v>
      </x:c>
      <x:c r="I120" s="23">
        <x:v>14497</x:v>
      </x:c>
      <x:c r="J120" s="23">
        <x:v>599</x:v>
      </x:c>
      <x:c r="K120" s="23">
        <x:v>436</x:v>
      </x:c>
      <x:c r="L120" s="23" t="s">
        <x:v>335</x:v>
      </x:c>
      <x:c r="M120" s="23">
        <x:f t="shared" si="1"/>
        <x:v>889</x:v>
      </x:c>
      <x:c r="N120" s="24" t="str">
        <x:f t="array" ref="N120">INDEX('MATCH INFO'!O:O, INT((ROW()-2)/10)+2 + 157)</x:f>
        <x:v>260711_CR_ROZE_S2</x:v>
      </x:c>
    </x:row>
    <x:row r="121">
      <x:c r="A121" s="23" t="s">
        <x:v>55</x:v>
      </x:c>
      <x:c r="B121" s="23" t="s">
        <x:v>62</x:v>
      </x:c>
      <x:c r="C121" s="23" t="s">
        <x:v>16</x:v>
      </x:c>
      <x:c r="D121" s="23" t="s">
        <x:v>124</x:v>
      </x:c>
      <x:c r="E121" s="23" t="s">
        <x:v>186</x:v>
      </x:c>
      <x:c r="F121" s="23">
        <x:v>27</x:v>
      </x:c>
      <x:c r="G121" s="23">
        <x:v>8</x:v>
      </x:c>
      <x:c r="H121" s="23">
        <x:v>26</x:v>
      </x:c>
      <x:c r="I121" s="23">
        <x:v>7456</x:v>
      </x:c>
      <x:c r="J121" s="23">
        <x:v>19896</x:v>
      </x:c>
      <x:c r="K121" s="23">
        <x:v>0</x:v>
      </x:c>
      <x:c r="L121" s="23" t="s">
        <x:v>335</x:v>
      </x:c>
      <x:c r="M121" s="23">
        <x:f t="shared" si="1"/>
        <x:v>889</x:v>
      </x:c>
      <x:c r="N121" s="24" t="str">
        <x:f t="array" ref="N121">INDEX('MATCH INFO'!O:O, INT((ROW()-2)/10)+2 + 157)</x:f>
        <x:v>260711_CR_ROZE_S2</x:v>
      </x:c>
    </x:row>
    <x:row r="122">
      <x:c r="A122" s="23" t="s">
        <x:v>22</x:v>
      </x:c>
      <x:c r="B122" s="23" t="s">
        <x:v>25</x:v>
      </x:c>
      <x:c r="C122" s="23" t="s">
        <x:v>11</x:v>
      </x:c>
      <x:c r="D122" s="23" t="s">
        <x:v>168</x:v>
      </x:c>
      <x:c r="E122" s="23" t="s">
        <x:v>188</x:v>
      </x:c>
      <x:c r="F122" s="23">
        <x:v>21</x:v>
      </x:c>
      <x:c r="G122" s="23">
        <x:v>8</x:v>
      </x:c>
      <x:c r="H122" s="23">
        <x:v>1</x:v>
      </x:c>
      <x:c r="I122" s="23">
        <x:v>7903</x:v>
      </x:c>
      <x:c r="J122" s="23">
        <x:v>248</x:v>
      </x:c>
      <x:c r="K122" s="23">
        <x:v>649</x:v>
      </x:c>
      <x:c r="L122" s="23" t="s">
        <x:v>336</x:v>
      </x:c>
      <x:c r="M122" s="23">
        <x:f t="shared" si="1"/>
        <x:v>707</x:v>
      </x:c>
      <x:c r="N122" s="24" t="str">
        <x:f t="array" ref="N122">INDEX('MATCH INFO'!O:O, INT((ROW()-2)/10)+2 + 157)</x:f>
        <x:v>260711_CR_ROZE_S3</x:v>
      </x:c>
    </x:row>
    <x:row r="123">
      <x:c r="A123" s="23" t="s">
        <x:v>22</x:v>
      </x:c>
      <x:c r="B123" s="23" t="s">
        <x:v>24</x:v>
      </x:c>
      <x:c r="C123" s="23" t="s">
        <x:v>8</x:v>
      </x:c>
      <x:c r="D123" s="23" t="s">
        <x:v>168</x:v>
      </x:c>
      <x:c r="E123" s="23" t="s">
        <x:v>188</x:v>
      </x:c>
      <x:c r="F123" s="23">
        <x:v>20</x:v>
      </x:c>
      <x:c r="G123" s="23">
        <x:v>5</x:v>
      </x:c>
      <x:c r="H123" s="23">
        <x:v>12</x:v>
      </x:c>
      <x:c r="I123" s="23">
        <x:v>14724</x:v>
      </x:c>
      <x:c r="J123" s="23">
        <x:v>3084</x:v>
      </x:c>
      <x:c r="K123" s="23">
        <x:v>6410</x:v>
      </x:c>
      <x:c r="L123" s="23" t="s">
        <x:v>336</x:v>
      </x:c>
      <x:c r="M123" s="23">
        <x:f t="shared" si="1"/>
        <x:v>707</x:v>
      </x:c>
      <x:c r="N123" s="24" t="str">
        <x:f t="array" ref="N123">INDEX('MATCH INFO'!O:O, INT((ROW()-2)/10)+2 + 157)</x:f>
        <x:v>260711_CR_ROZE_S3</x:v>
      </x:c>
    </x:row>
    <x:row r="124">
      <x:c r="A124" s="23" t="s">
        <x:v>22</x:v>
      </x:c>
      <x:c r="B124" s="23" t="s">
        <x:v>29</x:v>
      </x:c>
      <x:c r="C124" s="23" t="s">
        <x:v>16</x:v>
      </x:c>
      <x:c r="D124" s="23" t="s">
        <x:v>168</x:v>
      </x:c>
      <x:c r="E124" s="23" t="s">
        <x:v>188</x:v>
      </x:c>
      <x:c r="F124" s="23">
        <x:v>17</x:v>
      </x:c>
      <x:c r="G124" s="23">
        <x:v>5</x:v>
      </x:c>
      <x:c r="H124" s="23">
        <x:v>21</x:v>
      </x:c>
      <x:c r="I124" s="23">
        <x:v>5892</x:v>
      </x:c>
      <x:c r="J124" s="23">
        <x:v>16777</x:v>
      </x:c>
      <x:c r="K124" s="23">
        <x:v>0</x:v>
      </x:c>
      <x:c r="L124" s="23" t="s">
        <x:v>336</x:v>
      </x:c>
      <x:c r="M124" s="23">
        <x:f t="shared" si="1"/>
        <x:v>707</x:v>
      </x:c>
      <x:c r="N124" s="24" t="str">
        <x:f t="array" ref="N124">INDEX('MATCH INFO'!O:O, INT((ROW()-2)/10)+2 + 157)</x:f>
        <x:v>260711_CR_ROZE_S3</x:v>
      </x:c>
    </x:row>
    <x:row r="125">
      <x:c r="A125" s="23" t="s">
        <x:v>22</x:v>
      </x:c>
      <x:c r="B125" s="23" t="s">
        <x:v>28</x:v>
      </x:c>
      <x:c r="C125" s="23" t="s">
        <x:v>16</x:v>
      </x:c>
      <x:c r="D125" s="23" t="s">
        <x:v>168</x:v>
      </x:c>
      <x:c r="E125" s="23" t="s">
        <x:v>188</x:v>
      </x:c>
      <x:c r="F125" s="23">
        <x:v>16</x:v>
      </x:c>
      <x:c r="G125" s="23">
        <x:v>9</x:v>
      </x:c>
      <x:c r="H125" s="23">
        <x:v>15</x:v>
      </x:c>
      <x:c r="I125" s="23">
        <x:v>3077</x:v>
      </x:c>
      <x:c r="J125" s="23">
        <x:v>9969</x:v>
      </x:c>
      <x:c r="K125" s="23">
        <x:v>0</x:v>
      </x:c>
      <x:c r="L125" s="23" t="s">
        <x:v>336</x:v>
      </x:c>
      <x:c r="M125" s="23">
        <x:f t="shared" si="1"/>
        <x:v>707</x:v>
      </x:c>
      <x:c r="N125" s="24" t="str">
        <x:f t="array" ref="N125">INDEX('MATCH INFO'!O:O, INT((ROW()-2)/10)+2 + 157)</x:f>
        <x:v>260711_CR_ROZE_S3</x:v>
      </x:c>
    </x:row>
    <x:row r="126">
      <x:c r="A126" s="23" t="s">
        <x:v>22</x:v>
      </x:c>
      <x:c r="B126" s="23" t="s">
        <x:v>27</x:v>
      </x:c>
      <x:c r="C126" s="23" t="s">
        <x:v>11</x:v>
      </x:c>
      <x:c r="D126" s="23" t="s">
        <x:v>168</x:v>
      </x:c>
      <x:c r="E126" s="23" t="s">
        <x:v>188</x:v>
      </x:c>
      <x:c r="F126" s="23">
        <x:v>18</x:v>
      </x:c>
      <x:c r="G126" s="23">
        <x:v>8</x:v>
      </x:c>
      <x:c r="H126" s="23">
        <x:v>2</x:v>
      </x:c>
      <x:c r="I126" s="23">
        <x:v>12950</x:v>
      </x:c>
      <x:c r="J126" s="23">
        <x:v>156</x:v>
      </x:c>
      <x:c r="K126" s="23">
        <x:v>856</x:v>
      </x:c>
      <x:c r="L126" s="23" t="s">
        <x:v>336</x:v>
      </x:c>
      <x:c r="M126" s="23">
        <x:f t="shared" si="1"/>
        <x:v>707</x:v>
      </x:c>
      <x:c r="N126" s="24" t="str">
        <x:f t="array" ref="N126">INDEX('MATCH INFO'!O:O, INT((ROW()-2)/10)+2 + 157)</x:f>
        <x:v>260711_CR_ROZE_S3</x:v>
      </x:c>
    </x:row>
    <x:row r="127">
      <x:c r="A127" s="23" t="s">
        <x:v>55</x:v>
      </x:c>
      <x:c r="B127" s="23" t="s">
        <x:v>61</x:v>
      </x:c>
      <x:c r="C127" s="23" t="s">
        <x:v>16</x:v>
      </x:c>
      <x:c r="D127" s="23" t="s">
        <x:v>168</x:v>
      </x:c>
      <x:c r="E127" s="23" t="s">
        <x:v>188</x:v>
      </x:c>
      <x:c r="F127" s="23">
        <x:v>21</x:v>
      </x:c>
      <x:c r="G127" s="23">
        <x:v>8</x:v>
      </x:c>
      <x:c r="H127" s="23">
        <x:v>14</x:v>
      </x:c>
      <x:c r="I127" s="23">
        <x:v>7400</x:v>
      </x:c>
      <x:c r="J127" s="23">
        <x:v>8032</x:v>
      </x:c>
      <x:c r="K127" s="23">
        <x:v>0</x:v>
      </x:c>
      <x:c r="L127" s="23" t="s">
        <x:v>336</x:v>
      </x:c>
      <x:c r="M127" s="23">
        <x:f t="shared" si="1"/>
        <x:v>707</x:v>
      </x:c>
      <x:c r="N127" s="24" t="str">
        <x:f t="array" ref="N127">INDEX('MATCH INFO'!O:O, INT((ROW()-2)/10)+2 + 157)</x:f>
        <x:v>260711_CR_ROZE_S3</x:v>
      </x:c>
    </x:row>
    <x:row r="128">
      <x:c r="A128" s="23" t="s">
        <x:v>55</x:v>
      </x:c>
      <x:c r="B128" s="23" t="s">
        <x:v>58</x:v>
      </x:c>
      <x:c r="C128" s="23" t="s">
        <x:v>11</x:v>
      </x:c>
      <x:c r="D128" s="23" t="s">
        <x:v>168</x:v>
      </x:c>
      <x:c r="E128" s="23" t="s">
        <x:v>188</x:v>
      </x:c>
      <x:c r="F128" s="23">
        <x:v>25</x:v>
      </x:c>
      <x:c r="G128" s="23">
        <x:v>9</x:v>
      </x:c>
      <x:c r="H128" s="23">
        <x:v>1</x:v>
      </x:c>
      <x:c r="I128" s="23">
        <x:v>11765</x:v>
      </x:c>
      <x:c r="J128" s="23">
        <x:v>0</x:v>
      </x:c>
      <x:c r="K128" s="23">
        <x:v>334</x:v>
      </x:c>
      <x:c r="L128" s="23" t="s">
        <x:v>336</x:v>
      </x:c>
      <x:c r="M128" s="23">
        <x:f t="shared" si="1"/>
        <x:v>707</x:v>
      </x:c>
      <x:c r="N128" s="24" t="str">
        <x:f t="array" ref="N128">INDEX('MATCH INFO'!O:O, INT((ROW()-2)/10)+2 + 157)</x:f>
        <x:v>260711_CR_ROZE_S3</x:v>
      </x:c>
    </x:row>
    <x:row r="129">
      <x:c r="A129" s="23" t="s">
        <x:v>55</x:v>
      </x:c>
      <x:c r="B129" s="23" t="s">
        <x:v>56</x:v>
      </x:c>
      <x:c r="C129" s="23" t="s">
        <x:v>8</x:v>
      </x:c>
      <x:c r="D129" s="23" t="s">
        <x:v>168</x:v>
      </x:c>
      <x:c r="E129" s="23" t="s">
        <x:v>188</x:v>
      </x:c>
      <x:c r="F129" s="23">
        <x:v>20</x:v>
      </x:c>
      <x:c r="G129" s="23">
        <x:v>5</x:v>
      </x:c>
      <x:c r="H129" s="23">
        <x:v>13</x:v>
      </x:c>
      <x:c r="I129" s="23">
        <x:v>12428</x:v>
      </x:c>
      <x:c r="J129" s="23">
        <x:v>1888</x:v>
      </x:c>
      <x:c r="K129" s="23">
        <x:v>8426</x:v>
      </x:c>
      <x:c r="L129" s="23" t="s">
        <x:v>336</x:v>
      </x:c>
      <x:c r="M129" s="23">
        <x:f t="shared" si="1"/>
        <x:v>707</x:v>
      </x:c>
      <x:c r="N129" s="24" t="str">
        <x:f t="array" ref="N129">INDEX('MATCH INFO'!O:O, INT((ROW()-2)/10)+2 + 157)</x:f>
        <x:v>260711_CR_ROZE_S3</x:v>
      </x:c>
    </x:row>
    <x:row r="130">
      <x:c r="A130" s="23" t="s">
        <x:v>55</x:v>
      </x:c>
      <x:c r="B130" s="23" t="s">
        <x:v>59</x:v>
      </x:c>
      <x:c r="C130" s="23" t="s">
        <x:v>11</x:v>
      </x:c>
      <x:c r="D130" s="23" t="s">
        <x:v>168</x:v>
      </x:c>
      <x:c r="E130" s="23" t="s">
        <x:v>188</x:v>
      </x:c>
      <x:c r="F130" s="23">
        <x:v>19</x:v>
      </x:c>
      <x:c r="G130" s="23">
        <x:v>8</x:v>
      </x:c>
      <x:c r="H130" s="23">
        <x:v>6</x:v>
      </x:c>
      <x:c r="I130" s="23">
        <x:v>11296</x:v>
      </x:c>
      <x:c r="J130" s="23">
        <x:v>449</x:v>
      </x:c>
      <x:c r="K130" s="23">
        <x:v>109</x:v>
      </x:c>
      <x:c r="L130" s="23" t="s">
        <x:v>336</x:v>
      </x:c>
      <x:c r="M130" s="23" t="e">
        <x:f t="shared" ref="M130:M193" si="2">L130*86400</x:f>
        <x:v>#VALUE!</x:v>
      </x:c>
      <x:c r="N130" s="24" t="str">
        <x:f t="array" ref="N130">INDEX('MATCH INFO'!O:O, INT((ROW()-2)/10)+2 + 157)</x:f>
        <x:v>260711_CR_ROZE_S3</x:v>
      </x:c>
    </x:row>
    <x:row r="131">
      <x:c r="A131" s="23" t="s">
        <x:v>55</x:v>
      </x:c>
      <x:c r="B131" s="23" t="s">
        <x:v>62</x:v>
      </x:c>
      <x:c r="C131" s="23" t="s">
        <x:v>16</x:v>
      </x:c>
      <x:c r="D131" s="23" t="s">
        <x:v>168</x:v>
      </x:c>
      <x:c r="E131" s="23" t="s">
        <x:v>188</x:v>
      </x:c>
      <x:c r="F131" s="23">
        <x:v>15</x:v>
      </x:c>
      <x:c r="G131" s="23">
        <x:v>6</x:v>
      </x:c>
      <x:c r="H131" s="23">
        <x:v>22</x:v>
      </x:c>
      <x:c r="I131" s="23">
        <x:v>6899</x:v>
      </x:c>
      <x:c r="J131" s="23">
        <x:v>7792</x:v>
      </x:c>
      <x:c r="K131" s="23">
        <x:v>0</x:v>
      </x:c>
      <x:c r="L131" s="23" t="s">
        <x:v>336</x:v>
      </x:c>
      <x:c r="M131" s="23">
        <x:f t="shared" si="2"/>
        <x:v>707</x:v>
      </x:c>
      <x:c r="N131" s="24" t="str">
        <x:f t="array" ref="N131">INDEX('MATCH INFO'!O:O, INT((ROW()-2)/10)+2 + 157)</x:f>
        <x:v>260711_CR_ROZE_S3</x:v>
      </x:c>
    </x:row>
    <x:row r="132">
      <x:c r="A132" s="23" t="s">
        <x:v>22</x:v>
      </x:c>
      <x:c r="B132" s="23" t="s">
        <x:v>25</x:v>
      </x:c>
      <x:c r="C132" s="23" t="s">
        <x:v>11</x:v>
      </x:c>
      <x:c r="D132" s="23" t="s">
        <x:v>145</x:v>
      </x:c>
      <x:c r="E132" s="23" t="s">
        <x:v>195</x:v>
      </x:c>
      <x:c r="F132" s="23">
        <x:v>9</x:v>
      </x:c>
      <x:c r="G132" s="23">
        <x:v>12</x:v>
      </x:c>
      <x:c r="H132" s="23">
        <x:v>4</x:v>
      </x:c>
      <x:c r="I132" s="23">
        <x:v>11700</x:v>
      </x:c>
      <x:c r="J132" s="23">
        <x:v>1614</x:v>
      </x:c>
      <x:c r="K132" s="23">
        <x:v>11127</x:v>
      </x:c>
      <x:c r="L132" s="23" t="s">
        <x:v>337</x:v>
      </x:c>
      <x:c r="M132" s="23">
        <x:f t="shared" si="2"/>
        <x:v>785</x:v>
      </x:c>
      <x:c r="N132" s="24" t="str">
        <x:f t="array" ref="N132">INDEX('MATCH INFO'!O:O, INT((ROW()-2)/10)+2 + 157)</x:f>
        <x:v>260711_CR_ROZE_S4</x:v>
      </x:c>
    </x:row>
    <x:row r="133">
      <x:c r="A133" s="23" t="s">
        <x:v>22</x:v>
      </x:c>
      <x:c r="B133" s="23" t="s">
        <x:v>24</x:v>
      </x:c>
      <x:c r="C133" s="23" t="s">
        <x:v>8</x:v>
      </x:c>
      <x:c r="D133" s="23" t="s">
        <x:v>145</x:v>
      </x:c>
      <x:c r="E133" s="23" t="s">
        <x:v>195</x:v>
      </x:c>
      <x:c r="F133" s="23">
        <x:v>9</x:v>
      </x:c>
      <x:c r="G133" s="23">
        <x:v>11</x:v>
      </x:c>
      <x:c r="H133" s="23">
        <x:v>1</x:v>
      </x:c>
      <x:c r="I133" s="23">
        <x:v>12472</x:v>
      </x:c>
      <x:c r="J133" s="23">
        <x:v>0</x:v>
      </x:c>
      <x:c r="K133" s="23">
        <x:v>32693</x:v>
      </x:c>
      <x:c r="L133" s="23" t="s">
        <x:v>337</x:v>
      </x:c>
      <x:c r="M133" s="23">
        <x:f t="shared" si="2"/>
        <x:v>785</x:v>
      </x:c>
      <x:c r="N133" s="24" t="str">
        <x:f t="array" ref="N133">INDEX('MATCH INFO'!O:O, INT((ROW()-2)/10)+2 + 157)</x:f>
        <x:v>260711_CR_ROZE_S4</x:v>
      </x:c>
    </x:row>
    <x:row r="134">
      <x:c r="A134" s="23" t="s">
        <x:v>22</x:v>
      </x:c>
      <x:c r="B134" s="23" t="s">
        <x:v>29</x:v>
      </x:c>
      <x:c r="C134" s="23" t="s">
        <x:v>16</x:v>
      </x:c>
      <x:c r="D134" s="23" t="s">
        <x:v>145</x:v>
      </x:c>
      <x:c r="E134" s="23" t="s">
        <x:v>195</x:v>
      </x:c>
      <x:c r="F134" s="23">
        <x:v>9</x:v>
      </x:c>
      <x:c r="G134" s="23">
        <x:v>10</x:v>
      </x:c>
      <x:c r="H134" s="23">
        <x:v>9</x:v>
      </x:c>
      <x:c r="I134" s="23">
        <x:v>4434</x:v>
      </x:c>
      <x:c r="J134" s="23">
        <x:v>19245</x:v>
      </x:c>
      <x:c r="K134" s="23">
        <x:v>0</x:v>
      </x:c>
      <x:c r="L134" s="23" t="s">
        <x:v>337</x:v>
      </x:c>
      <x:c r="M134" s="23">
        <x:f t="shared" si="2"/>
        <x:v>785</x:v>
      </x:c>
      <x:c r="N134" s="24" t="str">
        <x:f t="array" ref="N134">INDEX('MATCH INFO'!O:O, INT((ROW()-2)/10)+2 + 157)</x:f>
        <x:v>260711_CR_ROZE_S4</x:v>
      </x:c>
    </x:row>
    <x:row r="135">
      <x:c r="A135" s="23" t="s">
        <x:v>22</x:v>
      </x:c>
      <x:c r="B135" s="23" t="s">
        <x:v>26</x:v>
      </x:c>
      <x:c r="C135" s="23" t="s">
        <x:v>11</x:v>
      </x:c>
      <x:c r="D135" s="23" t="s">
        <x:v>145</x:v>
      </x:c>
      <x:c r="E135" s="23" t="s">
        <x:v>195</x:v>
      </x:c>
      <x:c r="F135" s="23">
        <x:v>14</x:v>
      </x:c>
      <x:c r="G135" s="23">
        <x:v>11</x:v>
      </x:c>
      <x:c r="H135" s="23">
        <x:v>0</x:v>
      </x:c>
      <x:c r="I135" s="23">
        <x:v>9983</x:v>
      </x:c>
      <x:c r="J135" s="23">
        <x:v>59</x:v>
      </x:c>
      <x:c r="K135" s="23">
        <x:v>0</x:v>
      </x:c>
      <x:c r="L135" s="23" t="s">
        <x:v>337</x:v>
      </x:c>
      <x:c r="M135" s="23">
        <x:f t="shared" si="2"/>
        <x:v>785</x:v>
      </x:c>
      <x:c r="N135" s="24" t="str">
        <x:f t="array" ref="N135">INDEX('MATCH INFO'!O:O, INT((ROW()-2)/10)+2 + 157)</x:f>
        <x:v>260711_CR_ROZE_S4</x:v>
      </x:c>
    </x:row>
    <x:row r="136">
      <x:c r="A136" s="23" t="s">
        <x:v>22</x:v>
      </x:c>
      <x:c r="B136" s="23" t="s">
        <x:v>28</x:v>
      </x:c>
      <x:c r="C136" s="23" t="s">
        <x:v>16</x:v>
      </x:c>
      <x:c r="D136" s="23" t="s">
        <x:v>145</x:v>
      </x:c>
      <x:c r="E136" s="23" t="s">
        <x:v>195</x:v>
      </x:c>
      <x:c r="F136" s="23">
        <x:v>8</x:v>
      </x:c>
      <x:c r="G136" s="23">
        <x:v>13</x:v>
      </x:c>
      <x:c r="H136" s="23">
        <x:v>12</x:v>
      </x:c>
      <x:c r="I136" s="23">
        <x:v>5919</x:v>
      </x:c>
      <x:c r="J136" s="23">
        <x:v>14975</x:v>
      </x:c>
      <x:c r="K136" s="23">
        <x:v>2566</x:v>
      </x:c>
      <x:c r="L136" s="23" t="s">
        <x:v>337</x:v>
      </x:c>
      <x:c r="M136" s="23">
        <x:f t="shared" si="2"/>
        <x:v>785</x:v>
      </x:c>
      <x:c r="N136" s="24" t="str">
        <x:f t="array" ref="N136">INDEX('MATCH INFO'!O:O, INT((ROW()-2)/10)+2 + 157)</x:f>
        <x:v>260711_CR_ROZE_S4</x:v>
      </x:c>
    </x:row>
    <x:row r="137">
      <x:c r="A137" s="23" t="s">
        <x:v>55</x:v>
      </x:c>
      <x:c r="B137" s="23" t="s">
        <x:v>61</x:v>
      </x:c>
      <x:c r="C137" s="23" t="s">
        <x:v>16</x:v>
      </x:c>
      <x:c r="D137" s="23" t="s">
        <x:v>145</x:v>
      </x:c>
      <x:c r="E137" s="23" t="s">
        <x:v>195</x:v>
      </x:c>
      <x:c r="F137" s="23">
        <x:v>36</x:v>
      </x:c>
      <x:c r="G137" s="23">
        <x:v>4</x:v>
      </x:c>
      <x:c r="H137" s="23">
        <x:v>37</x:v>
      </x:c>
      <x:c r="I137" s="23">
        <x:v>9702</x:v>
      </x:c>
      <x:c r="J137" s="23">
        <x:v>16411</x:v>
      </x:c>
      <x:c r="K137" s="23">
        <x:v>4276</x:v>
      </x:c>
      <x:c r="L137" s="23" t="s">
        <x:v>337</x:v>
      </x:c>
      <x:c r="M137" s="23">
        <x:f t="shared" si="2"/>
        <x:v>785</x:v>
      </x:c>
      <x:c r="N137" s="24" t="str">
        <x:f t="array" ref="N137">INDEX('MATCH INFO'!O:O, INT((ROW()-2)/10)+2 + 157)</x:f>
        <x:v>260711_CR_ROZE_S4</x:v>
      </x:c>
    </x:row>
    <x:row r="138">
      <x:c r="A138" s="23" t="s">
        <x:v>55</x:v>
      </x:c>
      <x:c r="B138" s="23" t="s">
        <x:v>58</x:v>
      </x:c>
      <x:c r="C138" s="23" t="s">
        <x:v>11</x:v>
      </x:c>
      <x:c r="D138" s="23" t="s">
        <x:v>145</x:v>
      </x:c>
      <x:c r="E138" s="23" t="s">
        <x:v>195</x:v>
      </x:c>
      <x:c r="F138" s="23">
        <x:v>45</x:v>
      </x:c>
      <x:c r="G138" s="23">
        <x:v>4</x:v>
      </x:c>
      <x:c r="H138" s="23">
        <x:v>7</x:v>
      </x:c>
      <x:c r="I138" s="23">
        <x:v>14443</x:v>
      </x:c>
      <x:c r="J138" s="23">
        <x:v>1366</x:v>
      </x:c>
      <x:c r="K138" s="23">
        <x:v>8265</x:v>
      </x:c>
      <x:c r="L138" s="23" t="s">
        <x:v>337</x:v>
      </x:c>
      <x:c r="M138" s="23">
        <x:f t="shared" si="2"/>
        <x:v>785</x:v>
      </x:c>
      <x:c r="N138" s="24" t="str">
        <x:f t="array" ref="N138">INDEX('MATCH INFO'!O:O, INT((ROW()-2)/10)+2 + 157)</x:f>
        <x:v>260711_CR_ROZE_S4</x:v>
      </x:c>
    </x:row>
    <x:row r="139">
      <x:c r="A139" s="23" t="s">
        <x:v>55</x:v>
      </x:c>
      <x:c r="B139" s="23" t="s">
        <x:v>59</x:v>
      </x:c>
      <x:c r="C139" s="23" t="s">
        <x:v>11</x:v>
      </x:c>
      <x:c r="D139" s="23" t="s">
        <x:v>145</x:v>
      </x:c>
      <x:c r="E139" s="23" t="s">
        <x:v>195</x:v>
      </x:c>
      <x:c r="F139" s="23">
        <x:v>37</x:v>
      </x:c>
      <x:c r="G139" s="23">
        <x:v>4</x:v>
      </x:c>
      <x:c r="H139" s="23">
        <x:v>0</x:v>
      </x:c>
      <x:c r="I139" s="23">
        <x:v>13698</x:v>
      </x:c>
      <x:c r="J139" s="23">
        <x:v>0</x:v>
      </x:c>
      <x:c r="K139" s="23">
        <x:v>0</x:v>
      </x:c>
      <x:c r="L139" s="23" t="s">
        <x:v>337</x:v>
      </x:c>
      <x:c r="M139" s="23">
        <x:f t="shared" si="2"/>
        <x:v>785</x:v>
      </x:c>
      <x:c r="N139" s="24" t="str">
        <x:f t="array" ref="N139">INDEX('MATCH INFO'!O:O, INT((ROW()-2)/10)+2 + 157)</x:f>
        <x:v>260711_CR_ROZE_S4</x:v>
      </x:c>
    </x:row>
    <x:row r="140">
      <x:c r="A140" s="23" t="s">
        <x:v>55</x:v>
      </x:c>
      <x:c r="B140" s="23" t="s">
        <x:v>57</x:v>
      </x:c>
      <x:c r="C140" s="23" t="s">
        <x:v>8</x:v>
      </x:c>
      <x:c r="D140" s="23" t="s">
        <x:v>145</x:v>
      </x:c>
      <x:c r="E140" s="23" t="s">
        <x:v>195</x:v>
      </x:c>
      <x:c r="F140" s="23">
        <x:v>37</x:v>
      </x:c>
      <x:c r="G140" s="23">
        <x:v>4</x:v>
      </x:c>
      <x:c r="H140" s="23">
        <x:v>5</x:v>
      </x:c>
      <x:c r="I140" s="23">
        <x:v>17580</x:v>
      </x:c>
      <x:c r="J140" s="23">
        <x:v>0</x:v>
      </x:c>
      <x:c r="K140" s="23">
        <x:v>27632</x:v>
      </x:c>
      <x:c r="L140" s="23" t="s">
        <x:v>337</x:v>
      </x:c>
      <x:c r="M140" s="23">
        <x:f t="shared" si="2"/>
        <x:v>785</x:v>
      </x:c>
      <x:c r="N140" s="24" t="str">
        <x:f t="array" ref="N140">INDEX('MATCH INFO'!O:O, INT((ROW()-2)/10)+2 + 157)</x:f>
        <x:v>260711_CR_ROZE_S4</x:v>
      </x:c>
    </x:row>
    <x:row r="141">
      <x:c r="A141" s="23" t="s">
        <x:v>55</x:v>
      </x:c>
      <x:c r="B141" s="23" t="s">
        <x:v>62</x:v>
      </x:c>
      <x:c r="C141" s="23" t="s">
        <x:v>16</x:v>
      </x:c>
      <x:c r="D141" s="23" t="s">
        <x:v>145</x:v>
      </x:c>
      <x:c r="E141" s="23" t="s">
        <x:v>195</x:v>
      </x:c>
      <x:c r="F141" s="23">
        <x:v>27</x:v>
      </x:c>
      <x:c r="G141" s="23">
        <x:v>1</x:v>
      </x:c>
      <x:c r="H141" s="23">
        <x:v>37</x:v>
      </x:c>
      <x:c r="I141" s="23">
        <x:v>4858</x:v>
      </x:c>
      <x:c r="J141" s="23">
        <x:v>16002</x:v>
      </x:c>
      <x:c r="K141" s="23">
        <x:v>0</x:v>
      </x:c>
      <x:c r="L141" s="23" t="s">
        <x:v>337</x:v>
      </x:c>
      <x:c r="M141" s="23">
        <x:f t="shared" si="2"/>
        <x:v>785</x:v>
      </x:c>
      <x:c r="N141" s="24" t="str">
        <x:f t="array" ref="N141">INDEX('MATCH INFO'!O:O, INT((ROW()-2)/10)+2 + 157)</x:f>
        <x:v>260711_CR_ROZE_S4</x:v>
      </x:c>
    </x:row>
    <x:row r="142">
      <x:c r="A142" s="23" t="s">
        <x:v>55</x:v>
      </x:c>
      <x:c r="B142" s="23" t="s">
        <x:v>61</x:v>
      </x:c>
      <x:c r="C142" s="23" t="s">
        <x:v>16</x:v>
      </x:c>
      <x:c r="D142" s="23" t="s">
        <x:v>166</x:v>
      </x:c>
      <x:c r="E142" s="23" t="s">
        <x:v>191</x:v>
      </x:c>
      <x:c r="F142" s="23">
        <x:v>28</x:v>
      </x:c>
      <x:c r="G142" s="23">
        <x:v>3</x:v>
      </x:c>
      <x:c r="H142" s="23">
        <x:v>25</x:v>
      </x:c>
      <x:c r="I142" s="23">
        <x:v>6345</x:v>
      </x:c>
      <x:c r="J142" s="23">
        <x:v>6392</x:v>
      </x:c>
      <x:c r="K142" s="23">
        <x:v>873</x:v>
      </x:c>
      <x:c r="L142" s="23" t="s">
        <x:v>338</x:v>
      </x:c>
      <x:c r="M142" s="23">
        <x:f t="shared" si="2"/>
        <x:v>549</x:v>
      </x:c>
      <x:c r="N142" s="24" t="str">
        <x:f t="array" ref="N142">INDEX('MATCH INFO'!O:O, INT((ROW()-2)/10)+2 + 157)</x:f>
        <x:v>260711_CR_ROZE_S5</x:v>
      </x:c>
    </x:row>
    <x:row r="143">
      <x:c r="A143" s="23" t="s">
        <x:v>55</x:v>
      </x:c>
      <x:c r="B143" s="23" t="s">
        <x:v>58</x:v>
      </x:c>
      <x:c r="C143" s="23" t="s">
        <x:v>11</x:v>
      </x:c>
      <x:c r="D143" s="23" t="s">
        <x:v>166</x:v>
      </x:c>
      <x:c r="E143" s="23" t="s">
        <x:v>191</x:v>
      </x:c>
      <x:c r="F143" s="23">
        <x:v>28</x:v>
      </x:c>
      <x:c r="G143" s="23">
        <x:v>4</x:v>
      </x:c>
      <x:c r="H143" s="23">
        <x:v>9</x:v>
      </x:c>
      <x:c r="I143" s="23">
        <x:v>9720</x:v>
      </x:c>
      <x:c r="J143" s="23">
        <x:v>733</x:v>
      </x:c>
      <x:c r="K143" s="23">
        <x:v>5155</x:v>
      </x:c>
      <x:c r="L143" s="23" t="s">
        <x:v>338</x:v>
      </x:c>
      <x:c r="M143" s="23">
        <x:f t="shared" si="2"/>
        <x:v>549</x:v>
      </x:c>
      <x:c r="N143" s="24" t="str">
        <x:f t="array" ref="N143">INDEX('MATCH INFO'!O:O, INT((ROW()-2)/10)+2 + 157)</x:f>
        <x:v>260711_CR_ROZE_S5</x:v>
      </x:c>
    </x:row>
    <x:row r="144">
      <x:c r="A144" s="23" t="s">
        <x:v>55</x:v>
      </x:c>
      <x:c r="B144" s="23" t="s">
        <x:v>59</x:v>
      </x:c>
      <x:c r="C144" s="23" t="s">
        <x:v>11</x:v>
      </x:c>
      <x:c r="D144" s="23" t="s">
        <x:v>166</x:v>
      </x:c>
      <x:c r="E144" s="23" t="s">
        <x:v>191</x:v>
      </x:c>
      <x:c r="F144" s="23">
        <x:v>26</x:v>
      </x:c>
      <x:c r="G144" s="23">
        <x:v>4</x:v>
      </x:c>
      <x:c r="H144" s="23">
        <x:v>3</x:v>
      </x:c>
      <x:c r="I144" s="23">
        <x:v>9609</x:v>
      </x:c>
      <x:c r="J144" s="23">
        <x:v>98</x:v>
      </x:c>
      <x:c r="K144" s="23">
        <x:v>266</x:v>
      </x:c>
      <x:c r="L144" s="23" t="s">
        <x:v>338</x:v>
      </x:c>
      <x:c r="M144" s="23">
        <x:f t="shared" si="2"/>
        <x:v>549</x:v>
      </x:c>
      <x:c r="N144" s="24" t="str">
        <x:f t="array" ref="N144">INDEX('MATCH INFO'!O:O, INT((ROW()-2)/10)+2 + 157)</x:f>
        <x:v>260711_CR_ROZE_S5</x:v>
      </x:c>
    </x:row>
    <x:row r="145">
      <x:c r="A145" s="23" t="s">
        <x:v>55</x:v>
      </x:c>
      <x:c r="B145" s="23" t="s">
        <x:v>57</x:v>
      </x:c>
      <x:c r="C145" s="23" t="s">
        <x:v>8</x:v>
      </x:c>
      <x:c r="D145" s="23" t="s">
        <x:v>166</x:v>
      </x:c>
      <x:c r="E145" s="23" t="s">
        <x:v>191</x:v>
      </x:c>
      <x:c r="F145" s="23">
        <x:v>32</x:v>
      </x:c>
      <x:c r="G145" s="23">
        <x:v>3</x:v>
      </x:c>
      <x:c r="H145" s="23">
        <x:v>21</x:v>
      </x:c>
      <x:c r="I145" s="23">
        <x:v>9064</x:v>
      </x:c>
      <x:c r="J145" s="23">
        <x:v>1586</x:v>
      </x:c>
      <x:c r="K145" s="23">
        <x:v>13685</x:v>
      </x:c>
      <x:c r="L145" s="23" t="s">
        <x:v>338</x:v>
      </x:c>
      <x:c r="M145" s="23">
        <x:f t="shared" si="2"/>
        <x:v>549</x:v>
      </x:c>
      <x:c r="N145" s="24" t="str">
        <x:f t="array" ref="N145">INDEX('MATCH INFO'!O:O, INT((ROW()-2)/10)+2 + 157)</x:f>
        <x:v>260711_CR_ROZE_S5</x:v>
      </x:c>
    </x:row>
    <x:row r="146">
      <x:c r="A146" s="23" t="s">
        <x:v>55</x:v>
      </x:c>
      <x:c r="B146" s="23" t="s">
        <x:v>62</x:v>
      </x:c>
      <x:c r="C146" s="23" t="s">
        <x:v>16</x:v>
      </x:c>
      <x:c r="D146" s="23" t="s">
        <x:v>166</x:v>
      </x:c>
      <x:c r="E146" s="23" t="s">
        <x:v>191</x:v>
      </x:c>
      <x:c r="F146" s="23">
        <x:v>20</x:v>
      </x:c>
      <x:c r="G146" s="23">
        <x:v>3</x:v>
      </x:c>
      <x:c r="H146" s="23">
        <x:v>30</x:v>
      </x:c>
      <x:c r="I146" s="23">
        <x:v>4815</x:v>
      </x:c>
      <x:c r="J146" s="23">
        <x:v>10896</x:v>
      </x:c>
      <x:c r="K146" s="23">
        <x:v>0</x:v>
      </x:c>
      <x:c r="L146" s="23" t="s">
        <x:v>338</x:v>
      </x:c>
      <x:c r="M146" s="23">
        <x:f t="shared" si="2"/>
        <x:v>549</x:v>
      </x:c>
      <x:c r="N146" s="24" t="str">
        <x:f t="array" ref="N146">INDEX('MATCH INFO'!O:O, INT((ROW()-2)/10)+2 + 157)</x:f>
        <x:v>260711_CR_ROZE_S5</x:v>
      </x:c>
    </x:row>
    <x:row r="147">
      <x:c r="A147" s="23" t="s">
        <x:v>22</x:v>
      </x:c>
      <x:c r="B147" s="23" t="s">
        <x:v>25</x:v>
      </x:c>
      <x:c r="C147" s="23" t="s">
        <x:v>11</x:v>
      </x:c>
      <x:c r="D147" s="23" t="s">
        <x:v>166</x:v>
      </x:c>
      <x:c r="E147" s="23" t="s">
        <x:v>191</x:v>
      </x:c>
      <x:c r="F147" s="23">
        <x:v>14</x:v>
      </x:c>
      <x:c r="G147" s="23">
        <x:v>8</x:v>
      </x:c>
      <x:c r="H147" s="23">
        <x:v>1</x:v>
      </x:c>
      <x:c r="I147" s="23">
        <x:v>9213</x:v>
      </x:c>
      <x:c r="J147" s="23">
        <x:v>1405</x:v>
      </x:c>
      <x:c r="K147" s="23">
        <x:v>2907</x:v>
      </x:c>
      <x:c r="L147" s="23" t="s">
        <x:v>338</x:v>
      </x:c>
      <x:c r="M147" s="23">
        <x:f t="shared" si="2"/>
        <x:v>549</x:v>
      </x:c>
      <x:c r="N147" s="24" t="str">
        <x:f t="array" ref="N147">INDEX('MATCH INFO'!O:O, INT((ROW()-2)/10)+2 + 157)</x:f>
        <x:v>260711_CR_ROZE_S5</x:v>
      </x:c>
    </x:row>
    <x:row r="148">
      <x:c r="A148" s="23" t="s">
        <x:v>22</x:v>
      </x:c>
      <x:c r="B148" s="23" t="s">
        <x:v>24</x:v>
      </x:c>
      <x:c r="C148" s="23" t="s">
        <x:v>8</x:v>
      </x:c>
      <x:c r="D148" s="23" t="s">
        <x:v>166</x:v>
      </x:c>
      <x:c r="E148" s="23" t="s">
        <x:v>191</x:v>
      </x:c>
      <x:c r="F148" s="23">
        <x:v>9</x:v>
      </x:c>
      <x:c r="G148" s="23">
        <x:v>10</x:v>
      </x:c>
      <x:c r="H148" s="23">
        <x:v>4</x:v>
      </x:c>
      <x:c r="I148" s="23">
        <x:v>6273</x:v>
      </x:c>
      <x:c r="J148" s="23">
        <x:v>1502</x:v>
      </x:c>
      <x:c r="K148" s="23">
        <x:v>10373</x:v>
      </x:c>
      <x:c r="L148" s="23" t="s">
        <x:v>338</x:v>
      </x:c>
      <x:c r="M148" s="23">
        <x:f t="shared" si="2"/>
        <x:v>549</x:v>
      </x:c>
      <x:c r="N148" s="24" t="str">
        <x:f t="array" ref="N148">INDEX('MATCH INFO'!O:O, INT((ROW()-2)/10)+2 + 157)</x:f>
        <x:v>260711_CR_ROZE_S5</x:v>
      </x:c>
    </x:row>
    <x:row r="149">
      <x:c r="A149" s="23" t="s">
        <x:v>22</x:v>
      </x:c>
      <x:c r="B149" s="23" t="s">
        <x:v>29</x:v>
      </x:c>
      <x:c r="C149" s="23" t="s">
        <x:v>16</x:v>
      </x:c>
      <x:c r="D149" s="23" t="s">
        <x:v>166</x:v>
      </x:c>
      <x:c r="E149" s="23" t="s">
        <x:v>191</x:v>
      </x:c>
      <x:c r="F149" s="23">
        <x:v>7</x:v>
      </x:c>
      <x:c r="G149" s="23">
        <x:v>8</x:v>
      </x:c>
      <x:c r="H149" s="23">
        <x:v>9</x:v>
      </x:c>
      <x:c r="I149" s="23">
        <x:v>3629</x:v>
      </x:c>
      <x:c r="J149" s="23">
        <x:v>9374</x:v>
      </x:c>
      <x:c r="K149" s="23">
        <x:v>0</x:v>
      </x:c>
      <x:c r="L149" s="23" t="s">
        <x:v>338</x:v>
      </x:c>
      <x:c r="M149" s="23">
        <x:f t="shared" si="2"/>
        <x:v>549</x:v>
      </x:c>
      <x:c r="N149" s="24" t="str">
        <x:f t="array" ref="N149">INDEX('MATCH INFO'!O:O, INT((ROW()-2)/10)+2 + 157)</x:f>
        <x:v>260711_CR_ROZE_S5</x:v>
      </x:c>
    </x:row>
    <x:row r="150">
      <x:c r="A150" s="23" t="s">
        <x:v>22</x:v>
      </x:c>
      <x:c r="B150" s="23" t="s">
        <x:v>26</x:v>
      </x:c>
      <x:c r="C150" s="23" t="s">
        <x:v>11</x:v>
      </x:c>
      <x:c r="D150" s="23" t="s">
        <x:v>166</x:v>
      </x:c>
      <x:c r="E150" s="23" t="s">
        <x:v>191</x:v>
      </x:c>
      <x:c r="F150" s="23">
        <x:v>13</x:v>
      </x:c>
      <x:c r="G150" s="23">
        <x:v>10</x:v>
      </x:c>
      <x:c r="H150" s="23">
        <x:v>1</x:v>
      </x:c>
      <x:c r="I150" s="23">
        <x:v>7762</x:v>
      </x:c>
      <x:c r="J150" s="23">
        <x:v>505</x:v>
      </x:c>
      <x:c r="K150" s="23">
        <x:v>1173</x:v>
      </x:c>
      <x:c r="L150" s="23" t="s">
        <x:v>338</x:v>
      </x:c>
      <x:c r="M150" s="23">
        <x:f t="shared" si="2"/>
        <x:v>549</x:v>
      </x:c>
      <x:c r="N150" s="24" t="str">
        <x:f t="array" ref="N150">INDEX('MATCH INFO'!O:O, INT((ROW()-2)/10)+2 + 157)</x:f>
        <x:v>260711_CR_ROZE_S5</x:v>
      </x:c>
    </x:row>
    <x:row r="151">
      <x:c r="A151" s="23" t="s">
        <x:v>22</x:v>
      </x:c>
      <x:c r="B151" s="23" t="s">
        <x:v>28</x:v>
      </x:c>
      <x:c r="C151" s="23" t="s">
        <x:v>16</x:v>
      </x:c>
      <x:c r="D151" s="23" t="s">
        <x:v>166</x:v>
      </x:c>
      <x:c r="E151" s="23" t="s">
        <x:v>191</x:v>
      </x:c>
      <x:c r="F151" s="23">
        <x:v>8</x:v>
      </x:c>
      <x:c r="G151" s="23">
        <x:v>10</x:v>
      </x:c>
      <x:c r="H151" s="23">
        <x:v>7</x:v>
      </x:c>
      <x:c r="I151" s="23">
        <x:v>2770</x:v>
      </x:c>
      <x:c r="J151" s="23">
        <x:v>6577</x:v>
      </x:c>
      <x:c r="K151" s="23">
        <x:v>811</x:v>
      </x:c>
      <x:c r="L151" s="23" t="s">
        <x:v>338</x:v>
      </x:c>
      <x:c r="M151" s="23">
        <x:f t="shared" si="2"/>
        <x:v>549</x:v>
      </x:c>
      <x:c r="N151" s="24" t="str">
        <x:f t="array" ref="N151">INDEX('MATCH INFO'!O:O, INT((ROW()-2)/10)+2 + 157)</x:f>
        <x:v>260711_CR_ROZE_S5</x:v>
      </x:c>
    </x:row>
    <x:row r="152">
      <x:c r="A152" s="23" t="s">
        <x:v>63</x:v>
      </x:c>
      <x:c r="B152" s="23" t="s">
        <x:v>69</x:v>
      </x:c>
      <x:c r="C152" s="23" t="s">
        <x:v>16</x:v>
      </x:c>
      <x:c r="D152" s="23" t="s">
        <x:v>116</x:v>
      </x:c>
      <x:c r="E152" s="23" t="s">
        <x:v>184</x:v>
      </x:c>
      <x:c r="F152" s="23">
        <x:v>12</x:v>
      </x:c>
      <x:c r="G152" s="23">
        <x:v>6</x:v>
      </x:c>
      <x:c r="H152" s="23">
        <x:v>19</x:v>
      </x:c>
      <x:c r="I152" s="23">
        <x:v>3600</x:v>
      </x:c>
      <x:c r="J152" s="23">
        <x:v>6999</x:v>
      </x:c>
      <x:c r="K152" s="23">
        <x:v>1340</x:v>
      </x:c>
      <x:c r="L152" s="23" t="s">
        <x:v>263</x:v>
      </x:c>
      <x:c r="M152" s="23">
        <x:f t="shared" si="2"/>
        <x:v>593</x:v>
      </x:c>
      <x:c r="N152" s="24" t="str">
        <x:f t="array" ref="N152">INDEX('MATCH INFO'!O:O, INT((ROW()-2)/10)+2 + 157)</x:f>
        <x:v>260711_T1_ZETA_S1</x:v>
      </x:c>
    </x:row>
    <x:row r="153">
      <x:c r="A153" s="23" t="s">
        <x:v>63</x:v>
      </x:c>
      <x:c r="B153" s="23" t="s">
        <x:v>64</x:v>
      </x:c>
      <x:c r="C153" s="23" t="s">
        <x:v>8</x:v>
      </x:c>
      <x:c r="D153" s="23" t="s">
        <x:v>116</x:v>
      </x:c>
      <x:c r="E153" s="23" t="s">
        <x:v>184</x:v>
      </x:c>
      <x:c r="F153" s="23">
        <x:v>26</x:v>
      </x:c>
      <x:c r="G153" s="23">
        <x:v>5</x:v>
      </x:c>
      <x:c r="H153" s="23">
        <x:v>17</x:v>
      </x:c>
      <x:c r="I153" s="23">
        <x:v>12912</x:v>
      </x:c>
      <x:c r="J153" s="23">
        <x:v>2736</x:v>
      </x:c>
      <x:c r="K153" s="23">
        <x:v>5804</x:v>
      </x:c>
      <x:c r="L153" s="23" t="s">
        <x:v>263</x:v>
      </x:c>
      <x:c r="M153" s="23">
        <x:f t="shared" si="2"/>
        <x:v>593</x:v>
      </x:c>
      <x:c r="N153" s="24" t="str">
        <x:f t="array" ref="N153">INDEX('MATCH INFO'!O:O, INT((ROW()-2)/10)+2 + 157)</x:f>
        <x:v>260711_T1_ZETA_S1</x:v>
      </x:c>
    </x:row>
    <x:row r="154">
      <x:c r="A154" s="23" t="s">
        <x:v>63</x:v>
      </x:c>
      <x:c r="B154" s="23" t="s">
        <x:v>67</x:v>
      </x:c>
      <x:c r="C154" s="23" t="s">
        <x:v>11</x:v>
      </x:c>
      <x:c r="D154" s="23" t="s">
        <x:v>116</x:v>
      </x:c>
      <x:c r="E154" s="23" t="s">
        <x:v>184</x:v>
      </x:c>
      <x:c r="F154" s="23">
        <x:v>26</x:v>
      </x:c>
      <x:c r="G154" s="23">
        <x:v>6</x:v>
      </x:c>
      <x:c r="H154" s="23">
        <x:v>0</x:v>
      </x:c>
      <x:c r="I154" s="23">
        <x:v>9642</x:v>
      </x:c>
      <x:c r="J154" s="23">
        <x:v>0</x:v>
      </x:c>
      <x:c r="K154" s="23">
        <x:v>9</x:v>
      </x:c>
      <x:c r="L154" s="23" t="s">
        <x:v>263</x:v>
      </x:c>
      <x:c r="M154" s="23">
        <x:f t="shared" si="2"/>
        <x:v>593</x:v>
      </x:c>
      <x:c r="N154" s="24" t="str">
        <x:f t="array" ref="N154">INDEX('MATCH INFO'!O:O, INT((ROW()-2)/10)+2 + 157)</x:f>
        <x:v>260711_T1_ZETA_S1</x:v>
      </x:c>
    </x:row>
    <x:row r="155">
      <x:c r="A155" s="23" t="s">
        <x:v>63</x:v>
      </x:c>
      <x:c r="B155" s="23" t="s">
        <x:v>70</x:v>
      </x:c>
      <x:c r="C155" s="23" t="s">
        <x:v>16</x:v>
      </x:c>
      <x:c r="D155" s="23" t="s">
        <x:v>116</x:v>
      </x:c>
      <x:c r="E155" s="23" t="s">
        <x:v>184</x:v>
      </x:c>
      <x:c r="F155" s="23">
        <x:v>11</x:v>
      </x:c>
      <x:c r="G155" s="23">
        <x:v>6</x:v>
      </x:c>
      <x:c r="H155" s="23">
        <x:v>25</x:v>
      </x:c>
      <x:c r="I155" s="23">
        <x:v>4258</x:v>
      </x:c>
      <x:c r="J155" s="23">
        <x:v>12441</x:v>
      </x:c>
      <x:c r="K155" s="23">
        <x:v>0</x:v>
      </x:c>
      <x:c r="L155" s="23" t="s">
        <x:v>263</x:v>
      </x:c>
      <x:c r="M155" s="23">
        <x:f t="shared" si="2"/>
        <x:v>593</x:v>
      </x:c>
      <x:c r="N155" s="24" t="str">
        <x:f t="array" ref="N155">INDEX('MATCH INFO'!O:O, INT((ROW()-2)/10)+2 + 157)</x:f>
        <x:v>260711_T1_ZETA_S1</x:v>
      </x:c>
    </x:row>
    <x:row r="156">
      <x:c r="A156" s="23" t="s">
        <x:v>63</x:v>
      </x:c>
      <x:c r="B156" s="23" t="s">
        <x:v>66</x:v>
      </x:c>
      <x:c r="C156" s="23" t="s">
        <x:v>11</x:v>
      </x:c>
      <x:c r="D156" s="23" t="s">
        <x:v>116</x:v>
      </x:c>
      <x:c r="E156" s="23" t="s">
        <x:v>184</x:v>
      </x:c>
      <x:c r="F156" s="23">
        <x:v>20</x:v>
      </x:c>
      <x:c r="G156" s="23">
        <x:v>9</x:v>
      </x:c>
      <x:c r="H156" s="23">
        <x:v>5</x:v>
      </x:c>
      <x:c r="I156" s="23">
        <x:v>6483</x:v>
      </x:c>
      <x:c r="J156" s="23">
        <x:v>330</x:v>
      </x:c>
      <x:c r="K156" s="23">
        <x:v>415</x:v>
      </x:c>
      <x:c r="L156" s="23" t="s">
        <x:v>263</x:v>
      </x:c>
      <x:c r="M156" s="23">
        <x:f t="shared" si="2"/>
        <x:v>593</x:v>
      </x:c>
      <x:c r="N156" s="24" t="str">
        <x:f t="array" ref="N156">INDEX('MATCH INFO'!O:O, INT((ROW()-2)/10)+2 + 157)</x:f>
        <x:v>260711_T1_ZETA_S1</x:v>
      </x:c>
    </x:row>
    <x:row r="157">
      <x:c r="A157" s="23" t="s">
        <x:v>47</x:v>
      </x:c>
      <x:c r="B157" s="23" t="s">
        <x:v>49</x:v>
      </x:c>
      <x:c r="C157" s="23" t="s">
        <x:v>8</x:v>
      </x:c>
      <x:c r="D157" s="23" t="s">
        <x:v>116</x:v>
      </x:c>
      <x:c r="E157" s="23" t="s">
        <x:v>184</x:v>
      </x:c>
      <x:c r="F157" s="23">
        <x:v>20</x:v>
      </x:c>
      <x:c r="G157" s="23">
        <x:v>7</x:v>
      </x:c>
      <x:c r="H157" s="23">
        <x:v>9</x:v>
      </x:c>
      <x:c r="I157" s="23">
        <x:v>11859</x:v>
      </x:c>
      <x:c r="J157" s="23">
        <x:v>1040</x:v>
      </x:c>
      <x:c r="K157" s="23">
        <x:v>8645</x:v>
      </x:c>
      <x:c r="L157" s="23" t="s">
        <x:v>263</x:v>
      </x:c>
      <x:c r="M157" s="23">
        <x:f t="shared" si="2"/>
        <x:v>593</x:v>
      </x:c>
      <x:c r="N157" s="24" t="str">
        <x:f t="array" ref="N157">INDEX('MATCH INFO'!O:O, INT((ROW()-2)/10)+2 + 157)</x:f>
        <x:v>260711_T1_ZETA_S1</x:v>
      </x:c>
    </x:row>
    <x:row r="158">
      <x:c r="A158" s="23" t="s">
        <x:v>47</x:v>
      </x:c>
      <x:c r="B158" s="23" t="s">
        <x:v>51</x:v>
      </x:c>
      <x:c r="C158" s="23" t="s">
        <x:v>11</x:v>
      </x:c>
      <x:c r="D158" s="23" t="s">
        <x:v>116</x:v>
      </x:c>
      <x:c r="E158" s="23" t="s">
        <x:v>184</x:v>
      </x:c>
      <x:c r="F158" s="23">
        <x:v>22</x:v>
      </x:c>
      <x:c r="G158" s="23">
        <x:v>7</x:v>
      </x:c>
      <x:c r="H158" s="23">
        <x:v>0</x:v>
      </x:c>
      <x:c r="I158" s="23">
        <x:v>9190</x:v>
      </x:c>
      <x:c r="J158" s="23">
        <x:v>0</x:v>
      </x:c>
      <x:c r="K158" s="23">
        <x:v>0</x:v>
      </x:c>
      <x:c r="L158" s="23" t="s">
        <x:v>263</x:v>
      </x:c>
      <x:c r="M158" s="23">
        <x:f t="shared" si="2"/>
        <x:v>593</x:v>
      </x:c>
      <x:c r="N158" s="24" t="str">
        <x:f t="array" ref="N158">INDEX('MATCH INFO'!O:O, INT((ROW()-2)/10)+2 + 157)</x:f>
        <x:v>260711_T1_ZETA_S1</x:v>
      </x:c>
    </x:row>
    <x:row r="159">
      <x:c r="A159" s="23" t="s">
        <x:v>47</x:v>
      </x:c>
      <x:c r="B159" s="23" t="s">
        <x:v>50</x:v>
      </x:c>
      <x:c r="C159" s="23" t="s">
        <x:v>11</x:v>
      </x:c>
      <x:c r="D159" s="23" t="s">
        <x:v>116</x:v>
      </x:c>
      <x:c r="E159" s="23" t="s">
        <x:v>184</x:v>
      </x:c>
      <x:c r="F159" s="23">
        <x:v>19</x:v>
      </x:c>
      <x:c r="G159" s="23">
        <x:v>5</x:v>
      </x:c>
      <x:c r="H159" s="23">
        <x:v>0</x:v>
      </x:c>
      <x:c r="I159" s="23">
        <x:v>7054</x:v>
      </x:c>
      <x:c r="J159" s="23">
        <x:v>416</x:v>
      </x:c>
      <x:c r="K159" s="23">
        <x:v>0</x:v>
      </x:c>
      <x:c r="L159" s="23" t="s">
        <x:v>263</x:v>
      </x:c>
      <x:c r="M159" s="23">
        <x:f t="shared" si="2"/>
        <x:v>593</x:v>
      </x:c>
      <x:c r="N159" s="24" t="str">
        <x:f t="array" ref="N159">INDEX('MATCH INFO'!O:O, INT((ROW()-2)/10)+2 + 157)</x:f>
        <x:v>260711_T1_ZETA_S1</x:v>
      </x:c>
    </x:row>
    <x:row r="160">
      <x:c r="A160" s="23" t="s">
        <x:v>47</x:v>
      </x:c>
      <x:c r="B160" s="23" t="s">
        <x:v>53</x:v>
      </x:c>
      <x:c r="C160" s="23" t="s">
        <x:v>16</x:v>
      </x:c>
      <x:c r="D160" s="23" t="s">
        <x:v>116</x:v>
      </x:c>
      <x:c r="E160" s="23" t="s">
        <x:v>184</x:v>
      </x:c>
      <x:c r="F160" s="23">
        <x:v>11</x:v>
      </x:c>
      <x:c r="G160" s="23">
        <x:v>5</x:v>
      </x:c>
      <x:c r="H160" s="23">
        <x:v>23</x:v>
      </x:c>
      <x:c r="I160" s="23">
        <x:v>4189</x:v>
      </x:c>
      <x:c r="J160" s="23">
        <x:v>12027</x:v>
      </x:c>
      <x:c r="K160" s="23">
        <x:v>0</x:v>
      </x:c>
      <x:c r="L160" s="23" t="s">
        <x:v>263</x:v>
      </x:c>
      <x:c r="M160" s="23">
        <x:f t="shared" si="2"/>
        <x:v>593</x:v>
      </x:c>
      <x:c r="N160" s="24" t="str">
        <x:f t="array" ref="N160">INDEX('MATCH INFO'!O:O, INT((ROW()-2)/10)+2 + 157)</x:f>
        <x:v>260711_T1_ZETA_S1</x:v>
      </x:c>
    </x:row>
    <x:row r="161">
      <x:c r="A161" s="23" t="s">
        <x:v>47</x:v>
      </x:c>
      <x:c r="B161" s="23" t="s">
        <x:v>52</x:v>
      </x:c>
      <x:c r="C161" s="23" t="s">
        <x:v>16</x:v>
      </x:c>
      <x:c r="D161" s="23" t="s">
        <x:v>116</x:v>
      </x:c>
      <x:c r="E161" s="23" t="s">
        <x:v>184</x:v>
      </x:c>
      <x:c r="F161" s="23">
        <x:v>15</x:v>
      </x:c>
      <x:c r="G161" s="23">
        <x:v>6</x:v>
      </x:c>
      <x:c r="H161" s="23">
        <x:v>15</x:v>
      </x:c>
      <x:c r="I161" s="23">
        <x:v>6930</x:v>
      </x:c>
      <x:c r="J161" s="23">
        <x:v>9667</x:v>
      </x:c>
      <x:c r="K161" s="23">
        <x:v>2757</x:v>
      </x:c>
      <x:c r="L161" s="23" t="s">
        <x:v>263</x:v>
      </x:c>
      <x:c r="M161" s="23">
        <x:f t="shared" si="2"/>
        <x:v>593</x:v>
      </x:c>
      <x:c r="N161" s="24" t="str">
        <x:f t="array" ref="N161">INDEX('MATCH INFO'!O:O, INT((ROW()-2)/10)+2 + 157)</x:f>
        <x:v>260711_T1_ZETA_S1</x:v>
      </x:c>
    </x:row>
    <x:row r="162">
      <x:c r="A162" s="23" t="s">
        <x:v>63</x:v>
      </x:c>
      <x:c r="B162" s="23" t="s">
        <x:v>69</x:v>
      </x:c>
      <x:c r="C162" s="23" t="s">
        <x:v>16</x:v>
      </x:c>
      <x:c r="D162" s="23" t="s">
        <x:v>165</x:v>
      </x:c>
      <x:c r="E162" s="23" t="s">
        <x:v>186</x:v>
      </x:c>
      <x:c r="F162" s="23">
        <x:v>21</x:v>
      </x:c>
      <x:c r="G162" s="23">
        <x:v>13</x:v>
      </x:c>
      <x:c r="H162" s="23">
        <x:v>35</x:v>
      </x:c>
      <x:c r="I162" s="23">
        <x:v>5479</x:v>
      </x:c>
      <x:c r="J162" s="23">
        <x:v>9365</x:v>
      </x:c>
      <x:c r="K162" s="23">
        <x:v>3144</x:v>
      </x:c>
      <x:c r="L162" s="23" t="s">
        <x:v>209</x:v>
      </x:c>
      <x:c r="M162" s="23">
        <x:f t="shared" si="2"/>
        <x:v>831</x:v>
      </x:c>
      <x:c r="N162" s="24" t="str">
        <x:f t="array" ref="N162">INDEX('MATCH INFO'!O:O, INT((ROW()-2)/10)+2 + 157)</x:f>
        <x:v>260711_T1_ZETA_S2</x:v>
      </x:c>
    </x:row>
    <x:row r="163">
      <x:c r="A163" s="23" t="s">
        <x:v>63</x:v>
      </x:c>
      <x:c r="B163" s="23" t="s">
        <x:v>64</x:v>
      </x:c>
      <x:c r="C163" s="23" t="s">
        <x:v>8</x:v>
      </x:c>
      <x:c r="D163" s="23" t="s">
        <x:v>165</x:v>
      </x:c>
      <x:c r="E163" s="23" t="s">
        <x:v>186</x:v>
      </x:c>
      <x:c r="F163" s="23">
        <x:v>34</x:v>
      </x:c>
      <x:c r="G163" s="23">
        <x:v>9</x:v>
      </x:c>
      <x:c r="H163" s="23">
        <x:v>21</x:v>
      </x:c>
      <x:c r="I163" s="23">
        <x:v>16600</x:v>
      </x:c>
      <x:c r="J163" s="23">
        <x:v>2024</x:v>
      </x:c>
      <x:c r="K163" s="23">
        <x:v>9911</x:v>
      </x:c>
      <x:c r="L163" s="23" t="s">
        <x:v>209</x:v>
      </x:c>
      <x:c r="M163" s="23">
        <x:f t="shared" si="2"/>
        <x:v>831</x:v>
      </x:c>
      <x:c r="N163" s="24" t="str">
        <x:f t="array" ref="N163">INDEX('MATCH INFO'!O:O, INT((ROW()-2)/10)+2 + 157)</x:f>
        <x:v>260711_T1_ZETA_S2</x:v>
      </x:c>
    </x:row>
    <x:row r="164">
      <x:c r="A164" s="23" t="s">
        <x:v>63</x:v>
      </x:c>
      <x:c r="B164" s="23" t="s">
        <x:v>67</x:v>
      </x:c>
      <x:c r="C164" s="23" t="s">
        <x:v>11</x:v>
      </x:c>
      <x:c r="D164" s="23" t="s">
        <x:v>165</x:v>
      </x:c>
      <x:c r="E164" s="23" t="s">
        <x:v>186</x:v>
      </x:c>
      <x:c r="F164" s="23">
        <x:v>37</x:v>
      </x:c>
      <x:c r="G164" s="23">
        <x:v>11</x:v>
      </x:c>
      <x:c r="H164" s="23">
        <x:v>8</x:v>
      </x:c>
      <x:c r="I164" s="23">
        <x:v>15683</x:v>
      </x:c>
      <x:c r="J164" s="23">
        <x:v>260</x:v>
      </x:c>
      <x:c r="K164" s="23">
        <x:v>581</x:v>
      </x:c>
      <x:c r="L164" s="23" t="s">
        <x:v>209</x:v>
      </x:c>
      <x:c r="M164" s="23">
        <x:f t="shared" si="2"/>
        <x:v>831</x:v>
      </x:c>
      <x:c r="N164" s="24" t="str">
        <x:f t="array" ref="N164">INDEX('MATCH INFO'!O:O, INT((ROW()-2)/10)+2 + 157)</x:f>
        <x:v>260711_T1_ZETA_S2</x:v>
      </x:c>
    </x:row>
    <x:row r="165">
      <x:c r="A165" s="23" t="s">
        <x:v>63</x:v>
      </x:c>
      <x:c r="B165" s="23" t="s">
        <x:v>70</x:v>
      </x:c>
      <x:c r="C165" s="23" t="s">
        <x:v>16</x:v>
      </x:c>
      <x:c r="D165" s="23" t="s">
        <x:v>165</x:v>
      </x:c>
      <x:c r="E165" s="23" t="s">
        <x:v>186</x:v>
      </x:c>
      <x:c r="F165" s="23">
        <x:v>15</x:v>
      </x:c>
      <x:c r="G165" s="23">
        <x:v>10</x:v>
      </x:c>
      <x:c r="H165" s="23">
        <x:v>37</x:v>
      </x:c>
      <x:c r="I165" s="23">
        <x:v>6975</x:v>
      </x:c>
      <x:c r="J165" s="23">
        <x:v>16883</x:v>
      </x:c>
      <x:c r="K165" s="23">
        <x:v>0</x:v>
      </x:c>
      <x:c r="L165" s="23" t="s">
        <x:v>209</x:v>
      </x:c>
      <x:c r="M165" s="23">
        <x:f t="shared" si="2"/>
        <x:v>831</x:v>
      </x:c>
      <x:c r="N165" s="24" t="str">
        <x:f t="array" ref="N165">INDEX('MATCH INFO'!O:O, INT((ROW()-2)/10)+2 + 157)</x:f>
        <x:v>260711_T1_ZETA_S2</x:v>
      </x:c>
    </x:row>
    <x:row r="166">
      <x:c r="A166" s="23" t="s">
        <x:v>63</x:v>
      </x:c>
      <x:c r="B166" s="23" t="s">
        <x:v>66</x:v>
      </x:c>
      <x:c r="C166" s="23" t="s">
        <x:v>11</x:v>
      </x:c>
      <x:c r="D166" s="23" t="s">
        <x:v>165</x:v>
      </x:c>
      <x:c r="E166" s="23" t="s">
        <x:v>186</x:v>
      </x:c>
      <x:c r="F166" s="23">
        <x:v>36</x:v>
      </x:c>
      <x:c r="G166" s="23">
        <x:v>9</x:v>
      </x:c>
      <x:c r="H166" s="23">
        <x:v>2</x:v>
      </x:c>
      <x:c r="I166" s="23">
        <x:v>14886</x:v>
      </x:c>
      <x:c r="J166" s="23">
        <x:v>1954</x:v>
      </x:c>
      <x:c r="K166" s="23">
        <x:v>1761</x:v>
      </x:c>
      <x:c r="L166" s="23" t="s">
        <x:v>209</x:v>
      </x:c>
      <x:c r="M166" s="23">
        <x:f t="shared" si="2"/>
        <x:v>831</x:v>
      </x:c>
      <x:c r="N166" s="24" t="str">
        <x:f t="array" ref="N166">INDEX('MATCH INFO'!O:O, INT((ROW()-2)/10)+2 + 157)</x:f>
        <x:v>260711_T1_ZETA_S2</x:v>
      </x:c>
    </x:row>
    <x:row r="167">
      <x:c r="A167" s="23" t="s">
        <x:v>47</x:v>
      </x:c>
      <x:c r="B167" s="23" t="s">
        <x:v>49</x:v>
      </x:c>
      <x:c r="C167" s="23" t="s">
        <x:v>8</x:v>
      </x:c>
      <x:c r="D167" s="23" t="s">
        <x:v>165</x:v>
      </x:c>
      <x:c r="E167" s="23" t="s">
        <x:v>186</x:v>
      </x:c>
      <x:c r="F167" s="23">
        <x:v>33</x:v>
      </x:c>
      <x:c r="G167" s="23">
        <x:v>9</x:v>
      </x:c>
      <x:c r="H167" s="23">
        <x:v>22</x:v>
      </x:c>
      <x:c r="I167" s="23">
        <x:v>15786</x:v>
      </x:c>
      <x:c r="J167" s="23">
        <x:v>3136</x:v>
      </x:c>
      <x:c r="K167" s="23">
        <x:v>12373</x:v>
      </x:c>
      <x:c r="L167" s="23" t="s">
        <x:v>209</x:v>
      </x:c>
      <x:c r="M167" s="23">
        <x:f t="shared" si="2"/>
        <x:v>831</x:v>
      </x:c>
      <x:c r="N167" s="24" t="str">
        <x:f t="array" ref="N167">INDEX('MATCH INFO'!O:O, INT((ROW()-2)/10)+2 + 157)</x:f>
        <x:v>260711_T1_ZETA_S2</x:v>
      </x:c>
    </x:row>
    <x:row r="168">
      <x:c r="A168" s="23" t="s">
        <x:v>47</x:v>
      </x:c>
      <x:c r="B168" s="23" t="s">
        <x:v>51</x:v>
      </x:c>
      <x:c r="C168" s="23" t="s">
        <x:v>11</x:v>
      </x:c>
      <x:c r="D168" s="23" t="s">
        <x:v>165</x:v>
      </x:c>
      <x:c r="E168" s="23" t="s">
        <x:v>186</x:v>
      </x:c>
      <x:c r="F168" s="23">
        <x:v>29</x:v>
      </x:c>
      <x:c r="G168" s="23">
        <x:v>12</x:v>
      </x:c>
      <x:c r="H168" s="23">
        <x:v>2</x:v>
      </x:c>
      <x:c r="I168" s="23">
        <x:v>14721</x:v>
      </x:c>
      <x:c r="J168" s="23">
        <x:v>87</x:v>
      </x:c>
      <x:c r="K168" s="23">
        <x:v>571</x:v>
      </x:c>
      <x:c r="L168" s="23" t="s">
        <x:v>209</x:v>
      </x:c>
      <x:c r="M168" s="23">
        <x:f t="shared" si="2"/>
        <x:v>831</x:v>
      </x:c>
      <x:c r="N168" s="24" t="str">
        <x:f t="array" ref="N168">INDEX('MATCH INFO'!O:O, INT((ROW()-2)/10)+2 + 157)</x:f>
        <x:v>260711_T1_ZETA_S2</x:v>
      </x:c>
    </x:row>
    <x:row r="169">
      <x:c r="A169" s="23" t="s">
        <x:v>47</x:v>
      </x:c>
      <x:c r="B169" s="23" t="s">
        <x:v>50</x:v>
      </x:c>
      <x:c r="C169" s="23" t="s">
        <x:v>11</x:v>
      </x:c>
      <x:c r="D169" s="23" t="s">
        <x:v>165</x:v>
      </x:c>
      <x:c r="E169" s="23" t="s">
        <x:v>186</x:v>
      </x:c>
      <x:c r="F169" s="23">
        <x:v>31</x:v>
      </x:c>
      <x:c r="G169" s="23">
        <x:v>11</x:v>
      </x:c>
      <x:c r="H169" s="23">
        <x:v>2</x:v>
      </x:c>
      <x:c r="I169" s="23">
        <x:v>12909</x:v>
      </x:c>
      <x:c r="J169" s="23">
        <x:v>1339</x:v>
      </x:c>
      <x:c r="K169" s="23">
        <x:v>3687</x:v>
      </x:c>
      <x:c r="L169" s="23" t="s">
        <x:v>209</x:v>
      </x:c>
      <x:c r="M169" s="23">
        <x:f t="shared" si="2"/>
        <x:v>831</x:v>
      </x:c>
      <x:c r="N169" s="24" t="str">
        <x:f t="array" ref="N169">INDEX('MATCH INFO'!O:O, INT((ROW()-2)/10)+2 + 157)</x:f>
        <x:v>260711_T1_ZETA_S2</x:v>
      </x:c>
    </x:row>
    <x:row r="170">
      <x:c r="A170" s="23" t="s">
        <x:v>47</x:v>
      </x:c>
      <x:c r="B170" s="23" t="s">
        <x:v>53</x:v>
      </x:c>
      <x:c r="C170" s="23" t="s">
        <x:v>16</x:v>
      </x:c>
      <x:c r="D170" s="23" t="s">
        <x:v>165</x:v>
      </x:c>
      <x:c r="E170" s="23" t="s">
        <x:v>186</x:v>
      </x:c>
      <x:c r="F170" s="23">
        <x:v>17</x:v>
      </x:c>
      <x:c r="G170" s="23">
        <x:v>10</x:v>
      </x:c>
      <x:c r="H170" s="23">
        <x:v>34</x:v>
      </x:c>
      <x:c r="I170" s="23">
        <x:v>6732</x:v>
      </x:c>
      <x:c r="J170" s="23">
        <x:v>17532</x:v>
      </x:c>
      <x:c r="K170" s="23">
        <x:v>0</x:v>
      </x:c>
      <x:c r="L170" s="23" t="s">
        <x:v>209</x:v>
      </x:c>
      <x:c r="M170" s="23">
        <x:f t="shared" si="2"/>
        <x:v>831</x:v>
      </x:c>
      <x:c r="N170" s="24" t="str">
        <x:f t="array" ref="N170">INDEX('MATCH INFO'!O:O, INT((ROW()-2)/10)+2 + 157)</x:f>
        <x:v>260711_T1_ZETA_S2</x:v>
      </x:c>
    </x:row>
    <x:row r="171">
      <x:c r="A171" s="23" t="s">
        <x:v>47</x:v>
      </x:c>
      <x:c r="B171" s="23" t="s">
        <x:v>52</x:v>
      </x:c>
      <x:c r="C171" s="23" t="s">
        <x:v>16</x:v>
      </x:c>
      <x:c r="D171" s="23" t="s">
        <x:v>165</x:v>
      </x:c>
      <x:c r="E171" s="23" t="s">
        <x:v>186</x:v>
      </x:c>
      <x:c r="F171" s="23">
        <x:v>34</x:v>
      </x:c>
      <x:c r="G171" s="23">
        <x:v>9</x:v>
      </x:c>
      <x:c r="H171" s="23">
        <x:v>27</x:v>
      </x:c>
      <x:c r="I171" s="23">
        <x:v>8040</x:v>
      </x:c>
      <x:c r="J171" s="23">
        <x:v>13083</x:v>
      </x:c>
      <x:c r="K171" s="23">
        <x:v>0</x:v>
      </x:c>
      <x:c r="L171" s="23" t="s">
        <x:v>209</x:v>
      </x:c>
      <x:c r="M171" s="23">
        <x:f t="shared" si="2"/>
        <x:v>831</x:v>
      </x:c>
      <x:c r="N171" s="24" t="str">
        <x:f t="array" ref="N171">INDEX('MATCH INFO'!O:O, INT((ROW()-2)/10)+2 + 157)</x:f>
        <x:v>260711_T1_ZETA_S2</x:v>
      </x:c>
    </x:row>
    <x:row r="172">
      <x:c r="A172" s="23" t="s">
        <x:v>47</x:v>
      </x:c>
      <x:c r="B172" s="23" t="s">
        <x:v>49</x:v>
      </x:c>
      <x:c r="C172" s="23" t="s">
        <x:v>8</x:v>
      </x:c>
      <x:c r="D172" s="23" t="s">
        <x:v>145</x:v>
      </x:c>
      <x:c r="E172" s="23" t="s">
        <x:v>195</x:v>
      </x:c>
      <x:c r="F172" s="23">
        <x:v>41</x:v>
      </x:c>
      <x:c r="G172" s="23">
        <x:v>3</x:v>
      </x:c>
      <x:c r="H172" s="23">
        <x:v>20</x:v>
      </x:c>
      <x:c r="I172" s="23">
        <x:v>15851</x:v>
      </x:c>
      <x:c r="J172" s="23">
        <x:v>2777</x:v>
      </x:c>
      <x:c r="K172" s="23">
        <x:v>6392</x:v>
      </x:c>
      <x:c r="L172" s="23" t="s">
        <x:v>339</x:v>
      </x:c>
      <x:c r="M172" s="23">
        <x:f t="shared" si="2"/>
        <x:v>615</x:v>
      </x:c>
      <x:c r="N172" s="24" t="str">
        <x:f t="array" ref="N172">INDEX('MATCH INFO'!O:O, INT((ROW()-2)/10)+2 + 157)</x:f>
        <x:v>260711_T1_ZETA_S3</x:v>
      </x:c>
    </x:row>
    <x:row r="173">
      <x:c r="A173" s="23" t="s">
        <x:v>47</x:v>
      </x:c>
      <x:c r="B173" s="23" t="s">
        <x:v>51</x:v>
      </x:c>
      <x:c r="C173" s="23" t="s">
        <x:v>11</x:v>
      </x:c>
      <x:c r="D173" s="23" t="s">
        <x:v>145</x:v>
      </x:c>
      <x:c r="E173" s="23" t="s">
        <x:v>195</x:v>
      </x:c>
      <x:c r="F173" s="23">
        <x:v>37</x:v>
      </x:c>
      <x:c r="G173" s="23">
        <x:v>5</x:v>
      </x:c>
      <x:c r="H173" s="23">
        <x:v>0</x:v>
      </x:c>
      <x:c r="I173" s="23">
        <x:v>14713</x:v>
      </x:c>
      <x:c r="J173" s="23">
        <x:v>0</x:v>
      </x:c>
      <x:c r="K173" s="23">
        <x:v>169</x:v>
      </x:c>
      <x:c r="L173" s="23" t="s">
        <x:v>339</x:v>
      </x:c>
      <x:c r="M173" s="23">
        <x:f t="shared" si="2"/>
        <x:v>615</x:v>
      </x:c>
      <x:c r="N173" s="24" t="str">
        <x:f t="array" ref="N173">INDEX('MATCH INFO'!O:O, INT((ROW()-2)/10)+2 + 157)</x:f>
        <x:v>260711_T1_ZETA_S3</x:v>
      </x:c>
    </x:row>
    <x:row r="174">
      <x:c r="A174" s="23" t="s">
        <x:v>47</x:v>
      </x:c>
      <x:c r="B174" s="23" t="s">
        <x:v>50</x:v>
      </x:c>
      <x:c r="C174" s="23" t="s">
        <x:v>11</x:v>
      </x:c>
      <x:c r="D174" s="23" t="s">
        <x:v>145</x:v>
      </x:c>
      <x:c r="E174" s="23" t="s">
        <x:v>195</x:v>
      </x:c>
      <x:c r="F174" s="23">
        <x:v>36</x:v>
      </x:c>
      <x:c r="G174" s="23">
        <x:v>6</x:v>
      </x:c>
      <x:c r="H174" s="23">
        <x:v>0</x:v>
      </x:c>
      <x:c r="I174" s="23">
        <x:v>12845</x:v>
      </x:c>
      <x:c r="J174" s="23">
        <x:v>1965</x:v>
      </x:c>
      <x:c r="K174" s="23">
        <x:v>0</x:v>
      </x:c>
      <x:c r="L174" s="23" t="s">
        <x:v>339</x:v>
      </x:c>
      <x:c r="M174" s="23">
        <x:f t="shared" si="2"/>
        <x:v>615</x:v>
      </x:c>
      <x:c r="N174" s="24" t="str">
        <x:f t="array" ref="N174">INDEX('MATCH INFO'!O:O, INT((ROW()-2)/10)+2 + 157)</x:f>
        <x:v>260711_T1_ZETA_S3</x:v>
      </x:c>
    </x:row>
    <x:row r="175">
      <x:c r="A175" s="23" t="s">
        <x:v>47</x:v>
      </x:c>
      <x:c r="B175" s="23" t="s">
        <x:v>53</x:v>
      </x:c>
      <x:c r="C175" s="23" t="s">
        <x:v>16</x:v>
      </x:c>
      <x:c r="D175" s="23" t="s">
        <x:v>145</x:v>
      </x:c>
      <x:c r="E175" s="23" t="s">
        <x:v>195</x:v>
      </x:c>
      <x:c r="F175" s="23">
        <x:v>19</x:v>
      </x:c>
      <x:c r="G175" s="23">
        <x:v>4</x:v>
      </x:c>
      <x:c r="H175" s="23">
        <x:v>40</x:v>
      </x:c>
      <x:c r="I175" s="23">
        <x:v>5160</x:v>
      </x:c>
      <x:c r="J175" s="23">
        <x:v>14624</x:v>
      </x:c>
      <x:c r="K175" s="23">
        <x:v>0</x:v>
      </x:c>
      <x:c r="L175" s="23" t="s">
        <x:v>339</x:v>
      </x:c>
      <x:c r="M175" s="23">
        <x:f t="shared" si="2"/>
        <x:v>615</x:v>
      </x:c>
      <x:c r="N175" s="24" t="str">
        <x:f t="array" ref="N175">INDEX('MATCH INFO'!O:O, INT((ROW()-2)/10)+2 + 157)</x:f>
        <x:v>260711_T1_ZETA_S3</x:v>
      </x:c>
    </x:row>
    <x:row r="176">
      <x:c r="A176" s="23" t="s">
        <x:v>47</x:v>
      </x:c>
      <x:c r="B176" s="23" t="s">
        <x:v>52</x:v>
      </x:c>
      <x:c r="C176" s="23" t="s">
        <x:v>16</x:v>
      </x:c>
      <x:c r="D176" s="23" t="s">
        <x:v>145</x:v>
      </x:c>
      <x:c r="E176" s="23" t="s">
        <x:v>195</x:v>
      </x:c>
      <x:c r="F176" s="23">
        <x:v>27</x:v>
      </x:c>
      <x:c r="G176" s="23">
        <x:v>7</x:v>
      </x:c>
      <x:c r="H176" s="23">
        <x:v>27</x:v>
      </x:c>
      <x:c r="I176" s="23">
        <x:v>4710</x:v>
      </x:c>
      <x:c r="J176" s="23">
        <x:v>10375</x:v>
      </x:c>
      <x:c r="K176" s="23">
        <x:v>0</x:v>
      </x:c>
      <x:c r="L176" s="23" t="s">
        <x:v>339</x:v>
      </x:c>
      <x:c r="M176" s="23">
        <x:f t="shared" si="2"/>
        <x:v>615</x:v>
      </x:c>
      <x:c r="N176" s="24" t="str">
        <x:f t="array" ref="N176">INDEX('MATCH INFO'!O:O, INT((ROW()-2)/10)+2 + 157)</x:f>
        <x:v>260711_T1_ZETA_S3</x:v>
      </x:c>
    </x:row>
    <x:row r="177">
      <x:c r="A177" s="23" t="s">
        <x:v>63</x:v>
      </x:c>
      <x:c r="B177" s="23" t="s">
        <x:v>69</x:v>
      </x:c>
      <x:c r="C177" s="23" t="s">
        <x:v>16</x:v>
      </x:c>
      <x:c r="D177" s="23" t="s">
        <x:v>145</x:v>
      </x:c>
      <x:c r="E177" s="23" t="s">
        <x:v>195</x:v>
      </x:c>
      <x:c r="F177" s="23">
        <x:v>19</x:v>
      </x:c>
      <x:c r="G177" s="23">
        <x:v>8</x:v>
      </x:c>
      <x:c r="H177" s="23">
        <x:v>12</x:v>
      </x:c>
      <x:c r="I177" s="23">
        <x:v>4104</x:v>
      </x:c>
      <x:c r="J177" s="23">
        <x:v>11353</x:v>
      </x:c>
      <x:c r="K177" s="23">
        <x:v>0</x:v>
      </x:c>
      <x:c r="L177" s="23" t="s">
        <x:v>339</x:v>
      </x:c>
      <x:c r="M177" s="23">
        <x:f t="shared" si="2"/>
        <x:v>615</x:v>
      </x:c>
      <x:c r="N177" s="24" t="str">
        <x:f t="array" ref="N177">INDEX('MATCH INFO'!O:O, INT((ROW()-2)/10)+2 + 157)</x:f>
        <x:v>260711_T1_ZETA_S3</x:v>
      </x:c>
    </x:row>
    <x:row r="178">
      <x:c r="A178" s="23" t="s">
        <x:v>63</x:v>
      </x:c>
      <x:c r="B178" s="23" t="s">
        <x:v>65</x:v>
      </x:c>
      <x:c r="C178" s="23" t="s">
        <x:v>8</x:v>
      </x:c>
      <x:c r="D178" s="23" t="s">
        <x:v>145</x:v>
      </x:c>
      <x:c r="E178" s="23" t="s">
        <x:v>195</x:v>
      </x:c>
      <x:c r="F178" s="23">
        <x:v>12</x:v>
      </x:c>
      <x:c r="G178" s="23">
        <x:v>12</x:v>
      </x:c>
      <x:c r="H178" s="23">
        <x:v>13</x:v>
      </x:c>
      <x:c r="I178" s="23">
        <x:v>14028</x:v>
      </x:c>
      <x:c r="J178" s="23">
        <x:v>3161</x:v>
      </x:c>
      <x:c r="K178" s="23">
        <x:v>7061</x:v>
      </x:c>
      <x:c r="L178" s="23" t="s">
        <x:v>339</x:v>
      </x:c>
      <x:c r="M178" s="23">
        <x:f t="shared" si="2"/>
        <x:v>615</x:v>
      </x:c>
      <x:c r="N178" s="24" t="str">
        <x:f t="array" ref="N178">INDEX('MATCH INFO'!O:O, INT((ROW()-2)/10)+2 + 157)</x:f>
        <x:v>260711_T1_ZETA_S3</x:v>
      </x:c>
    </x:row>
    <x:row r="179">
      <x:c r="A179" s="23" t="s">
        <x:v>63</x:v>
      </x:c>
      <x:c r="B179" s="23" t="s">
        <x:v>67</x:v>
      </x:c>
      <x:c r="C179" s="23" t="s">
        <x:v>11</x:v>
      </x:c>
      <x:c r="D179" s="23" t="s">
        <x:v>145</x:v>
      </x:c>
      <x:c r="E179" s="23" t="s">
        <x:v>195</x:v>
      </x:c>
      <x:c r="F179" s="23">
        <x:v>13</x:v>
      </x:c>
      <x:c r="G179" s="23">
        <x:v>12</x:v>
      </x:c>
      <x:c r="H179" s="23">
        <x:v>0</x:v>
      </x:c>
      <x:c r="I179" s="23">
        <x:v>11948</x:v>
      </x:c>
      <x:c r="J179" s="23">
        <x:v>0</x:v>
      </x:c>
      <x:c r="K179" s="23">
        <x:v>0</x:v>
      </x:c>
      <x:c r="L179" s="23" t="s">
        <x:v>339</x:v>
      </x:c>
      <x:c r="M179" s="23">
        <x:f t="shared" si="2"/>
        <x:v>615</x:v>
      </x:c>
      <x:c r="N179" s="24" t="str">
        <x:f t="array" ref="N179">INDEX('MATCH INFO'!O:O, INT((ROW()-2)/10)+2 + 157)</x:f>
        <x:v>260711_T1_ZETA_S3</x:v>
      </x:c>
    </x:row>
    <x:row r="180">
      <x:c r="A180" s="23" t="s">
        <x:v>63</x:v>
      </x:c>
      <x:c r="B180" s="23" t="s">
        <x:v>70</x:v>
      </x:c>
      <x:c r="C180" s="23" t="s">
        <x:v>16</x:v>
      </x:c>
      <x:c r="D180" s="23" t="s">
        <x:v>145</x:v>
      </x:c>
      <x:c r="E180" s="23" t="s">
        <x:v>195</x:v>
      </x:c>
      <x:c r="F180" s="23">
        <x:v>6</x:v>
      </x:c>
      <x:c r="G180" s="23">
        <x:v>11</x:v>
      </x:c>
      <x:c r="H180" s="23">
        <x:v>17</x:v>
      </x:c>
      <x:c r="I180" s="23">
        <x:v>4192</x:v>
      </x:c>
      <x:c r="J180" s="23">
        <x:v>11814</x:v>
      </x:c>
      <x:c r="K180" s="23">
        <x:v>0</x:v>
      </x:c>
      <x:c r="L180" s="23" t="s">
        <x:v>339</x:v>
      </x:c>
      <x:c r="M180" s="23">
        <x:f t="shared" si="2"/>
        <x:v>615</x:v>
      </x:c>
      <x:c r="N180" s="24" t="str">
        <x:f t="array" ref="N180">INDEX('MATCH INFO'!O:O, INT((ROW()-2)/10)+2 + 157)</x:f>
        <x:v>260711_T1_ZETA_S3</x:v>
      </x:c>
    </x:row>
    <x:row r="181">
      <x:c r="A181" s="23" t="s">
        <x:v>63</x:v>
      </x:c>
      <x:c r="B181" s="23" t="s">
        <x:v>66</x:v>
      </x:c>
      <x:c r="C181" s="23" t="s">
        <x:v>11</x:v>
      </x:c>
      <x:c r="D181" s="23" t="s">
        <x:v>145</x:v>
      </x:c>
      <x:c r="E181" s="23" t="s">
        <x:v>195</x:v>
      </x:c>
      <x:c r="F181" s="23">
        <x:v>20</x:v>
      </x:c>
      <x:c r="G181" s="23">
        <x:v>12</x:v>
      </x:c>
      <x:c r="H181" s="23">
        <x:v>0</x:v>
      </x:c>
      <x:c r="I181" s="23">
        <x:v>10881</x:v>
      </x:c>
      <x:c r="J181" s="23">
        <x:v>1710</x:v>
      </x:c>
      <x:c r="K181" s="23">
        <x:v>0</x:v>
      </x:c>
      <x:c r="L181" s="23" t="s">
        <x:v>339</x:v>
      </x:c>
      <x:c r="M181" s="23">
        <x:f t="shared" si="2"/>
        <x:v>615</x:v>
      </x:c>
      <x:c r="N181" s="24" t="str">
        <x:f t="array" ref="N181">INDEX('MATCH INFO'!O:O, INT((ROW()-2)/10)+2 + 157)</x:f>
        <x:v>260711_T1_ZETA_S3</x:v>
      </x:c>
    </x:row>
    <x:row r="182">
      <x:c r="A182" s="23" t="s">
        <x:v>63</x:v>
      </x:c>
      <x:c r="B182" s="23" t="s">
        <x:v>69</x:v>
      </x:c>
      <x:c r="C182" s="23" t="s">
        <x:v>16</x:v>
      </x:c>
      <x:c r="D182" s="23" t="s">
        <x:v>168</x:v>
      </x:c>
      <x:c r="E182" s="23" t="s">
        <x:v>188</x:v>
      </x:c>
      <x:c r="F182" s="23">
        <x:v>22</x:v>
      </x:c>
      <x:c r="G182" s="23">
        <x:v>7</x:v>
      </x:c>
      <x:c r="H182" s="23">
        <x:v>17</x:v>
      </x:c>
      <x:c r="I182" s="23">
        <x:v>4585</x:v>
      </x:c>
      <x:c r="J182" s="23">
        <x:v>8137</x:v>
      </x:c>
      <x:c r="K182" s="23">
        <x:v>0</x:v>
      </x:c>
      <x:c r="L182" s="23" t="s">
        <x:v>340</x:v>
      </x:c>
      <x:c r="M182" s="23">
        <x:f t="shared" si="2"/>
        <x:v>627</x:v>
      </x:c>
      <x:c r="N182" s="24" t="str">
        <x:f t="array" ref="N182">INDEX('MATCH INFO'!O:O, INT((ROW()-2)/10)+2 + 157)</x:f>
        <x:v>260711_T1_ZETA_S4</x:v>
      </x:c>
    </x:row>
    <x:row r="183">
      <x:c r="A183" s="23" t="s">
        <x:v>63</x:v>
      </x:c>
      <x:c r="B183" s="23" t="s">
        <x:v>64</x:v>
      </x:c>
      <x:c r="C183" s="23" t="s">
        <x:v>8</x:v>
      </x:c>
      <x:c r="D183" s="23" t="s">
        <x:v>168</x:v>
      </x:c>
      <x:c r="E183" s="23" t="s">
        <x:v>188</x:v>
      </x:c>
      <x:c r="F183" s="23">
        <x:v>24</x:v>
      </x:c>
      <x:c r="G183" s="23">
        <x:v>10</x:v>
      </x:c>
      <x:c r="H183" s="23">
        <x:v>22</x:v>
      </x:c>
      <x:c r="I183" s="23">
        <x:v>15881</x:v>
      </x:c>
      <x:c r="J183" s="23">
        <x:v>3732</x:v>
      </x:c>
      <x:c r="K183" s="23">
        <x:v>7821</x:v>
      </x:c>
      <x:c r="L183" s="23" t="s">
        <x:v>340</x:v>
      </x:c>
      <x:c r="M183" s="23">
        <x:f t="shared" si="2"/>
        <x:v>627</x:v>
      </x:c>
      <x:c r="N183" s="24" t="str">
        <x:f t="array" ref="N183">INDEX('MATCH INFO'!O:O, INT((ROW()-2)/10)+2 + 157)</x:f>
        <x:v>260711_T1_ZETA_S4</x:v>
      </x:c>
    </x:row>
    <x:row r="184">
      <x:c r="A184" s="23" t="s">
        <x:v>63</x:v>
      </x:c>
      <x:c r="B184" s="23" t="s">
        <x:v>67</x:v>
      </x:c>
      <x:c r="C184" s="23" t="s">
        <x:v>11</x:v>
      </x:c>
      <x:c r="D184" s="23" t="s">
        <x:v>168</x:v>
      </x:c>
      <x:c r="E184" s="23" t="s">
        <x:v>188</x:v>
      </x:c>
      <x:c r="F184" s="23">
        <x:v>19</x:v>
      </x:c>
      <x:c r="G184" s="23">
        <x:v>10</x:v>
      </x:c>
      <x:c r="H184" s="23">
        <x:v>3</x:v>
      </x:c>
      <x:c r="I184" s="23">
        <x:v>11248</x:v>
      </x:c>
      <x:c r="J184" s="23">
        <x:v>0</x:v>
      </x:c>
      <x:c r="K184" s="23">
        <x:v>680</x:v>
      </x:c>
      <x:c r="L184" s="23" t="s">
        <x:v>340</x:v>
      </x:c>
      <x:c r="M184" s="23">
        <x:f t="shared" si="2"/>
        <x:v>627</x:v>
      </x:c>
      <x:c r="N184" s="24" t="str">
        <x:f t="array" ref="N184">INDEX('MATCH INFO'!O:O, INT((ROW()-2)/10)+2 + 157)</x:f>
        <x:v>260711_T1_ZETA_S4</x:v>
      </x:c>
    </x:row>
    <x:row r="185">
      <x:c r="A185" s="23" t="s">
        <x:v>63</x:v>
      </x:c>
      <x:c r="B185" s="23" t="s">
        <x:v>70</x:v>
      </x:c>
      <x:c r="C185" s="23" t="s">
        <x:v>16</x:v>
      </x:c>
      <x:c r="D185" s="23" t="s">
        <x:v>168</x:v>
      </x:c>
      <x:c r="E185" s="23" t="s">
        <x:v>188</x:v>
      </x:c>
      <x:c r="F185" s="23">
        <x:v>16</x:v>
      </x:c>
      <x:c r="G185" s="23">
        <x:v>9</x:v>
      </x:c>
      <x:c r="H185" s="23">
        <x:v>23</x:v>
      </x:c>
      <x:c r="I185" s="23">
        <x:v>4093</x:v>
      </x:c>
      <x:c r="J185" s="23">
        <x:v>11226</x:v>
      </x:c>
      <x:c r="K185" s="23">
        <x:v>0</x:v>
      </x:c>
      <x:c r="L185" s="23" t="s">
        <x:v>340</x:v>
      </x:c>
      <x:c r="M185" s="23">
        <x:f t="shared" si="2"/>
        <x:v>627</x:v>
      </x:c>
      <x:c r="N185" s="24" t="str">
        <x:f t="array" ref="N185">INDEX('MATCH INFO'!O:O, INT((ROW()-2)/10)+2 + 157)</x:f>
        <x:v>260711_T1_ZETA_S4</x:v>
      </x:c>
    </x:row>
    <x:row r="186">
      <x:c r="A186" s="23" t="s">
        <x:v>63</x:v>
      </x:c>
      <x:c r="B186" s="23" t="s">
        <x:v>66</x:v>
      </x:c>
      <x:c r="C186" s="23" t="s">
        <x:v>11</x:v>
      </x:c>
      <x:c r="D186" s="23" t="s">
        <x:v>168</x:v>
      </x:c>
      <x:c r="E186" s="23" t="s">
        <x:v>188</x:v>
      </x:c>
      <x:c r="F186" s="23">
        <x:v>23</x:v>
      </x:c>
      <x:c r="G186" s="23">
        <x:v>10</x:v>
      </x:c>
      <x:c r="H186" s="23">
        <x:v>0</x:v>
      </x:c>
      <x:c r="I186" s="23">
        <x:v>9904</x:v>
      </x:c>
      <x:c r="J186" s="23">
        <x:v>1645</x:v>
      </x:c>
      <x:c r="K186" s="23">
        <x:v>0</x:v>
      </x:c>
      <x:c r="L186" s="23" t="s">
        <x:v>340</x:v>
      </x:c>
      <x:c r="M186" s="23">
        <x:f t="shared" si="2"/>
        <x:v>627</x:v>
      </x:c>
      <x:c r="N186" s="24" t="str">
        <x:f t="array" ref="N186">INDEX('MATCH INFO'!O:O, INT((ROW()-2)/10)+2 + 157)</x:f>
        <x:v>260711_T1_ZETA_S4</x:v>
      </x:c>
    </x:row>
    <x:row r="187">
      <x:c r="A187" s="23" t="s">
        <x:v>47</x:v>
      </x:c>
      <x:c r="B187" s="23" t="s">
        <x:v>49</x:v>
      </x:c>
      <x:c r="C187" s="23" t="s">
        <x:v>8</x:v>
      </x:c>
      <x:c r="D187" s="23" t="s">
        <x:v>168</x:v>
      </x:c>
      <x:c r="E187" s="23" t="s">
        <x:v>188</x:v>
      </x:c>
      <x:c r="F187" s="23">
        <x:v>27</x:v>
      </x:c>
      <x:c r="G187" s="23">
        <x:v>8</x:v>
      </x:c>
      <x:c r="H187" s="23">
        <x:v>23</x:v>
      </x:c>
      <x:c r="I187" s="23">
        <x:v>14329</x:v>
      </x:c>
      <x:c r="J187" s="23">
        <x:v>3823</x:v>
      </x:c>
      <x:c r="K187" s="23">
        <x:v>8748</x:v>
      </x:c>
      <x:c r="L187" s="23" t="s">
        <x:v>340</x:v>
      </x:c>
      <x:c r="M187" s="23">
        <x:f t="shared" si="2"/>
        <x:v>627</x:v>
      </x:c>
      <x:c r="N187" s="24" t="str">
        <x:f t="array" ref="N187">INDEX('MATCH INFO'!O:O, INT((ROW()-2)/10)+2 + 157)</x:f>
        <x:v>260711_T1_ZETA_S4</x:v>
      </x:c>
    </x:row>
    <x:row r="188">
      <x:c r="A188" s="23" t="s">
        <x:v>47</x:v>
      </x:c>
      <x:c r="B188" s="23" t="s">
        <x:v>51</x:v>
      </x:c>
      <x:c r="C188" s="23" t="s">
        <x:v>11</x:v>
      </x:c>
      <x:c r="D188" s="23" t="s">
        <x:v>168</x:v>
      </x:c>
      <x:c r="E188" s="23" t="s">
        <x:v>188</x:v>
      </x:c>
      <x:c r="F188" s="23">
        <x:v>33</x:v>
      </x:c>
      <x:c r="G188" s="23">
        <x:v>7</x:v>
      </x:c>
      <x:c r="H188" s="23">
        <x:v>3</x:v>
      </x:c>
      <x:c r="I188" s="23">
        <x:v>11950</x:v>
      </x:c>
      <x:c r="J188" s="23">
        <x:v>0</x:v>
      </x:c>
      <x:c r="K188" s="23">
        <x:v>219</x:v>
      </x:c>
      <x:c r="L188" s="23" t="s">
        <x:v>340</x:v>
      </x:c>
      <x:c r="M188" s="23">
        <x:f t="shared" si="2"/>
        <x:v>627</x:v>
      </x:c>
      <x:c r="N188" s="24" t="str">
        <x:f t="array" ref="N188">INDEX('MATCH INFO'!O:O, INT((ROW()-2)/10)+2 + 157)</x:f>
        <x:v>260711_T1_ZETA_S4</x:v>
      </x:c>
    </x:row>
    <x:row r="189">
      <x:c r="A189" s="23" t="s">
        <x:v>47</x:v>
      </x:c>
      <x:c r="B189" s="23" t="s">
        <x:v>50</x:v>
      </x:c>
      <x:c r="C189" s="23" t="s">
        <x:v>11</x:v>
      </x:c>
      <x:c r="D189" s="23" t="s">
        <x:v>168</x:v>
      </x:c>
      <x:c r="E189" s="23" t="s">
        <x:v>188</x:v>
      </x:c>
      <x:c r="F189" s="23">
        <x:v>32</x:v>
      </x:c>
      <x:c r="G189" s="23">
        <x:v>7</x:v>
      </x:c>
      <x:c r="H189" s="23">
        <x:v>0</x:v>
      </x:c>
      <x:c r="I189" s="23">
        <x:v>11959</x:v>
      </x:c>
      <x:c r="J189" s="23">
        <x:v>1535</x:v>
      </x:c>
      <x:c r="K189" s="23">
        <x:v>0</x:v>
      </x:c>
      <x:c r="L189" s="23" t="s">
        <x:v>340</x:v>
      </x:c>
      <x:c r="M189" s="23">
        <x:f t="shared" si="2"/>
        <x:v>627</x:v>
      </x:c>
      <x:c r="N189" s="24" t="str">
        <x:f t="array" ref="N189">INDEX('MATCH INFO'!O:O, INT((ROW()-2)/10)+2 + 157)</x:f>
        <x:v>260711_T1_ZETA_S4</x:v>
      </x:c>
    </x:row>
    <x:row r="190">
      <x:c r="A190" s="23" t="s">
        <x:v>47</x:v>
      </x:c>
      <x:c r="B190" s="23" t="s">
        <x:v>53</x:v>
      </x:c>
      <x:c r="C190" s="23" t="s">
        <x:v>16</x:v>
      </x:c>
      <x:c r="D190" s="23" t="s">
        <x:v>168</x:v>
      </x:c>
      <x:c r="E190" s="23" t="s">
        <x:v>188</x:v>
      </x:c>
      <x:c r="F190" s="23">
        <x:v>15</x:v>
      </x:c>
      <x:c r="G190" s="23">
        <x:v>9</x:v>
      </x:c>
      <x:c r="H190" s="23">
        <x:v>27</x:v>
      </x:c>
      <x:c r="I190" s="23">
        <x:v>4750</x:v>
      </x:c>
      <x:c r="J190" s="23">
        <x:v>11369</x:v>
      </x:c>
      <x:c r="K190" s="23">
        <x:v>0</x:v>
      </x:c>
      <x:c r="L190" s="23" t="s">
        <x:v>340</x:v>
      </x:c>
      <x:c r="M190" s="23">
        <x:f t="shared" si="2"/>
        <x:v>627</x:v>
      </x:c>
      <x:c r="N190" s="24" t="str">
        <x:f t="array" ref="N190">INDEX('MATCH INFO'!O:O, INT((ROW()-2)/10)+2 + 157)</x:f>
        <x:v>260711_T1_ZETA_S4</x:v>
      </x:c>
    </x:row>
    <x:row r="191">
      <x:c r="A191" s="23" t="s">
        <x:v>47</x:v>
      </x:c>
      <x:c r="B191" s="23" t="s">
        <x:v>52</x:v>
      </x:c>
      <x:c r="C191" s="23" t="s">
        <x:v>16</x:v>
      </x:c>
      <x:c r="D191" s="23" t="s">
        <x:v>168</x:v>
      </x:c>
      <x:c r="E191" s="23" t="s">
        <x:v>188</x:v>
      </x:c>
      <x:c r="F191" s="23">
        <x:v>25</x:v>
      </x:c>
      <x:c r="G191" s="23">
        <x:v>7</x:v>
      </x:c>
      <x:c r="H191" s="23">
        <x:v>20</x:v>
      </x:c>
      <x:c r="I191" s="23">
        <x:v>5091</x:v>
      </x:c>
      <x:c r="J191" s="23">
        <x:v>8607</x:v>
      </x:c>
      <x:c r="K191" s="23">
        <x:v>0</x:v>
      </x:c>
      <x:c r="L191" s="23" t="s">
        <x:v>340</x:v>
      </x:c>
      <x:c r="M191" s="23">
        <x:f t="shared" si="2"/>
        <x:v>627</x:v>
      </x:c>
      <x:c r="N191" s="24" t="str">
        <x:f t="array" ref="N191">INDEX('MATCH INFO'!O:O, INT((ROW()-2)/10)+2 + 157)</x:f>
        <x:v>260711_T1_ZETA_S4</x:v>
      </x:c>
    </x:row>
    <x:row r="192">
      <x:c r="A192" s="23" t="s">
        <x:v>47</x:v>
      </x:c>
      <x:c r="B192" s="23" t="s">
        <x:v>49</x:v>
      </x:c>
      <x:c r="C192" s="23" t="s">
        <x:v>8</x:v>
      </x:c>
      <x:c r="D192" s="23" t="s">
        <x:v>166</x:v>
      </x:c>
      <x:c r="E192" s="23" t="s">
        <x:v>191</x:v>
      </x:c>
      <x:c r="F192" s="23">
        <x:v>29</x:v>
      </x:c>
      <x:c r="G192" s="23">
        <x:v>4</x:v>
      </x:c>
      <x:c r="H192" s="23">
        <x:v>11</x:v>
      </x:c>
      <x:c r="I192" s="23">
        <x:v>8431</x:v>
      </x:c>
      <x:c r="J192" s="23">
        <x:v>1392</x:v>
      </x:c>
      <x:c r="K192" s="23">
        <x:v>11741</x:v>
      </x:c>
      <x:c r="L192" s="23" t="s">
        <x:v>204</x:v>
      </x:c>
      <x:c r="M192" s="23">
        <x:f t="shared" si="2"/>
        <x:v>622</x:v>
      </x:c>
      <x:c r="N192" s="24" t="str">
        <x:f t="array" ref="N192">INDEX('MATCH INFO'!O:O, INT((ROW()-2)/10)+2 + 157)</x:f>
        <x:v>260711_T1_ZETA_S5</x:v>
      </x:c>
    </x:row>
    <x:row r="193">
      <x:c r="A193" s="23" t="s">
        <x:v>47</x:v>
      </x:c>
      <x:c r="B193" s="23" t="s">
        <x:v>51</x:v>
      </x:c>
      <x:c r="C193" s="23" t="s">
        <x:v>11</x:v>
      </x:c>
      <x:c r="D193" s="23" t="s">
        <x:v>166</x:v>
      </x:c>
      <x:c r="E193" s="23" t="s">
        <x:v>191</x:v>
      </x:c>
      <x:c r="F193" s="23">
        <x:v>22</x:v>
      </x:c>
      <x:c r="G193" s="23">
        <x:v>5</x:v>
      </x:c>
      <x:c r="H193" s="23">
        <x:v>3</x:v>
      </x:c>
      <x:c r="I193" s="23">
        <x:v>8491</x:v>
      </x:c>
      <x:c r="J193" s="23">
        <x:v>333</x:v>
      </x:c>
      <x:c r="K193" s="23">
        <x:v>831</x:v>
      </x:c>
      <x:c r="L193" s="23" t="s">
        <x:v>204</x:v>
      </x:c>
      <x:c r="M193" s="23">
        <x:f t="shared" si="2"/>
        <x:v>622</x:v>
      </x:c>
      <x:c r="N193" s="24" t="str">
        <x:f t="array" ref="N193">INDEX('MATCH INFO'!O:O, INT((ROW()-2)/10)+2 + 157)</x:f>
        <x:v>260711_T1_ZETA_S5</x:v>
      </x:c>
    </x:row>
    <x:row r="194">
      <x:c r="A194" s="23" t="s">
        <x:v>47</x:v>
      </x:c>
      <x:c r="B194" s="23" t="s">
        <x:v>50</x:v>
      </x:c>
      <x:c r="C194" s="23" t="s">
        <x:v>11</x:v>
      </x:c>
      <x:c r="D194" s="23" t="s">
        <x:v>166</x:v>
      </x:c>
      <x:c r="E194" s="23" t="s">
        <x:v>191</x:v>
      </x:c>
      <x:c r="F194" s="23">
        <x:v>23</x:v>
      </x:c>
      <x:c r="G194" s="23">
        <x:v>6</x:v>
      </x:c>
      <x:c r="H194" s="23">
        <x:v>1</x:v>
      </x:c>
      <x:c r="I194" s="23">
        <x:v>5962</x:v>
      </x:c>
      <x:c r="J194" s="23">
        <x:v>76</x:v>
      </x:c>
      <x:c r="K194" s="23">
        <x:v>0</x:v>
      </x:c>
      <x:c r="L194" s="23" t="s">
        <x:v>204</x:v>
      </x:c>
      <x:c r="M194" s="23" t="e">
        <x:f t="shared" ref="M194:M257" si="3">L194*86400</x:f>
        <x:v>#VALUE!</x:v>
      </x:c>
      <x:c r="N194" s="24" t="str">
        <x:f t="array" ref="N194">INDEX('MATCH INFO'!O:O, INT((ROW()-2)/10)+2 + 157)</x:f>
        <x:v>260711_T1_ZETA_S5</x:v>
      </x:c>
    </x:row>
    <x:row r="195">
      <x:c r="A195" s="23" t="s">
        <x:v>47</x:v>
      </x:c>
      <x:c r="B195" s="23" t="s">
        <x:v>53</x:v>
      </x:c>
      <x:c r="C195" s="23" t="s">
        <x:v>16</x:v>
      </x:c>
      <x:c r="D195" s="23" t="s">
        <x:v>166</x:v>
      </x:c>
      <x:c r="E195" s="23" t="s">
        <x:v>191</x:v>
      </x:c>
      <x:c r="F195" s="23">
        <x:v>11</x:v>
      </x:c>
      <x:c r="G195" s="23">
        <x:v>3</x:v>
      </x:c>
      <x:c r="H195" s="23">
        <x:v>16</x:v>
      </x:c>
      <x:c r="I195" s="23">
        <x:v>4047</x:v>
      </x:c>
      <x:c r="J195" s="23">
        <x:v>6504</x:v>
      </x:c>
      <x:c r="K195" s="23">
        <x:v>979</x:v>
      </x:c>
      <x:c r="L195" s="23" t="s">
        <x:v>204</x:v>
      </x:c>
      <x:c r="M195" s="23">
        <x:f t="shared" si="3"/>
        <x:v>622</x:v>
      </x:c>
      <x:c r="N195" s="24" t="str">
        <x:f t="array" ref="N195">INDEX('MATCH INFO'!O:O, INT((ROW()-2)/10)+2 + 157)</x:f>
        <x:v>260711_T1_ZETA_S5</x:v>
      </x:c>
    </x:row>
    <x:row r="196">
      <x:c r="A196" s="23" t="s">
        <x:v>47</x:v>
      </x:c>
      <x:c r="B196" s="23" t="s">
        <x:v>52</x:v>
      </x:c>
      <x:c r="C196" s="23" t="s">
        <x:v>16</x:v>
      </x:c>
      <x:c r="D196" s="23" t="s">
        <x:v>166</x:v>
      </x:c>
      <x:c r="E196" s="23" t="s">
        <x:v>191</x:v>
      </x:c>
      <x:c r="F196" s="23">
        <x:v>8</x:v>
      </x:c>
      <x:c r="G196" s="23">
        <x:v>6</x:v>
      </x:c>
      <x:c r="H196" s="23">
        <x:v>6</x:v>
      </x:c>
      <x:c r="I196" s="23">
        <x:v>5798</x:v>
      </x:c>
      <x:c r="J196" s="23">
        <x:v>4845</x:v>
      </x:c>
      <x:c r="K196" s="23">
        <x:v>0</x:v>
      </x:c>
      <x:c r="L196" s="23" t="s">
        <x:v>204</x:v>
      </x:c>
      <x:c r="M196" s="23">
        <x:f t="shared" si="3"/>
        <x:v>622</x:v>
      </x:c>
      <x:c r="N196" s="24" t="str">
        <x:f t="array" ref="N196">INDEX('MATCH INFO'!O:O, INT((ROW()-2)/10)+2 + 157)</x:f>
        <x:v>260711_T1_ZETA_S5</x:v>
      </x:c>
    </x:row>
    <x:row r="197">
      <x:c r="A197" s="23" t="s">
        <x:v>63</x:v>
      </x:c>
      <x:c r="B197" s="23" t="s">
        <x:v>69</x:v>
      </x:c>
      <x:c r="C197" s="23" t="s">
        <x:v>16</x:v>
      </x:c>
      <x:c r="D197" s="23" t="s">
        <x:v>166</x:v>
      </x:c>
      <x:c r="E197" s="23" t="s">
        <x:v>191</x:v>
      </x:c>
      <x:c r="F197" s="23">
        <x:v>6</x:v>
      </x:c>
      <x:c r="G197" s="23">
        <x:v>7</x:v>
      </x:c>
      <x:c r="H197" s="23">
        <x:v>11</x:v>
      </x:c>
      <x:c r="I197" s="23">
        <x:v>2014</x:v>
      </x:c>
      <x:c r="J197" s="23">
        <x:v>5542</x:v>
      </x:c>
      <x:c r="K197" s="23">
        <x:v>0</x:v>
      </x:c>
      <x:c r="L197" s="23" t="s">
        <x:v>204</x:v>
      </x:c>
      <x:c r="M197" s="23">
        <x:f t="shared" si="3"/>
        <x:v>622</x:v>
      </x:c>
      <x:c r="N197" s="24" t="str">
        <x:f t="array" ref="N197">INDEX('MATCH INFO'!O:O, INT((ROW()-2)/10)+2 + 157)</x:f>
        <x:v>260711_T1_ZETA_S5</x:v>
      </x:c>
    </x:row>
    <x:row r="198">
      <x:c r="A198" s="23" t="s">
        <x:v>63</x:v>
      </x:c>
      <x:c r="B198" s="23" t="s">
        <x:v>64</x:v>
      </x:c>
      <x:c r="C198" s="23" t="s">
        <x:v>8</x:v>
      </x:c>
      <x:c r="D198" s="23" t="s">
        <x:v>166</x:v>
      </x:c>
      <x:c r="E198" s="23" t="s">
        <x:v>191</x:v>
      </x:c>
      <x:c r="F198" s="23">
        <x:v>12</x:v>
      </x:c>
      <x:c r="G198" s="23">
        <x:v>8</x:v>
      </x:c>
      <x:c r="H198" s="23">
        <x:v>6</x:v>
      </x:c>
      <x:c r="I198" s="23">
        <x:v>6568</x:v>
      </x:c>
      <x:c r="J198" s="23">
        <x:v>1220</x:v>
      </x:c>
      <x:c r="K198" s="23">
        <x:v>10185</x:v>
      </x:c>
      <x:c r="L198" s="23" t="s">
        <x:v>204</x:v>
      </x:c>
      <x:c r="M198" s="23">
        <x:f t="shared" si="3"/>
        <x:v>622</x:v>
      </x:c>
      <x:c r="N198" s="24" t="str">
        <x:f t="array" ref="N198">INDEX('MATCH INFO'!O:O, INT((ROW()-2)/10)+2 + 157)</x:f>
        <x:v>260711_T1_ZETA_S5</x:v>
      </x:c>
    </x:row>
    <x:row r="199">
      <x:c r="A199" s="23" t="s">
        <x:v>63</x:v>
      </x:c>
      <x:c r="B199" s="23" t="s">
        <x:v>67</x:v>
      </x:c>
      <x:c r="C199" s="23" t="s">
        <x:v>11</x:v>
      </x:c>
      <x:c r="D199" s="23" t="s">
        <x:v>166</x:v>
      </x:c>
      <x:c r="E199" s="23" t="s">
        <x:v>191</x:v>
      </x:c>
      <x:c r="F199" s="23">
        <x:v>13</x:v>
      </x:c>
      <x:c r="G199" s="23">
        <x:v>9</x:v>
      </x:c>
      <x:c r="H199" s="23">
        <x:v>0</x:v>
      </x:c>
      <x:c r="I199" s="23">
        <x:v>7688</x:v>
      </x:c>
      <x:c r="J199" s="23">
        <x:v>0</x:v>
      </x:c>
      <x:c r="K199" s="23">
        <x:v>653</x:v>
      </x:c>
      <x:c r="L199" s="23" t="s">
        <x:v>204</x:v>
      </x:c>
      <x:c r="M199" s="23">
        <x:f t="shared" si="3"/>
        <x:v>622</x:v>
      </x:c>
      <x:c r="N199" s="24" t="str">
        <x:f t="array" ref="N199">INDEX('MATCH INFO'!O:O, INT((ROW()-2)/10)+2 + 157)</x:f>
        <x:v>260711_T1_ZETA_S5</x:v>
      </x:c>
    </x:row>
    <x:row r="200">
      <x:c r="A200" s="23" t="s">
        <x:v>63</x:v>
      </x:c>
      <x:c r="B200" s="23" t="s">
        <x:v>70</x:v>
      </x:c>
      <x:c r="C200" s="23" t="s">
        <x:v>16</x:v>
      </x:c>
      <x:c r="D200" s="23" t="s">
        <x:v>166</x:v>
      </x:c>
      <x:c r="E200" s="23" t="s">
        <x:v>191</x:v>
      </x:c>
      <x:c r="F200" s="23">
        <x:v>6</x:v>
      </x:c>
      <x:c r="G200" s="23">
        <x:v>8</x:v>
      </x:c>
      <x:c r="H200" s="23">
        <x:v>6</x:v>
      </x:c>
      <x:c r="I200" s="23">
        <x:v>3366</x:v>
      </x:c>
      <x:c r="J200" s="23">
        <x:v>7871</x:v>
      </x:c>
      <x:c r="K200" s="23">
        <x:v>585</x:v>
      </x:c>
      <x:c r="L200" s="23" t="s">
        <x:v>204</x:v>
      </x:c>
      <x:c r="M200" s="23">
        <x:f t="shared" si="3"/>
        <x:v>622</x:v>
      </x:c>
      <x:c r="N200" s="24" t="str">
        <x:f t="array" ref="N200">INDEX('MATCH INFO'!O:O, INT((ROW()-2)/10)+2 + 157)</x:f>
        <x:v>260711_T1_ZETA_S5</x:v>
      </x:c>
    </x:row>
    <x:row r="201">
      <x:c r="A201" s="23" t="s">
        <x:v>63</x:v>
      </x:c>
      <x:c r="B201" s="23" t="s">
        <x:v>66</x:v>
      </x:c>
      <x:c r="C201" s="23" t="s">
        <x:v>11</x:v>
      </x:c>
      <x:c r="D201" s="23" t="s">
        <x:v>166</x:v>
      </x:c>
      <x:c r="E201" s="23" t="s">
        <x:v>191</x:v>
      </x:c>
      <x:c r="F201" s="23">
        <x:v>9</x:v>
      </x:c>
      <x:c r="G201" s="23">
        <x:v>6</x:v>
      </x:c>
      <x:c r="H201" s="23">
        <x:v>0</x:v>
      </x:c>
      <x:c r="I201" s="23">
        <x:v>5702</x:v>
      </x:c>
      <x:c r="J201" s="23">
        <x:v>709</x:v>
      </x:c>
      <x:c r="K201" s="23">
        <x:v>837</x:v>
      </x:c>
      <x:c r="L201" s="23" t="s">
        <x:v>204</x:v>
      </x:c>
      <x:c r="M201" s="23">
        <x:f t="shared" si="3"/>
        <x:v>622</x:v>
      </x:c>
      <x:c r="N201" s="24" t="str">
        <x:f t="array" ref="N201">INDEX('MATCH INFO'!O:O, INT((ROW()-2)/10)+2 + 157)</x:f>
        <x:v>260711_T1_ZETA_S5</x:v>
      </x:c>
    </x:row>
    <x:row r="202">
      <x:c r="A202" s="23" t="s">
        <x:v>63</x:v>
      </x:c>
      <x:c r="B202" s="23" t="s">
        <x:v>69</x:v>
      </x:c>
      <x:c r="C202" s="23" t="s">
        <x:v>16</x:v>
      </x:c>
      <x:c r="D202" s="23" t="s">
        <x:v>107</x:v>
      </x:c>
      <x:c r="E202" s="23" t="s">
        <x:v>184</x:v>
      </x:c>
      <x:c r="F202" s="23">
        <x:v>20</x:v>
      </x:c>
      <x:c r="G202" s="23">
        <x:v>3</x:v>
      </x:c>
      <x:c r="H202" s="23">
        <x:v>8</x:v>
      </x:c>
      <x:c r="I202" s="23">
        <x:v>4086</x:v>
      </x:c>
      <x:c r="J202" s="23">
        <x:v>4975</x:v>
      </x:c>
      <x:c r="K202" s="23">
        <x:v>0</x:v>
      </x:c>
      <x:c r="L202" s="23" t="s">
        <x:v>341</x:v>
      </x:c>
      <x:c r="M202" s="23">
        <x:f t="shared" si="3"/>
        <x:v>541</x:v>
      </x:c>
      <x:c r="N202" s="24" t="str">
        <x:f t="array" ref="N202">INDEX('MATCH INFO'!O:O, INT((ROW()-2)/10)+2 + 157)</x:f>
        <x:v>260712_ROZE_T1_S1</x:v>
      </x:c>
    </x:row>
    <x:row r="203">
      <x:c r="A203" s="23" t="s">
        <x:v>63</x:v>
      </x:c>
      <x:c r="B203" s="23" t="s">
        <x:v>64</x:v>
      </x:c>
      <x:c r="C203" s="23" t="s">
        <x:v>8</x:v>
      </x:c>
      <x:c r="D203" s="23" t="s">
        <x:v>107</x:v>
      </x:c>
      <x:c r="E203" s="23" t="s">
        <x:v>184</x:v>
      </x:c>
      <x:c r="F203" s="23">
        <x:v>21</x:v>
      </x:c>
      <x:c r="G203" s="23">
        <x:v>1</x:v>
      </x:c>
      <x:c r="H203" s="23">
        <x:v>5</x:v>
      </x:c>
      <x:c r="I203" s="23">
        <x:v>7921</x:v>
      </x:c>
      <x:c r="J203" s="23">
        <x:v>1987</x:v>
      </x:c>
      <x:c r="K203" s="23">
        <x:v>6200</x:v>
      </x:c>
      <x:c r="L203" s="23" t="s">
        <x:v>341</x:v>
      </x:c>
      <x:c r="M203" s="23">
        <x:f t="shared" si="3"/>
        <x:v>541</x:v>
      </x:c>
      <x:c r="N203" s="24" t="str">
        <x:f t="array" ref="N203">INDEX('MATCH INFO'!O:O, INT((ROW()-2)/10)+2 + 157)</x:f>
        <x:v>260712_ROZE_T1_S1</x:v>
      </x:c>
    </x:row>
    <x:row r="204">
      <x:c r="A204" s="23" t="s">
        <x:v>63</x:v>
      </x:c>
      <x:c r="B204" s="23" t="s">
        <x:v>67</x:v>
      </x:c>
      <x:c r="C204" s="23" t="s">
        <x:v>11</x:v>
      </x:c>
      <x:c r="D204" s="23" t="s">
        <x:v>107</x:v>
      </x:c>
      <x:c r="E204" s="23" t="s">
        <x:v>184</x:v>
      </x:c>
      <x:c r="F204" s="23">
        <x:v>21</x:v>
      </x:c>
      <x:c r="G204" s="23">
        <x:v>4</x:v>
      </x:c>
      <x:c r="H204" s="23">
        <x:v>0</x:v>
      </x:c>
      <x:c r="I204" s="23">
        <x:v>8762</x:v>
      </x:c>
      <x:c r="J204" s="23">
        <x:v>0</x:v>
      </x:c>
      <x:c r="K204" s="23">
        <x:v>504</x:v>
      </x:c>
      <x:c r="L204" s="23" t="s">
        <x:v>341</x:v>
      </x:c>
      <x:c r="M204" s="23">
        <x:f t="shared" si="3"/>
        <x:v>541</x:v>
      </x:c>
      <x:c r="N204" s="24" t="str">
        <x:f t="array" ref="N204">INDEX('MATCH INFO'!O:O, INT((ROW()-2)/10)+2 + 157)</x:f>
        <x:v>260712_ROZE_T1_S1</x:v>
      </x:c>
    </x:row>
    <x:row r="205">
      <x:c r="A205" s="23" t="s">
        <x:v>63</x:v>
      </x:c>
      <x:c r="B205" s="23" t="s">
        <x:v>70</x:v>
      </x:c>
      <x:c r="C205" s="23" t="s">
        <x:v>16</x:v>
      </x:c>
      <x:c r="D205" s="23" t="s">
        <x:v>107</x:v>
      </x:c>
      <x:c r="E205" s="23" t="s">
        <x:v>184</x:v>
      </x:c>
      <x:c r="F205" s="23">
        <x:v>11</x:v>
      </x:c>
      <x:c r="G205" s="23">
        <x:v>4</x:v>
      </x:c>
      <x:c r="H205" s="23">
        <x:v>23</x:v>
      </x:c>
      <x:c r="I205" s="23">
        <x:v>3898</x:v>
      </x:c>
      <x:c r="J205" s="23">
        <x:v>7536</x:v>
      </x:c>
      <x:c r="K205" s="23">
        <x:v>0</x:v>
      </x:c>
      <x:c r="L205" s="23" t="s">
        <x:v>341</x:v>
      </x:c>
      <x:c r="M205" s="23">
        <x:f t="shared" si="3"/>
        <x:v>541</x:v>
      </x:c>
      <x:c r="N205" s="24" t="str">
        <x:f t="array" ref="N205">INDEX('MATCH INFO'!O:O, INT((ROW()-2)/10)+2 + 157)</x:f>
        <x:v>260712_ROZE_T1_S1</x:v>
      </x:c>
    </x:row>
    <x:row r="206">
      <x:c r="A206" s="23" t="s">
        <x:v>63</x:v>
      </x:c>
      <x:c r="B206" s="23" t="s">
        <x:v>66</x:v>
      </x:c>
      <x:c r="C206" s="23" t="s">
        <x:v>11</x:v>
      </x:c>
      <x:c r="D206" s="23" t="s">
        <x:v>107</x:v>
      </x:c>
      <x:c r="E206" s="23" t="s">
        <x:v>184</x:v>
      </x:c>
      <x:c r="F206" s="23">
        <x:v>21</x:v>
      </x:c>
      <x:c r="G206" s="23">
        <x:v>3</x:v>
      </x:c>
      <x:c r="H206" s="23">
        <x:v>0</x:v>
      </x:c>
      <x:c r="I206" s="23">
        <x:v>8619</x:v>
      </x:c>
      <x:c r="J206" s="23">
        <x:v>82</x:v>
      </x:c>
      <x:c r="K206" s="23">
        <x:v>0</x:v>
      </x:c>
      <x:c r="L206" s="23" t="s">
        <x:v>341</x:v>
      </x:c>
      <x:c r="M206" s="23">
        <x:f t="shared" si="3"/>
        <x:v>541</x:v>
      </x:c>
      <x:c r="N206" s="24" t="str">
        <x:f t="array" ref="N206">INDEX('MATCH INFO'!O:O, INT((ROW()-2)/10)+2 + 157)</x:f>
        <x:v>260712_ROZE_T1_S1</x:v>
      </x:c>
    </x:row>
    <x:row r="207">
      <x:c r="A207" s="23" t="s">
        <x:v>22</x:v>
      </x:c>
      <x:c r="B207" s="23" t="s">
        <x:v>25</x:v>
      </x:c>
      <x:c r="C207" s="23" t="s">
        <x:v>11</x:v>
      </x:c>
      <x:c r="D207" s="23" t="s">
        <x:v>107</x:v>
      </x:c>
      <x:c r="E207" s="23" t="s">
        <x:v>184</x:v>
      </x:c>
      <x:c r="F207" s="23">
        <x:v>6</x:v>
      </x:c>
      <x:c r="G207" s="23">
        <x:v>7</x:v>
      </x:c>
      <x:c r="H207" s="23">
        <x:v>0</x:v>
      </x:c>
      <x:c r="I207" s="23">
        <x:v>6190</x:v>
      </x:c>
      <x:c r="J207" s="23">
        <x:v>105</x:v>
      </x:c>
      <x:c r="K207" s="23">
        <x:v>0</x:v>
      </x:c>
      <x:c r="L207" s="23" t="s">
        <x:v>341</x:v>
      </x:c>
      <x:c r="M207" s="23">
        <x:f t="shared" si="3"/>
        <x:v>541</x:v>
      </x:c>
      <x:c r="N207" s="24" t="str">
        <x:f t="array" ref="N207">INDEX('MATCH INFO'!O:O, INT((ROW()-2)/10)+2 + 157)</x:f>
        <x:v>260712_ROZE_T1_S1</x:v>
      </x:c>
    </x:row>
    <x:row r="208">
      <x:c r="A208" s="23" t="s">
        <x:v>22</x:v>
      </x:c>
      <x:c r="B208" s="23" t="s">
        <x:v>24</x:v>
      </x:c>
      <x:c r="C208" s="23" t="s">
        <x:v>8</x:v>
      </x:c>
      <x:c r="D208" s="23" t="s">
        <x:v>107</x:v>
      </x:c>
      <x:c r="E208" s="23" t="s">
        <x:v>184</x:v>
      </x:c>
      <x:c r="F208" s="23">
        <x:v>12</x:v>
      </x:c>
      <x:c r="G208" s="23">
        <x:v>5</x:v>
      </x:c>
      <x:c r="H208" s="23">
        <x:v>4</x:v>
      </x:c>
      <x:c r="I208" s="23">
        <x:v>5926</x:v>
      </x:c>
      <x:c r="J208" s="23">
        <x:v>1529</x:v>
      </x:c>
      <x:c r="K208" s="23">
        <x:v>5348</x:v>
      </x:c>
      <x:c r="L208" s="23" t="s">
        <x:v>341</x:v>
      </x:c>
      <x:c r="M208" s="23">
        <x:f t="shared" si="3"/>
        <x:v>541</x:v>
      </x:c>
      <x:c r="N208" s="24" t="str">
        <x:f t="array" ref="N208">INDEX('MATCH INFO'!O:O, INT((ROW()-2)/10)+2 + 157)</x:f>
        <x:v>260712_ROZE_T1_S1</x:v>
      </x:c>
    </x:row>
    <x:row r="209">
      <x:c r="A209" s="23" t="s">
        <x:v>22</x:v>
      </x:c>
      <x:c r="B209" s="23" t="s">
        <x:v>29</x:v>
      </x:c>
      <x:c r="C209" s="23" t="s">
        <x:v>16</x:v>
      </x:c>
      <x:c r="D209" s="23" t="s">
        <x:v>107</x:v>
      </x:c>
      <x:c r="E209" s="23" t="s">
        <x:v>184</x:v>
      </x:c>
      <x:c r="F209" s="23">
        <x:v>2</x:v>
      </x:c>
      <x:c r="G209" s="23">
        <x:v>8</x:v>
      </x:c>
      <x:c r="H209" s="23">
        <x:v>5</x:v>
      </x:c>
      <x:c r="I209" s="23">
        <x:v>3623</x:v>
      </x:c>
      <x:c r="J209" s="23">
        <x:v>4580</x:v>
      </x:c>
      <x:c r="K209" s="23">
        <x:v>0</x:v>
      </x:c>
      <x:c r="L209" s="23" t="s">
        <x:v>341</x:v>
      </x:c>
      <x:c r="M209" s="23">
        <x:f t="shared" si="3"/>
        <x:v>541</x:v>
      </x:c>
      <x:c r="N209" s="24" t="str">
        <x:f t="array" ref="N209">INDEX('MATCH INFO'!O:O, INT((ROW()-2)/10)+2 + 157)</x:f>
        <x:v>260712_ROZE_T1_S1</x:v>
      </x:c>
    </x:row>
    <x:row r="210">
      <x:c r="A210" s="23" t="s">
        <x:v>22</x:v>
      </x:c>
      <x:c r="B210" s="23" t="s">
        <x:v>28</x:v>
      </x:c>
      <x:c r="C210" s="23" t="s">
        <x:v>16</x:v>
      </x:c>
      <x:c r="D210" s="23" t="s">
        <x:v>107</x:v>
      </x:c>
      <x:c r="E210" s="23" t="s">
        <x:v>184</x:v>
      </x:c>
      <x:c r="F210" s="23">
        <x:v>7</x:v>
      </x:c>
      <x:c r="G210" s="23">
        <x:v>6</x:v>
      </x:c>
      <x:c r="H210" s="23">
        <x:v>2</x:v>
      </x:c>
      <x:c r="I210" s="23">
        <x:v>4351</x:v>
      </x:c>
      <x:c r="J210" s="23">
        <x:v>5816</x:v>
      </x:c>
      <x:c r="K210" s="23">
        <x:v>0</x:v>
      </x:c>
      <x:c r="L210" s="23" t="s">
        <x:v>341</x:v>
      </x:c>
      <x:c r="M210" s="23">
        <x:f t="shared" si="3"/>
        <x:v>541</x:v>
      </x:c>
      <x:c r="N210" s="24" t="str">
        <x:f t="array" ref="N210">INDEX('MATCH INFO'!O:O, INT((ROW()-2)/10)+2 + 157)</x:f>
        <x:v>260712_ROZE_T1_S1</x:v>
      </x:c>
    </x:row>
    <x:row r="211">
      <x:c r="A211" s="23" t="s">
        <x:v>22</x:v>
      </x:c>
      <x:c r="B211" s="23" t="s">
        <x:v>27</x:v>
      </x:c>
      <x:c r="C211" s="23" t="s">
        <x:v>11</x:v>
      </x:c>
      <x:c r="D211" s="23" t="s">
        <x:v>107</x:v>
      </x:c>
      <x:c r="E211" s="23" t="s">
        <x:v>184</x:v>
      </x:c>
      <x:c r="F211" s="23">
        <x:v>12</x:v>
      </x:c>
      <x:c r="G211" s="23">
        <x:v>8</x:v>
      </x:c>
      <x:c r="H211" s="23">
        <x:v>1</x:v>
      </x:c>
      <x:c r="I211" s="23">
        <x:v>10207</x:v>
      </x:c>
      <x:c r="J211" s="23">
        <x:v>56</x:v>
      </x:c>
      <x:c r="K211" s="23">
        <x:v>269</x:v>
      </x:c>
      <x:c r="L211" s="23" t="s">
        <x:v>341</x:v>
      </x:c>
      <x:c r="M211" s="23">
        <x:f t="shared" si="3"/>
        <x:v>541</x:v>
      </x:c>
      <x:c r="N211" s="24" t="str">
        <x:f t="array" ref="N211">INDEX('MATCH INFO'!O:O, INT((ROW()-2)/10)+2 + 157)</x:f>
        <x:v>260712_ROZE_T1_S1</x:v>
      </x:c>
    </x:row>
    <x:row r="212">
      <x:c r="A212" s="23" t="s">
        <x:v>63</x:v>
      </x:c>
      <x:c r="B212" s="23" t="s">
        <x:v>69</x:v>
      </x:c>
      <x:c r="C212" s="23" t="s">
        <x:v>16</x:v>
      </x:c>
      <x:c r="D212" s="23" t="s">
        <x:v>145</x:v>
      </x:c>
      <x:c r="E212" s="23" t="s">
        <x:v>195</x:v>
      </x:c>
      <x:c r="F212" s="23">
        <x:v>29</x:v>
      </x:c>
      <x:c r="G212" s="23">
        <x:v>7</x:v>
      </x:c>
      <x:c r="H212" s="23">
        <x:v>36</x:v>
      </x:c>
      <x:c r="I212" s="23">
        <x:v>3719</x:v>
      </x:c>
      <x:c r="J212" s="23">
        <x:v>14542</x:v>
      </x:c>
      <x:c r="K212" s="23">
        <x:v>0</x:v>
      </x:c>
      <x:c r="L212" s="23" t="s">
        <x:v>342</x:v>
      </x:c>
      <x:c r="M212" s="23">
        <x:f t="shared" si="3"/>
        <x:v>827.99999999999989</x:v>
      </x:c>
      <x:c r="N212" s="24" t="str">
        <x:f t="array" ref="N212">INDEX('MATCH INFO'!O:O, INT((ROW()-2)/10)+2 + 157)</x:f>
        <x:v>260712_ROZE_T1_S2</x:v>
      </x:c>
    </x:row>
    <x:row r="213">
      <x:c r="A213" s="23" t="s">
        <x:v>63</x:v>
      </x:c>
      <x:c r="B213" s="23" t="s">
        <x:v>65</x:v>
      </x:c>
      <x:c r="C213" s="23" t="s">
        <x:v>8</x:v>
      </x:c>
      <x:c r="D213" s="23" t="s">
        <x:v>145</x:v>
      </x:c>
      <x:c r="E213" s="23" t="s">
        <x:v>195</x:v>
      </x:c>
      <x:c r="F213" s="23">
        <x:v>32</x:v>
      </x:c>
      <x:c r="G213" s="23">
        <x:v>8</x:v>
      </x:c>
      <x:c r="H213" s="23">
        <x:v>2</x:v>
      </x:c>
      <x:c r="I213" s="23">
        <x:v>13611</x:v>
      </x:c>
      <x:c r="J213" s="23">
        <x:v>1169</x:v>
      </x:c>
      <x:c r="K213" s="23">
        <x:v>17213</x:v>
      </x:c>
      <x:c r="L213" s="23" t="s">
        <x:v>342</x:v>
      </x:c>
      <x:c r="M213" s="23">
        <x:f t="shared" si="3"/>
        <x:v>827.99999999999989</x:v>
      </x:c>
      <x:c r="N213" s="24" t="str">
        <x:f t="array" ref="N213">INDEX('MATCH INFO'!O:O, INT((ROW()-2)/10)+2 + 157)</x:f>
        <x:v>260712_ROZE_T1_S2</x:v>
      </x:c>
    </x:row>
    <x:row r="214">
      <x:c r="A214" s="23" t="s">
        <x:v>63</x:v>
      </x:c>
      <x:c r="B214" s="23" t="s">
        <x:v>67</x:v>
      </x:c>
      <x:c r="C214" s="23" t="s">
        <x:v>11</x:v>
      </x:c>
      <x:c r="D214" s="23" t="s">
        <x:v>145</x:v>
      </x:c>
      <x:c r="E214" s="23" t="s">
        <x:v>195</x:v>
      </x:c>
      <x:c r="F214" s="23">
        <x:v>29</x:v>
      </x:c>
      <x:c r="G214" s="23">
        <x:v>11</x:v>
      </x:c>
      <x:c r="H214" s="23">
        <x:v>1</x:v>
      </x:c>
      <x:c r="I214" s="23">
        <x:v>12144</x:v>
      </x:c>
      <x:c r="J214" s="23">
        <x:v>0</x:v>
      </x:c>
      <x:c r="K214" s="23">
        <x:v>0</x:v>
      </x:c>
      <x:c r="L214" s="23" t="s">
        <x:v>342</x:v>
      </x:c>
      <x:c r="M214" s="23">
        <x:f t="shared" si="3"/>
        <x:v>827.99999999999989</x:v>
      </x:c>
      <x:c r="N214" s="24" t="str">
        <x:f t="array" ref="N214">INDEX('MATCH INFO'!O:O, INT((ROW()-2)/10)+2 + 157)</x:f>
        <x:v>260712_ROZE_T1_S2</x:v>
      </x:c>
    </x:row>
    <x:row r="215">
      <x:c r="A215" s="23" t="s">
        <x:v>63</x:v>
      </x:c>
      <x:c r="B215" s="23" t="s">
        <x:v>70</x:v>
      </x:c>
      <x:c r="C215" s="23" t="s">
        <x:v>16</x:v>
      </x:c>
      <x:c r="D215" s="23" t="s">
        <x:v>145</x:v>
      </x:c>
      <x:c r="E215" s="23" t="s">
        <x:v>195</x:v>
      </x:c>
      <x:c r="F215" s="23">
        <x:v>29</x:v>
      </x:c>
      <x:c r="G215" s="23">
        <x:v>6</x:v>
      </x:c>
      <x:c r="H215" s="23">
        <x:v>25</x:v>
      </x:c>
      <x:c r="I215" s="23">
        <x:v>8822</x:v>
      </x:c>
      <x:c r="J215" s="23">
        <x:v>9579</x:v>
      </x:c>
      <x:c r="K215" s="23">
        <x:v>426</x:v>
      </x:c>
      <x:c r="L215" s="23" t="s">
        <x:v>342</x:v>
      </x:c>
      <x:c r="M215" s="23">
        <x:f t="shared" si="3"/>
        <x:v>827.99999999999989</x:v>
      </x:c>
      <x:c r="N215" s="24" t="str">
        <x:f t="array" ref="N215">INDEX('MATCH INFO'!O:O, INT((ROW()-2)/10)+2 + 157)</x:f>
        <x:v>260712_ROZE_T1_S2</x:v>
      </x:c>
    </x:row>
    <x:row r="216">
      <x:c r="A216" s="23" t="s">
        <x:v>63</x:v>
      </x:c>
      <x:c r="B216" s="23" t="s">
        <x:v>66</x:v>
      </x:c>
      <x:c r="C216" s="23" t="s">
        <x:v>11</x:v>
      </x:c>
      <x:c r="D216" s="23" t="s">
        <x:v>145</x:v>
      </x:c>
      <x:c r="E216" s="23" t="s">
        <x:v>195</x:v>
      </x:c>
      <x:c r="F216" s="23">
        <x:v>37</x:v>
      </x:c>
      <x:c r="G216" s="23">
        <x:v>7</x:v>
      </x:c>
      <x:c r="H216" s="23">
        <x:v>1</x:v>
      </x:c>
      <x:c r="I216" s="23">
        <x:v>15772</x:v>
      </x:c>
      <x:c r="J216" s="23">
        <x:v>1671</x:v>
      </x:c>
      <x:c r="K216" s="23">
        <x:v>0</x:v>
      </x:c>
      <x:c r="L216" s="23" t="s">
        <x:v>342</x:v>
      </x:c>
      <x:c r="M216" s="23">
        <x:f t="shared" si="3"/>
        <x:v>827.99999999999989</x:v>
      </x:c>
      <x:c r="N216" s="24" t="str">
        <x:f t="array" ref="N216">INDEX('MATCH INFO'!O:O, INT((ROW()-2)/10)+2 + 157)</x:f>
        <x:v>260712_ROZE_T1_S2</x:v>
      </x:c>
    </x:row>
    <x:row r="217">
      <x:c r="A217" s="23" t="s">
        <x:v>22</x:v>
      </x:c>
      <x:c r="B217" s="23" t="s">
        <x:v>25</x:v>
      </x:c>
      <x:c r="C217" s="23" t="s">
        <x:v>11</x:v>
      </x:c>
      <x:c r="D217" s="23" t="s">
        <x:v>145</x:v>
      </x:c>
      <x:c r="E217" s="23" t="s">
        <x:v>195</x:v>
      </x:c>
      <x:c r="F217" s="23">
        <x:v>17</x:v>
      </x:c>
      <x:c r="G217" s="23">
        <x:v>11</x:v>
      </x:c>
      <x:c r="H217" s="23">
        <x:v>0</x:v>
      </x:c>
      <x:c r="I217" s="23">
        <x:v>9903</x:v>
      </x:c>
      <x:c r="J217" s="23">
        <x:v>1653</x:v>
      </x:c>
      <x:c r="K217" s="23">
        <x:v>0</x:v>
      </x:c>
      <x:c r="L217" s="23" t="s">
        <x:v>342</x:v>
      </x:c>
      <x:c r="M217" s="23">
        <x:f t="shared" si="3"/>
        <x:v>827.99999999999989</x:v>
      </x:c>
      <x:c r="N217" s="24" t="str">
        <x:f t="array" ref="N217">INDEX('MATCH INFO'!O:O, INT((ROW()-2)/10)+2 + 157)</x:f>
        <x:v>260712_ROZE_T1_S2</x:v>
      </x:c>
    </x:row>
    <x:row r="218">
      <x:c r="A218" s="23" t="s">
        <x:v>22</x:v>
      </x:c>
      <x:c r="B218" s="23" t="s">
        <x:v>24</x:v>
      </x:c>
      <x:c r="C218" s="23" t="s">
        <x:v>8</x:v>
      </x:c>
      <x:c r="D218" s="23" t="s">
        <x:v>145</x:v>
      </x:c>
      <x:c r="E218" s="23" t="s">
        <x:v>195</x:v>
      </x:c>
      <x:c r="F218" s="23">
        <x:v>16</x:v>
      </x:c>
      <x:c r="G218" s="23">
        <x:v>14</x:v>
      </x:c>
      <x:c r="H218" s="23">
        <x:v>11</x:v>
      </x:c>
      <x:c r="I218" s="23">
        <x:v>11162</x:v>
      </x:c>
      <x:c r="J218" s="23">
        <x:v>2609</x:v>
      </x:c>
      <x:c r="K218" s="23">
        <x:v>12083</x:v>
      </x:c>
      <x:c r="L218" s="23" t="s">
        <x:v>342</x:v>
      </x:c>
      <x:c r="M218" s="23">
        <x:f t="shared" si="3"/>
        <x:v>827.99999999999989</x:v>
      </x:c>
      <x:c r="N218" s="24" t="str">
        <x:f t="array" ref="N218">INDEX('MATCH INFO'!O:O, INT((ROW()-2)/10)+2 + 157)</x:f>
        <x:v>260712_ROZE_T1_S2</x:v>
      </x:c>
    </x:row>
    <x:row r="219">
      <x:c r="A219" s="23" t="s">
        <x:v>22</x:v>
      </x:c>
      <x:c r="B219" s="23" t="s">
        <x:v>29</x:v>
      </x:c>
      <x:c r="C219" s="23" t="s">
        <x:v>16</x:v>
      </x:c>
      <x:c r="D219" s="23" t="s">
        <x:v>145</x:v>
      </x:c>
      <x:c r="E219" s="23" t="s">
        <x:v>195</x:v>
      </x:c>
      <x:c r="F219" s="23">
        <x:v>19</x:v>
      </x:c>
      <x:c r="G219" s="23">
        <x:v>8</x:v>
      </x:c>
      <x:c r="H219" s="23">
        <x:v>17</x:v>
      </x:c>
      <x:c r="I219" s="23">
        <x:v>5661</x:v>
      </x:c>
      <x:c r="J219" s="23">
        <x:v>10934</x:v>
      </x:c>
      <x:c r="K219" s="23">
        <x:v>1234</x:v>
      </x:c>
      <x:c r="L219" s="23" t="s">
        <x:v>342</x:v>
      </x:c>
      <x:c r="M219" s="23">
        <x:f t="shared" si="3"/>
        <x:v>827.99999999999989</x:v>
      </x:c>
      <x:c r="N219" s="24" t="str">
        <x:f t="array" ref="N219">INDEX('MATCH INFO'!O:O, INT((ROW()-2)/10)+2 + 157)</x:f>
        <x:v>260712_ROZE_T1_S2</x:v>
      </x:c>
    </x:row>
    <x:row r="220">
      <x:c r="A220" s="23" t="s">
        <x:v>22</x:v>
      </x:c>
      <x:c r="B220" s="23" t="s">
        <x:v>28</x:v>
      </x:c>
      <x:c r="C220" s="23" t="s">
        <x:v>16</x:v>
      </x:c>
      <x:c r="D220" s="23" t="s">
        <x:v>145</x:v>
      </x:c>
      <x:c r="E220" s="23" t="s">
        <x:v>195</x:v>
      </x:c>
      <x:c r="F220" s="23">
        <x:v>20</x:v>
      </x:c>
      <x:c r="G220" s="23">
        <x:v>10</x:v>
      </x:c>
      <x:c r="H220" s="23">
        <x:v>11</x:v>
      </x:c>
      <x:c r="I220" s="23">
        <x:v>5567</x:v>
      </x:c>
      <x:c r="J220" s="23">
        <x:v>10532</x:v>
      </x:c>
      <x:c r="K220" s="23">
        <x:v>0</x:v>
      </x:c>
      <x:c r="L220" s="23" t="s">
        <x:v>342</x:v>
      </x:c>
      <x:c r="M220" s="23">
        <x:f t="shared" si="3"/>
        <x:v>827.99999999999989</x:v>
      </x:c>
      <x:c r="N220" s="24" t="str">
        <x:f t="array" ref="N220">INDEX('MATCH INFO'!O:O, INT((ROW()-2)/10)+2 + 157)</x:f>
        <x:v>260712_ROZE_T1_S2</x:v>
      </x:c>
    </x:row>
    <x:row r="221">
      <x:c r="A221" s="23" t="s">
        <x:v>22</x:v>
      </x:c>
      <x:c r="B221" s="23" t="s">
        <x:v>27</x:v>
      </x:c>
      <x:c r="C221" s="23" t="s">
        <x:v>11</x:v>
      </x:c>
      <x:c r="D221" s="23" t="s">
        <x:v>145</x:v>
      </x:c>
      <x:c r="E221" s="23" t="s">
        <x:v>195</x:v>
      </x:c>
      <x:c r="F221" s="23">
        <x:v>22</x:v>
      </x:c>
      <x:c r="G221" s="23">
        <x:v>11</x:v>
      </x:c>
      <x:c r="H221" s="23">
        <x:v>0</x:v>
      </x:c>
      <x:c r="I221" s="23">
        <x:v>14033</x:v>
      </x:c>
      <x:c r="J221" s="23">
        <x:v>408</x:v>
      </x:c>
      <x:c r="K221" s="23">
        <x:v>276</x:v>
      </x:c>
      <x:c r="L221" s="23" t="s">
        <x:v>342</x:v>
      </x:c>
      <x:c r="M221" s="23">
        <x:f t="shared" si="3"/>
        <x:v>827.99999999999989</x:v>
      </x:c>
      <x:c r="N221" s="24" t="str">
        <x:f t="array" ref="N221">INDEX('MATCH INFO'!O:O, INT((ROW()-2)/10)+2 + 157)</x:f>
        <x:v>260712_ROZE_T1_S2</x:v>
      </x:c>
    </x:row>
    <x:row r="222">
      <x:c r="A222" s="23" t="s">
        <x:v>22</x:v>
      </x:c>
      <x:c r="B222" s="23" t="s">
        <x:v>25</x:v>
      </x:c>
      <x:c r="C222" s="23" t="s">
        <x:v>11</x:v>
      </x:c>
      <x:c r="D222" s="23" t="s">
        <x:v>124</x:v>
      </x:c>
      <x:c r="E222" s="23" t="s">
        <x:v>186</x:v>
      </x:c>
      <x:c r="F222" s="23">
        <x:v>8</x:v>
      </x:c>
      <x:c r="G222" s="23">
        <x:v>9</x:v>
      </x:c>
      <x:c r="H222" s="23">
        <x:v>1</x:v>
      </x:c>
      <x:c r="I222" s="23">
        <x:v>6146</x:v>
      </x:c>
      <x:c r="J222" s="23">
        <x:v>198</x:v>
      </x:c>
      <x:c r="K222" s="23">
        <x:v>1065</x:v>
      </x:c>
      <x:c r="L222" s="23" t="s">
        <x:v>343</x:v>
      </x:c>
      <x:c r="M222" s="23">
        <x:f t="shared" si="3"/>
        <x:v>431</x:v>
      </x:c>
      <x:c r="N222" s="24" t="str">
        <x:f t="array" ref="N222">INDEX('MATCH INFO'!O:O, INT((ROW()-2)/10)+2 + 157)</x:f>
        <x:v>260712_ROZE_T1_S3</x:v>
      </x:c>
    </x:row>
    <x:row r="223">
      <x:c r="A223" s="23" t="s">
        <x:v>22</x:v>
      </x:c>
      <x:c r="B223" s="23" t="s">
        <x:v>24</x:v>
      </x:c>
      <x:c r="C223" s="23" t="s">
        <x:v>8</x:v>
      </x:c>
      <x:c r="D223" s="23" t="s">
        <x:v>124</x:v>
      </x:c>
      <x:c r="E223" s="23" t="s">
        <x:v>186</x:v>
      </x:c>
      <x:c r="F223" s="23">
        <x:v>7</x:v>
      </x:c>
      <x:c r="G223" s="23">
        <x:v>5</x:v>
      </x:c>
      <x:c r="H223" s="23">
        <x:v>4</x:v>
      </x:c>
      <x:c r="I223" s="23">
        <x:v>9257</x:v>
      </x:c>
      <x:c r="J223" s="23">
        <x:v>2876</x:v>
      </x:c>
      <x:c r="K223" s="23">
        <x:v>4851</x:v>
      </x:c>
      <x:c r="L223" s="23" t="s">
        <x:v>343</x:v>
      </x:c>
      <x:c r="M223" s="23">
        <x:f t="shared" si="3"/>
        <x:v>431</x:v>
      </x:c>
      <x:c r="N223" s="24" t="str">
        <x:f t="array" ref="N223">INDEX('MATCH INFO'!O:O, INT((ROW()-2)/10)+2 + 157)</x:f>
        <x:v>260712_ROZE_T1_S3</x:v>
      </x:c>
    </x:row>
    <x:row r="224">
      <x:c r="A224" s="23" t="s">
        <x:v>22</x:v>
      </x:c>
      <x:c r="B224" s="23" t="s">
        <x:v>29</x:v>
      </x:c>
      <x:c r="C224" s="23" t="s">
        <x:v>16</x:v>
      </x:c>
      <x:c r="D224" s="23" t="s">
        <x:v>124</x:v>
      </x:c>
      <x:c r="E224" s="23" t="s">
        <x:v>186</x:v>
      </x:c>
      <x:c r="F224" s="23">
        <x:v>2</x:v>
      </x:c>
      <x:c r="G224" s="23">
        <x:v>5</x:v>
      </x:c>
      <x:c r="H224" s="23">
        <x:v>9</x:v>
      </x:c>
      <x:c r="I224" s="23">
        <x:v>4204</x:v>
      </x:c>
      <x:c r="J224" s="23">
        <x:v>8688</x:v>
      </x:c>
      <x:c r="K224" s="23">
        <x:v>0</x:v>
      </x:c>
      <x:c r="L224" s="23" t="s">
        <x:v>343</x:v>
      </x:c>
      <x:c r="M224" s="23">
        <x:f t="shared" si="3"/>
        <x:v>431</x:v>
      </x:c>
      <x:c r="N224" s="24" t="str">
        <x:f t="array" ref="N224">INDEX('MATCH INFO'!O:O, INT((ROW()-2)/10)+2 + 157)</x:f>
        <x:v>260712_ROZE_T1_S3</x:v>
      </x:c>
    </x:row>
    <x:row r="225">
      <x:c r="A225" s="23" t="s">
        <x:v>22</x:v>
      </x:c>
      <x:c r="B225" s="23" t="s">
        <x:v>28</x:v>
      </x:c>
      <x:c r="C225" s="23" t="s">
        <x:v>16</x:v>
      </x:c>
      <x:c r="D225" s="23" t="s">
        <x:v>124</x:v>
      </x:c>
      <x:c r="E225" s="23" t="s">
        <x:v>186</x:v>
      </x:c>
      <x:c r="F225" s="23">
        <x:v>5</x:v>
      </x:c>
      <x:c r="G225" s="23">
        <x:v>7</x:v>
      </x:c>
      <x:c r="H225" s="23">
        <x:v>5</x:v>
      </x:c>
      <x:c r="I225" s="23">
        <x:v>3330</x:v>
      </x:c>
      <x:c r="J225" s="23">
        <x:v>3555</x:v>
      </x:c>
      <x:c r="K225" s="23">
        <x:v>1179</x:v>
      </x:c>
      <x:c r="L225" s="23" t="s">
        <x:v>343</x:v>
      </x:c>
      <x:c r="M225" s="23">
        <x:f t="shared" si="3"/>
        <x:v>431</x:v>
      </x:c>
      <x:c r="N225" s="24" t="str">
        <x:f t="array" ref="N225">INDEX('MATCH INFO'!O:O, INT((ROW()-2)/10)+2 + 157)</x:f>
        <x:v>260712_ROZE_T1_S3</x:v>
      </x:c>
    </x:row>
    <x:row r="226">
      <x:c r="A226" s="23" t="s">
        <x:v>22</x:v>
      </x:c>
      <x:c r="B226" s="23" t="s">
        <x:v>27</x:v>
      </x:c>
      <x:c r="C226" s="23" t="s">
        <x:v>11</x:v>
      </x:c>
      <x:c r="D226" s="23" t="s">
        <x:v>124</x:v>
      </x:c>
      <x:c r="E226" s="23" t="s">
        <x:v>186</x:v>
      </x:c>
      <x:c r="F226" s="23">
        <x:v>4</x:v>
      </x:c>
      <x:c r="G226" s="23">
        <x:v>7</x:v>
      </x:c>
      <x:c r="H226" s="23">
        <x:v>0</x:v>
      </x:c>
      <x:c r="I226" s="23">
        <x:v>6856</x:v>
      </x:c>
      <x:c r="J226" s="23">
        <x:v>157</x:v>
      </x:c>
      <x:c r="K226" s="23">
        <x:v>0</x:v>
      </x:c>
      <x:c r="L226" s="23" t="s">
        <x:v>343</x:v>
      </x:c>
      <x:c r="M226" s="23">
        <x:f t="shared" si="3"/>
        <x:v>431</x:v>
      </x:c>
      <x:c r="N226" s="24" t="str">
        <x:f t="array" ref="N226">INDEX('MATCH INFO'!O:O, INT((ROW()-2)/10)+2 + 157)</x:f>
        <x:v>260712_ROZE_T1_S3</x:v>
      </x:c>
    </x:row>
    <x:row r="227">
      <x:c r="A227" s="23" t="s">
        <x:v>63</x:v>
      </x:c>
      <x:c r="B227" s="23" t="s">
        <x:v>69</x:v>
      </x:c>
      <x:c r="C227" s="23" t="s">
        <x:v>16</x:v>
      </x:c>
      <x:c r="D227" s="23" t="s">
        <x:v>124</x:v>
      </x:c>
      <x:c r="E227" s="23" t="s">
        <x:v>186</x:v>
      </x:c>
      <x:c r="F227" s="23">
        <x:v>16</x:v>
      </x:c>
      <x:c r="G227" s="23">
        <x:v>2</x:v>
      </x:c>
      <x:c r="H227" s="23">
        <x:v>16</x:v>
      </x:c>
      <x:c r="I227" s="23">
        <x:v>3313</x:v>
      </x:c>
      <x:c r="J227" s="23">
        <x:v>5522</x:v>
      </x:c>
      <x:c r="K227" s="23">
        <x:v>1137</x:v>
      </x:c>
      <x:c r="L227" s="23" t="s">
        <x:v>343</x:v>
      </x:c>
      <x:c r="M227" s="23">
        <x:f t="shared" si="3"/>
        <x:v>431</x:v>
      </x:c>
      <x:c r="N227" s="24" t="str">
        <x:f t="array" ref="N227">INDEX('MATCH INFO'!O:O, INT((ROW()-2)/10)+2 + 157)</x:f>
        <x:v>260712_ROZE_T1_S3</x:v>
      </x:c>
    </x:row>
    <x:row r="228">
      <x:c r="A228" s="23" t="s">
        <x:v>63</x:v>
      </x:c>
      <x:c r="B228" s="23" t="s">
        <x:v>64</x:v>
      </x:c>
      <x:c r="C228" s="23" t="s">
        <x:v>8</x:v>
      </x:c>
      <x:c r="D228" s="23" t="s">
        <x:v>124</x:v>
      </x:c>
      <x:c r="E228" s="23" t="s">
        <x:v>186</x:v>
      </x:c>
      <x:c r="F228" s="23">
        <x:v>22</x:v>
      </x:c>
      <x:c r="G228" s="23">
        <x:v>2</x:v>
      </x:c>
      <x:c r="H228" s="23">
        <x:v>10</x:v>
      </x:c>
      <x:c r="I228" s="23">
        <x:v>11134</x:v>
      </x:c>
      <x:c r="J228" s="23">
        <x:v>2853</x:v>
      </x:c>
      <x:c r="K228" s="23">
        <x:v>5474</x:v>
      </x:c>
      <x:c r="L228" s="23" t="s">
        <x:v>343</x:v>
      </x:c>
      <x:c r="M228" s="23">
        <x:f t="shared" si="3"/>
        <x:v>431</x:v>
      </x:c>
      <x:c r="N228" s="24" t="str">
        <x:f t="array" ref="N228">INDEX('MATCH INFO'!O:O, INT((ROW()-2)/10)+2 + 157)</x:f>
        <x:v>260712_ROZE_T1_S3</x:v>
      </x:c>
    </x:row>
    <x:row r="229">
      <x:c r="A229" s="23" t="s">
        <x:v>63</x:v>
      </x:c>
      <x:c r="B229" s="23" t="s">
        <x:v>67</x:v>
      </x:c>
      <x:c r="C229" s="23" t="s">
        <x:v>11</x:v>
      </x:c>
      <x:c r="D229" s="23" t="s">
        <x:v>124</x:v>
      </x:c>
      <x:c r="E229" s="23" t="s">
        <x:v>186</x:v>
      </x:c>
      <x:c r="F229" s="23">
        <x:v>18</x:v>
      </x:c>
      <x:c r="G229" s="23">
        <x:v>4</x:v>
      </x:c>
      <x:c r="H229" s="23">
        <x:v>0</x:v>
      </x:c>
      <x:c r="I229" s="23">
        <x:v>7114</x:v>
      </x:c>
      <x:c r="J229" s="23">
        <x:v>0</x:v>
      </x:c>
      <x:c r="K229" s="23">
        <x:v>0</x:v>
      </x:c>
      <x:c r="L229" s="23" t="s">
        <x:v>343</x:v>
      </x:c>
      <x:c r="M229" s="23">
        <x:f t="shared" si="3"/>
        <x:v>431</x:v>
      </x:c>
      <x:c r="N229" s="24" t="str">
        <x:f t="array" ref="N229">INDEX('MATCH INFO'!O:O, INT((ROW()-2)/10)+2 + 157)</x:f>
        <x:v>260712_ROZE_T1_S3</x:v>
      </x:c>
    </x:row>
    <x:row r="230">
      <x:c r="A230" s="23" t="s">
        <x:v>63</x:v>
      </x:c>
      <x:c r="B230" s="23" t="s">
        <x:v>70</x:v>
      </x:c>
      <x:c r="C230" s="23" t="s">
        <x:v>16</x:v>
      </x:c>
      <x:c r="D230" s="23" t="s">
        <x:v>124</x:v>
      </x:c>
      <x:c r="E230" s="23" t="s">
        <x:v>186</x:v>
      </x:c>
      <x:c r="F230" s="23">
        <x:v>14</x:v>
      </x:c>
      <x:c r="G230" s="23">
        <x:v>1</x:v>
      </x:c>
      <x:c r="H230" s="23">
        <x:v>21</x:v>
      </x:c>
      <x:c r="I230" s="23">
        <x:v>3448</x:v>
      </x:c>
      <x:c r="J230" s="23">
        <x:v>10987</x:v>
      </x:c>
      <x:c r="K230" s="23">
        <x:v>0</x:v>
      </x:c>
      <x:c r="L230" s="23" t="s">
        <x:v>343</x:v>
      </x:c>
      <x:c r="M230" s="23">
        <x:f t="shared" si="3"/>
        <x:v>431</x:v>
      </x:c>
      <x:c r="N230" s="24" t="str">
        <x:f t="array" ref="N230">INDEX('MATCH INFO'!O:O, INT((ROW()-2)/10)+2 + 157)</x:f>
        <x:v>260712_ROZE_T1_S3</x:v>
      </x:c>
    </x:row>
    <x:row r="231">
      <x:c r="A231" s="23" t="s">
        <x:v>63</x:v>
      </x:c>
      <x:c r="B231" s="23" t="s">
        <x:v>66</x:v>
      </x:c>
      <x:c r="C231" s="23" t="s">
        <x:v>11</x:v>
      </x:c>
      <x:c r="D231" s="23" t="s">
        <x:v>124</x:v>
      </x:c>
      <x:c r="E231" s="23" t="s">
        <x:v>186</x:v>
      </x:c>
      <x:c r="F231" s="23">
        <x:v>21</x:v>
      </x:c>
      <x:c r="G231" s="23">
        <x:v>1</x:v>
      </x:c>
      <x:c r="H231" s="23">
        <x:v>3</x:v>
      </x:c>
      <x:c r="I231" s="23">
        <x:v>8064</x:v>
      </x:c>
      <x:c r="J231" s="23">
        <x:v>0</x:v>
      </x:c>
      <x:c r="K231" s="23">
        <x:v>155</x:v>
      </x:c>
      <x:c r="L231" s="23" t="s">
        <x:v>343</x:v>
      </x:c>
      <x:c r="M231" s="23">
        <x:f t="shared" si="3"/>
        <x:v>431</x:v>
      </x:c>
      <x:c r="N231" s="24" t="str">
        <x:f t="array" ref="N231">INDEX('MATCH INFO'!O:O, INT((ROW()-2)/10)+2 + 157)</x:f>
        <x:v>260712_ROZE_T1_S3</x:v>
      </x:c>
    </x:row>
    <x:row r="232">
      <x:c r="A232" s="23" t="s">
        <x:v>22</x:v>
      </x:c>
      <x:c r="B232" s="23" t="s">
        <x:v>25</x:v>
      </x:c>
      <x:c r="C232" s="23" t="s">
        <x:v>11</x:v>
      </x:c>
      <x:c r="D232" s="23" t="s">
        <x:v>168</x:v>
      </x:c>
      <x:c r="E232" s="23" t="s">
        <x:v>188</x:v>
      </x:c>
      <x:c r="F232" s="23">
        <x:v>26</x:v>
      </x:c>
      <x:c r="G232" s="23">
        <x:v>6</x:v>
      </x:c>
      <x:c r="H232" s="23">
        <x:v>2</x:v>
      </x:c>
      <x:c r="I232" s="23">
        <x:v>9215</x:v>
      </x:c>
      <x:c r="J232" s="23">
        <x:v>577</x:v>
      </x:c>
      <x:c r="K232" s="23">
        <x:v>679</x:v>
      </x:c>
      <x:c r="L232" s="23" t="s">
        <x:v>193</x:v>
      </x:c>
      <x:c r="M232" s="23">
        <x:f t="shared" si="3"/>
        <x:v>619</x:v>
      </x:c>
      <x:c r="N232" s="24" t="str">
        <x:f t="array" ref="N232">INDEX('MATCH INFO'!O:O, INT((ROW()-2)/10)+2 + 157)</x:f>
        <x:v>260712_ROZE_T1_S4</x:v>
      </x:c>
    </x:row>
    <x:row r="233">
      <x:c r="A233" s="23" t="s">
        <x:v>22</x:v>
      </x:c>
      <x:c r="B233" s="23" t="s">
        <x:v>24</x:v>
      </x:c>
      <x:c r="C233" s="23" t="s">
        <x:v>8</x:v>
      </x:c>
      <x:c r="D233" s="23" t="s">
        <x:v>168</x:v>
      </x:c>
      <x:c r="E233" s="23" t="s">
        <x:v>188</x:v>
      </x:c>
      <x:c r="F233" s="23">
        <x:v>25</x:v>
      </x:c>
      <x:c r="G233" s="23">
        <x:v>6</x:v>
      </x:c>
      <x:c r="H233" s="23">
        <x:v>22</x:v>
      </x:c>
      <x:c r="I233" s="23">
        <x:v>16171</x:v>
      </x:c>
      <x:c r="J233" s="23">
        <x:v>4156</x:v>
      </x:c>
      <x:c r="K233" s="23">
        <x:v>7321</x:v>
      </x:c>
      <x:c r="L233" s="23" t="s">
        <x:v>193</x:v>
      </x:c>
      <x:c r="M233" s="23">
        <x:f t="shared" si="3"/>
        <x:v>619</x:v>
      </x:c>
      <x:c r="N233" s="24" t="str">
        <x:f t="array" ref="N233">INDEX('MATCH INFO'!O:O, INT((ROW()-2)/10)+2 + 157)</x:f>
        <x:v>260712_ROZE_T1_S4</x:v>
      </x:c>
    </x:row>
    <x:row r="234">
      <x:c r="A234" s="23" t="s">
        <x:v>22</x:v>
      </x:c>
      <x:c r="B234" s="23" t="s">
        <x:v>29</x:v>
      </x:c>
      <x:c r="C234" s="23" t="s">
        <x:v>16</x:v>
      </x:c>
      <x:c r="D234" s="23" t="s">
        <x:v>168</x:v>
      </x:c>
      <x:c r="E234" s="23" t="s">
        <x:v>188</x:v>
      </x:c>
      <x:c r="F234" s="23">
        <x:v>18</x:v>
      </x:c>
      <x:c r="G234" s="23">
        <x:v>8</x:v>
      </x:c>
      <x:c r="H234" s="23">
        <x:v>24</x:v>
      </x:c>
      <x:c r="I234" s="23">
        <x:v>5875</x:v>
      </x:c>
      <x:c r="J234" s="23">
        <x:v>13726</x:v>
      </x:c>
      <x:c r="K234" s="23">
        <x:v>0</x:v>
      </x:c>
      <x:c r="L234" s="23" t="s">
        <x:v>193</x:v>
      </x:c>
      <x:c r="M234" s="23">
        <x:f t="shared" si="3"/>
        <x:v>619</x:v>
      </x:c>
      <x:c r="N234" s="24" t="str">
        <x:f t="array" ref="N234">INDEX('MATCH INFO'!O:O, INT((ROW()-2)/10)+2 + 157)</x:f>
        <x:v>260712_ROZE_T1_S4</x:v>
      </x:c>
    </x:row>
    <x:row r="235">
      <x:c r="A235" s="23" t="s">
        <x:v>22</x:v>
      </x:c>
      <x:c r="B235" s="23" t="s">
        <x:v>28</x:v>
      </x:c>
      <x:c r="C235" s="23" t="s">
        <x:v>16</x:v>
      </x:c>
      <x:c r="D235" s="23" t="s">
        <x:v>168</x:v>
      </x:c>
      <x:c r="E235" s="23" t="s">
        <x:v>188</x:v>
      </x:c>
      <x:c r="F235" s="23">
        <x:v>17</x:v>
      </x:c>
      <x:c r="G235" s="23">
        <x:v>7</x:v>
      </x:c>
      <x:c r="H235" s="23">
        <x:v>19</x:v>
      </x:c>
      <x:c r="I235" s="23">
        <x:v>3568</x:v>
      </x:c>
      <x:c r="J235" s="23">
        <x:v>8353</x:v>
      </x:c>
      <x:c r="K235" s="23">
        <x:v>1903</x:v>
      </x:c>
      <x:c r="L235" s="23" t="s">
        <x:v>193</x:v>
      </x:c>
      <x:c r="M235" s="23">
        <x:f t="shared" si="3"/>
        <x:v>619</x:v>
      </x:c>
      <x:c r="N235" s="24" t="str">
        <x:f t="array" ref="N235">INDEX('MATCH INFO'!O:O, INT((ROW()-2)/10)+2 + 157)</x:f>
        <x:v>260712_ROZE_T1_S4</x:v>
      </x:c>
    </x:row>
    <x:row r="236">
      <x:c r="A236" s="23" t="s">
        <x:v>22</x:v>
      </x:c>
      <x:c r="B236" s="23" t="s">
        <x:v>27</x:v>
      </x:c>
      <x:c r="C236" s="23" t="s">
        <x:v>11</x:v>
      </x:c>
      <x:c r="D236" s="23" t="s">
        <x:v>168</x:v>
      </x:c>
      <x:c r="E236" s="23" t="s">
        <x:v>188</x:v>
      </x:c>
      <x:c r="F236" s="23">
        <x:v>22</x:v>
      </x:c>
      <x:c r="G236" s="23">
        <x:v>7</x:v>
      </x:c>
      <x:c r="H236" s="23">
        <x:v>5</x:v>
      </x:c>
      <x:c r="I236" s="23">
        <x:v>11877</x:v>
      </x:c>
      <x:c r="J236" s="23">
        <x:v>75</x:v>
      </x:c>
      <x:c r="K236" s="23">
        <x:v>721</x:v>
      </x:c>
      <x:c r="L236" s="23" t="s">
        <x:v>193</x:v>
      </x:c>
      <x:c r="M236" s="23">
        <x:f t="shared" si="3"/>
        <x:v>619</x:v>
      </x:c>
      <x:c r="N236" s="24" t="str">
        <x:f t="array" ref="N236">INDEX('MATCH INFO'!O:O, INT((ROW()-2)/10)+2 + 157)</x:f>
        <x:v>260712_ROZE_T1_S4</x:v>
      </x:c>
    </x:row>
    <x:row r="237">
      <x:c r="A237" s="23" t="s">
        <x:v>63</x:v>
      </x:c>
      <x:c r="B237" s="23" t="s">
        <x:v>69</x:v>
      </x:c>
      <x:c r="C237" s="23" t="s">
        <x:v>16</x:v>
      </x:c>
      <x:c r="D237" s="23" t="s">
        <x:v>168</x:v>
      </x:c>
      <x:c r="E237" s="23" t="s">
        <x:v>188</x:v>
      </x:c>
      <x:c r="F237" s="23">
        <x:v>17</x:v>
      </x:c>
      <x:c r="G237" s="23">
        <x:v>6</x:v>
      </x:c>
      <x:c r="H237" s="23">
        <x:v>16</x:v>
      </x:c>
      <x:c r="I237" s="23">
        <x:v>4230</x:v>
      </x:c>
      <x:c r="J237" s="23">
        <x:v>6454</x:v>
      </x:c>
      <x:c r="K237" s="23">
        <x:v>2496</x:v>
      </x:c>
      <x:c r="L237" s="23" t="s">
        <x:v>193</x:v>
      </x:c>
      <x:c r="M237" s="23">
        <x:f t="shared" si="3"/>
        <x:v>619</x:v>
      </x:c>
      <x:c r="N237" s="24" t="str">
        <x:f t="array" ref="N237">INDEX('MATCH INFO'!O:O, INT((ROW()-2)/10)+2 + 157)</x:f>
        <x:v>260712_ROZE_T1_S4</x:v>
      </x:c>
    </x:row>
    <x:row r="238">
      <x:c r="A238" s="23" t="s">
        <x:v>63</x:v>
      </x:c>
      <x:c r="B238" s="23" t="s">
        <x:v>64</x:v>
      </x:c>
      <x:c r="C238" s="23" t="s">
        <x:v>8</x:v>
      </x:c>
      <x:c r="D238" s="23" t="s">
        <x:v>168</x:v>
      </x:c>
      <x:c r="E238" s="23" t="s">
        <x:v>188</x:v>
      </x:c>
      <x:c r="F238" s="23">
        <x:v>25</x:v>
      </x:c>
      <x:c r="G238" s="23">
        <x:v>8</x:v>
      </x:c>
      <x:c r="H238" s="23">
        <x:v>16</x:v>
      </x:c>
      <x:c r="I238" s="23">
        <x:v>16787</x:v>
      </x:c>
      <x:c r="J238" s="23">
        <x:v>3302</x:v>
      </x:c>
      <x:c r="K238" s="23">
        <x:v>7889</x:v>
      </x:c>
      <x:c r="L238" s="23" t="s">
        <x:v>193</x:v>
      </x:c>
      <x:c r="M238" s="23">
        <x:f t="shared" si="3"/>
        <x:v>619</x:v>
      </x:c>
      <x:c r="N238" s="24" t="str">
        <x:f t="array" ref="N238">INDEX('MATCH INFO'!O:O, INT((ROW()-2)/10)+2 + 157)</x:f>
        <x:v>260712_ROZE_T1_S4</x:v>
      </x:c>
    </x:row>
    <x:row r="239">
      <x:c r="A239" s="23" t="s">
        <x:v>63</x:v>
      </x:c>
      <x:c r="B239" s="23" t="s">
        <x:v>67</x:v>
      </x:c>
      <x:c r="C239" s="23" t="s">
        <x:v>11</x:v>
      </x:c>
      <x:c r="D239" s="23" t="s">
        <x:v>168</x:v>
      </x:c>
      <x:c r="E239" s="23" t="s">
        <x:v>188</x:v>
      </x:c>
      <x:c r="F239" s="23">
        <x:v>14</x:v>
      </x:c>
      <x:c r="G239" s="23">
        <x:v>11</x:v>
      </x:c>
      <x:c r="H239" s="23">
        <x:v>1</x:v>
      </x:c>
      <x:c r="I239" s="23">
        <x:v>10170</x:v>
      </x:c>
      <x:c r="J239" s="23">
        <x:v>334</x:v>
      </x:c>
      <x:c r="K239" s="23">
        <x:v>377</x:v>
      </x:c>
      <x:c r="L239" s="23" t="s">
        <x:v>193</x:v>
      </x:c>
      <x:c r="M239" s="23">
        <x:f t="shared" si="3"/>
        <x:v>619</x:v>
      </x:c>
      <x:c r="N239" s="24" t="str">
        <x:f t="array" ref="N239">INDEX('MATCH INFO'!O:O, INT((ROW()-2)/10)+2 + 157)</x:f>
        <x:v>260712_ROZE_T1_S4</x:v>
      </x:c>
    </x:row>
    <x:row r="240">
      <x:c r="A240" s="23" t="s">
        <x:v>63</x:v>
      </x:c>
      <x:c r="B240" s="23" t="s">
        <x:v>70</x:v>
      </x:c>
      <x:c r="C240" s="23" t="s">
        <x:v>16</x:v>
      </x:c>
      <x:c r="D240" s="23" t="s">
        <x:v>168</x:v>
      </x:c>
      <x:c r="E240" s="23" t="s">
        <x:v>188</x:v>
      </x:c>
      <x:c r="F240" s="23">
        <x:v>11</x:v>
      </x:c>
      <x:c r="G240" s="23">
        <x:v>5</x:v>
      </x:c>
      <x:c r="H240" s="23">
        <x:v>19</x:v>
      </x:c>
      <x:c r="I240" s="23">
        <x:v>7492</x:v>
      </x:c>
      <x:c r="J240" s="23">
        <x:v>11689</x:v>
      </x:c>
      <x:c r="K240" s="23">
        <x:v>0</x:v>
      </x:c>
      <x:c r="L240" s="23" t="s">
        <x:v>193</x:v>
      </x:c>
      <x:c r="M240" s="23">
        <x:f t="shared" si="3"/>
        <x:v>619</x:v>
      </x:c>
      <x:c r="N240" s="24" t="str">
        <x:f t="array" ref="N240">INDEX('MATCH INFO'!O:O, INT((ROW()-2)/10)+2 + 157)</x:f>
        <x:v>260712_ROZE_T1_S4</x:v>
      </x:c>
    </x:row>
    <x:row r="241">
      <x:c r="A241" s="23" t="s">
        <x:v>63</x:v>
      </x:c>
      <x:c r="B241" s="23" t="s">
        <x:v>66</x:v>
      </x:c>
      <x:c r="C241" s="23" t="s">
        <x:v>11</x:v>
      </x:c>
      <x:c r="D241" s="23" t="s">
        <x:v>168</x:v>
      </x:c>
      <x:c r="E241" s="23" t="s">
        <x:v>188</x:v>
      </x:c>
      <x:c r="F241" s="23">
        <x:v>21</x:v>
      </x:c>
      <x:c r="G241" s="23">
        <x:v>8</x:v>
      </x:c>
      <x:c r="H241" s="23">
        <x:v>1</x:v>
      </x:c>
      <x:c r="I241" s="23">
        <x:v>9225</x:v>
      </x:c>
      <x:c r="J241" s="23">
        <x:v>80</x:v>
      </x:c>
      <x:c r="K241" s="23">
        <x:v>461</x:v>
      </x:c>
      <x:c r="L241" s="23" t="s">
        <x:v>193</x:v>
      </x:c>
      <x:c r="M241" s="23">
        <x:f t="shared" si="3"/>
        <x:v>619</x:v>
      </x:c>
      <x:c r="N241" s="24" t="str">
        <x:f t="array" ref="N241">INDEX('MATCH INFO'!O:O, INT((ROW()-2)/10)+2 + 157)</x:f>
        <x:v>260712_ROZE_T1_S4</x:v>
      </x:c>
    </x:row>
    <x:row r="242">
      <x:c r="A242" s="23" t="s">
        <x:v>22</x:v>
      </x:c>
      <x:c r="B242" s="23" t="s">
        <x:v>25</x:v>
      </x:c>
      <x:c r="C242" s="23" t="s">
        <x:v>11</x:v>
      </x:c>
      <x:c r="D242" s="23" t="s">
        <x:v>166</x:v>
      </x:c>
      <x:c r="E242" s="23" t="s">
        <x:v>191</x:v>
      </x:c>
      <x:c r="F242" s="23">
        <x:v>13</x:v>
      </x:c>
      <x:c r="G242" s="23">
        <x:v>11</x:v>
      </x:c>
      <x:c r="H242" s="23">
        <x:v>2</x:v>
      </x:c>
      <x:c r="I242" s="23">
        <x:v>5978</x:v>
      </x:c>
      <x:c r="J242" s="23">
        <x:v>482</x:v>
      </x:c>
      <x:c r="K242" s="23">
        <x:v>1506</x:v>
      </x:c>
      <x:c r="L242" s="23" t="s">
        <x:v>255</x:v>
      </x:c>
      <x:c r="M242" s="23">
        <x:f t="shared" si="3"/>
        <x:v>641</x:v>
      </x:c>
      <x:c r="N242" s="24" t="str">
        <x:f t="array" ref="N242">INDEX('MATCH INFO'!O:O, INT((ROW()-2)/10)+2 + 157)</x:f>
        <x:v>260712_ROZE_T1_S5</x:v>
      </x:c>
    </x:row>
    <x:row r="243">
      <x:c r="A243" s="23" t="s">
        <x:v>22</x:v>
      </x:c>
      <x:c r="B243" s="23" t="s">
        <x:v>24</x:v>
      </x:c>
      <x:c r="C243" s="23" t="s">
        <x:v>8</x:v>
      </x:c>
      <x:c r="D243" s="23" t="s">
        <x:v>166</x:v>
      </x:c>
      <x:c r="E243" s="23" t="s">
        <x:v>191</x:v>
      </x:c>
      <x:c r="F243" s="23">
        <x:v>8</x:v>
      </x:c>
      <x:c r="G243" s="23">
        <x:v>13</x:v>
      </x:c>
      <x:c r="H243" s="23">
        <x:v>1</x:v>
      </x:c>
      <x:c r="I243" s="23">
        <x:v>7365</x:v>
      </x:c>
      <x:c r="J243" s="23">
        <x:v>50</x:v>
      </x:c>
      <x:c r="K243" s="23">
        <x:v>20689</x:v>
      </x:c>
      <x:c r="L243" s="23" t="s">
        <x:v>255</x:v>
      </x:c>
      <x:c r="M243" s="23">
        <x:f t="shared" si="3"/>
        <x:v>641</x:v>
      </x:c>
      <x:c r="N243" s="24" t="str">
        <x:f t="array" ref="N243">INDEX('MATCH INFO'!O:O, INT((ROW()-2)/10)+2 + 157)</x:f>
        <x:v>260712_ROZE_T1_S5</x:v>
      </x:c>
    </x:row>
    <x:row r="244">
      <x:c r="A244" s="23" t="s">
        <x:v>22</x:v>
      </x:c>
      <x:c r="B244" s="23" t="s">
        <x:v>29</x:v>
      </x:c>
      <x:c r="C244" s="23" t="s">
        <x:v>16</x:v>
      </x:c>
      <x:c r="D244" s="23" t="s">
        <x:v>166</x:v>
      </x:c>
      <x:c r="E244" s="23" t="s">
        <x:v>191</x:v>
      </x:c>
      <x:c r="F244" s="23">
        <x:v>8</x:v>
      </x:c>
      <x:c r="G244" s="23">
        <x:v>8</x:v>
      </x:c>
      <x:c r="H244" s="23">
        <x:v>15</x:v>
      </x:c>
      <x:c r="I244" s="23">
        <x:v>5006</x:v>
      </x:c>
      <x:c r="J244" s="23">
        <x:v>13006</x:v>
      </x:c>
      <x:c r="K244" s="23">
        <x:v>0</x:v>
      </x:c>
      <x:c r="L244" s="23" t="s">
        <x:v>255</x:v>
      </x:c>
      <x:c r="M244" s="23">
        <x:f t="shared" si="3"/>
        <x:v>641</x:v>
      </x:c>
      <x:c r="N244" s="24" t="str">
        <x:f t="array" ref="N244">INDEX('MATCH INFO'!O:O, INT((ROW()-2)/10)+2 + 157)</x:f>
        <x:v>260712_ROZE_T1_S5</x:v>
      </x:c>
    </x:row>
    <x:row r="245">
      <x:c r="A245" s="23" t="s">
        <x:v>22</x:v>
      </x:c>
      <x:c r="B245" s="23" t="s">
        <x:v>28</x:v>
      </x:c>
      <x:c r="C245" s="23" t="s">
        <x:v>16</x:v>
      </x:c>
      <x:c r="D245" s="23" t="s">
        <x:v>166</x:v>
      </x:c>
      <x:c r="E245" s="23" t="s">
        <x:v>191</x:v>
      </x:c>
      <x:c r="F245" s="23">
        <x:v>8</x:v>
      </x:c>
      <x:c r="G245" s="23">
        <x:v>11</x:v>
      </x:c>
      <x:c r="H245" s="23">
        <x:v>8</x:v>
      </x:c>
      <x:c r="I245" s="23">
        <x:v>4199</x:v>
      </x:c>
      <x:c r="J245" s="23">
        <x:v>7128</x:v>
      </x:c>
      <x:c r="K245" s="23">
        <x:v>4695</x:v>
      </x:c>
      <x:c r="L245" s="23" t="s">
        <x:v>255</x:v>
      </x:c>
      <x:c r="M245" s="23">
        <x:f t="shared" si="3"/>
        <x:v>641</x:v>
      </x:c>
      <x:c r="N245" s="24" t="str">
        <x:f t="array" ref="N245">INDEX('MATCH INFO'!O:O, INT((ROW()-2)/10)+2 + 157)</x:f>
        <x:v>260712_ROZE_T1_S5</x:v>
      </x:c>
    </x:row>
    <x:row r="246">
      <x:c r="A246" s="23" t="s">
        <x:v>22</x:v>
      </x:c>
      <x:c r="B246" s="23" t="s">
        <x:v>27</x:v>
      </x:c>
      <x:c r="C246" s="23" t="s">
        <x:v>11</x:v>
      </x:c>
      <x:c r="D246" s="23" t="s">
        <x:v>166</x:v>
      </x:c>
      <x:c r="E246" s="23" t="s">
        <x:v>191</x:v>
      </x:c>
      <x:c r="F246" s="23">
        <x:v>11</x:v>
      </x:c>
      <x:c r="G246" s="23">
        <x:v>11</x:v>
      </x:c>
      <x:c r="H246" s="23">
        <x:v>1</x:v>
      </x:c>
      <x:c r="I246" s="23">
        <x:v>9651</x:v>
      </x:c>
      <x:c r="J246" s="23">
        <x:v>40</x:v>
      </x:c>
      <x:c r="K246" s="23">
        <x:v>368</x:v>
      </x:c>
      <x:c r="L246" s="23" t="s">
        <x:v>255</x:v>
      </x:c>
      <x:c r="M246" s="23">
        <x:f t="shared" si="3"/>
        <x:v>641</x:v>
      </x:c>
      <x:c r="N246" s="24" t="str">
        <x:f t="array" ref="N246">INDEX('MATCH INFO'!O:O, INT((ROW()-2)/10)+2 + 157)</x:f>
        <x:v>260712_ROZE_T1_S5</x:v>
      </x:c>
    </x:row>
    <x:row r="247">
      <x:c r="A247" s="23" t="s">
        <x:v>63</x:v>
      </x:c>
      <x:c r="B247" s="23" t="s">
        <x:v>69</x:v>
      </x:c>
      <x:c r="C247" s="23" t="s">
        <x:v>16</x:v>
      </x:c>
      <x:c r="D247" s="23" t="s">
        <x:v>166</x:v>
      </x:c>
      <x:c r="E247" s="23" t="s">
        <x:v>191</x:v>
      </x:c>
      <x:c r="F247" s="23">
        <x:v>26</x:v>
      </x:c>
      <x:c r="G247" s="23">
        <x:v>4</x:v>
      </x:c>
      <x:c r="H247" s="23">
        <x:v>33</x:v>
      </x:c>
      <x:c r="I247" s="23">
        <x:v>5564</x:v>
      </x:c>
      <x:c r="J247" s="23">
        <x:v>9622</x:v>
      </x:c>
      <x:c r="K247" s="23">
        <x:v>1238</x:v>
      </x:c>
      <x:c r="L247" s="23" t="s">
        <x:v>255</x:v>
      </x:c>
      <x:c r="M247" s="23">
        <x:f t="shared" si="3"/>
        <x:v>641</x:v>
      </x:c>
      <x:c r="N247" s="24" t="str">
        <x:f t="array" ref="N247">INDEX('MATCH INFO'!O:O, INT((ROW()-2)/10)+2 + 157)</x:f>
        <x:v>260712_ROZE_T1_S5</x:v>
      </x:c>
    </x:row>
    <x:row r="248">
      <x:c r="A248" s="23" t="s">
        <x:v>63</x:v>
      </x:c>
      <x:c r="B248" s="23" t="s">
        <x:v>65</x:v>
      </x:c>
      <x:c r="C248" s="23" t="s">
        <x:v>8</x:v>
      </x:c>
      <x:c r="D248" s="23" t="s">
        <x:v>166</x:v>
      </x:c>
      <x:c r="E248" s="23" t="s">
        <x:v>191</x:v>
      </x:c>
      <x:c r="F248" s="23">
        <x:v>35</x:v>
      </x:c>
      <x:c r="G248" s="23">
        <x:v>3</x:v>
      </x:c>
      <x:c r="H248" s="23">
        <x:v>2</x:v>
      </x:c>
      <x:c r="I248" s="23">
        <x:v>11269</x:v>
      </x:c>
      <x:c r="J248" s="23">
        <x:v>0</x:v>
      </x:c>
      <x:c r="K248" s="23">
        <x:v>16473</x:v>
      </x:c>
      <x:c r="L248" s="23" t="s">
        <x:v>255</x:v>
      </x:c>
      <x:c r="M248" s="23">
        <x:f t="shared" si="3"/>
        <x:v>641</x:v>
      </x:c>
      <x:c r="N248" s="24" t="str">
        <x:f t="array" ref="N248">INDEX('MATCH INFO'!O:O, INT((ROW()-2)/10)+2 + 157)</x:f>
        <x:v>260712_ROZE_T1_S5</x:v>
      </x:c>
    </x:row>
    <x:row r="249">
      <x:c r="A249" s="23" t="s">
        <x:v>63</x:v>
      </x:c>
      <x:c r="B249" s="23" t="s">
        <x:v>67</x:v>
      </x:c>
      <x:c r="C249" s="23" t="s">
        <x:v>11</x:v>
      </x:c>
      <x:c r="D249" s="23" t="s">
        <x:v>166</x:v>
      </x:c>
      <x:c r="E249" s="23" t="s">
        <x:v>191</x:v>
      </x:c>
      <x:c r="F249" s="23">
        <x:v>36</x:v>
      </x:c>
      <x:c r="G249" s="23">
        <x:v>5</x:v>
      </x:c>
      <x:c r="H249" s="23">
        <x:v>3</x:v>
      </x:c>
      <x:c r="I249" s="23">
        <x:v>10833</x:v>
      </x:c>
      <x:c r="J249" s="23">
        <x:v>0</x:v>
      </x:c>
      <x:c r="K249" s="23">
        <x:v>0</x:v>
      </x:c>
      <x:c r="L249" s="23" t="s">
        <x:v>255</x:v>
      </x:c>
      <x:c r="M249" s="23">
        <x:f t="shared" si="3"/>
        <x:v>641</x:v>
      </x:c>
      <x:c r="N249" s="24" t="str">
        <x:f t="array" ref="N249">INDEX('MATCH INFO'!O:O, INT((ROW()-2)/10)+2 + 157)</x:f>
        <x:v>260712_ROZE_T1_S5</x:v>
      </x:c>
    </x:row>
    <x:row r="250">
      <x:c r="A250" s="23" t="s">
        <x:v>63</x:v>
      </x:c>
      <x:c r="B250" s="23" t="s">
        <x:v>70</x:v>
      </x:c>
      <x:c r="C250" s="23" t="s">
        <x:v>16</x:v>
      </x:c>
      <x:c r="D250" s="23" t="s">
        <x:v>166</x:v>
      </x:c>
      <x:c r="E250" s="23" t="s">
        <x:v>191</x:v>
      </x:c>
      <x:c r="F250" s="23">
        <x:v>22</x:v>
      </x:c>
      <x:c r="G250" s="23">
        <x:v>4</x:v>
      </x:c>
      <x:c r="H250" s="23">
        <x:v>35</x:v>
      </x:c>
      <x:c r="I250" s="23">
        <x:v>5373</x:v>
      </x:c>
      <x:c r="J250" s="23">
        <x:v>12408</x:v>
      </x:c>
      <x:c r="K250" s="23">
        <x:v>0</x:v>
      </x:c>
      <x:c r="L250" s="23" t="s">
        <x:v>255</x:v>
      </x:c>
      <x:c r="M250" s="23">
        <x:f t="shared" si="3"/>
        <x:v>641</x:v>
      </x:c>
      <x:c r="N250" s="24" t="str">
        <x:f t="array" ref="N250">INDEX('MATCH INFO'!O:O, INT((ROW()-2)/10)+2 + 157)</x:f>
        <x:v>260712_ROZE_T1_S5</x:v>
      </x:c>
    </x:row>
    <x:row r="251">
      <x:c r="A251" s="23" t="s">
        <x:v>63</x:v>
      </x:c>
      <x:c r="B251" s="23" t="s">
        <x:v>66</x:v>
      </x:c>
      <x:c r="C251" s="23" t="s">
        <x:v>11</x:v>
      </x:c>
      <x:c r="D251" s="23" t="s">
        <x:v>166</x:v>
      </x:c>
      <x:c r="E251" s="23" t="s">
        <x:v>191</x:v>
      </x:c>
      <x:c r="F251" s="23">
        <x:v>35</x:v>
      </x:c>
      <x:c r="G251" s="23">
        <x:v>4</x:v>
      </x:c>
      <x:c r="H251" s="23">
        <x:v>13</x:v>
      </x:c>
      <x:c r="I251" s="23">
        <x:v>10537</x:v>
      </x:c>
      <x:c r="J251" s="23">
        <x:v>422</x:v>
      </x:c>
      <x:c r="K251" s="23">
        <x:v>912</x:v>
      </x:c>
      <x:c r="L251" s="23" t="s">
        <x:v>255</x:v>
      </x:c>
      <x:c r="M251" s="23">
        <x:f t="shared" si="3"/>
        <x:v>641</x:v>
      </x:c>
      <x:c r="N251" s="24" t="str">
        <x:f t="array" ref="N251">INDEX('MATCH INFO'!O:O, INT((ROW()-2)/10)+2 + 157)</x:f>
        <x:v>260712_ROZE_T1_S5</x:v>
      </x:c>
    </x:row>
    <x:row r="252">
      <x:c r="A252" s="23" t="s">
        <x:v>55</x:v>
      </x:c>
      <x:c r="B252" s="23" t="s">
        <x:v>61</x:v>
      </x:c>
      <x:c r="C252" s="23" t="s">
        <x:v>16</x:v>
      </x:c>
      <x:c r="D252" s="23" t="s">
        <x:v>116</x:v>
      </x:c>
      <x:c r="E252" s="23" t="s">
        <x:v>184</x:v>
      </x:c>
      <x:c r="F252" s="23">
        <x:v>14</x:v>
      </x:c>
      <x:c r="G252" s="23">
        <x:v>8</x:v>
      </x:c>
      <x:c r="H252" s="23">
        <x:v>18</x:v>
      </x:c>
      <x:c r="I252" s="23">
        <x:v>5788</x:v>
      </x:c>
      <x:c r="J252" s="23">
        <x:v>12328</x:v>
      </x:c>
      <x:c r="K252" s="23">
        <x:v>1960</x:v>
      </x:c>
      <x:c r="L252" s="23" t="s">
        <x:v>344</x:v>
      </x:c>
      <x:c r="M252" s="23">
        <x:f t="shared" si="3"/>
        <x:v>723</x:v>
      </x:c>
      <x:c r="N252" s="24" t="str">
        <x:f t="array" ref="N252">INDEX('MATCH INFO'!O:O, INT((ROW()-2)/10)+2 + 157)</x:f>
        <x:v>260712_CR_ZETA_S1</x:v>
      </x:c>
    </x:row>
    <x:row r="253">
      <x:c r="A253" s="23" t="s">
        <x:v>55</x:v>
      </x:c>
      <x:c r="B253" s="23" t="s">
        <x:v>58</x:v>
      </x:c>
      <x:c r="C253" s="23" t="s">
        <x:v>11</x:v>
      </x:c>
      <x:c r="D253" s="23" t="s">
        <x:v>116</x:v>
      </x:c>
      <x:c r="E253" s="23" t="s">
        <x:v>184</x:v>
      </x:c>
      <x:c r="F253" s="23">
        <x:v>16</x:v>
      </x:c>
      <x:c r="G253" s="23">
        <x:v>9</x:v>
      </x:c>
      <x:c r="H253" s="23">
        <x:v>4</x:v>
      </x:c>
      <x:c r="I253" s="23">
        <x:v>9519</x:v>
      </x:c>
      <x:c r="J253" s="23">
        <x:v>662</x:v>
      </x:c>
      <x:c r="K253" s="23">
        <x:v>2895</x:v>
      </x:c>
      <x:c r="L253" s="23" t="s">
        <x:v>344</x:v>
      </x:c>
      <x:c r="M253" s="23">
        <x:f t="shared" si="3"/>
        <x:v>723</x:v>
      </x:c>
      <x:c r="N253" s="24" t="str">
        <x:f t="array" ref="N253">INDEX('MATCH INFO'!O:O, INT((ROW()-2)/10)+2 + 157)</x:f>
        <x:v>260712_CR_ZETA_S1</x:v>
      </x:c>
    </x:row>
    <x:row r="254">
      <x:c r="A254" s="23" t="s">
        <x:v>55</x:v>
      </x:c>
      <x:c r="B254" s="23" t="s">
        <x:v>57</x:v>
      </x:c>
      <x:c r="C254" s="23" t="s">
        <x:v>8</x:v>
      </x:c>
      <x:c r="D254" s="23" t="s">
        <x:v>116</x:v>
      </x:c>
      <x:c r="E254" s="23" t="s">
        <x:v>184</x:v>
      </x:c>
      <x:c r="F254" s="23">
        <x:v>20</x:v>
      </x:c>
      <x:c r="G254" s="23">
        <x:v>6</x:v>
      </x:c>
      <x:c r="H254" s="23">
        <x:v>2</x:v>
      </x:c>
      <x:c r="I254" s="23">
        <x:v>12586</x:v>
      </x:c>
      <x:c r="J254" s="23">
        <x:v>0</x:v>
      </x:c>
      <x:c r="K254" s="23">
        <x:v>25765</x:v>
      </x:c>
      <x:c r="L254" s="23" t="s">
        <x:v>344</x:v>
      </x:c>
      <x:c r="M254" s="23">
        <x:f t="shared" si="3"/>
        <x:v>723</x:v>
      </x:c>
      <x:c r="N254" s="24" t="str">
        <x:f t="array" ref="N254">INDEX('MATCH INFO'!O:O, INT((ROW()-2)/10)+2 + 157)</x:f>
        <x:v>260712_CR_ZETA_S1</x:v>
      </x:c>
    </x:row>
    <x:row r="255">
      <x:c r="A255" s="23" t="s">
        <x:v>55</x:v>
      </x:c>
      <x:c r="B255" s="23" t="s">
        <x:v>60</x:v>
      </x:c>
      <x:c r="C255" s="23" t="s">
        <x:v>11</x:v>
      </x:c>
      <x:c r="D255" s="23" t="s">
        <x:v>116</x:v>
      </x:c>
      <x:c r="E255" s="23" t="s">
        <x:v>184</x:v>
      </x:c>
      <x:c r="F255" s="23">
        <x:v>24</x:v>
      </x:c>
      <x:c r="G255" s="23">
        <x:v>7</x:v>
      </x:c>
      <x:c r="H255" s="23">
        <x:v>2</x:v>
      </x:c>
      <x:c r="I255" s="23">
        <x:v>15829</x:v>
      </x:c>
      <x:c r="J255" s="23">
        <x:v>0</x:v>
      </x:c>
      <x:c r="K255" s="23">
        <x:v>648</x:v>
      </x:c>
      <x:c r="L255" s="23" t="s">
        <x:v>344</x:v>
      </x:c>
      <x:c r="M255" s="23">
        <x:f t="shared" si="3"/>
        <x:v>723</x:v>
      </x:c>
      <x:c r="N255" s="24" t="str">
        <x:f t="array" ref="N255">INDEX('MATCH INFO'!O:O, INT((ROW()-2)/10)+2 + 157)</x:f>
        <x:v>260712_CR_ZETA_S1</x:v>
      </x:c>
    </x:row>
    <x:row r="256">
      <x:c r="A256" s="23" t="s">
        <x:v>55</x:v>
      </x:c>
      <x:c r="B256" s="23" t="s">
        <x:v>62</x:v>
      </x:c>
      <x:c r="C256" s="23" t="s">
        <x:v>16</x:v>
      </x:c>
      <x:c r="D256" s="23" t="s">
        <x:v>116</x:v>
      </x:c>
      <x:c r="E256" s="23" t="s">
        <x:v>184</x:v>
      </x:c>
      <x:c r="F256" s="23">
        <x:v>9</x:v>
      </x:c>
      <x:c r="G256" s="23">
        <x:v>6</x:v>
      </x:c>
      <x:c r="H256" s="23">
        <x:v>23</x:v>
      </x:c>
      <x:c r="I256" s="23">
        <x:v>3676</x:v>
      </x:c>
      <x:c r="J256" s="23">
        <x:v>18983</x:v>
      </x:c>
      <x:c r="K256" s="23">
        <x:v>0</x:v>
      </x:c>
      <x:c r="L256" s="23" t="s">
        <x:v>344</x:v>
      </x:c>
      <x:c r="M256" s="23">
        <x:f t="shared" si="3"/>
        <x:v>723</x:v>
      </x:c>
      <x:c r="N256" s="24" t="str">
        <x:f t="array" ref="N256">INDEX('MATCH INFO'!O:O, INT((ROW()-2)/10)+2 + 157)</x:f>
        <x:v>260712_CR_ZETA_S1</x:v>
      </x:c>
    </x:row>
    <x:row r="257">
      <x:c r="A257" s="23" t="s">
        <x:v>47</x:v>
      </x:c>
      <x:c r="B257" s="23" t="s">
        <x:v>49</x:v>
      </x:c>
      <x:c r="C257" s="23" t="s">
        <x:v>8</x:v>
      </x:c>
      <x:c r="D257" s="23" t="s">
        <x:v>116</x:v>
      </x:c>
      <x:c r="E257" s="23" t="s">
        <x:v>184</x:v>
      </x:c>
      <x:c r="F257" s="23">
        <x:v>21</x:v>
      </x:c>
      <x:c r="G257" s="23">
        <x:v>5</x:v>
      </x:c>
      <x:c r="H257" s="23">
        <x:v>5</x:v>
      </x:c>
      <x:c r="I257" s="23">
        <x:v>11367</x:v>
      </x:c>
      <x:c r="J257" s="23">
        <x:v>0</x:v>
      </x:c>
      <x:c r="K257" s="23">
        <x:v>23400</x:v>
      </x:c>
      <x:c r="L257" s="23" t="s">
        <x:v>344</x:v>
      </x:c>
      <x:c r="M257" s="23">
        <x:f t="shared" si="3"/>
        <x:v>723</x:v>
      </x:c>
      <x:c r="N257" s="24" t="str">
        <x:f t="array" ref="N257">INDEX('MATCH INFO'!O:O, INT((ROW()-2)/10)+2 + 157)</x:f>
        <x:v>260712_CR_ZETA_S1</x:v>
      </x:c>
    </x:row>
    <x:row r="258">
      <x:c r="A258" s="23" t="s">
        <x:v>47</x:v>
      </x:c>
      <x:c r="B258" s="23" t="s">
        <x:v>51</x:v>
      </x:c>
      <x:c r="C258" s="23" t="s">
        <x:v>11</x:v>
      </x:c>
      <x:c r="D258" s="23" t="s">
        <x:v>116</x:v>
      </x:c>
      <x:c r="E258" s="23" t="s">
        <x:v>184</x:v>
      </x:c>
      <x:c r="F258" s="23">
        <x:v>22</x:v>
      </x:c>
      <x:c r="G258" s="23">
        <x:v>10</x:v>
      </x:c>
      <x:c r="H258" s="23">
        <x:v>3</x:v>
      </x:c>
      <x:c r="I258" s="23">
        <x:v>13132</x:v>
      </x:c>
      <x:c r="J258" s="23">
        <x:v>0</x:v>
      </x:c>
      <x:c r="K258" s="23">
        <x:v>205</x:v>
      </x:c>
      <x:c r="L258" s="23" t="s">
        <x:v>344</x:v>
      </x:c>
      <x:c r="M258" s="23" t="e">
        <x:f t="shared" ref="M258:M311" si="4">L258*86400</x:f>
        <x:v>#VALUE!</x:v>
      </x:c>
      <x:c r="N258" s="24" t="str">
        <x:f t="array" ref="N258">INDEX('MATCH INFO'!O:O, INT((ROW()-2)/10)+2 + 157)</x:f>
        <x:v>260712_CR_ZETA_S1</x:v>
      </x:c>
    </x:row>
    <x:row r="259">
      <x:c r="A259" s="23" t="s">
        <x:v>47</x:v>
      </x:c>
      <x:c r="B259" s="23" t="s">
        <x:v>50</x:v>
      </x:c>
      <x:c r="C259" s="23" t="s">
        <x:v>11</x:v>
      </x:c>
      <x:c r="D259" s="23" t="s">
        <x:v>116</x:v>
      </x:c>
      <x:c r="E259" s="23" t="s">
        <x:v>184</x:v>
      </x:c>
      <x:c r="F259" s="23">
        <x:v>21</x:v>
      </x:c>
      <x:c r="G259" s="23">
        <x:v>8</x:v>
      </x:c>
      <x:c r="H259" s="23">
        <x:v>3</x:v>
      </x:c>
      <x:c r="I259" s="23">
        <x:v>12540</x:v>
      </x:c>
      <x:c r="J259" s="23">
        <x:v>291</x:v>
      </x:c>
      <x:c r="K259" s="23">
        <x:v>1529</x:v>
      </x:c>
      <x:c r="L259" s="23" t="s">
        <x:v>344</x:v>
      </x:c>
      <x:c r="M259" s="23">
        <x:f t="shared" si="4"/>
        <x:v>723</x:v>
      </x:c>
      <x:c r="N259" s="24" t="str">
        <x:f t="array" ref="N259">INDEX('MATCH INFO'!O:O, INT((ROW()-2)/10)+2 + 157)</x:f>
        <x:v>260712_CR_ZETA_S1</x:v>
      </x:c>
    </x:row>
    <x:row r="260">
      <x:c r="A260" s="23" t="s">
        <x:v>47</x:v>
      </x:c>
      <x:c r="B260" s="23" t="s">
        <x:v>53</x:v>
      </x:c>
      <x:c r="C260" s="23" t="s">
        <x:v>16</x:v>
      </x:c>
      <x:c r="D260" s="23" t="s">
        <x:v>116</x:v>
      </x:c>
      <x:c r="E260" s="23" t="s">
        <x:v>184</x:v>
      </x:c>
      <x:c r="F260" s="23">
        <x:v>8</x:v>
      </x:c>
      <x:c r="G260" s="23">
        <x:v>3</x:v>
      </x:c>
      <x:c r="H260" s="23">
        <x:v>25</x:v>
      </x:c>
      <x:c r="I260" s="23">
        <x:v>3241</x:v>
      </x:c>
      <x:c r="J260" s="23">
        <x:v>19476</x:v>
      </x:c>
      <x:c r="K260" s="23">
        <x:v>0</x:v>
      </x:c>
      <x:c r="L260" s="23" t="s">
        <x:v>344</x:v>
      </x:c>
      <x:c r="M260" s="23">
        <x:f t="shared" si="4"/>
        <x:v>723</x:v>
      </x:c>
      <x:c r="N260" s="24" t="str">
        <x:f t="array" ref="N260">INDEX('MATCH INFO'!O:O, INT((ROW()-2)/10)+2 + 157)</x:f>
        <x:v>260712_CR_ZETA_S1</x:v>
      </x:c>
    </x:row>
    <x:row r="261">
      <x:c r="A261" s="23" t="s">
        <x:v>47</x:v>
      </x:c>
      <x:c r="B261" s="23" t="s">
        <x:v>52</x:v>
      </x:c>
      <x:c r="C261" s="23" t="s">
        <x:v>16</x:v>
      </x:c>
      <x:c r="D261" s="23" t="s">
        <x:v>116</x:v>
      </x:c>
      <x:c r="E261" s="23" t="s">
        <x:v>184</x:v>
      </x:c>
      <x:c r="F261" s="23">
        <x:v>12</x:v>
      </x:c>
      <x:c r="G261" s="23">
        <x:v>7</x:v>
      </x:c>
      <x:c r="H261" s="23">
        <x:v>21</x:v>
      </x:c>
      <x:c r="I261" s="23">
        <x:v>7996</x:v>
      </x:c>
      <x:c r="J261" s="23">
        <x:v>12638</x:v>
      </x:c>
      <x:c r="K261" s="23">
        <x:v>1888</x:v>
      </x:c>
      <x:c r="L261" s="23" t="s">
        <x:v>344</x:v>
      </x:c>
      <x:c r="M261" s="23">
        <x:f t="shared" si="4"/>
        <x:v>723</x:v>
      </x:c>
      <x:c r="N261" s="24" t="str">
        <x:f t="array" ref="N261">INDEX('MATCH INFO'!O:O, INT((ROW()-2)/10)+2 + 157)</x:f>
        <x:v>260712_CR_ZETA_S1</x:v>
      </x:c>
    </x:row>
    <x:row r="262">
      <x:c r="A262" s="23" t="s">
        <x:v>55</x:v>
      </x:c>
      <x:c r="B262" s="23" t="s">
        <x:v>61</x:v>
      </x:c>
      <x:c r="C262" s="23" t="s">
        <x:v>16</x:v>
      </x:c>
      <x:c r="D262" s="23" t="s">
        <x:v>124</x:v>
      </x:c>
      <x:c r="E262" s="23" t="s">
        <x:v>186</x:v>
      </x:c>
      <x:c r="F262" s="23">
        <x:v>37</x:v>
      </x:c>
      <x:c r="G262" s="23">
        <x:v>9</x:v>
      </x:c>
      <x:c r="H262" s="23">
        <x:v>35</x:v>
      </x:c>
      <x:c r="I262" s="23">
        <x:v>8387</x:v>
      </x:c>
      <x:c r="J262" s="23">
        <x:v>13760</x:v>
      </x:c>
      <x:c r="K262" s="23">
        <x:v>4766</x:v>
      </x:c>
      <x:c r="L262" s="23" t="s">
        <x:v>345</x:v>
      </x:c>
      <x:c r="M262" s="23">
        <x:f t="shared" si="4"/>
        <x:v>917</x:v>
      </x:c>
      <x:c r="N262" s="24" t="str">
        <x:f t="array" ref="N262">INDEX('MATCH INFO'!O:O, INT((ROW()-2)/10)+2 + 157)</x:f>
        <x:v>260712_CR_ZETA_S2</x:v>
      </x:c>
    </x:row>
    <x:row r="263">
      <x:c r="A263" s="23" t="s">
        <x:v>55</x:v>
      </x:c>
      <x:c r="B263" s="23" t="s">
        <x:v>58</x:v>
      </x:c>
      <x:c r="C263" s="23" t="s">
        <x:v>11</x:v>
      </x:c>
      <x:c r="D263" s="23" t="s">
        <x:v>124</x:v>
      </x:c>
      <x:c r="E263" s="23" t="s">
        <x:v>186</x:v>
      </x:c>
      <x:c r="F263" s="23">
        <x:v>40</x:v>
      </x:c>
      <x:c r="G263" s="23">
        <x:v>11</x:v>
      </x:c>
      <x:c r="H263" s="23">
        <x:v>0</x:v>
      </x:c>
      <x:c r="I263" s="23">
        <x:v>17828</x:v>
      </x:c>
      <x:c r="J263" s="23">
        <x:v>2907</x:v>
      </x:c>
      <x:c r="K263" s="23">
        <x:v>0</x:v>
      </x:c>
      <x:c r="L263" s="23" t="s">
        <x:v>345</x:v>
      </x:c>
      <x:c r="M263" s="23">
        <x:f t="shared" si="4"/>
        <x:v>917</x:v>
      </x:c>
      <x:c r="N263" s="24" t="str">
        <x:f t="array" ref="N263">INDEX('MATCH INFO'!O:O, INT((ROW()-2)/10)+2 + 157)</x:f>
        <x:v>260712_CR_ZETA_S2</x:v>
      </x:c>
    </x:row>
    <x:row r="264">
      <x:c r="A264" s="23" t="s">
        <x:v>55</x:v>
      </x:c>
      <x:c r="B264" s="23" t="s">
        <x:v>57</x:v>
      </x:c>
      <x:c r="C264" s="23" t="s">
        <x:v>8</x:v>
      </x:c>
      <x:c r="D264" s="23" t="s">
        <x:v>124</x:v>
      </x:c>
      <x:c r="E264" s="23" t="s">
        <x:v>186</x:v>
      </x:c>
      <x:c r="F264" s="23">
        <x:v>43</x:v>
      </x:c>
      <x:c r="G264" s="23">
        <x:v>8</x:v>
      </x:c>
      <x:c r="H264" s="23">
        <x:v>31</x:v>
      </x:c>
      <x:c r="I264" s="23">
        <x:v>22889</x:v>
      </x:c>
      <x:c r="J264" s="23">
        <x:v>4983</x:v>
      </x:c>
      <x:c r="K264" s="23">
        <x:v>9357</x:v>
      </x:c>
      <x:c r="L264" s="23" t="s">
        <x:v>345</x:v>
      </x:c>
      <x:c r="M264" s="23">
        <x:f t="shared" si="4"/>
        <x:v>917</x:v>
      </x:c>
      <x:c r="N264" s="24" t="str">
        <x:f t="array" ref="N264">INDEX('MATCH INFO'!O:O, INT((ROW()-2)/10)+2 + 157)</x:f>
        <x:v>260712_CR_ZETA_S2</x:v>
      </x:c>
    </x:row>
    <x:row r="265">
      <x:c r="A265" s="23" t="s">
        <x:v>55</x:v>
      </x:c>
      <x:c r="B265" s="23" t="s">
        <x:v>60</x:v>
      </x:c>
      <x:c r="C265" s="23" t="s">
        <x:v>11</x:v>
      </x:c>
      <x:c r="D265" s="23" t="s">
        <x:v>124</x:v>
      </x:c>
      <x:c r="E265" s="23" t="s">
        <x:v>186</x:v>
      </x:c>
      <x:c r="F265" s="23">
        <x:v>40</x:v>
      </x:c>
      <x:c r="G265" s="23">
        <x:v>14</x:v>
      </x:c>
      <x:c r="H265" s="23">
        <x:v>4</x:v>
      </x:c>
      <x:c r="I265" s="23">
        <x:v>14190</x:v>
      </x:c>
      <x:c r="J265" s="23">
        <x:v>624</x:v>
      </x:c>
      <x:c r="K265" s="23">
        <x:v>1443</x:v>
      </x:c>
      <x:c r="L265" s="23" t="s">
        <x:v>345</x:v>
      </x:c>
      <x:c r="M265" s="23">
        <x:f t="shared" si="4"/>
        <x:v>917</x:v>
      </x:c>
      <x:c r="N265" s="24" t="str">
        <x:f t="array" ref="N265">INDEX('MATCH INFO'!O:O, INT((ROW()-2)/10)+2 + 157)</x:f>
        <x:v>260712_CR_ZETA_S2</x:v>
      </x:c>
    </x:row>
    <x:row r="266">
      <x:c r="A266" s="23" t="s">
        <x:v>55</x:v>
      </x:c>
      <x:c r="B266" s="23" t="s">
        <x:v>62</x:v>
      </x:c>
      <x:c r="C266" s="23" t="s">
        <x:v>16</x:v>
      </x:c>
      <x:c r="D266" s="23" t="s">
        <x:v>124</x:v>
      </x:c>
      <x:c r="E266" s="23" t="s">
        <x:v>186</x:v>
      </x:c>
      <x:c r="F266" s="23">
        <x:v>28</x:v>
      </x:c>
      <x:c r="G266" s="23">
        <x:v>12</x:v>
      </x:c>
      <x:c r="H266" s="23">
        <x:v>47</x:v>
      </x:c>
      <x:c r="I266" s="23">
        <x:v>9151</x:v>
      </x:c>
      <x:c r="J266" s="23">
        <x:v>17867</x:v>
      </x:c>
      <x:c r="K266" s="23">
        <x:v>0</x:v>
      </x:c>
      <x:c r="L266" s="23" t="s">
        <x:v>345</x:v>
      </x:c>
      <x:c r="M266" s="23">
        <x:f t="shared" si="4"/>
        <x:v>917</x:v>
      </x:c>
      <x:c r="N266" s="24" t="str">
        <x:f t="array" ref="N266">INDEX('MATCH INFO'!O:O, INT((ROW()-2)/10)+2 + 157)</x:f>
        <x:v>260712_CR_ZETA_S2</x:v>
      </x:c>
    </x:row>
    <x:row r="267">
      <x:c r="A267" s="23" t="s">
        <x:v>47</x:v>
      </x:c>
      <x:c r="B267" s="23" t="s">
        <x:v>49</x:v>
      </x:c>
      <x:c r="C267" s="23" t="s">
        <x:v>8</x:v>
      </x:c>
      <x:c r="D267" s="23" t="s">
        <x:v>124</x:v>
      </x:c>
      <x:c r="E267" s="23" t="s">
        <x:v>186</x:v>
      </x:c>
      <x:c r="F267" s="23">
        <x:v>33</x:v>
      </x:c>
      <x:c r="G267" s="23">
        <x:v>12</x:v>
      </x:c>
      <x:c r="H267" s="23">
        <x:v>18</x:v>
      </x:c>
      <x:c r="I267" s="23">
        <x:v>18320</x:v>
      </x:c>
      <x:c r="J267" s="23">
        <x:v>4379</x:v>
      </x:c>
      <x:c r="K267" s="23">
        <x:v>10419</x:v>
      </x:c>
      <x:c r="L267" s="23" t="s">
        <x:v>345</x:v>
      </x:c>
      <x:c r="M267" s="23">
        <x:f t="shared" si="4"/>
        <x:v>917</x:v>
      </x:c>
      <x:c r="N267" s="24" t="str">
        <x:f t="array" ref="N267">INDEX('MATCH INFO'!O:O, INT((ROW()-2)/10)+2 + 157)</x:f>
        <x:v>260712_CR_ZETA_S2</x:v>
      </x:c>
    </x:row>
    <x:row r="268">
      <x:c r="A268" s="23" t="s">
        <x:v>47</x:v>
      </x:c>
      <x:c r="B268" s="23" t="s">
        <x:v>51</x:v>
      </x:c>
      <x:c r="C268" s="23" t="s">
        <x:v>11</x:v>
      </x:c>
      <x:c r="D268" s="23" t="s">
        <x:v>124</x:v>
      </x:c>
      <x:c r="E268" s="23" t="s">
        <x:v>186</x:v>
      </x:c>
      <x:c r="F268" s="23">
        <x:v>30</x:v>
      </x:c>
      <x:c r="G268" s="23">
        <x:v>15</x:v>
      </x:c>
      <x:c r="H268" s="23">
        <x:v>1</x:v>
      </x:c>
      <x:c r="I268" s="23">
        <x:v>18398</x:v>
      </x:c>
      <x:c r="J268" s="23">
        <x:v>376</x:v>
      </x:c>
      <x:c r="K268" s="23">
        <x:v>606</x:v>
      </x:c>
      <x:c r="L268" s="23" t="s">
        <x:v>345</x:v>
      </x:c>
      <x:c r="M268" s="23">
        <x:f t="shared" si="4"/>
        <x:v>917</x:v>
      </x:c>
      <x:c r="N268" s="24" t="str">
        <x:f t="array" ref="N268">INDEX('MATCH INFO'!O:O, INT((ROW()-2)/10)+2 + 157)</x:f>
        <x:v>260712_CR_ZETA_S2</x:v>
      </x:c>
    </x:row>
    <x:row r="269">
      <x:c r="A269" s="23" t="s">
        <x:v>47</x:v>
      </x:c>
      <x:c r="B269" s="23" t="s">
        <x:v>50</x:v>
      </x:c>
      <x:c r="C269" s="23" t="s">
        <x:v>11</x:v>
      </x:c>
      <x:c r="D269" s="23" t="s">
        <x:v>124</x:v>
      </x:c>
      <x:c r="E269" s="23" t="s">
        <x:v>186</x:v>
      </x:c>
      <x:c r="F269" s="23">
        <x:v>34</x:v>
      </x:c>
      <x:c r="G269" s="23">
        <x:v>12</x:v>
      </x:c>
      <x:c r="H269" s="23">
        <x:v>3</x:v>
      </x:c>
      <x:c r="I269" s="23">
        <x:v>17641</x:v>
      </x:c>
      <x:c r="J269" s="23">
        <x:v>1724</x:v>
      </x:c>
      <x:c r="K269" s="23">
        <x:v>262</x:v>
      </x:c>
      <x:c r="L269" s="23" t="s">
        <x:v>345</x:v>
      </x:c>
      <x:c r="M269" s="23">
        <x:f t="shared" si="4"/>
        <x:v>917</x:v>
      </x:c>
      <x:c r="N269" s="24" t="str">
        <x:f t="array" ref="N269">INDEX('MATCH INFO'!O:O, INT((ROW()-2)/10)+2 + 157)</x:f>
        <x:v>260712_CR_ZETA_S2</x:v>
      </x:c>
    </x:row>
    <x:row r="270">
      <x:c r="A270" s="23" t="s">
        <x:v>47</x:v>
      </x:c>
      <x:c r="B270" s="23" t="s">
        <x:v>53</x:v>
      </x:c>
      <x:c r="C270" s="23" t="s">
        <x:v>16</x:v>
      </x:c>
      <x:c r="D270" s="23" t="s">
        <x:v>124</x:v>
      </x:c>
      <x:c r="E270" s="23" t="s">
        <x:v>186</x:v>
      </x:c>
      <x:c r="F270" s="23">
        <x:v>19</x:v>
      </x:c>
      <x:c r="G270" s="23">
        <x:v>13</x:v>
      </x:c>
      <x:c r="H270" s="23">
        <x:v>37</x:v>
      </x:c>
      <x:c r="I270" s="23">
        <x:v>9134</x:v>
      </x:c>
      <x:c r="J270" s="23">
        <x:v>19247</x:v>
      </x:c>
      <x:c r="K270" s="23">
        <x:v>0</x:v>
      </x:c>
      <x:c r="L270" s="23" t="s">
        <x:v>345</x:v>
      </x:c>
      <x:c r="M270" s="23">
        <x:f t="shared" si="4"/>
        <x:v>917</x:v>
      </x:c>
      <x:c r="N270" s="24" t="str">
        <x:f t="array" ref="N270">INDEX('MATCH INFO'!O:O, INT((ROW()-2)/10)+2 + 157)</x:f>
        <x:v>260712_CR_ZETA_S2</x:v>
      </x:c>
    </x:row>
    <x:row r="271">
      <x:c r="A271" s="23" t="s">
        <x:v>47</x:v>
      </x:c>
      <x:c r="B271" s="23" t="s">
        <x:v>52</x:v>
      </x:c>
      <x:c r="C271" s="23" t="s">
        <x:v>16</x:v>
      </x:c>
      <x:c r="D271" s="23" t="s">
        <x:v>124</x:v>
      </x:c>
      <x:c r="E271" s="23" t="s">
        <x:v>186</x:v>
      </x:c>
      <x:c r="F271" s="23">
        <x:v>26</x:v>
      </x:c>
      <x:c r="G271" s="23">
        <x:v>9</x:v>
      </x:c>
      <x:c r="H271" s="23">
        <x:v>33</x:v>
      </x:c>
      <x:c r="I271" s="23">
        <x:v>9803</x:v>
      </x:c>
      <x:c r="J271" s="23">
        <x:v>13685</x:v>
      </x:c>
      <x:c r="K271" s="23">
        <x:v>4052</x:v>
      </x:c>
      <x:c r="L271" s="23" t="s">
        <x:v>345</x:v>
      </x:c>
      <x:c r="M271" s="23">
        <x:f t="shared" si="4"/>
        <x:v>917</x:v>
      </x:c>
      <x:c r="N271" s="24" t="str">
        <x:f t="array" ref="N271">INDEX('MATCH INFO'!O:O, INT((ROW()-2)/10)+2 + 157)</x:f>
        <x:v>260712_CR_ZETA_S2</x:v>
      </x:c>
    </x:row>
    <x:row r="272">
      <x:c r="A272" s="23" t="s">
        <x:v>47</x:v>
      </x:c>
      <x:c r="B272" s="23" t="s">
        <x:v>49</x:v>
      </x:c>
      <x:c r="C272" s="23" t="s">
        <x:v>8</x:v>
      </x:c>
      <x:c r="D272" s="23" t="s">
        <x:v>119</x:v>
      </x:c>
      <x:c r="E272" s="23" t="s">
        <x:v>191</x:v>
      </x:c>
      <x:c r="F272" s="23">
        <x:v>29</x:v>
      </x:c>
      <x:c r="G272" s="23">
        <x:v>3</x:v>
      </x:c>
      <x:c r="H272" s="23">
        <x:v>7</x:v>
      </x:c>
      <x:c r="I272" s="23">
        <x:v>10420</x:v>
      </x:c>
      <x:c r="J272" s="23">
        <x:v>270</x:v>
      </x:c>
      <x:c r="K272" s="23">
        <x:v>16716</x:v>
      </x:c>
      <x:c r="L272" s="23" t="s">
        <x:v>346</x:v>
      </x:c>
      <x:c r="M272" s="23">
        <x:f t="shared" si="4"/>
        <x:v>661</x:v>
      </x:c>
      <x:c r="N272" s="24" t="str">
        <x:f t="array" ref="N272">INDEX('MATCH INFO'!O:O, INT((ROW()-2)/10)+2 + 157)</x:f>
        <x:v>260712_CR_ZETA_S3</x:v>
      </x:c>
    </x:row>
    <x:row r="273">
      <x:c r="A273" s="23" t="s">
        <x:v>47</x:v>
      </x:c>
      <x:c r="B273" s="23" t="s">
        <x:v>51</x:v>
      </x:c>
      <x:c r="C273" s="23" t="s">
        <x:v>11</x:v>
      </x:c>
      <x:c r="D273" s="23" t="s">
        <x:v>119</x:v>
      </x:c>
      <x:c r="E273" s="23" t="s">
        <x:v>191</x:v>
      </x:c>
      <x:c r="F273" s="23">
        <x:v>34</x:v>
      </x:c>
      <x:c r="G273" s="23">
        <x:v>6</x:v>
      </x:c>
      <x:c r="H273" s="23">
        <x:v>0</x:v>
      </x:c>
      <x:c r="I273" s="23">
        <x:v>11709</x:v>
      </x:c>
      <x:c r="J273" s="23">
        <x:v>563</x:v>
      </x:c>
      <x:c r="K273" s="23">
        <x:v>0</x:v>
      </x:c>
      <x:c r="L273" s="23" t="s">
        <x:v>346</x:v>
      </x:c>
      <x:c r="M273" s="23">
        <x:f t="shared" si="4"/>
        <x:v>661</x:v>
      </x:c>
      <x:c r="N273" s="24" t="str">
        <x:f t="array" ref="N273">INDEX('MATCH INFO'!O:O, INT((ROW()-2)/10)+2 + 157)</x:f>
        <x:v>260712_CR_ZETA_S3</x:v>
      </x:c>
    </x:row>
    <x:row r="274">
      <x:c r="A274" s="23" t="s">
        <x:v>47</x:v>
      </x:c>
      <x:c r="B274" s="23" t="s">
        <x:v>50</x:v>
      </x:c>
      <x:c r="C274" s="23" t="s">
        <x:v>11</x:v>
      </x:c>
      <x:c r="D274" s="23" t="s">
        <x:v>119</x:v>
      </x:c>
      <x:c r="E274" s="23" t="s">
        <x:v>191</x:v>
      </x:c>
      <x:c r="F274" s="23">
        <x:v>23</x:v>
      </x:c>
      <x:c r="G274" s="23">
        <x:v>4</x:v>
      </x:c>
      <x:c r="H274" s="23">
        <x:v>6</x:v>
      </x:c>
      <x:c r="I274" s="23">
        <x:v>9241</x:v>
      </x:c>
      <x:c r="J274" s="23">
        <x:v>496</x:v>
      </x:c>
      <x:c r="K274" s="23">
        <x:v>3160</x:v>
      </x:c>
      <x:c r="L274" s="23" t="s">
        <x:v>346</x:v>
      </x:c>
      <x:c r="M274" s="23">
        <x:f t="shared" si="4"/>
        <x:v>661</x:v>
      </x:c>
      <x:c r="N274" s="24" t="str">
        <x:f t="array" ref="N274">INDEX('MATCH INFO'!O:O, INT((ROW()-2)/10)+2 + 157)</x:f>
        <x:v>260712_CR_ZETA_S3</x:v>
      </x:c>
    </x:row>
    <x:row r="275">
      <x:c r="A275" s="23" t="s">
        <x:v>47</x:v>
      </x:c>
      <x:c r="B275" s="23" t="s">
        <x:v>53</x:v>
      </x:c>
      <x:c r="C275" s="23" t="s">
        <x:v>16</x:v>
      </x:c>
      <x:c r="D275" s="23" t="s">
        <x:v>119</x:v>
      </x:c>
      <x:c r="E275" s="23" t="s">
        <x:v>191</x:v>
      </x:c>
      <x:c r="F275" s="23">
        <x:v>9</x:v>
      </x:c>
      <x:c r="G275" s="23">
        <x:v>7</x:v>
      </x:c>
      <x:c r="H275" s="23">
        <x:v>13</x:v>
      </x:c>
      <x:c r="I275" s="23">
        <x:v>3209</x:v>
      </x:c>
      <x:c r="J275" s="23">
        <x:v>4574</x:v>
      </x:c>
      <x:c r="K275" s="23">
        <x:v>434</x:v>
      </x:c>
      <x:c r="L275" s="23" t="s">
        <x:v>346</x:v>
      </x:c>
      <x:c r="M275" s="23">
        <x:f t="shared" si="4"/>
        <x:v>661</x:v>
      </x:c>
      <x:c r="N275" s="24" t="str">
        <x:f t="array" ref="N275">INDEX('MATCH INFO'!O:O, INT((ROW()-2)/10)+2 + 157)</x:f>
        <x:v>260712_CR_ZETA_S3</x:v>
      </x:c>
    </x:row>
    <x:row r="276">
      <x:c r="A276" s="23" t="s">
        <x:v>47</x:v>
      </x:c>
      <x:c r="B276" s="23" t="s">
        <x:v>52</x:v>
      </x:c>
      <x:c r="C276" s="23" t="s">
        <x:v>16</x:v>
      </x:c>
      <x:c r="D276" s="23" t="s">
        <x:v>119</x:v>
      </x:c>
      <x:c r="E276" s="23" t="s">
        <x:v>191</x:v>
      </x:c>
      <x:c r="F276" s="23">
        <x:v>26</x:v>
      </x:c>
      <x:c r="G276" s="23">
        <x:v>4</x:v>
      </x:c>
      <x:c r="H276" s="23">
        <x:v>13</x:v>
      </x:c>
      <x:c r="I276" s="23">
        <x:v>4464</x:v>
      </x:c>
      <x:c r="J276" s="23">
        <x:v>7874</x:v>
      </x:c>
      <x:c r="K276" s="23">
        <x:v>0</x:v>
      </x:c>
      <x:c r="L276" s="23" t="s">
        <x:v>346</x:v>
      </x:c>
      <x:c r="M276" s="23">
        <x:f t="shared" si="4"/>
        <x:v>661</x:v>
      </x:c>
      <x:c r="N276" s="24" t="str">
        <x:f t="array" ref="N276">INDEX('MATCH INFO'!O:O, INT((ROW()-2)/10)+2 + 157)</x:f>
        <x:v>260712_CR_ZETA_S3</x:v>
      </x:c>
    </x:row>
    <x:row r="277">
      <x:c r="A277" s="23" t="s">
        <x:v>55</x:v>
      </x:c>
      <x:c r="B277" s="23" t="s">
        <x:v>61</x:v>
      </x:c>
      <x:c r="C277" s="23" t="s">
        <x:v>16</x:v>
      </x:c>
      <x:c r="D277" s="23" t="s">
        <x:v>119</x:v>
      </x:c>
      <x:c r="E277" s="23" t="s">
        <x:v>191</x:v>
      </x:c>
      <x:c r="F277" s="23">
        <x:v>15</x:v>
      </x:c>
      <x:c r="G277" s="23">
        <x:v>9</x:v>
      </x:c>
      <x:c r="H277" s="23">
        <x:v>15</x:v>
      </x:c>
      <x:c r="I277" s="23">
        <x:v>3351</x:v>
      </x:c>
      <x:c r="J277" s="23">
        <x:v>6949</x:v>
      </x:c>
      <x:c r="K277" s="23">
        <x:v>811</x:v>
      </x:c>
      <x:c r="L277" s="23" t="s">
        <x:v>346</x:v>
      </x:c>
      <x:c r="M277" s="23">
        <x:f t="shared" si="4"/>
        <x:v>661</x:v>
      </x:c>
      <x:c r="N277" s="24" t="str">
        <x:f t="array" ref="N277">INDEX('MATCH INFO'!O:O, INT((ROW()-2)/10)+2 + 157)</x:f>
        <x:v>260712_CR_ZETA_S3</x:v>
      </x:c>
    </x:row>
    <x:row r="278">
      <x:c r="A278" s="23" t="s">
        <x:v>55</x:v>
      </x:c>
      <x:c r="B278" s="23" t="s">
        <x:v>58</x:v>
      </x:c>
      <x:c r="C278" s="23" t="s">
        <x:v>11</x:v>
      </x:c>
      <x:c r="D278" s="23" t="s">
        <x:v>119</x:v>
      </x:c>
      <x:c r="E278" s="23" t="s">
        <x:v>191</x:v>
      </x:c>
      <x:c r="F278" s="23">
        <x:v>12</x:v>
      </x:c>
      <x:c r="G278" s="23">
        <x:v>10</x:v>
      </x:c>
      <x:c r="H278" s="23">
        <x:v>2</x:v>
      </x:c>
      <x:c r="I278" s="23">
        <x:v>5739</x:v>
      </x:c>
      <x:c r="J278" s="23">
        <x:v>289</x:v>
      </x:c>
      <x:c r="K278" s="23">
        <x:v>3114</x:v>
      </x:c>
      <x:c r="L278" s="23" t="s">
        <x:v>346</x:v>
      </x:c>
      <x:c r="M278" s="23">
        <x:f t="shared" si="4"/>
        <x:v>661</x:v>
      </x:c>
      <x:c r="N278" s="24" t="str">
        <x:f t="array" ref="N278">INDEX('MATCH INFO'!O:O, INT((ROW()-2)/10)+2 + 157)</x:f>
        <x:v>260712_CR_ZETA_S3</x:v>
      </x:c>
    </x:row>
    <x:row r="279">
      <x:c r="A279" s="23" t="s">
        <x:v>55</x:v>
      </x:c>
      <x:c r="B279" s="23" t="s">
        <x:v>57</x:v>
      </x:c>
      <x:c r="C279" s="23" t="s">
        <x:v>8</x:v>
      </x:c>
      <x:c r="D279" s="23" t="s">
        <x:v>119</x:v>
      </x:c>
      <x:c r="E279" s="23" t="s">
        <x:v>191</x:v>
      </x:c>
      <x:c r="F279" s="23">
        <x:v>16</x:v>
      </x:c>
      <x:c r="G279" s="23">
        <x:v>8</x:v>
      </x:c>
      <x:c r="H279" s="23">
        <x:v>8</x:v>
      </x:c>
      <x:c r="I279" s="23">
        <x:v>6732</x:v>
      </x:c>
      <x:c r="J279" s="23">
        <x:v>1269</x:v>
      </x:c>
      <x:c r="K279" s="23">
        <x:v>14910</x:v>
      </x:c>
      <x:c r="L279" s="23" t="s">
        <x:v>346</x:v>
      </x:c>
      <x:c r="M279" s="23">
        <x:f t="shared" si="4"/>
        <x:v>661</x:v>
      </x:c>
      <x:c r="N279" s="24" t="str">
        <x:f t="array" ref="N279">INDEX('MATCH INFO'!O:O, INT((ROW()-2)/10)+2 + 157)</x:f>
        <x:v>260712_CR_ZETA_S3</x:v>
      </x:c>
    </x:row>
    <x:row r="280">
      <x:c r="A280" s="23" t="s">
        <x:v>55</x:v>
      </x:c>
      <x:c r="B280" s="23" t="s">
        <x:v>60</x:v>
      </x:c>
      <x:c r="C280" s="23" t="s">
        <x:v>11</x:v>
      </x:c>
      <x:c r="D280" s="23" t="s">
        <x:v>119</x:v>
      </x:c>
      <x:c r="E280" s="23" t="s">
        <x:v>191</x:v>
      </x:c>
      <x:c r="F280" s="23">
        <x:v>8</x:v>
      </x:c>
      <x:c r="G280" s="23">
        <x:v>10</x:v>
      </x:c>
      <x:c r="H280" s="23">
        <x:v>0</x:v>
      </x:c>
      <x:c r="I280" s="23">
        <x:v>8299</x:v>
      </x:c>
      <x:c r="J280" s="23">
        <x:v>0</x:v>
      </x:c>
      <x:c r="K280" s="23">
        <x:v>186</x:v>
      </x:c>
      <x:c r="L280" s="23" t="s">
        <x:v>346</x:v>
      </x:c>
      <x:c r="M280" s="23">
        <x:f t="shared" si="4"/>
        <x:v>661</x:v>
      </x:c>
      <x:c r="N280" s="24" t="str">
        <x:f t="array" ref="N280">INDEX('MATCH INFO'!O:O, INT((ROW()-2)/10)+2 + 157)</x:f>
        <x:v>260712_CR_ZETA_S3</x:v>
      </x:c>
    </x:row>
    <x:row r="281">
      <x:c r="A281" s="23" t="s">
        <x:v>55</x:v>
      </x:c>
      <x:c r="B281" s="23" t="s">
        <x:v>62</x:v>
      </x:c>
      <x:c r="C281" s="23" t="s">
        <x:v>16</x:v>
      </x:c>
      <x:c r="D281" s="23" t="s">
        <x:v>119</x:v>
      </x:c>
      <x:c r="E281" s="23" t="s">
        <x:v>191</x:v>
      </x:c>
      <x:c r="F281" s="23">
        <x:v>6</x:v>
      </x:c>
      <x:c r="G281" s="23">
        <x:v>10</x:v>
      </x:c>
      <x:c r="H281" s="23">
        <x:v>11</x:v>
      </x:c>
      <x:c r="I281" s="23">
        <x:v>3140</x:v>
      </x:c>
      <x:c r="J281" s="23">
        <x:v>9736</x:v>
      </x:c>
      <x:c r="K281" s="23">
        <x:v>546</x:v>
      </x:c>
      <x:c r="L281" s="23" t="s">
        <x:v>346</x:v>
      </x:c>
      <x:c r="M281" s="23">
        <x:f t="shared" si="4"/>
        <x:v>661</x:v>
      </x:c>
      <x:c r="N281" s="24" t="str">
        <x:f t="array" ref="N281">INDEX('MATCH INFO'!O:O, INT((ROW()-2)/10)+2 + 157)</x:f>
        <x:v>260712_CR_ZETA_S3</x:v>
      </x:c>
    </x:row>
    <x:row r="282">
      <x:c r="A282" s="23" t="s">
        <x:v>47</x:v>
      </x:c>
      <x:c r="B282" s="23" t="s">
        <x:v>49</x:v>
      </x:c>
      <x:c r="C282" s="23" t="s">
        <x:v>8</x:v>
      </x:c>
      <x:c r="D282" s="23" t="s">
        <x:v>145</x:v>
      </x:c>
      <x:c r="E282" s="23" t="s">
        <x:v>195</x:v>
      </x:c>
      <x:c r="F282" s="23">
        <x:v>34</x:v>
      </x:c>
      <x:c r="G282" s="23">
        <x:v>10</x:v>
      </x:c>
      <x:c r="H282" s="23">
        <x:v>8</x:v>
      </x:c>
      <x:c r="I282" s="23">
        <x:v>17576</x:v>
      </x:c>
      <x:c r="J282" s="23">
        <x:v>0</x:v>
      </x:c>
      <x:c r="K282" s="23">
        <x:v>28174</x:v>
      </x:c>
      <x:c r="L282" s="23" t="s">
        <x:v>347</x:v>
      </x:c>
      <x:c r="M282" s="23">
        <x:f t="shared" si="4"/>
        <x:v>985</x:v>
      </x:c>
      <x:c r="N282" s="24" t="str">
        <x:f t="array" ref="N282">INDEX('MATCH INFO'!O:O, INT((ROW()-2)/10)+2 + 157)</x:f>
        <x:v>260712_CR_ZETA_S4</x:v>
      </x:c>
    </x:row>
    <x:row r="283">
      <x:c r="A283" s="23" t="s">
        <x:v>47</x:v>
      </x:c>
      <x:c r="B283" s="23" t="s">
        <x:v>51</x:v>
      </x:c>
      <x:c r="C283" s="23" t="s">
        <x:v>11</x:v>
      </x:c>
      <x:c r="D283" s="23" t="s">
        <x:v>145</x:v>
      </x:c>
      <x:c r="E283" s="23" t="s">
        <x:v>195</x:v>
      </x:c>
      <x:c r="F283" s="23">
        <x:v>35</x:v>
      </x:c>
      <x:c r="G283" s="23">
        <x:v>9</x:v>
      </x:c>
      <x:c r="H283" s="23">
        <x:v>0</x:v>
      </x:c>
      <x:c r="I283" s="23">
        <x:v>16953</x:v>
      </x:c>
      <x:c r="J283" s="23">
        <x:v>0</x:v>
      </x:c>
      <x:c r="K283" s="23">
        <x:v>0</x:v>
      </x:c>
      <x:c r="L283" s="23" t="s">
        <x:v>347</x:v>
      </x:c>
      <x:c r="M283" s="23">
        <x:f t="shared" si="4"/>
        <x:v>985</x:v>
      </x:c>
      <x:c r="N283" s="24" t="str">
        <x:f t="array" ref="N283">INDEX('MATCH INFO'!O:O, INT((ROW()-2)/10)+2 + 157)</x:f>
        <x:v>260712_CR_ZETA_S4</x:v>
      </x:c>
    </x:row>
    <x:row r="284">
      <x:c r="A284" s="23" t="s">
        <x:v>47</x:v>
      </x:c>
      <x:c r="B284" s="23" t="s">
        <x:v>50</x:v>
      </x:c>
      <x:c r="C284" s="23" t="s">
        <x:v>11</x:v>
      </x:c>
      <x:c r="D284" s="23" t="s">
        <x:v>145</x:v>
      </x:c>
      <x:c r="E284" s="23" t="s">
        <x:v>195</x:v>
      </x:c>
      <x:c r="F284" s="23">
        <x:v>41</x:v>
      </x:c>
      <x:c r="G284" s="23">
        <x:v>11</x:v>
      </x:c>
      <x:c r="H284" s="23">
        <x:v>13</x:v>
      </x:c>
      <x:c r="I284" s="23">
        <x:v>15667</x:v>
      </x:c>
      <x:c r="J284" s="23">
        <x:v>882</x:v>
      </x:c>
      <x:c r="K284" s="23">
        <x:v>2651</x:v>
      </x:c>
      <x:c r="L284" s="23" t="s">
        <x:v>347</x:v>
      </x:c>
      <x:c r="M284" s="23">
        <x:f t="shared" si="4"/>
        <x:v>985</x:v>
      </x:c>
      <x:c r="N284" s="24" t="str">
        <x:f t="array" ref="N284">INDEX('MATCH INFO'!O:O, INT((ROW()-2)/10)+2 + 157)</x:f>
        <x:v>260712_CR_ZETA_S4</x:v>
      </x:c>
    </x:row>
    <x:row r="285">
      <x:c r="A285" s="23" t="s">
        <x:v>47</x:v>
      </x:c>
      <x:c r="B285" s="23" t="s">
        <x:v>53</x:v>
      </x:c>
      <x:c r="C285" s="23" t="s">
        <x:v>16</x:v>
      </x:c>
      <x:c r="D285" s="23" t="s">
        <x:v>145</x:v>
      </x:c>
      <x:c r="E285" s="23" t="s">
        <x:v>195</x:v>
      </x:c>
      <x:c r="F285" s="23">
        <x:v>18</x:v>
      </x:c>
      <x:c r="G285" s="23">
        <x:v>11</x:v>
      </x:c>
      <x:c r="H285" s="23">
        <x:v>32</x:v>
      </x:c>
      <x:c r="I285" s="23">
        <x:v>5643</x:v>
      </x:c>
      <x:c r="J285" s="23">
        <x:v>19596</x:v>
      </x:c>
      <x:c r="K285" s="23">
        <x:v>252</x:v>
      </x:c>
      <x:c r="L285" s="23" t="s">
        <x:v>347</x:v>
      </x:c>
      <x:c r="M285" s="23">
        <x:f t="shared" si="4"/>
        <x:v>985</x:v>
      </x:c>
      <x:c r="N285" s="24" t="str">
        <x:f t="array" ref="N285">INDEX('MATCH INFO'!O:O, INT((ROW()-2)/10)+2 + 157)</x:f>
        <x:v>260712_CR_ZETA_S4</x:v>
      </x:c>
    </x:row>
    <x:row r="286">
      <x:c r="A286" s="23" t="s">
        <x:v>47</x:v>
      </x:c>
      <x:c r="B286" s="23" t="s">
        <x:v>52</x:v>
      </x:c>
      <x:c r="C286" s="23" t="s">
        <x:v>16</x:v>
      </x:c>
      <x:c r="D286" s="23" t="s">
        <x:v>145</x:v>
      </x:c>
      <x:c r="E286" s="23" t="s">
        <x:v>195</x:v>
      </x:c>
      <x:c r="F286" s="23">
        <x:v>22</x:v>
      </x:c>
      <x:c r="G286" s="23">
        <x:v>12</x:v>
      </x:c>
      <x:c r="H286" s="23">
        <x:v>31</x:v>
      </x:c>
      <x:c r="I286" s="23">
        <x:v>9111</x:v>
      </x:c>
      <x:c r="J286" s="23">
        <x:v>17047</x:v>
      </x:c>
      <x:c r="K286" s="23">
        <x:v>2441</x:v>
      </x:c>
      <x:c r="L286" s="23" t="s">
        <x:v>347</x:v>
      </x:c>
      <x:c r="M286" s="23">
        <x:f t="shared" si="4"/>
        <x:v>985</x:v>
      </x:c>
      <x:c r="N286" s="24" t="str">
        <x:f t="array" ref="N286">INDEX('MATCH INFO'!O:O, INT((ROW()-2)/10)+2 + 157)</x:f>
        <x:v>260712_CR_ZETA_S4</x:v>
      </x:c>
    </x:row>
    <x:row r="287">
      <x:c r="A287" s="23" t="s">
        <x:v>55</x:v>
      </x:c>
      <x:c r="B287" s="23" t="s">
        <x:v>61</x:v>
      </x:c>
      <x:c r="C287" s="23" t="s">
        <x:v>16</x:v>
      </x:c>
      <x:c r="D287" s="23" t="s">
        <x:v>145</x:v>
      </x:c>
      <x:c r="E287" s="23" t="s">
        <x:v>195</x:v>
      </x:c>
      <x:c r="F287" s="23">
        <x:v>29</x:v>
      </x:c>
      <x:c r="G287" s="23">
        <x:v>14</x:v>
      </x:c>
      <x:c r="H287" s="23">
        <x:v>38</x:v>
      </x:c>
      <x:c r="I287" s="23">
        <x:v>7933</x:v>
      </x:c>
      <x:c r="J287" s="23">
        <x:v>15905</x:v>
      </x:c>
      <x:c r="K287" s="23">
        <x:v>3413</x:v>
      </x:c>
      <x:c r="L287" s="23" t="s">
        <x:v>347</x:v>
      </x:c>
      <x:c r="M287" s="23">
        <x:f t="shared" si="4"/>
        <x:v>985</x:v>
      </x:c>
      <x:c r="N287" s="24" t="str">
        <x:f t="array" ref="N287">INDEX('MATCH INFO'!O:O, INT((ROW()-2)/10)+2 + 157)</x:f>
        <x:v>260712_CR_ZETA_S4</x:v>
      </x:c>
    </x:row>
    <x:row r="288">
      <x:c r="A288" s="23" t="s">
        <x:v>55</x:v>
      </x:c>
      <x:c r="B288" s="23" t="s">
        <x:v>58</x:v>
      </x:c>
      <x:c r="C288" s="23" t="s">
        <x:v>11</x:v>
      </x:c>
      <x:c r="D288" s="23" t="s">
        <x:v>145</x:v>
      </x:c>
      <x:c r="E288" s="23" t="s">
        <x:v>195</x:v>
      </x:c>
      <x:c r="F288" s="23">
        <x:v>32</x:v>
      </x:c>
      <x:c r="G288" s="23">
        <x:v>10</x:v>
      </x:c>
      <x:c r="H288" s="23">
        <x:v>12</x:v>
      </x:c>
      <x:c r="I288" s="23">
        <x:v>14489</x:v>
      </x:c>
      <x:c r="J288" s="23">
        <x:v>2167</x:v>
      </x:c>
      <x:c r="K288" s="23">
        <x:v>9094</x:v>
      </x:c>
      <x:c r="L288" s="23" t="s">
        <x:v>347</x:v>
      </x:c>
      <x:c r="M288" s="23">
        <x:f t="shared" si="4"/>
        <x:v>985</x:v>
      </x:c>
      <x:c r="N288" s="24" t="str">
        <x:f t="array" ref="N288">INDEX('MATCH INFO'!O:O, INT((ROW()-2)/10)+2 + 157)</x:f>
        <x:v>260712_CR_ZETA_S4</x:v>
      </x:c>
    </x:row>
    <x:row r="289">
      <x:c r="A289" s="23" t="s">
        <x:v>55</x:v>
      </x:c>
      <x:c r="B289" s="23" t="s">
        <x:v>57</x:v>
      </x:c>
      <x:c r="C289" s="23" t="s">
        <x:v>8</x:v>
      </x:c>
      <x:c r="D289" s="23" t="s">
        <x:v>145</x:v>
      </x:c>
      <x:c r="E289" s="23" t="s">
        <x:v>195</x:v>
      </x:c>
      <x:c r="F289" s="23">
        <x:v>29</x:v>
      </x:c>
      <x:c r="G289" s="23">
        <x:v>9</x:v>
      </x:c>
      <x:c r="H289" s="23">
        <x:v>9</x:v>
      </x:c>
      <x:c r="I289" s="23">
        <x:v>15458</x:v>
      </x:c>
      <x:c r="J289" s="23">
        <x:v>474</x:v>
      </x:c>
      <x:c r="K289" s="23">
        <x:v>38778</x:v>
      </x:c>
      <x:c r="L289" s="23" t="s">
        <x:v>347</x:v>
      </x:c>
      <x:c r="M289" s="23">
        <x:f t="shared" si="4"/>
        <x:v>985</x:v>
      </x:c>
      <x:c r="N289" s="24" t="str">
        <x:f t="array" ref="N289">INDEX('MATCH INFO'!O:O, INT((ROW()-2)/10)+2 + 157)</x:f>
        <x:v>260712_CR_ZETA_S4</x:v>
      </x:c>
    </x:row>
    <x:row r="290">
      <x:c r="A290" s="23" t="s">
        <x:v>55</x:v>
      </x:c>
      <x:c r="B290" s="23" t="s">
        <x:v>60</x:v>
      </x:c>
      <x:c r="C290" s="23" t="s">
        <x:v>11</x:v>
      </x:c>
      <x:c r="D290" s="23" t="s">
        <x:v>145</x:v>
      </x:c>
      <x:c r="E290" s="23" t="s">
        <x:v>195</x:v>
      </x:c>
      <x:c r="F290" s="23">
        <x:v>36</x:v>
      </x:c>
      <x:c r="G290" s="23">
        <x:v>12</x:v>
      </x:c>
      <x:c r="H290" s="23">
        <x:v>0</x:v>
      </x:c>
      <x:c r="I290" s="23">
        <x:v>16648</x:v>
      </x:c>
      <x:c r="J290" s="23">
        <x:v>0</x:v>
      </x:c>
      <x:c r="K290" s="23">
        <x:v>0</x:v>
      </x:c>
      <x:c r="L290" s="23" t="s">
        <x:v>347</x:v>
      </x:c>
      <x:c r="M290" s="23">
        <x:f t="shared" si="4"/>
        <x:v>985</x:v>
      </x:c>
      <x:c r="N290" s="24" t="str">
        <x:f t="array" ref="N290">INDEX('MATCH INFO'!O:O, INT((ROW()-2)/10)+2 + 157)</x:f>
        <x:v>260712_CR_ZETA_S4</x:v>
      </x:c>
    </x:row>
    <x:row r="291">
      <x:c r="A291" s="23" t="s">
        <x:v>55</x:v>
      </x:c>
      <x:c r="B291" s="23" t="s">
        <x:v>62</x:v>
      </x:c>
      <x:c r="C291" s="23" t="s">
        <x:v>16</x:v>
      </x:c>
      <x:c r="D291" s="23" t="s">
        <x:v>145</x:v>
      </x:c>
      <x:c r="E291" s="23" t="s">
        <x:v>195</x:v>
      </x:c>
      <x:c r="F291" s="23">
        <x:v>25</x:v>
      </x:c>
      <x:c r="G291" s="23">
        <x:v>7</x:v>
      </x:c>
      <x:c r="H291" s="23">
        <x:v>36</x:v>
      </x:c>
      <x:c r="I291" s="23">
        <x:v>5495</x:v>
      </x:c>
      <x:c r="J291" s="23">
        <x:v>22492</x:v>
      </x:c>
      <x:c r="K291" s="23">
        <x:v>0</x:v>
      </x:c>
      <x:c r="L291" s="23" t="s">
        <x:v>347</x:v>
      </x:c>
      <x:c r="M291" s="23">
        <x:f t="shared" si="4"/>
        <x:v>985</x:v>
      </x:c>
      <x:c r="N291" s="24" t="str">
        <x:f t="array" ref="N291">INDEX('MATCH INFO'!O:O, INT((ROW()-2)/10)+2 + 157)</x:f>
        <x:v>260712_CR_ZETA_S4</x:v>
      </x:c>
    </x:row>
    <x:row r="292">
      <x:c r="A292" s="23" t="s">
        <x:v>55</x:v>
      </x:c>
      <x:c r="B292" s="23" t="s">
        <x:v>61</x:v>
      </x:c>
      <x:c r="C292" s="23" t="s">
        <x:v>16</x:v>
      </x:c>
      <x:c r="D292" s="23" t="s">
        <x:v>168</x:v>
      </x:c>
      <x:c r="E292" s="23" t="s">
        <x:v>188</x:v>
      </x:c>
      <x:c r="F292" s="23">
        <x:v>18</x:v>
      </x:c>
      <x:c r="G292" s="23">
        <x:v>10</x:v>
      </x:c>
      <x:c r="H292" s="23">
        <x:v>18</x:v>
      </x:c>
      <x:c r="I292" s="23">
        <x:v>4469</x:v>
      </x:c>
      <x:c r="J292" s="23">
        <x:v>6571</x:v>
      </x:c>
      <x:c r="K292" s="23">
        <x:v>1240</x:v>
      </x:c>
      <x:c r="L292" s="23" t="s">
        <x:v>348</x:v>
      </x:c>
      <x:c r="M292" s="23">
        <x:f t="shared" si="4"/>
        <x:v>608</x:v>
      </x:c>
      <x:c r="N292" s="24" t="str">
        <x:f t="array" ref="N292">INDEX('MATCH INFO'!O:O, INT((ROW()-2)/10)+2 + 157)</x:f>
        <x:v>260712_CR_ZETA_S5</x:v>
      </x:c>
    </x:row>
    <x:row r="293">
      <x:c r="A293" s="23" t="s">
        <x:v>55</x:v>
      </x:c>
      <x:c r="B293" s="23" t="s">
        <x:v>58</x:v>
      </x:c>
      <x:c r="C293" s="23" t="s">
        <x:v>11</x:v>
      </x:c>
      <x:c r="D293" s="23" t="s">
        <x:v>168</x:v>
      </x:c>
      <x:c r="E293" s="23" t="s">
        <x:v>188</x:v>
      </x:c>
      <x:c r="F293" s="23">
        <x:v>22</x:v>
      </x:c>
      <x:c r="G293" s="23">
        <x:v>9</x:v>
      </x:c>
      <x:c r="H293" s="23">
        <x:v>5</x:v>
      </x:c>
      <x:c r="I293" s="23">
        <x:v>6753</x:v>
      </x:c>
      <x:c r="J293" s="23">
        <x:v>79</x:v>
      </x:c>
      <x:c r="K293" s="23">
        <x:v>2232</x:v>
      </x:c>
      <x:c r="L293" s="23" t="s">
        <x:v>348</x:v>
      </x:c>
      <x:c r="M293" s="23">
        <x:f t="shared" si="4"/>
        <x:v>608</x:v>
      </x:c>
      <x:c r="N293" s="24" t="str">
        <x:f t="array" ref="N293">INDEX('MATCH INFO'!O:O, INT((ROW()-2)/10)+2 + 157)</x:f>
        <x:v>260712_CR_ZETA_S5</x:v>
      </x:c>
    </x:row>
    <x:row r="294">
      <x:c r="A294" s="23" t="s">
        <x:v>55</x:v>
      </x:c>
      <x:c r="B294" s="23" t="s">
        <x:v>57</x:v>
      </x:c>
      <x:c r="C294" s="23" t="s">
        <x:v>8</x:v>
      </x:c>
      <x:c r="D294" s="23" t="s">
        <x:v>168</x:v>
      </x:c>
      <x:c r="E294" s="23" t="s">
        <x:v>188</x:v>
      </x:c>
      <x:c r="F294" s="23">
        <x:v>24</x:v>
      </x:c>
      <x:c r="G294" s="23">
        <x:v>7</x:v>
      </x:c>
      <x:c r="H294" s="23">
        <x:v>14</x:v>
      </x:c>
      <x:c r="I294" s="23">
        <x:v>10646</x:v>
      </x:c>
      <x:c r="J294" s="23">
        <x:v>1097</x:v>
      </x:c>
      <x:c r="K294" s="23">
        <x:v>18389</x:v>
      </x:c>
      <x:c r="L294" s="23" t="s">
        <x:v>348</x:v>
      </x:c>
      <x:c r="M294" s="23">
        <x:f t="shared" si="4"/>
        <x:v>608</x:v>
      </x:c>
      <x:c r="N294" s="24" t="str">
        <x:f t="array" ref="N294">INDEX('MATCH INFO'!O:O, INT((ROW()-2)/10)+2 + 157)</x:f>
        <x:v>260712_CR_ZETA_S5</x:v>
      </x:c>
    </x:row>
    <x:row r="295">
      <x:c r="A295" s="23" t="s">
        <x:v>55</x:v>
      </x:c>
      <x:c r="B295" s="23" t="s">
        <x:v>60</x:v>
      </x:c>
      <x:c r="C295" s="23" t="s">
        <x:v>11</x:v>
      </x:c>
      <x:c r="D295" s="23" t="s">
        <x:v>168</x:v>
      </x:c>
      <x:c r="E295" s="23" t="s">
        <x:v>188</x:v>
      </x:c>
      <x:c r="F295" s="23">
        <x:v>17</x:v>
      </x:c>
      <x:c r="G295" s="23">
        <x:v>10</x:v>
      </x:c>
      <x:c r="H295" s="23">
        <x:v>0</x:v>
      </x:c>
      <x:c r="I295" s="23">
        <x:v>9060</x:v>
      </x:c>
      <x:c r="J295" s="23">
        <x:v>0</x:v>
      </x:c>
      <x:c r="K295" s="23">
        <x:v>0</x:v>
      </x:c>
      <x:c r="L295" s="23" t="s">
        <x:v>348</x:v>
      </x:c>
      <x:c r="M295" s="23">
        <x:f t="shared" si="4"/>
        <x:v>608</x:v>
      </x:c>
      <x:c r="N295" s="24" t="str">
        <x:f t="array" ref="N295">INDEX('MATCH INFO'!O:O, INT((ROW()-2)/10)+2 + 157)</x:f>
        <x:v>260712_CR_ZETA_S5</x:v>
      </x:c>
    </x:row>
    <x:row r="296">
      <x:c r="A296" s="23" t="s">
        <x:v>55</x:v>
      </x:c>
      <x:c r="B296" s="23" t="s">
        <x:v>62</x:v>
      </x:c>
      <x:c r="C296" s="23" t="s">
        <x:v>16</x:v>
      </x:c>
      <x:c r="D296" s="23" t="s">
        <x:v>168</x:v>
      </x:c>
      <x:c r="E296" s="23" t="s">
        <x:v>188</x:v>
      </x:c>
      <x:c r="F296" s="23">
        <x:v>11</x:v>
      </x:c>
      <x:c r="G296" s="23">
        <x:v>9</x:v>
      </x:c>
      <x:c r="H296" s="23">
        <x:v>18</x:v>
      </x:c>
      <x:c r="I296" s="23">
        <x:v>5552</x:v>
      </x:c>
      <x:c r="J296" s="23">
        <x:v>10633</x:v>
      </x:c>
      <x:c r="K296" s="23">
        <x:v>0</x:v>
      </x:c>
      <x:c r="L296" s="23" t="s">
        <x:v>348</x:v>
      </x:c>
      <x:c r="M296" s="23">
        <x:f t="shared" si="4"/>
        <x:v>608</x:v>
      </x:c>
      <x:c r="N296" s="24" t="str">
        <x:f t="array" ref="N296">INDEX('MATCH INFO'!O:O, INT((ROW()-2)/10)+2 + 157)</x:f>
        <x:v>260712_CR_ZETA_S5</x:v>
      </x:c>
    </x:row>
    <x:row r="297">
      <x:c r="A297" s="23" t="s">
        <x:v>47</x:v>
      </x:c>
      <x:c r="B297" s="23" t="s">
        <x:v>49</x:v>
      </x:c>
      <x:c r="C297" s="23" t="s">
        <x:v>8</x:v>
      </x:c>
      <x:c r="D297" s="23" t="s">
        <x:v>168</x:v>
      </x:c>
      <x:c r="E297" s="23" t="s">
        <x:v>188</x:v>
      </x:c>
      <x:c r="F297" s="23">
        <x:v>31</x:v>
      </x:c>
      <x:c r="G297" s="23">
        <x:v>6</x:v>
      </x:c>
      <x:c r="H297" s="23">
        <x:v>17</x:v>
      </x:c>
      <x:c r="I297" s="23">
        <x:v>10116</x:v>
      </x:c>
      <x:c r="J297" s="23">
        <x:v>1436</x:v>
      </x:c>
      <x:c r="K297" s="23">
        <x:v>7567</x:v>
      </x:c>
      <x:c r="L297" s="23" t="s">
        <x:v>348</x:v>
      </x:c>
      <x:c r="M297" s="23">
        <x:f t="shared" si="4"/>
        <x:v>608</x:v>
      </x:c>
      <x:c r="N297" s="24" t="str">
        <x:f t="array" ref="N297">INDEX('MATCH INFO'!O:O, INT((ROW()-2)/10)+2 + 157)</x:f>
        <x:v>260712_CR_ZETA_S5</x:v>
      </x:c>
    </x:row>
    <x:row r="298">
      <x:c r="A298" s="23" t="s">
        <x:v>47</x:v>
      </x:c>
      <x:c r="B298" s="23" t="s">
        <x:v>51</x:v>
      </x:c>
      <x:c r="C298" s="23" t="s">
        <x:v>11</x:v>
      </x:c>
      <x:c r="D298" s="23" t="s">
        <x:v>168</x:v>
      </x:c>
      <x:c r="E298" s="23" t="s">
        <x:v>188</x:v>
      </x:c>
      <x:c r="F298" s="23">
        <x:v>26</x:v>
      </x:c>
      <x:c r="G298" s="23">
        <x:v>6</x:v>
      </x:c>
      <x:c r="H298" s="23">
        <x:v>0</x:v>
      </x:c>
      <x:c r="I298" s="23">
        <x:v>10158</x:v>
      </x:c>
      <x:c r="J298" s="23">
        <x:v>0</x:v>
      </x:c>
      <x:c r="K298" s="23">
        <x:v>0</x:v>
      </x:c>
      <x:c r="L298" s="23" t="s">
        <x:v>348</x:v>
      </x:c>
      <x:c r="M298" s="23">
        <x:f t="shared" si="4"/>
        <x:v>608</x:v>
      </x:c>
      <x:c r="N298" s="24" t="str">
        <x:f t="array" ref="N298">INDEX('MATCH INFO'!O:O, INT((ROW()-2)/10)+2 + 157)</x:f>
        <x:v>260712_CR_ZETA_S5</x:v>
      </x:c>
    </x:row>
    <x:row r="299">
      <x:c r="A299" s="23" t="s">
        <x:v>47</x:v>
      </x:c>
      <x:c r="B299" s="23" t="s">
        <x:v>50</x:v>
      </x:c>
      <x:c r="C299" s="23" t="s">
        <x:v>11</x:v>
      </x:c>
      <x:c r="D299" s="23" t="s">
        <x:v>168</x:v>
      </x:c>
      <x:c r="E299" s="23" t="s">
        <x:v>188</x:v>
      </x:c>
      <x:c r="F299" s="23">
        <x:v>27</x:v>
      </x:c>
      <x:c r="G299" s="23">
        <x:v>4</x:v>
      </x:c>
      <x:c r="H299" s="23">
        <x:v>1</x:v>
      </x:c>
      <x:c r="I299" s="23">
        <x:v>8729</x:v>
      </x:c>
      <x:c r="J299" s="23">
        <x:v>29</x:v>
      </x:c>
      <x:c r="K299" s="23">
        <x:v>0</x:v>
      </x:c>
      <x:c r="L299" s="23" t="s">
        <x:v>348</x:v>
      </x:c>
      <x:c r="M299" s="23">
        <x:f t="shared" si="4"/>
        <x:v>608</x:v>
      </x:c>
      <x:c r="N299" s="24" t="str">
        <x:f t="array" ref="N299">INDEX('MATCH INFO'!O:O, INT((ROW()-2)/10)+2 + 157)</x:f>
        <x:v>260712_CR_ZETA_S5</x:v>
      </x:c>
    </x:row>
    <x:row r="300">
      <x:c r="A300" s="23" t="s">
        <x:v>47</x:v>
      </x:c>
      <x:c r="B300" s="23" t="s">
        <x:v>53</x:v>
      </x:c>
      <x:c r="C300" s="23" t="s">
        <x:v>16</x:v>
      </x:c>
      <x:c r="D300" s="23" t="s">
        <x:v>168</x:v>
      </x:c>
      <x:c r="E300" s="23" t="s">
        <x:v>188</x:v>
      </x:c>
      <x:c r="F300" s="23">
        <x:v>10</x:v>
      </x:c>
      <x:c r="G300" s="23">
        <x:v>7</x:v>
      </x:c>
      <x:c r="H300" s="23">
        <x:v>25</x:v>
      </x:c>
      <x:c r="I300" s="23">
        <x:v>2472</x:v>
      </x:c>
      <x:c r="J300" s="23">
        <x:v>11126</x:v>
      </x:c>
      <x:c r="K300" s="23">
        <x:v>0</x:v>
      </x:c>
      <x:c r="L300" s="23" t="s">
        <x:v>348</x:v>
      </x:c>
      <x:c r="M300" s="23">
        <x:f t="shared" si="4"/>
        <x:v>608</x:v>
      </x:c>
      <x:c r="N300" s="24" t="str">
        <x:f t="array" ref="N300">INDEX('MATCH INFO'!O:O, INT((ROW()-2)/10)+2 + 157)</x:f>
        <x:v>260712_CR_ZETA_S5</x:v>
      </x:c>
    </x:row>
    <x:row r="301">
      <x:c r="A301" s="23" t="s">
        <x:v>47</x:v>
      </x:c>
      <x:c r="B301" s="23" t="s">
        <x:v>52</x:v>
      </x:c>
      <x:c r="C301" s="23" t="s">
        <x:v>16</x:v>
      </x:c>
      <x:c r="D301" s="23" t="s">
        <x:v>168</x:v>
      </x:c>
      <x:c r="E301" s="23" t="s">
        <x:v>188</x:v>
      </x:c>
      <x:c r="F301" s="23">
        <x:v>25</x:v>
      </x:c>
      <x:c r="G301" s="23">
        <x:v>6</x:v>
      </x:c>
      <x:c r="H301" s="23">
        <x:v>17</x:v>
      </x:c>
      <x:c r="I301" s="23">
        <x:v>5462</x:v>
      </x:c>
      <x:c r="J301" s="23">
        <x:v>8169</x:v>
      </x:c>
      <x:c r="K301" s="23">
        <x:v>0</x:v>
      </x:c>
      <x:c r="L301" s="23" t="s">
        <x:v>348</x:v>
      </x:c>
      <x:c r="M301" s="23">
        <x:f t="shared" si="4"/>
        <x:v>608</x:v>
      </x:c>
      <x:c r="N301" s="24" t="str">
        <x:f t="array" ref="N301">INDEX('MATCH INFO'!O:O, INT((ROW()-2)/10)+2 + 157)</x:f>
        <x:v>260712_CR_ZETA_S5</x:v>
      </x:c>
    </x:row>
    <x:row r="302">
      <x:c r="A302" s="23" t="s">
        <x:v>47</x:v>
      </x:c>
      <x:c r="B302" s="23" t="s">
        <x:v>49</x:v>
      </x:c>
      <x:c r="C302" s="23" t="s">
        <x:v>8</x:v>
      </x:c>
      <x:c r="D302" s="23" t="s">
        <x:v>166</x:v>
      </x:c>
      <x:c r="E302" s="23" t="s">
        <x:v>191</x:v>
      </x:c>
      <x:c r="F302" s="23">
        <x:v>36</x:v>
      </x:c>
      <x:c r="G302" s="23">
        <x:v>14</x:v>
      </x:c>
      <x:c r="H302" s="23">
        <x:v>12</x:v>
      </x:c>
      <x:c r="I302" s="23">
        <x:v>18368</x:v>
      </x:c>
      <x:c r="J302" s="23">
        <x:v>863</x:v>
      </x:c>
      <x:c r="K302" s="23">
        <x:v>29765</x:v>
      </x:c>
      <x:c r="L302" s="23" t="s">
        <x:v>349</x:v>
      </x:c>
      <x:c r="M302" s="23">
        <x:f t="shared" si="4"/>
        <x:v>1257</x:v>
      </x:c>
      <x:c r="N302" s="24" t="str">
        <x:f t="array" ref="N302">INDEX('MATCH INFO'!O:O, INT((ROW()-2)/10)+2 + 157)</x:f>
        <x:v>260712_CR_ZETA_S6</x:v>
      </x:c>
    </x:row>
    <x:row r="303">
      <x:c r="A303" s="23" t="s">
        <x:v>47</x:v>
      </x:c>
      <x:c r="B303" s="23" t="s">
        <x:v>51</x:v>
      </x:c>
      <x:c r="C303" s="23" t="s">
        <x:v>11</x:v>
      </x:c>
      <x:c r="D303" s="23" t="s">
        <x:v>166</x:v>
      </x:c>
      <x:c r="E303" s="23" t="s">
        <x:v>191</x:v>
      </x:c>
      <x:c r="F303" s="23">
        <x:v>39</x:v>
      </x:c>
      <x:c r="G303" s="23">
        <x:v>17</x:v>
      </x:c>
      <x:c r="H303" s="23">
        <x:v>2</x:v>
      </x:c>
      <x:c r="I303" s="23">
        <x:v>19735</x:v>
      </x:c>
      <x:c r="J303" s="23">
        <x:v>590</x:v>
      </x:c>
      <x:c r="K303" s="23">
        <x:v>625</x:v>
      </x:c>
      <x:c r="L303" s="23" t="s">
        <x:v>349</x:v>
      </x:c>
      <x:c r="M303" s="23">
        <x:f t="shared" si="4"/>
        <x:v>1257</x:v>
      </x:c>
      <x:c r="N303" s="24" t="str">
        <x:f t="array" ref="N303">INDEX('MATCH INFO'!O:O, INT((ROW()-2)/10)+2 + 157)</x:f>
        <x:v>260712_CR_ZETA_S6</x:v>
      </x:c>
    </x:row>
    <x:row r="304">
      <x:c r="A304" s="23" t="s">
        <x:v>47</x:v>
      </x:c>
      <x:c r="B304" s="23" t="s">
        <x:v>50</x:v>
      </x:c>
      <x:c r="C304" s="23" t="s">
        <x:v>11</x:v>
      </x:c>
      <x:c r="D304" s="23" t="s">
        <x:v>166</x:v>
      </x:c>
      <x:c r="E304" s="23" t="s">
        <x:v>191</x:v>
      </x:c>
      <x:c r="F304" s="23">
        <x:v>53</x:v>
      </x:c>
      <x:c r="G304" s="23">
        <x:v>13</x:v>
      </x:c>
      <x:c r="H304" s="23">
        <x:v>12</x:v>
      </x:c>
      <x:c r="I304" s="23">
        <x:v>21366</x:v>
      </x:c>
      <x:c r="J304" s="23">
        <x:v>1066</x:v>
      </x:c>
      <x:c r="K304" s="23">
        <x:v>5548</x:v>
      </x:c>
      <x:c r="L304" s="23" t="s">
        <x:v>349</x:v>
      </x:c>
      <x:c r="M304" s="23">
        <x:f t="shared" si="4"/>
        <x:v>1257</x:v>
      </x:c>
      <x:c r="N304" s="24" t="str">
        <x:f t="array" ref="N304">INDEX('MATCH INFO'!O:O, INT((ROW()-2)/10)+2 + 157)</x:f>
        <x:v>260712_CR_ZETA_S6</x:v>
      </x:c>
    </x:row>
    <x:row r="305">
      <x:c r="A305" s="23" t="s">
        <x:v>47</x:v>
      </x:c>
      <x:c r="B305" s="23" t="s">
        <x:v>53</x:v>
      </x:c>
      <x:c r="C305" s="23" t="s">
        <x:v>16</x:v>
      </x:c>
      <x:c r="D305" s="23" t="s">
        <x:v>166</x:v>
      </x:c>
      <x:c r="E305" s="23" t="s">
        <x:v>191</x:v>
      </x:c>
      <x:c r="F305" s="23">
        <x:v>24</x:v>
      </x:c>
      <x:c r="G305" s="23">
        <x:v>14</x:v>
      </x:c>
      <x:c r="H305" s="23">
        <x:v>36</x:v>
      </x:c>
      <x:c r="I305" s="23">
        <x:v>7281</x:v>
      </x:c>
      <x:c r="J305" s="23">
        <x:v>17001</x:v>
      </x:c>
      <x:c r="K305" s="23">
        <x:v>763</x:v>
      </x:c>
      <x:c r="L305" s="23" t="s">
        <x:v>349</x:v>
      </x:c>
      <x:c r="M305" s="23">
        <x:f t="shared" si="4"/>
        <x:v>1257</x:v>
      </x:c>
      <x:c r="N305" s="24" t="str">
        <x:f t="array" ref="N305">INDEX('MATCH INFO'!O:O, INT((ROW()-2)/10)+2 + 157)</x:f>
        <x:v>260712_CR_ZETA_S6</x:v>
      </x:c>
    </x:row>
    <x:row r="306">
      <x:c r="A306" s="23" t="s">
        <x:v>47</x:v>
      </x:c>
      <x:c r="B306" s="23" t="s">
        <x:v>52</x:v>
      </x:c>
      <x:c r="C306" s="23" t="s">
        <x:v>16</x:v>
      </x:c>
      <x:c r="D306" s="23" t="s">
        <x:v>166</x:v>
      </x:c>
      <x:c r="E306" s="23" t="s">
        <x:v>191</x:v>
      </x:c>
      <x:c r="F306" s="23">
        <x:v>42</x:v>
      </x:c>
      <x:c r="G306" s="23">
        <x:v>15</x:v>
      </x:c>
      <x:c r="H306" s="23">
        <x:v>41</x:v>
      </x:c>
      <x:c r="I306" s="23">
        <x:v>15970</x:v>
      </x:c>
      <x:c r="J306" s="23">
        <x:v>18739</x:v>
      </x:c>
      <x:c r="K306" s="23">
        <x:v>2763</x:v>
      </x:c>
      <x:c r="L306" s="23" t="s">
        <x:v>349</x:v>
      </x:c>
      <x:c r="M306" s="23">
        <x:f t="shared" si="4"/>
        <x:v>1257</x:v>
      </x:c>
      <x:c r="N306" s="24" t="str">
        <x:f t="array" ref="N306">INDEX('MATCH INFO'!O:O, INT((ROW()-2)/10)+2 + 157)</x:f>
        <x:v>260712_CR_ZETA_S6</x:v>
      </x:c>
    </x:row>
    <x:row r="307">
      <x:c r="A307" s="23" t="s">
        <x:v>55</x:v>
      </x:c>
      <x:c r="B307" s="23" t="s">
        <x:v>61</x:v>
      </x:c>
      <x:c r="C307" s="23" t="s">
        <x:v>16</x:v>
      </x:c>
      <x:c r="D307" s="23" t="s">
        <x:v>166</x:v>
      </x:c>
      <x:c r="E307" s="23" t="s">
        <x:v>191</x:v>
      </x:c>
      <x:c r="F307" s="23">
        <x:v>33</x:v>
      </x:c>
      <x:c r="G307" s="23">
        <x:v>13</x:v>
      </x:c>
      <x:c r="H307" s="23">
        <x:v>47</x:v>
      </x:c>
      <x:c r="I307" s="23">
        <x:v>10513</x:v>
      </x:c>
      <x:c r="J307" s="23">
        <x:v>19812</x:v>
      </x:c>
      <x:c r="K307" s="23">
        <x:v>3820</x:v>
      </x:c>
      <x:c r="L307" s="23" t="s">
        <x:v>349</x:v>
      </x:c>
      <x:c r="M307" s="23">
        <x:f t="shared" si="4"/>
        <x:v>1257</x:v>
      </x:c>
      <x:c r="N307" s="24" t="str">
        <x:f t="array" ref="N307">INDEX('MATCH INFO'!O:O, INT((ROW()-2)/10)+2 + 157)</x:f>
        <x:v>260712_CR_ZETA_S6</x:v>
      </x:c>
    </x:row>
    <x:row r="308">
      <x:c r="A308" s="23" t="s">
        <x:v>55</x:v>
      </x:c>
      <x:c r="B308" s="23" t="s">
        <x:v>58</x:v>
      </x:c>
      <x:c r="C308" s="23" t="s">
        <x:v>11</x:v>
      </x:c>
      <x:c r="D308" s="23" t="s">
        <x:v>166</x:v>
      </x:c>
      <x:c r="E308" s="23" t="s">
        <x:v>191</x:v>
      </x:c>
      <x:c r="F308" s="23">
        <x:v>41</x:v>
      </x:c>
      <x:c r="G308" s="23">
        <x:v>19</x:v>
      </x:c>
      <x:c r="H308" s="23">
        <x:v>10</x:v>
      </x:c>
      <x:c r="I308" s="23">
        <x:v>15970</x:v>
      </x:c>
      <x:c r="J308" s="23">
        <x:v>1645</x:v>
      </x:c>
      <x:c r="K308" s="23">
        <x:v>10700</x:v>
      </x:c>
      <x:c r="L308" s="23" t="s">
        <x:v>349</x:v>
      </x:c>
      <x:c r="M308" s="23">
        <x:f t="shared" si="4"/>
        <x:v>1257</x:v>
      </x:c>
      <x:c r="N308" s="24" t="str">
        <x:f t="array" ref="N308">INDEX('MATCH INFO'!O:O, INT((ROW()-2)/10)+2 + 157)</x:f>
        <x:v>260712_CR_ZETA_S6</x:v>
      </x:c>
    </x:row>
    <x:row r="309">
      <x:c r="A309" s="23" t="s">
        <x:v>55</x:v>
      </x:c>
      <x:c r="B309" s="23" t="s">
        <x:v>57</x:v>
      </x:c>
      <x:c r="C309" s="23" t="s">
        <x:v>8</x:v>
      </x:c>
      <x:c r="D309" s="23" t="s">
        <x:v>166</x:v>
      </x:c>
      <x:c r="E309" s="23" t="s">
        <x:v>191</x:v>
      </x:c>
      <x:c r="F309" s="23">
        <x:v>50</x:v>
      </x:c>
      <x:c r="G309" s="23">
        <x:v>10</x:v>
      </x:c>
      <x:c r="H309" s="23">
        <x:v>12</x:v>
      </x:c>
      <x:c r="I309" s="23">
        <x:v>24010</x:v>
      </x:c>
      <x:c r="J309" s="23">
        <x:v>699</x:v>
      </x:c>
      <x:c r="K309" s="23">
        <x:v>43310</x:v>
      </x:c>
      <x:c r="L309" s="23" t="s">
        <x:v>349</x:v>
      </x:c>
      <x:c r="M309" s="23">
        <x:f t="shared" si="4"/>
        <x:v>1257</x:v>
      </x:c>
      <x:c r="N309" s="24" t="str">
        <x:f t="array" ref="N309">INDEX('MATCH INFO'!O:O, INT((ROW()-2)/10)+2 + 157)</x:f>
        <x:v>260712_CR_ZETA_S6</x:v>
      </x:c>
    </x:row>
    <x:row r="310">
      <x:c r="A310" s="23" t="s">
        <x:v>55</x:v>
      </x:c>
      <x:c r="B310" s="23" t="s">
        <x:v>60</x:v>
      </x:c>
      <x:c r="C310" s="23" t="s">
        <x:v>11</x:v>
      </x:c>
      <x:c r="D310" s="23" t="s">
        <x:v>166</x:v>
      </x:c>
      <x:c r="E310" s="23" t="s">
        <x:v>191</x:v>
      </x:c>
      <x:c r="F310" s="23">
        <x:v>46</x:v>
      </x:c>
      <x:c r="G310" s="23">
        <x:v>17</x:v>
      </x:c>
      <x:c r="H310" s="23">
        <x:v>5</x:v>
      </x:c>
      <x:c r="I310" s="23">
        <x:v>17502</x:v>
      </x:c>
      <x:c r="J310" s="23">
        <x:v>0</x:v>
      </x:c>
      <x:c r="K310" s="23">
        <x:v>772</x:v>
      </x:c>
      <x:c r="L310" s="23" t="s">
        <x:v>349</x:v>
      </x:c>
      <x:c r="M310" s="23">
        <x:f t="shared" si="4"/>
        <x:v>1257</x:v>
      </x:c>
      <x:c r="N310" s="24" t="str">
        <x:f t="array" ref="N310">INDEX('MATCH INFO'!O:O, INT((ROW()-2)/10)+2 + 157)</x:f>
        <x:v>260712_CR_ZETA_S6</x:v>
      </x:c>
    </x:row>
    <x:row r="311">
      <x:c r="A311" s="23" t="s">
        <x:v>55</x:v>
      </x:c>
      <x:c r="B311" s="23" t="s">
        <x:v>62</x:v>
      </x:c>
      <x:c r="C311" s="23" t="s">
        <x:v>16</x:v>
      </x:c>
      <x:c r="D311" s="23" t="s">
        <x:v>166</x:v>
      </x:c>
      <x:c r="E311" s="23" t="s">
        <x:v>191</x:v>
      </x:c>
      <x:c r="F311" s="23">
        <x:v>25</x:v>
      </x:c>
      <x:c r="G311" s="23">
        <x:v>12</x:v>
      </x:c>
      <x:c r="H311" s="23">
        <x:v>53</x:v>
      </x:c>
      <x:c r="I311" s="23">
        <x:v>6492</x:v>
      </x:c>
      <x:c r="J311" s="23">
        <x:v>27804</x:v>
      </x:c>
      <x:c r="K311" s="23">
        <x:v>0</x:v>
      </x:c>
      <x:c r="L311" s="23" t="s">
        <x:v>349</x:v>
      </x:c>
      <x:c r="M311" s="23">
        <x:f t="shared" si="4"/>
        <x:v>1257</x:v>
      </x:c>
      <x:c r="N311" s="24" t="str">
        <x:f t="array" ref="N311">INDEX('MATCH INFO'!O:O, INT((ROW()-2)/10)+2 + 157)</x:f>
        <x:v>260712_CR_ZETA_S6</x:v>
      </x:c>
    </x:row>
  </x:sheetData>
  <x:conditionalFormatting sqref="A2:N311">
    <x:cfRule type="expression" dxfId="1" priority="1">
      <x:formula>MOD(ROW()-1, 10)=0</x:formula>
    </x:cfRule>
    <x:cfRule type="expression" dxfId="0" priority="2">
      <x:formula>MOD(INT((ROW()-2)/10), 2)=1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8"/>
  <x:cols>
    <x:col min="4" max="11" width="14.7109375" style="3" customWidth="1"/>
  </x:cols>
  <x:sheetData>
    <x:row r="1">
      <x:c r="A1" s="8" t="s">
        <x:v>350</x:v>
      </x:c>
      <x:c r="B1" s="8" t="s">
        <x:v>351</x:v>
      </x:c>
      <x:c r="C1" s="8" t="s">
        <x:v>352</x:v>
      </x:c>
      <x:c r="D1" s="8" t="s">
        <x:v>353</x:v>
      </x:c>
      <x:c r="E1" s="8" t="s">
        <x:v>354</x:v>
      </x:c>
      <x:c r="F1" s="8" t="s">
        <x:v>355</x:v>
      </x:c>
      <x:c r="G1" s="8" t="s">
        <x:v>356</x:v>
      </x:c>
      <x:c r="H1" s="8" t="s">
        <x:v>357</x:v>
      </x:c>
      <x:c r="I1" s="8" t="s">
        <x:v>358</x:v>
      </x:c>
      <x:c r="J1" s="8" t="s">
        <x:v>359</x:v>
      </x:c>
      <x:c r="K1" s="8" t="s">
        <x:v>360</x:v>
      </x:c>
    </x:row>
    <x:row r="2">
      <x:c r="A2" s="9" t="s">
        <x:v>6</x:v>
      </x:c>
      <x:c r="B2" s="9" t="s">
        <x:v>7</x:v>
      </x:c>
      <x:c r="C2" s="9" t="s">
        <x:v>8</x:v>
      </x:c>
      <x:c r="D2" s="11" t="n">
        <x:f>SUMIF(MATCH_W1!$B:$B,$B2,MATCH_W1!$F:$F)+SUMIF(MATCH_W2!$B:$B,$B2,MATCH_W2!$F:$F)+SUMIF(MATCH_W3!$B:$B,$B2,MATCH_W3!$F:$F)+SUMIF(MATCH_W4!$B:$B,$B2,MATCH_W4!$F:$F)+SUMIF(MATCH_W5!$B:$B,$B2,MATCH_W5!$F:$F)+SUMIF(MATCH_W6!$B:$B,$B2,MATCH_W6!$F:$F)</x:f>
        <x:v>349</x:v>
      </x:c>
      <x:c r="E2" s="11" t="n">
        <x:f>SUMIF(MATCH_W1!$B:$B,$B2,MATCH_W1!$G:$G)+SUMIF(MATCH_W2!$B:$B,$B2,MATCH_W2!$G:$G)+SUMIF(MATCH_W3!$B:$B,$B2,MATCH_W3!$G:$G)+SUMIF(MATCH_W4!$B:$B,$B2,MATCH_W4!$G:$G)+SUMIF(MATCH_W5!$B:$B,$B2,MATCH_W5!$G:$G)+SUMIF(MATCH_W6!$B:$B,$B2,MATCH_W6!$G:$G)</x:f>
        <x:v>120</x:v>
      </x:c>
      <x:c r="F2" s="11" t="n">
        <x:f>SUMIF(MATCH_W1!$B:$B,$B2,MATCH_W1!$H:$H)+SUMIF(MATCH_W2!$B:$B,$B2,MATCH_W2!$H:$H)+SUMIF(MATCH_W3!$B:$B,$B2,MATCH_W3!$H:$H)+SUMIF(MATCH_W4!$B:$B,$B2,MATCH_W4!$H:$H)+SUMIF(MATCH_W5!$B:$B,$B2,MATCH_W5!$H:$H)+SUMIF(MATCH_W6!$B:$B,$B2,MATCH_W6!$H:$H)</x:f>
        <x:v>213</x:v>
      </x:c>
      <x:c r="G2" s="11" t="n">
        <x:f>SUMIF(MATCH_W1!$B:$B,$B2,MATCH_W1!$I:$I)+SUMIF(MATCH_W2!$B:$B,$B2,MATCH_W2!$I:$I)+SUMIF(MATCH_W3!$B:$B,$B2,MATCH_W3!$I:$I)+SUMIF(MATCH_W4!$B:$B,$B2,MATCH_W4!$I:$I)+SUMIF(MATCH_W5!$B:$B,$B2,MATCH_W5!$I:$I)+SUMIF(MATCH_W6!$B:$B,$B2,MATCH_W6!$I:$I)</x:f>
        <x:v>220283</x:v>
      </x:c>
      <x:c r="H2" s="11" t="n">
        <x:f>SUMIF(MATCH_W1!$B:$B,$B2,MATCH_W1!$J:$J)+SUMIF(MATCH_W2!$B:$B,$B2,MATCH_W2!$J:$J)+SUMIF(MATCH_W3!$B:$B,$B2,MATCH_W3!$J:$J)+SUMIF(MATCH_W4!$B:$B,$B2,MATCH_W4!$J:$J)+SUMIF(MATCH_W5!$B:$B,$B2,MATCH_W5!$J:$J)+SUMIF(MATCH_W6!$B:$B,$B2,MATCH_W6!$J:$J)</x:f>
        <x:v>51331</x:v>
      </x:c>
      <x:c r="I2" s="11" t="n">
        <x:f>SUMIF(MATCH_W1!$B:$B,$B2,MATCH_W1!$K:$K)+SUMIF(MATCH_W2!$B:$B,$B2,MATCH_W2!$K:$K)+SUMIF(MATCH_W3!$B:$B,$B2,MATCH_W3!$K:$K)+SUMIF(MATCH_W4!$B:$B,$B2,MATCH_W4!$K:$K)+SUMIF(MATCH_W5!$B:$B,$B2,MATCH_W5!$K:$K)+SUMIF(MATCH_W6!$B:$B,$B2,MATCH_W6!$K:$K)</x:f>
        <x:v>128806</x:v>
      </x:c>
      <x:c r="J2" s="10" t="n">
        <x:f t="shared" ref="J2:J33" si="0">IFERROR(D2/E2,0)</x:f>
        <x:v>2.908333333333333</x:v>
      </x:c>
      <x:c r="K2" s="12" t="e">
        <x:f>SUMIF(MATCH_W1!$B:$B,$B2,MATCH_W1!$M:$M)+SUMIF(MATCH_W2!$B:$B,$B2,MATCH_W2!$M:$M)+SUMIF(MATCH_W3!$B:$B,$B2,MATCH_W3!$M:$M)+SUMIF(MATCH_W4!$B:$B,$B2,MATCH_W4!$M:$M)+SUMIF(MATCH_W5!$B:$B,$B2,MATCH_W5!$M:$M)+SUMIF(MATCH_W6!$B:$B,$B2,MATCH_W6!$M:$M)</x:f>
        <x:v>#VALUE!</x:v>
      </x:c>
    </x:row>
    <x:row r="3">
      <x:c r="A3" s="9" t="s">
        <x:v>6</x:v>
      </x:c>
      <x:c r="B3" s="9" t="s">
        <x:v>9</x:v>
      </x:c>
      <x:c r="C3" s="9" t="s">
        <x:v>8</x:v>
      </x:c>
      <x:c r="D3" s="11" t="n">
        <x:f>SUMIF(MATCH_W1!$B:$B,$B3,MATCH_W1!$F:$F)+SUMIF(MATCH_W2!$B:$B,$B3,MATCH_W2!$F:$F)+SUMIF(MATCH_W3!$B:$B,$B3,MATCH_W3!$F:$F)+SUMIF(MATCH_W4!$B:$B,$B3,MATCH_W4!$F:$F)+SUMIF(MATCH_W5!$B:$B,$B3,MATCH_W5!$F:$F)+SUMIF(MATCH_W6!$B:$B,$B3,MATCH_W6!$F:$F)</x:f>
        <x:v>345</x:v>
      </x:c>
      <x:c r="E3" s="11" t="n">
        <x:f>SUMIF(MATCH_W1!$B:$B,$B3,MATCH_W1!$G:$G)+SUMIF(MATCH_W2!$B:$B,$B3,MATCH_W2!$G:$G)+SUMIF(MATCH_W3!$B:$B,$B3,MATCH_W3!$G:$G)+SUMIF(MATCH_W4!$B:$B,$B3,MATCH_W4!$G:$G)+SUMIF(MATCH_W5!$B:$B,$B3,MATCH_W5!$G:$G)+SUMIF(MATCH_W6!$B:$B,$B3,MATCH_W6!$G:$G)</x:f>
        <x:v>137</x:v>
      </x:c>
      <x:c r="F3" s="11" t="n">
        <x:f>SUMIF(MATCH_W1!$B:$B,$B3,MATCH_W1!$H:$H)+SUMIF(MATCH_W2!$B:$B,$B3,MATCH_W2!$H:$H)+SUMIF(MATCH_W3!$B:$B,$B3,MATCH_W3!$H:$H)+SUMIF(MATCH_W4!$B:$B,$B3,MATCH_W4!$H:$H)+SUMIF(MATCH_W5!$B:$B,$B3,MATCH_W5!$H:$H)+SUMIF(MATCH_W6!$B:$B,$B3,MATCH_W6!$H:$H)</x:f>
        <x:v>111</x:v>
      </x:c>
      <x:c r="G3" s="11" t="n">
        <x:f>SUMIF(MATCH_W1!$B:$B,$B3,MATCH_W1!$I:$I)+SUMIF(MATCH_W2!$B:$B,$B3,MATCH_W2!$I:$I)+SUMIF(MATCH_W3!$B:$B,$B3,MATCH_W3!$I:$I)+SUMIF(MATCH_W4!$B:$B,$B3,MATCH_W4!$I:$I)+SUMIF(MATCH_W5!$B:$B,$B3,MATCH_W5!$I:$I)+SUMIF(MATCH_W6!$B:$B,$B3,MATCH_W6!$I:$I)</x:f>
        <x:v>229926</x:v>
      </x:c>
      <x:c r="H3" s="11" t="n">
        <x:f>SUMIF(MATCH_W1!$B:$B,$B3,MATCH_W1!$J:$J)+SUMIF(MATCH_W2!$B:$B,$B3,MATCH_W2!$J:$J)+SUMIF(MATCH_W3!$B:$B,$B3,MATCH_W3!$J:$J)+SUMIF(MATCH_W4!$B:$B,$B3,MATCH_W4!$J:$J)+SUMIF(MATCH_W5!$B:$B,$B3,MATCH_W5!$J:$J)+SUMIF(MATCH_W6!$B:$B,$B3,MATCH_W6!$J:$J)</x:f>
        <x:v>17041</x:v>
      </x:c>
      <x:c r="I3" s="11" t="n">
        <x:f>SUMIF(MATCH_W1!$B:$B,$B3,MATCH_W1!$K:$K)+SUMIF(MATCH_W2!$B:$B,$B3,MATCH_W2!$K:$K)+SUMIF(MATCH_W3!$B:$B,$B3,MATCH_W3!$K:$K)+SUMIF(MATCH_W4!$B:$B,$B3,MATCH_W4!$K:$K)+SUMIF(MATCH_W5!$B:$B,$B3,MATCH_W5!$K:$K)+SUMIF(MATCH_W6!$B:$B,$B3,MATCH_W6!$K:$K)</x:f>
        <x:v>359046</x:v>
      </x:c>
      <x:c r="J3" s="10">
        <x:f t="shared" si="0"/>
        <x:v>2.5182481751824817</x:v>
      </x:c>
      <x:c r="K3" s="12" t="n">
        <x:f>SUMIF(MATCH_W1!$B:$B,$B3,MATCH_W1!$M:$M)+SUMIF(MATCH_W2!$B:$B,$B3,MATCH_W2!$M:$M)+SUMIF(MATCH_W3!$B:$B,$B3,MATCH_W3!$M:$M)+SUMIF(MATCH_W4!$B:$B,$B3,MATCH_W4!$M:$M)+SUMIF(MATCH_W5!$B:$B,$B3,MATCH_W5!$M:$M)+SUMIF(MATCH_W6!$B:$B,$B3,MATCH_W6!$M:$M)</x:f>
        <x:v>13664</x:v>
      </x:c>
    </x:row>
    <x:row r="4">
      <x:c r="A4" s="9" t="s">
        <x:v>6</x:v>
      </x:c>
      <x:c r="B4" s="9" t="s">
        <x:v>10</x:v>
      </x:c>
      <x:c r="C4" s="9" t="s">
        <x:v>11</x:v>
      </x:c>
      <x:c r="D4" s="11" t="n">
        <x:f>SUMIF(MATCH_W1!$B:$B,$B4,MATCH_W1!$F:$F)+SUMIF(MATCH_W2!$B:$B,$B4,MATCH_W2!$F:$F)+SUMIF(MATCH_W3!$B:$B,$B4,MATCH_W3!$F:$F)+SUMIF(MATCH_W4!$B:$B,$B4,MATCH_W4!$F:$F)+SUMIF(MATCH_W5!$B:$B,$B4,MATCH_W5!$F:$F)+SUMIF(MATCH_W6!$B:$B,$B4,MATCH_W6!$F:$F)</x:f>
        <x:v>644</x:v>
      </x:c>
      <x:c r="E4" s="11" t="n">
        <x:f>SUMIF(MATCH_W1!$B:$B,$B4,MATCH_W1!$G:$G)+SUMIF(MATCH_W2!$B:$B,$B4,MATCH_W2!$G:$G)+SUMIF(MATCH_W3!$B:$B,$B4,MATCH_W3!$G:$G)+SUMIF(MATCH_W4!$B:$B,$B4,MATCH_W4!$G:$G)+SUMIF(MATCH_W5!$B:$B,$B4,MATCH_W5!$G:$G)+SUMIF(MATCH_W6!$B:$B,$B4,MATCH_W6!$G:$G)</x:f>
        <x:v>282</x:v>
      </x:c>
      <x:c r="F4" s="11" t="n">
        <x:f>SUMIF(MATCH_W1!$B:$B,$B4,MATCH_W1!$H:$H)+SUMIF(MATCH_W2!$B:$B,$B4,MATCH_W2!$H:$H)+SUMIF(MATCH_W3!$B:$B,$B4,MATCH_W3!$H:$H)+SUMIF(MATCH_W4!$B:$B,$B4,MATCH_W4!$H:$H)+SUMIF(MATCH_W5!$B:$B,$B4,MATCH_W5!$H:$H)+SUMIF(MATCH_W6!$B:$B,$B4,MATCH_W6!$H:$H)</x:f>
        <x:v>56</x:v>
      </x:c>
      <x:c r="G4" s="11" t="n">
        <x:f>SUMIF(MATCH_W1!$B:$B,$B4,MATCH_W1!$I:$I)+SUMIF(MATCH_W2!$B:$B,$B4,MATCH_W2!$I:$I)+SUMIF(MATCH_W3!$B:$B,$B4,MATCH_W3!$I:$I)+SUMIF(MATCH_W4!$B:$B,$B4,MATCH_W4!$I:$I)+SUMIF(MATCH_W5!$B:$B,$B4,MATCH_W5!$I:$I)+SUMIF(MATCH_W6!$B:$B,$B4,MATCH_W6!$I:$I)</x:f>
        <x:v>348013</x:v>
      </x:c>
      <x:c r="H4" s="11" t="n">
        <x:f>SUMIF(MATCH_W1!$B:$B,$B4,MATCH_W1!$J:$J)+SUMIF(MATCH_W2!$B:$B,$B4,MATCH_W2!$J:$J)+SUMIF(MATCH_W3!$B:$B,$B4,MATCH_W3!$J:$J)+SUMIF(MATCH_W4!$B:$B,$B4,MATCH_W4!$J:$J)+SUMIF(MATCH_W5!$B:$B,$B4,MATCH_W5!$J:$J)+SUMIF(MATCH_W6!$B:$B,$B4,MATCH_W6!$J:$J)</x:f>
        <x:v>36529</x:v>
      </x:c>
      <x:c r="I4" s="11" t="n">
        <x:f>SUMIF(MATCH_W1!$B:$B,$B4,MATCH_W1!$K:$K)+SUMIF(MATCH_W2!$B:$B,$B4,MATCH_W2!$K:$K)+SUMIF(MATCH_W3!$B:$B,$B4,MATCH_W3!$K:$K)+SUMIF(MATCH_W4!$B:$B,$B4,MATCH_W4!$K:$K)+SUMIF(MATCH_W5!$B:$B,$B4,MATCH_W5!$K:$K)+SUMIF(MATCH_W6!$B:$B,$B4,MATCH_W6!$K:$K)</x:f>
        <x:v>30147</x:v>
      </x:c>
      <x:c r="J4" s="10">
        <x:f t="shared" si="0"/>
        <x:v>2.2836879432624113</x:v>
      </x:c>
      <x:c r="K4" s="12" t="e">
        <x:f>SUMIF(MATCH_W1!$B:$B,$B4,MATCH_W1!$M:$M)+SUMIF(MATCH_W2!$B:$B,$B4,MATCH_W2!$M:$M)+SUMIF(MATCH_W3!$B:$B,$B4,MATCH_W3!$M:$M)+SUMIF(MATCH_W4!$B:$B,$B4,MATCH_W4!$M:$M)+SUMIF(MATCH_W5!$B:$B,$B4,MATCH_W5!$M:$M)+SUMIF(MATCH_W6!$B:$B,$B4,MATCH_W6!$M:$M)</x:f>
        <x:v>#VALUE!</x:v>
      </x:c>
    </x:row>
    <x:row r="5">
      <x:c r="A5" s="9" t="s">
        <x:v>6</x:v>
      </x:c>
      <x:c r="B5" s="9" t="s">
        <x:v>13</x:v>
      </x:c>
      <x:c r="C5" s="9" t="s">
        <x:v>11</x:v>
      </x:c>
      <x:c r="D5" s="11" t="n">
        <x:f>SUMIF(MATCH_W1!$B:$B,$B5,MATCH_W1!$F:$F)+SUMIF(MATCH_W2!$B:$B,$B5,MATCH_W2!$F:$F)+SUMIF(MATCH_W3!$B:$B,$B5,MATCH_W3!$F:$F)+SUMIF(MATCH_W4!$B:$B,$B5,MATCH_W4!$F:$F)+SUMIF(MATCH_W5!$B:$B,$B5,MATCH_W5!$F:$F)+SUMIF(MATCH_W6!$B:$B,$B5,MATCH_W6!$F:$F)</x:f>
        <x:v>667</x:v>
      </x:c>
      <x:c r="E5" s="11" t="n">
        <x:f>SUMIF(MATCH_W1!$B:$B,$B5,MATCH_W1!$G:$G)+SUMIF(MATCH_W2!$B:$B,$B5,MATCH_W2!$G:$G)+SUMIF(MATCH_W3!$B:$B,$B5,MATCH_W3!$G:$G)+SUMIF(MATCH_W4!$B:$B,$B5,MATCH_W4!$G:$G)+SUMIF(MATCH_W5!$B:$B,$B5,MATCH_W5!$G:$G)+SUMIF(MATCH_W6!$B:$B,$B5,MATCH_W6!$G:$G)</x:f>
        <x:v>277</x:v>
      </x:c>
      <x:c r="F5" s="11" t="n">
        <x:f>SUMIF(MATCH_W1!$B:$B,$B5,MATCH_W1!$H:$H)+SUMIF(MATCH_W2!$B:$B,$B5,MATCH_W2!$H:$H)+SUMIF(MATCH_W3!$B:$B,$B5,MATCH_W3!$H:$H)+SUMIF(MATCH_W4!$B:$B,$B5,MATCH_W4!$H:$H)+SUMIF(MATCH_W5!$B:$B,$B5,MATCH_W5!$H:$H)+SUMIF(MATCH_W6!$B:$B,$B5,MATCH_W6!$H:$H)</x:f>
        <x:v>82</x:v>
      </x:c>
      <x:c r="G5" s="11" t="n">
        <x:f>SUMIF(MATCH_W1!$B:$B,$B5,MATCH_W1!$I:$I)+SUMIF(MATCH_W2!$B:$B,$B5,MATCH_W2!$I:$I)+SUMIF(MATCH_W3!$B:$B,$B5,MATCH_W3!$I:$I)+SUMIF(MATCH_W4!$B:$B,$B5,MATCH_W4!$I:$I)+SUMIF(MATCH_W5!$B:$B,$B5,MATCH_W5!$I:$I)+SUMIF(MATCH_W6!$B:$B,$B5,MATCH_W6!$I:$I)</x:f>
        <x:v>376340</x:v>
      </x:c>
      <x:c r="H5" s="11" t="n">
        <x:f>SUMIF(MATCH_W1!$B:$B,$B5,MATCH_W1!$J:$J)+SUMIF(MATCH_W2!$B:$B,$B5,MATCH_W2!$J:$J)+SUMIF(MATCH_W3!$B:$B,$B5,MATCH_W3!$J:$J)+SUMIF(MATCH_W4!$B:$B,$B5,MATCH_W4!$J:$J)+SUMIF(MATCH_W5!$B:$B,$B5,MATCH_W5!$J:$J)+SUMIF(MATCH_W6!$B:$B,$B5,MATCH_W6!$J:$J)</x:f>
        <x:v>4474</x:v>
      </x:c>
      <x:c r="I5" s="11" t="n">
        <x:f>SUMIF(MATCH_W1!$B:$B,$B5,MATCH_W1!$K:$K)+SUMIF(MATCH_W2!$B:$B,$B5,MATCH_W2!$K:$K)+SUMIF(MATCH_W3!$B:$B,$B5,MATCH_W3!$K:$K)+SUMIF(MATCH_W4!$B:$B,$B5,MATCH_W4!$K:$K)+SUMIF(MATCH_W5!$B:$B,$B5,MATCH_W5!$K:$K)+SUMIF(MATCH_W6!$B:$B,$B5,MATCH_W6!$K:$K)</x:f>
        <x:v>18541</x:v>
      </x:c>
      <x:c r="J5" s="10">
        <x:f t="shared" si="0"/>
        <x:v>2.407942238267148</x:v>
      </x:c>
      <x:c r="K5" s="12" t="e">
        <x:f>SUMIF(MATCH_W1!$B:$B,$B5,MATCH_W1!$M:$M)+SUMIF(MATCH_W2!$B:$B,$B5,MATCH_W2!$M:$M)+SUMIF(MATCH_W3!$B:$B,$B5,MATCH_W3!$M:$M)+SUMIF(MATCH_W4!$B:$B,$B5,MATCH_W4!$M:$M)+SUMIF(MATCH_W5!$B:$B,$B5,MATCH_W5!$M:$M)+SUMIF(MATCH_W6!$B:$B,$B5,MATCH_W6!$M:$M)</x:f>
        <x:v>#VALUE!</x:v>
      </x:c>
    </x:row>
    <x:row r="6">
      <x:c r="A6" s="9" t="s">
        <x:v>6</x:v>
      </x:c>
      <x:c r="B6" s="9" t="s">
        <x:v>15</x:v>
      </x:c>
      <x:c r="C6" s="9" t="s">
        <x:v>16</x:v>
      </x:c>
      <x:c r="D6" s="11" t="n">
        <x:f>SUMIF(MATCH_W1!$B:$B,$B6,MATCH_W1!$F:$F)+SUMIF(MATCH_W2!$B:$B,$B6,MATCH_W2!$F:$F)+SUMIF(MATCH_W3!$B:$B,$B6,MATCH_W3!$F:$F)+SUMIF(MATCH_W4!$B:$B,$B6,MATCH_W4!$F:$F)+SUMIF(MATCH_W5!$B:$B,$B6,MATCH_W5!$F:$F)+SUMIF(MATCH_W6!$B:$B,$B6,MATCH_W6!$F:$F)</x:f>
        <x:v>501</x:v>
      </x:c>
      <x:c r="E6" s="11" t="n">
        <x:f>SUMIF(MATCH_W1!$B:$B,$B6,MATCH_W1!$G:$G)+SUMIF(MATCH_W2!$B:$B,$B6,MATCH_W2!$G:$G)+SUMIF(MATCH_W3!$B:$B,$B6,MATCH_W3!$G:$G)+SUMIF(MATCH_W4!$B:$B,$B6,MATCH_W4!$G:$G)+SUMIF(MATCH_W5!$B:$B,$B6,MATCH_W5!$G:$G)+SUMIF(MATCH_W6!$B:$B,$B6,MATCH_W6!$G:$G)</x:f>
        <x:v>237</x:v>
      </x:c>
      <x:c r="F6" s="11" t="n">
        <x:f>SUMIF(MATCH_W1!$B:$B,$B6,MATCH_W1!$H:$H)+SUMIF(MATCH_W2!$B:$B,$B6,MATCH_W2!$H:$H)+SUMIF(MATCH_W3!$B:$B,$B6,MATCH_W3!$H:$H)+SUMIF(MATCH_W4!$B:$B,$B6,MATCH_W4!$H:$H)+SUMIF(MATCH_W5!$B:$B,$B6,MATCH_W5!$H:$H)+SUMIF(MATCH_W6!$B:$B,$B6,MATCH_W6!$H:$H)</x:f>
        <x:v>495</x:v>
      </x:c>
      <x:c r="G6" s="11" t="n">
        <x:f>SUMIF(MATCH_W1!$B:$B,$B6,MATCH_W1!$I:$I)+SUMIF(MATCH_W2!$B:$B,$B6,MATCH_W2!$I:$I)+SUMIF(MATCH_W3!$B:$B,$B6,MATCH_W3!$I:$I)+SUMIF(MATCH_W4!$B:$B,$B6,MATCH_W4!$I:$I)+SUMIF(MATCH_W5!$B:$B,$B6,MATCH_W5!$I:$I)+SUMIF(MATCH_W6!$B:$B,$B6,MATCH_W6!$I:$I)</x:f>
        <x:v>159095</x:v>
      </x:c>
      <x:c r="H6" s="11" t="n">
        <x:f>SUMIF(MATCH_W1!$B:$B,$B6,MATCH_W1!$J:$J)+SUMIF(MATCH_W2!$B:$B,$B6,MATCH_W2!$J:$J)+SUMIF(MATCH_W3!$B:$B,$B6,MATCH_W3!$J:$J)+SUMIF(MATCH_W4!$B:$B,$B6,MATCH_W4!$J:$J)+SUMIF(MATCH_W5!$B:$B,$B6,MATCH_W5!$J:$J)+SUMIF(MATCH_W6!$B:$B,$B6,MATCH_W6!$J:$J)</x:f>
        <x:v>304149</x:v>
      </x:c>
      <x:c r="I6" s="11" t="n">
        <x:f>SUMIF(MATCH_W1!$B:$B,$B6,MATCH_W1!$K:$K)+SUMIF(MATCH_W2!$B:$B,$B6,MATCH_W2!$K:$K)+SUMIF(MATCH_W3!$B:$B,$B6,MATCH_W3!$K:$K)+SUMIF(MATCH_W4!$B:$B,$B6,MATCH_W4!$K:$K)+SUMIF(MATCH_W5!$B:$B,$B6,MATCH_W5!$K:$K)+SUMIF(MATCH_W6!$B:$B,$B6,MATCH_W6!$K:$K)</x:f>
        <x:v>38118</x:v>
      </x:c>
      <x:c r="J6" s="10">
        <x:f t="shared" si="0"/>
        <x:v>2.1139240506329116</x:v>
      </x:c>
      <x:c r="K6" s="12" t="e">
        <x:f>SUMIF(MATCH_W1!$B:$B,$B6,MATCH_W1!$M:$M)+SUMIF(MATCH_W2!$B:$B,$B6,MATCH_W2!$M:$M)+SUMIF(MATCH_W3!$B:$B,$B6,MATCH_W3!$M:$M)+SUMIF(MATCH_W4!$B:$B,$B6,MATCH_W4!$M:$M)+SUMIF(MATCH_W5!$B:$B,$B6,MATCH_W5!$M:$M)+SUMIF(MATCH_W6!$B:$B,$B6,MATCH_W6!$M:$M)</x:f>
        <x:v>#VALUE!</x:v>
      </x:c>
    </x:row>
    <x:row r="7">
      <x:c r="A7" s="9" t="s">
        <x:v>6</x:v>
      </x:c>
      <x:c r="B7" s="9" t="s">
        <x:v>18</x:v>
      </x:c>
      <x:c r="C7" s="9" t="s">
        <x:v>16</x:v>
      </x:c>
      <x:c r="D7" s="11" t="n">
        <x:f>SUMIF(MATCH_W1!$B:$B,$B7,MATCH_W1!$F:$F)+SUMIF(MATCH_W2!$B:$B,$B7,MATCH_W2!$F:$F)+SUMIF(MATCH_W3!$B:$B,$B7,MATCH_W3!$F:$F)+SUMIF(MATCH_W4!$B:$B,$B7,MATCH_W4!$F:$F)+SUMIF(MATCH_W5!$B:$B,$B7,MATCH_W5!$F:$F)+SUMIF(MATCH_W6!$B:$B,$B7,MATCH_W6!$F:$F)</x:f>
        <x:v>286</x:v>
      </x:c>
      <x:c r="E7" s="11" t="n">
        <x:f>SUMIF(MATCH_W1!$B:$B,$B7,MATCH_W1!$G:$G)+SUMIF(MATCH_W2!$B:$B,$B7,MATCH_W2!$G:$G)+SUMIF(MATCH_W3!$B:$B,$B7,MATCH_W3!$G:$G)+SUMIF(MATCH_W4!$B:$B,$B7,MATCH_W4!$G:$G)+SUMIF(MATCH_W5!$B:$B,$B7,MATCH_W5!$G:$G)+SUMIF(MATCH_W6!$B:$B,$B7,MATCH_W6!$G:$G)</x:f>
        <x:v>213</x:v>
      </x:c>
      <x:c r="F7" s="11" t="n">
        <x:f>SUMIF(MATCH_W1!$B:$B,$B7,MATCH_W1!$H:$H)+SUMIF(MATCH_W2!$B:$B,$B7,MATCH_W2!$H:$H)+SUMIF(MATCH_W3!$B:$B,$B7,MATCH_W3!$H:$H)+SUMIF(MATCH_W4!$B:$B,$B7,MATCH_W4!$H:$H)+SUMIF(MATCH_W5!$B:$B,$B7,MATCH_W5!$H:$H)+SUMIF(MATCH_W6!$B:$B,$B7,MATCH_W6!$H:$H)</x:f>
        <x:v>384</x:v>
      </x:c>
      <x:c r="G7" s="11" t="n">
        <x:f>SUMIF(MATCH_W1!$B:$B,$B7,MATCH_W1!$I:$I)+SUMIF(MATCH_W2!$B:$B,$B7,MATCH_W2!$I:$I)+SUMIF(MATCH_W3!$B:$B,$B7,MATCH_W3!$I:$I)+SUMIF(MATCH_W4!$B:$B,$B7,MATCH_W4!$I:$I)+SUMIF(MATCH_W5!$B:$B,$B7,MATCH_W5!$I:$I)+SUMIF(MATCH_W6!$B:$B,$B7,MATCH_W6!$I:$I)</x:f>
        <x:v>113684</x:v>
      </x:c>
      <x:c r="H7" s="11" t="n">
        <x:f>SUMIF(MATCH_W1!$B:$B,$B7,MATCH_W1!$J:$J)+SUMIF(MATCH_W2!$B:$B,$B7,MATCH_W2!$J:$J)+SUMIF(MATCH_W3!$B:$B,$B7,MATCH_W3!$J:$J)+SUMIF(MATCH_W4!$B:$B,$B7,MATCH_W4!$J:$J)+SUMIF(MATCH_W5!$B:$B,$B7,MATCH_W5!$J:$J)+SUMIF(MATCH_W6!$B:$B,$B7,MATCH_W6!$J:$J)</x:f>
        <x:v>300966</x:v>
      </x:c>
      <x:c r="I7" s="11" t="n">
        <x:f>SUMIF(MATCH_W1!$B:$B,$B7,MATCH_W1!$K:$K)+SUMIF(MATCH_W2!$B:$B,$B7,MATCH_W2!$K:$K)+SUMIF(MATCH_W3!$B:$B,$B7,MATCH_W3!$K:$K)+SUMIF(MATCH_W4!$B:$B,$B7,MATCH_W4!$K:$K)+SUMIF(MATCH_W5!$B:$B,$B7,MATCH_W5!$K:$K)+SUMIF(MATCH_W6!$B:$B,$B7,MATCH_W6!$K:$K)</x:f>
        <x:v>1805</x:v>
      </x:c>
      <x:c r="J7" s="10">
        <x:f t="shared" si="0"/>
        <x:v>1.3427230046948357</x:v>
      </x:c>
      <x:c r="K7" s="12" t="n">
        <x:f>SUMIF(MATCH_W1!$B:$B,$B7,MATCH_W1!$M:$M)+SUMIF(MATCH_W2!$B:$B,$B7,MATCH_W2!$M:$M)+SUMIF(MATCH_W3!$B:$B,$B7,MATCH_W3!$M:$M)+SUMIF(MATCH_W4!$B:$B,$B7,MATCH_W4!$M:$M)+SUMIF(MATCH_W5!$B:$B,$B7,MATCH_W5!$M:$M)+SUMIF(MATCH_W6!$B:$B,$B7,MATCH_W6!$M:$M)</x:f>
        <x:v>16304</x:v>
      </x:c>
    </x:row>
    <x:row r="8">
      <x:c r="A8" s="8" t="s">
        <x:v>6</x:v>
      </x:c>
      <x:c r="B8" s="9" t="s">
        <x:v>20</x:v>
      </x:c>
      <x:c r="C8" s="9" t="s">
        <x:v>16</x:v>
      </x:c>
      <x:c r="D8" s="11" t="n">
        <x:f>SUMIF(MATCH_W1!$B:$B,$B8,MATCH_W1!$F:$F)+SUMIF(MATCH_W2!$B:$B,$B8,MATCH_W2!$F:$F)+SUMIF(MATCH_W3!$B:$B,$B8,MATCH_W3!$F:$F)+SUMIF(MATCH_W4!$B:$B,$B8,MATCH_W4!$F:$F)+SUMIF(MATCH_W5!$B:$B,$B8,MATCH_W5!$F:$F)+SUMIF(MATCH_W6!$B:$B,$B8,MATCH_W6!$F:$F)</x:f>
        <x:v>150</x:v>
      </x:c>
      <x:c r="E8" s="11" t="n">
        <x:f>SUMIF(MATCH_W1!$B:$B,$B8,MATCH_W1!$G:$G)+SUMIF(MATCH_W2!$B:$B,$B8,MATCH_W2!$G:$G)+SUMIF(MATCH_W3!$B:$B,$B8,MATCH_W3!$G:$G)+SUMIF(MATCH_W4!$B:$B,$B8,MATCH_W4!$G:$G)+SUMIF(MATCH_W5!$B:$B,$B8,MATCH_W5!$G:$G)+SUMIF(MATCH_W6!$B:$B,$B8,MATCH_W6!$G:$G)</x:f>
        <x:v>78</x:v>
      </x:c>
      <x:c r="F8" s="11" t="n">
        <x:f>SUMIF(MATCH_W1!$B:$B,$B8,MATCH_W1!$H:$H)+SUMIF(MATCH_W2!$B:$B,$B8,MATCH_W2!$H:$H)+SUMIF(MATCH_W3!$B:$B,$B8,MATCH_W3!$H:$H)+SUMIF(MATCH_W4!$B:$B,$B8,MATCH_W4!$H:$H)+SUMIF(MATCH_W5!$B:$B,$B8,MATCH_W5!$H:$H)+SUMIF(MATCH_W6!$B:$B,$B8,MATCH_W6!$H:$H)</x:f>
        <x:v>253</x:v>
      </x:c>
      <x:c r="G8" s="11" t="n">
        <x:f>SUMIF(MATCH_W1!$B:$B,$B8,MATCH_W1!$I:$I)+SUMIF(MATCH_W2!$B:$B,$B8,MATCH_W2!$I:$I)+SUMIF(MATCH_W3!$B:$B,$B8,MATCH_W3!$I:$I)+SUMIF(MATCH_W4!$B:$B,$B8,MATCH_W4!$I:$I)+SUMIF(MATCH_W5!$B:$B,$B8,MATCH_W5!$I:$I)+SUMIF(MATCH_W6!$B:$B,$B8,MATCH_W6!$I:$I)</x:f>
        <x:v>66954</x:v>
      </x:c>
      <x:c r="H8" s="11" t="n">
        <x:f>SUMIF(MATCH_W1!$B:$B,$B8,MATCH_W1!$J:$J)+SUMIF(MATCH_W2!$B:$B,$B8,MATCH_W2!$J:$J)+SUMIF(MATCH_W3!$B:$B,$B8,MATCH_W3!$J:$J)+SUMIF(MATCH_W4!$B:$B,$B8,MATCH_W4!$J:$J)+SUMIF(MATCH_W5!$B:$B,$B8,MATCH_W5!$J:$J)+SUMIF(MATCH_W6!$B:$B,$B8,MATCH_W6!$J:$J)</x:f>
        <x:v>177568</x:v>
      </x:c>
      <x:c r="I8" s="11" t="n">
        <x:f>SUMIF(MATCH_W1!$B:$B,$B8,MATCH_W1!$K:$K)+SUMIF(MATCH_W2!$B:$B,$B8,MATCH_W2!$K:$K)+SUMIF(MATCH_W3!$B:$B,$B8,MATCH_W3!$K:$K)+SUMIF(MATCH_W4!$B:$B,$B8,MATCH_W4!$K:$K)+SUMIF(MATCH_W5!$B:$B,$B8,MATCH_W5!$K:$K)+SUMIF(MATCH_W6!$B:$B,$B8,MATCH_W6!$K:$K)</x:f>
        <x:v>0</x:v>
      </x:c>
      <x:c r="J8" s="10">
        <x:f t="shared" si="0"/>
        <x:v>1.9230769230769231</x:v>
      </x:c>
      <x:c r="K8" s="12" t="n">
        <x:f>SUMIF(MATCH_W1!$B:$B,$B8,MATCH_W1!$M:$M)+SUMIF(MATCH_W2!$B:$B,$B8,MATCH_W2!$M:$M)+SUMIF(MATCH_W3!$B:$B,$B8,MATCH_W3!$M:$M)+SUMIF(MATCH_W4!$B:$B,$B8,MATCH_W4!$M:$M)+SUMIF(MATCH_W5!$B:$B,$B8,MATCH_W5!$M:$M)+SUMIF(MATCH_W6!$B:$B,$B8,MATCH_W6!$M:$M)</x:f>
        <x:v>8130</x:v>
      </x:c>
    </x:row>
    <x:row r="9">
      <x:c r="A9" s="8" t="s">
        <x:v>22</x:v>
      </x:c>
      <x:c r="B9" s="8" t="s">
        <x:v>23</x:v>
      </x:c>
      <x:c r="C9" s="8" t="s">
        <x:v>8</x:v>
      </x:c>
      <x:c r="D9" s="11" t="n">
        <x:f>SUMIF(MATCH_W1!$B:$B,$B9,MATCH_W1!$F:$F)+SUMIF(MATCH_W2!$B:$B,$B9,MATCH_W2!$F:$F)+SUMIF(MATCH_W3!$B:$B,$B9,MATCH_W3!$F:$F)+SUMIF(MATCH_W4!$B:$B,$B9,MATCH_W4!$F:$F)+SUMIF(MATCH_W5!$B:$B,$B9,MATCH_W5!$F:$F)+SUMIF(MATCH_W6!$B:$B,$B9,MATCH_W6!$F:$F)</x:f>
        <x:v>146</x:v>
      </x:c>
      <x:c r="E9" s="11" t="n">
        <x:f>SUMIF(MATCH_W1!$B:$B,$B9,MATCH_W1!$G:$G)+SUMIF(MATCH_W2!$B:$B,$B9,MATCH_W2!$G:$G)+SUMIF(MATCH_W3!$B:$B,$B9,MATCH_W3!$G:$G)+SUMIF(MATCH_W4!$B:$B,$B9,MATCH_W4!$G:$G)+SUMIF(MATCH_W5!$B:$B,$B9,MATCH_W5!$G:$G)+SUMIF(MATCH_W6!$B:$B,$B9,MATCH_W6!$G:$G)</x:f>
        <x:v>62</x:v>
      </x:c>
      <x:c r="F9" s="11" t="n">
        <x:f>SUMIF(MATCH_W1!$B:$B,$B9,MATCH_W1!$H:$H)+SUMIF(MATCH_W2!$B:$B,$B9,MATCH_W2!$H:$H)+SUMIF(MATCH_W3!$B:$B,$B9,MATCH_W3!$H:$H)+SUMIF(MATCH_W4!$B:$B,$B9,MATCH_W4!$H:$H)+SUMIF(MATCH_W5!$B:$B,$B9,MATCH_W5!$H:$H)+SUMIF(MATCH_W6!$B:$B,$B9,MATCH_W6!$H:$H)</x:f>
        <x:v>47</x:v>
      </x:c>
      <x:c r="G9" s="11" t="n">
        <x:f>SUMIF(MATCH_W1!$B:$B,$B9,MATCH_W1!$I:$I)+SUMIF(MATCH_W2!$B:$B,$B9,MATCH_W2!$I:$I)+SUMIF(MATCH_W3!$B:$B,$B9,MATCH_W3!$I:$I)+SUMIF(MATCH_W4!$B:$B,$B9,MATCH_W4!$I:$I)+SUMIF(MATCH_W5!$B:$B,$B9,MATCH_W5!$I:$I)+SUMIF(MATCH_W6!$B:$B,$B9,MATCH_W6!$I:$I)</x:f>
        <x:v>100383</x:v>
      </x:c>
      <x:c r="H9" s="11" t="n">
        <x:f>SUMIF(MATCH_W1!$B:$B,$B9,MATCH_W1!$J:$J)+SUMIF(MATCH_W2!$B:$B,$B9,MATCH_W2!$J:$J)+SUMIF(MATCH_W3!$B:$B,$B9,MATCH_W3!$J:$J)+SUMIF(MATCH_W4!$B:$B,$B9,MATCH_W4!$J:$J)+SUMIF(MATCH_W5!$B:$B,$B9,MATCH_W5!$J:$J)+SUMIF(MATCH_W6!$B:$B,$B9,MATCH_W6!$J:$J)</x:f>
        <x:v>8288</x:v>
      </x:c>
      <x:c r="I9" s="11" t="n">
        <x:f>SUMIF(MATCH_W1!$B:$B,$B9,MATCH_W1!$K:$K)+SUMIF(MATCH_W2!$B:$B,$B9,MATCH_W2!$K:$K)+SUMIF(MATCH_W3!$B:$B,$B9,MATCH_W3!$K:$K)+SUMIF(MATCH_W4!$B:$B,$B9,MATCH_W4!$K:$K)+SUMIF(MATCH_W5!$B:$B,$B9,MATCH_W5!$K:$K)+SUMIF(MATCH_W6!$B:$B,$B9,MATCH_W6!$K:$K)</x:f>
        <x:v>157453</x:v>
      </x:c>
      <x:c r="J9" s="10">
        <x:f t="shared" si="0"/>
        <x:v>2.3548387096774195</x:v>
      </x:c>
      <x:c r="K9" s="12" t="n">
        <x:f>SUMIF(MATCH_W1!$B:$B,$B9,MATCH_W1!$M:$M)+SUMIF(MATCH_W2!$B:$B,$B9,MATCH_W2!$M:$M)+SUMIF(MATCH_W3!$B:$B,$B9,MATCH_W3!$M:$M)+SUMIF(MATCH_W4!$B:$B,$B9,MATCH_W4!$M:$M)+SUMIF(MATCH_W5!$B:$B,$B9,MATCH_W5!$M:$M)+SUMIF(MATCH_W6!$B:$B,$B9,MATCH_W6!$M:$M)</x:f>
        <x:v>6694</x:v>
      </x:c>
    </x:row>
    <x:row r="10">
      <x:c r="A10" s="8" t="s">
        <x:v>22</x:v>
      </x:c>
      <x:c r="B10" s="8" t="s">
        <x:v>24</x:v>
      </x:c>
      <x:c r="C10" s="8" t="s">
        <x:v>8</x:v>
      </x:c>
      <x:c r="D10" s="11" t="n">
        <x:f>SUMIF(MATCH_W1!$B:$B,$B10,MATCH_W1!$F:$F)+SUMIF(MATCH_W2!$B:$B,$B10,MATCH_W2!$F:$F)+SUMIF(MATCH_W3!$B:$B,$B10,MATCH_W3!$F:$F)+SUMIF(MATCH_W4!$B:$B,$B10,MATCH_W4!$F:$F)+SUMIF(MATCH_W5!$B:$B,$B10,MATCH_W5!$F:$F)+SUMIF(MATCH_W6!$B:$B,$B10,MATCH_W6!$F:$F)</x:f>
        <x:v>720</x:v>
      </x:c>
      <x:c r="E10" s="11" t="n">
        <x:f>SUMIF(MATCH_W1!$B:$B,$B10,MATCH_W1!$G:$G)+SUMIF(MATCH_W2!$B:$B,$B10,MATCH_W2!$G:$G)+SUMIF(MATCH_W3!$B:$B,$B10,MATCH_W3!$G:$G)+SUMIF(MATCH_W4!$B:$B,$B10,MATCH_W4!$G:$G)+SUMIF(MATCH_W5!$B:$B,$B10,MATCH_W5!$G:$G)+SUMIF(MATCH_W6!$B:$B,$B10,MATCH_W6!$G:$G)</x:f>
        <x:v>260</x:v>
      </x:c>
      <x:c r="F10" s="11" t="n">
        <x:f>SUMIF(MATCH_W1!$B:$B,$B10,MATCH_W1!$H:$H)+SUMIF(MATCH_W2!$B:$B,$B10,MATCH_W2!$H:$H)+SUMIF(MATCH_W3!$B:$B,$B10,MATCH_W3!$H:$H)+SUMIF(MATCH_W4!$B:$B,$B10,MATCH_W4!$H:$H)+SUMIF(MATCH_W5!$B:$B,$B10,MATCH_W5!$H:$H)+SUMIF(MATCH_W6!$B:$B,$B10,MATCH_W6!$H:$H)</x:f>
        <x:v>364</x:v>
      </x:c>
      <x:c r="G10" s="11" t="n">
        <x:f>SUMIF(MATCH_W1!$B:$B,$B10,MATCH_W1!$I:$I)+SUMIF(MATCH_W2!$B:$B,$B10,MATCH_W2!$I:$I)+SUMIF(MATCH_W3!$B:$B,$B10,MATCH_W3!$I:$I)+SUMIF(MATCH_W4!$B:$B,$B10,MATCH_W4!$I:$I)+SUMIF(MATCH_W5!$B:$B,$B10,MATCH_W5!$I:$I)+SUMIF(MATCH_W6!$B:$B,$B10,MATCH_W6!$I:$I)</x:f>
        <x:v>450128</x:v>
      </x:c>
      <x:c r="H10" s="11" t="n">
        <x:f>SUMIF(MATCH_W1!$B:$B,$B10,MATCH_W1!$J:$J)+SUMIF(MATCH_W2!$B:$B,$B10,MATCH_W2!$J:$J)+SUMIF(MATCH_W3!$B:$B,$B10,MATCH_W3!$J:$J)+SUMIF(MATCH_W4!$B:$B,$B10,MATCH_W4!$J:$J)+SUMIF(MATCH_W5!$B:$B,$B10,MATCH_W5!$J:$J)+SUMIF(MATCH_W6!$B:$B,$B10,MATCH_W6!$J:$J)</x:f>
        <x:v>79489</x:v>
      </x:c>
      <x:c r="I10" s="11" t="n">
        <x:f>SUMIF(MATCH_W1!$B:$B,$B10,MATCH_W1!$K:$K)+SUMIF(MATCH_W2!$B:$B,$B10,MATCH_W2!$K:$K)+SUMIF(MATCH_W3!$B:$B,$B10,MATCH_W3!$K:$K)+SUMIF(MATCH_W4!$B:$B,$B10,MATCH_W4!$K:$K)+SUMIF(MATCH_W5!$B:$B,$B10,MATCH_W5!$K:$K)+SUMIF(MATCH_W6!$B:$B,$B10,MATCH_W6!$K:$K)</x:f>
        <x:v>420194</x:v>
      </x:c>
      <x:c r="J10" s="10">
        <x:f t="shared" si="0"/>
        <x:v>2.7692307692307692</x:v>
      </x:c>
      <x:c r="K10" s="12" t="n">
        <x:f>SUMIF(MATCH_W1!$B:$B,$B10,MATCH_W1!$M:$M)+SUMIF(MATCH_W2!$B:$B,$B10,MATCH_W2!$M:$M)+SUMIF(MATCH_W3!$B:$B,$B10,MATCH_W3!$M:$M)+SUMIF(MATCH_W4!$B:$B,$B10,MATCH_W4!$M:$M)+SUMIF(MATCH_W5!$B:$B,$B10,MATCH_W5!$M:$M)+SUMIF(MATCH_W6!$B:$B,$B10,MATCH_W6!$M:$M)</x:f>
        <x:v>24508</x:v>
      </x:c>
    </x:row>
    <x:row r="11">
      <x:c r="A11" s="8" t="s">
        <x:v>22</x:v>
      </x:c>
      <x:c r="B11" s="8" t="s">
        <x:v>25</x:v>
      </x:c>
      <x:c r="C11" s="8" t="s">
        <x:v>11</x:v>
      </x:c>
      <x:c r="D11" s="11" t="n">
        <x:f>SUMIF(MATCH_W1!$B:$B,$B11,MATCH_W1!$F:$F)+SUMIF(MATCH_W2!$B:$B,$B11,MATCH_W2!$F:$F)+SUMIF(MATCH_W3!$B:$B,$B11,MATCH_W3!$F:$F)+SUMIF(MATCH_W4!$B:$B,$B11,MATCH_W4!$F:$F)+SUMIF(MATCH_W5!$B:$B,$B11,MATCH_W5!$F:$F)+SUMIF(MATCH_W6!$B:$B,$B11,MATCH_W6!$F:$F)</x:f>
        <x:v>864</x:v>
      </x:c>
      <x:c r="E11" s="11" t="n">
        <x:f>SUMIF(MATCH_W1!$B:$B,$B11,MATCH_W1!$G:$G)+SUMIF(MATCH_W2!$B:$B,$B11,MATCH_W2!$G:$G)+SUMIF(MATCH_W3!$B:$B,$B11,MATCH_W3!$G:$G)+SUMIF(MATCH_W4!$B:$B,$B11,MATCH_W4!$G:$G)+SUMIF(MATCH_W5!$B:$B,$B11,MATCH_W5!$G:$G)+SUMIF(MATCH_W6!$B:$B,$B11,MATCH_W6!$G:$G)</x:f>
        <x:v>360</x:v>
      </x:c>
      <x:c r="F11" s="11" t="n">
        <x:f>SUMIF(MATCH_W1!$B:$B,$B11,MATCH_W1!$H:$H)+SUMIF(MATCH_W2!$B:$B,$B11,MATCH_W2!$H:$H)+SUMIF(MATCH_W3!$B:$B,$B11,MATCH_W3!$H:$H)+SUMIF(MATCH_W4!$B:$B,$B11,MATCH_W4!$H:$H)+SUMIF(MATCH_W5!$B:$B,$B11,MATCH_W5!$H:$H)+SUMIF(MATCH_W6!$B:$B,$B11,MATCH_W6!$H:$H)</x:f>
        <x:v>151</x:v>
      </x:c>
      <x:c r="G11" s="11" t="n">
        <x:f>SUMIF(MATCH_W1!$B:$B,$B11,MATCH_W1!$I:$I)+SUMIF(MATCH_W2!$B:$B,$B11,MATCH_W2!$I:$I)+SUMIF(MATCH_W3!$B:$B,$B11,MATCH_W3!$I:$I)+SUMIF(MATCH_W4!$B:$B,$B11,MATCH_W4!$I:$I)+SUMIF(MATCH_W5!$B:$B,$B11,MATCH_W5!$I:$I)+SUMIF(MATCH_W6!$B:$B,$B11,MATCH_W6!$I:$I)</x:f>
        <x:v>448453</x:v>
      </x:c>
      <x:c r="H11" s="11" t="n">
        <x:f>SUMIF(MATCH_W1!$B:$B,$B11,MATCH_W1!$J:$J)+SUMIF(MATCH_W2!$B:$B,$B11,MATCH_W2!$J:$J)+SUMIF(MATCH_W3!$B:$B,$B11,MATCH_W3!$J:$J)+SUMIF(MATCH_W4!$B:$B,$B11,MATCH_W4!$J:$J)+SUMIF(MATCH_W5!$B:$B,$B11,MATCH_W5!$J:$J)+SUMIF(MATCH_W6!$B:$B,$B11,MATCH_W6!$J:$J)</x:f>
        <x:v>37173</x:v>
      </x:c>
      <x:c r="I11" s="11" t="n">
        <x:f>SUMIF(MATCH_W1!$B:$B,$B11,MATCH_W1!$K:$K)+SUMIF(MATCH_W2!$B:$B,$B11,MATCH_W2!$K:$K)+SUMIF(MATCH_W3!$B:$B,$B11,MATCH_W3!$K:$K)+SUMIF(MATCH_W4!$B:$B,$B11,MATCH_W4!$K:$K)+SUMIF(MATCH_W5!$B:$B,$B11,MATCH_W5!$K:$K)+SUMIF(MATCH_W6!$B:$B,$B11,MATCH_W6!$K:$K)</x:f>
        <x:v>115626</x:v>
      </x:c>
      <x:c r="J11" s="10">
        <x:f t="shared" si="0"/>
        <x:v>2.4</x:v>
      </x:c>
      <x:c r="K11" s="12" t="e">
        <x:f>SUMIF(MATCH_W1!$B:$B,$B11,MATCH_W1!$M:$M)+SUMIF(MATCH_W2!$B:$B,$B11,MATCH_W2!$M:$M)+SUMIF(MATCH_W3!$B:$B,$B11,MATCH_W3!$M:$M)+SUMIF(MATCH_W4!$B:$B,$B11,MATCH_W4!$M:$M)+SUMIF(MATCH_W5!$B:$B,$B11,MATCH_W5!$M:$M)+SUMIF(MATCH_W6!$B:$B,$B11,MATCH_W6!$M:$M)</x:f>
        <x:v>#VALUE!</x:v>
      </x:c>
    </x:row>
    <x:row r="12">
      <x:c r="A12" s="8" t="s">
        <x:v>22</x:v>
      </x:c>
      <x:c r="B12" s="8" t="s">
        <x:v>26</x:v>
      </x:c>
      <x:c r="C12" s="8" t="s">
        <x:v>11</x:v>
      </x:c>
      <x:c r="D12" s="11" t="n">
        <x:f>SUMIF(MATCH_W1!$B:$B,$B12,MATCH_W1!$F:$F)+SUMIF(MATCH_W2!$B:$B,$B12,MATCH_W2!$F:$F)+SUMIF(MATCH_W3!$B:$B,$B12,MATCH_W3!$F:$F)+SUMIF(MATCH_W4!$B:$B,$B12,MATCH_W4!$F:$F)+SUMIF(MATCH_W5!$B:$B,$B12,MATCH_W5!$F:$F)+SUMIF(MATCH_W6!$B:$B,$B12,MATCH_W6!$F:$F)</x:f>
        <x:v>311</x:v>
      </x:c>
      <x:c r="E12" s="11" t="n">
        <x:f>SUMIF(MATCH_W1!$B:$B,$B12,MATCH_W1!$G:$G)+SUMIF(MATCH_W2!$B:$B,$B12,MATCH_W2!$G:$G)+SUMIF(MATCH_W3!$B:$B,$B12,MATCH_W3!$G:$G)+SUMIF(MATCH_W4!$B:$B,$B12,MATCH_W4!$G:$G)+SUMIF(MATCH_W5!$B:$B,$B12,MATCH_W5!$G:$G)+SUMIF(MATCH_W6!$B:$B,$B12,MATCH_W6!$G:$G)</x:f>
        <x:v>153</x:v>
      </x:c>
      <x:c r="F12" s="11" t="n">
        <x:f>SUMIF(MATCH_W1!$B:$B,$B12,MATCH_W1!$H:$H)+SUMIF(MATCH_W2!$B:$B,$B12,MATCH_W2!$H:$H)+SUMIF(MATCH_W3!$B:$B,$B12,MATCH_W3!$H:$H)+SUMIF(MATCH_W4!$B:$B,$B12,MATCH_W4!$H:$H)+SUMIF(MATCH_W5!$B:$B,$B12,MATCH_W5!$H:$H)+SUMIF(MATCH_W6!$B:$B,$B12,MATCH_W6!$H:$H)</x:f>
        <x:v>19</x:v>
      </x:c>
      <x:c r="G12" s="11" t="n">
        <x:f>SUMIF(MATCH_W1!$B:$B,$B12,MATCH_W1!$I:$I)+SUMIF(MATCH_W2!$B:$B,$B12,MATCH_W2!$I:$I)+SUMIF(MATCH_W3!$B:$B,$B12,MATCH_W3!$I:$I)+SUMIF(MATCH_W4!$B:$B,$B12,MATCH_W4!$I:$I)+SUMIF(MATCH_W5!$B:$B,$B12,MATCH_W5!$I:$I)+SUMIF(MATCH_W6!$B:$B,$B12,MATCH_W6!$I:$I)</x:f>
        <x:v>207920</x:v>
      </x:c>
      <x:c r="H12" s="11" t="n">
        <x:f>SUMIF(MATCH_W1!$B:$B,$B12,MATCH_W1!$J:$J)+SUMIF(MATCH_W2!$B:$B,$B12,MATCH_W2!$J:$J)+SUMIF(MATCH_W3!$B:$B,$B12,MATCH_W3!$J:$J)+SUMIF(MATCH_W4!$B:$B,$B12,MATCH_W4!$J:$J)+SUMIF(MATCH_W5!$B:$B,$B12,MATCH_W5!$J:$J)+SUMIF(MATCH_W6!$B:$B,$B12,MATCH_W6!$J:$J)</x:f>
        <x:v>1263</x:v>
      </x:c>
      <x:c r="I12" s="11" t="n">
        <x:f>SUMIF(MATCH_W1!$B:$B,$B12,MATCH_W1!$K:$K)+SUMIF(MATCH_W2!$B:$B,$B12,MATCH_W2!$K:$K)+SUMIF(MATCH_W3!$B:$B,$B12,MATCH_W3!$K:$K)+SUMIF(MATCH_W4!$B:$B,$B12,MATCH_W4!$K:$K)+SUMIF(MATCH_W5!$B:$B,$B12,MATCH_W5!$K:$K)+SUMIF(MATCH_W6!$B:$B,$B12,MATCH_W6!$K:$K)</x:f>
        <x:v>6848</x:v>
      </x:c>
      <x:c r="J12" s="10">
        <x:f t="shared" si="0"/>
        <x:v>2.0326797385620914</x:v>
      </x:c>
      <x:c r="K12" s="12" t="n">
        <x:f>SUMIF(MATCH_W1!$B:$B,$B12,MATCH_W1!$M:$M)+SUMIF(MATCH_W2!$B:$B,$B12,MATCH_W2!$M:$M)+SUMIF(MATCH_W3!$B:$B,$B12,MATCH_W3!$M:$M)+SUMIF(MATCH_W4!$B:$B,$B12,MATCH_W4!$M:$M)+SUMIF(MATCH_W5!$B:$B,$B12,MATCH_W5!$M:$M)+SUMIF(MATCH_W6!$B:$B,$B12,MATCH_W6!$M:$M)</x:f>
        <x:v>12584</x:v>
      </x:c>
    </x:row>
    <x:row r="13">
      <x:c r="A13" s="8" t="s">
        <x:v>22</x:v>
      </x:c>
      <x:c r="B13" s="8" t="s">
        <x:v>27</x:v>
      </x:c>
      <x:c r="C13" s="8" t="s">
        <x:v>11</x:v>
      </x:c>
      <x:c r="D13" s="11" t="n">
        <x:f>SUMIF(MATCH_W1!$B:$B,$B13,MATCH_W1!$F:$F)+SUMIF(MATCH_W2!$B:$B,$B13,MATCH_W2!$F:$F)+SUMIF(MATCH_W3!$B:$B,$B13,MATCH_W3!$F:$F)+SUMIF(MATCH_W4!$B:$B,$B13,MATCH_W4!$F:$F)+SUMIF(MATCH_W5!$B:$B,$B13,MATCH_W5!$F:$F)+SUMIF(MATCH_W6!$B:$B,$B13,MATCH_W6!$F:$F)</x:f>
        <x:v>594</x:v>
      </x:c>
      <x:c r="E13" s="11" t="n">
        <x:f>SUMIF(MATCH_W1!$B:$B,$B13,MATCH_W1!$G:$G)+SUMIF(MATCH_W2!$B:$B,$B13,MATCH_W2!$G:$G)+SUMIF(MATCH_W3!$B:$B,$B13,MATCH_W3!$G:$G)+SUMIF(MATCH_W4!$B:$B,$B13,MATCH_W4!$G:$G)+SUMIF(MATCH_W5!$B:$B,$B13,MATCH_W5!$G:$G)+SUMIF(MATCH_W6!$B:$B,$B13,MATCH_W6!$G:$G)</x:f>
        <x:v>196</x:v>
      </x:c>
      <x:c r="F13" s="11" t="n">
        <x:f>SUMIF(MATCH_W1!$B:$B,$B13,MATCH_W1!$H:$H)+SUMIF(MATCH_W2!$B:$B,$B13,MATCH_W2!$H:$H)+SUMIF(MATCH_W3!$B:$B,$B13,MATCH_W3!$H:$H)+SUMIF(MATCH_W4!$B:$B,$B13,MATCH_W4!$H:$H)+SUMIF(MATCH_W5!$B:$B,$B13,MATCH_W5!$H:$H)+SUMIF(MATCH_W6!$B:$B,$B13,MATCH_W6!$H:$H)</x:f>
        <x:v>60</x:v>
      </x:c>
      <x:c r="G13" s="11" t="n">
        <x:f>SUMIF(MATCH_W1!$B:$B,$B13,MATCH_W1!$I:$I)+SUMIF(MATCH_W2!$B:$B,$B13,MATCH_W2!$I:$I)+SUMIF(MATCH_W3!$B:$B,$B13,MATCH_W3!$I:$I)+SUMIF(MATCH_W4!$B:$B,$B13,MATCH_W4!$I:$I)+SUMIF(MATCH_W5!$B:$B,$B13,MATCH_W5!$I:$I)+SUMIF(MATCH_W6!$B:$B,$B13,MATCH_W6!$I:$I)</x:f>
        <x:v>345229</x:v>
      </x:c>
      <x:c r="H13" s="11" t="n">
        <x:f>SUMIF(MATCH_W1!$B:$B,$B13,MATCH_W1!$J:$J)+SUMIF(MATCH_W2!$B:$B,$B13,MATCH_W2!$J:$J)+SUMIF(MATCH_W3!$B:$B,$B13,MATCH_W3!$J:$J)+SUMIF(MATCH_W4!$B:$B,$B13,MATCH_W4!$J:$J)+SUMIF(MATCH_W5!$B:$B,$B13,MATCH_W5!$J:$J)+SUMIF(MATCH_W6!$B:$B,$B13,MATCH_W6!$J:$J)</x:f>
        <x:v>2982</x:v>
      </x:c>
      <x:c r="I13" s="11" t="n">
        <x:f>SUMIF(MATCH_W1!$B:$B,$B13,MATCH_W1!$K:$K)+SUMIF(MATCH_W2!$B:$B,$B13,MATCH_W2!$K:$K)+SUMIF(MATCH_W3!$B:$B,$B13,MATCH_W3!$K:$K)+SUMIF(MATCH_W4!$B:$B,$B13,MATCH_W4!$K:$K)+SUMIF(MATCH_W5!$B:$B,$B13,MATCH_W5!$K:$K)+SUMIF(MATCH_W6!$B:$B,$B13,MATCH_W6!$K:$K)</x:f>
        <x:v>13221</x:v>
      </x:c>
      <x:c r="J13" s="10">
        <x:f t="shared" si="0"/>
        <x:v>3.0306122448979593</x:v>
      </x:c>
      <x:c r="K13" s="12" t="n">
        <x:f>SUMIF(MATCH_W1!$B:$B,$B13,MATCH_W1!$M:$M)+SUMIF(MATCH_W2!$B:$B,$B13,MATCH_W2!$M:$M)+SUMIF(MATCH_W3!$B:$B,$B13,MATCH_W3!$M:$M)+SUMIF(MATCH_W4!$B:$B,$B13,MATCH_W4!$M:$M)+SUMIF(MATCH_W5!$B:$B,$B13,MATCH_W5!$M:$M)+SUMIF(MATCH_W6!$B:$B,$B13,MATCH_W6!$M:$M)</x:f>
        <x:v>18618</x:v>
      </x:c>
    </x:row>
    <x:row r="14">
      <x:c r="A14" s="8" t="s">
        <x:v>22</x:v>
      </x:c>
      <x:c r="B14" s="8" t="s">
        <x:v>28</x:v>
      </x:c>
      <x:c r="C14" s="8" t="s">
        <x:v>16</x:v>
      </x:c>
      <x:c r="D14" s="11" t="n">
        <x:f>SUMIF(MATCH_W1!$B:$B,$B14,MATCH_W1!$F:$F)+SUMIF(MATCH_W2!$B:$B,$B14,MATCH_W2!$F:$F)+SUMIF(MATCH_W3!$B:$B,$B14,MATCH_W3!$F:$F)+SUMIF(MATCH_W4!$B:$B,$B14,MATCH_W4!$F:$F)+SUMIF(MATCH_W5!$B:$B,$B14,MATCH_W5!$F:$F)+SUMIF(MATCH_W6!$B:$B,$B14,MATCH_W6!$F:$F)</x:f>
        <x:v>619</x:v>
      </x:c>
      <x:c r="E14" s="11" t="n">
        <x:f>SUMIF(MATCH_W1!$B:$B,$B14,MATCH_W1!$G:$G)+SUMIF(MATCH_W2!$B:$B,$B14,MATCH_W2!$G:$G)+SUMIF(MATCH_W3!$B:$B,$B14,MATCH_W3!$G:$G)+SUMIF(MATCH_W4!$B:$B,$B14,MATCH_W4!$G:$G)+SUMIF(MATCH_W5!$B:$B,$B14,MATCH_W5!$G:$G)+SUMIF(MATCH_W6!$B:$B,$B14,MATCH_W6!$G:$G)</x:f>
        <x:v>337</x:v>
      </x:c>
      <x:c r="F14" s="11" t="n">
        <x:f>SUMIF(MATCH_W1!$B:$B,$B14,MATCH_W1!$H:$H)+SUMIF(MATCH_W2!$B:$B,$B14,MATCH_W2!$H:$H)+SUMIF(MATCH_W3!$B:$B,$B14,MATCH_W3!$H:$H)+SUMIF(MATCH_W4!$B:$B,$B14,MATCH_W4!$H:$H)+SUMIF(MATCH_W5!$B:$B,$B14,MATCH_W5!$H:$H)+SUMIF(MATCH_W6!$B:$B,$B14,MATCH_W6!$H:$H)</x:f>
        <x:v>675</x:v>
      </x:c>
      <x:c r="G14" s="11" t="n">
        <x:f>SUMIF(MATCH_W1!$B:$B,$B14,MATCH_W1!$I:$I)+SUMIF(MATCH_W2!$B:$B,$B14,MATCH_W2!$I:$I)+SUMIF(MATCH_W3!$B:$B,$B14,MATCH_W3!$I:$I)+SUMIF(MATCH_W4!$B:$B,$B14,MATCH_W4!$I:$I)+SUMIF(MATCH_W5!$B:$B,$B14,MATCH_W5!$I:$I)+SUMIF(MATCH_W6!$B:$B,$B14,MATCH_W6!$I:$I)</x:f>
        <x:v>197435</x:v>
      </x:c>
      <x:c r="H14" s="11" t="n">
        <x:f>SUMIF(MATCH_W1!$B:$B,$B14,MATCH_W1!$J:$J)+SUMIF(MATCH_W2!$B:$B,$B14,MATCH_W2!$J:$J)+SUMIF(MATCH_W3!$B:$B,$B14,MATCH_W3!$J:$J)+SUMIF(MATCH_W4!$B:$B,$B14,MATCH_W4!$J:$J)+SUMIF(MATCH_W5!$B:$B,$B14,MATCH_W5!$J:$J)+SUMIF(MATCH_W6!$B:$B,$B14,MATCH_W6!$J:$J)</x:f>
        <x:v>411062</x:v>
      </x:c>
      <x:c r="I14" s="11" t="n">
        <x:f>SUMIF(MATCH_W1!$B:$B,$B14,MATCH_W1!$K:$K)+SUMIF(MATCH_W2!$B:$B,$B14,MATCH_W2!$K:$K)+SUMIF(MATCH_W3!$B:$B,$B14,MATCH_W3!$K:$K)+SUMIF(MATCH_W4!$B:$B,$B14,MATCH_W4!$K:$K)+SUMIF(MATCH_W5!$B:$B,$B14,MATCH_W5!$K:$K)+SUMIF(MATCH_W6!$B:$B,$B14,MATCH_W6!$K:$K)</x:f>
        <x:v>71741</x:v>
      </x:c>
      <x:c r="J14" s="10">
        <x:f t="shared" si="0"/>
        <x:v>1.8367952522255193</x:v>
      </x:c>
      <x:c r="K14" s="12" t="n">
        <x:f>SUMIF(MATCH_W1!$B:$B,$B14,MATCH_W1!$M:$M)+SUMIF(MATCH_W2!$B:$B,$B14,MATCH_W2!$M:$M)+SUMIF(MATCH_W3!$B:$B,$B14,MATCH_W3!$M:$M)+SUMIF(MATCH_W4!$B:$B,$B14,MATCH_W4!$M:$M)+SUMIF(MATCH_W5!$B:$B,$B14,MATCH_W5!$M:$M)+SUMIF(MATCH_W6!$B:$B,$B14,MATCH_W6!$M:$M)</x:f>
        <x:v>31202</x:v>
      </x:c>
    </x:row>
    <x:row r="15">
      <x:c r="A15" s="8" t="s">
        <x:v>22</x:v>
      </x:c>
      <x:c r="B15" s="8" t="s">
        <x:v>29</x:v>
      </x:c>
      <x:c r="C15" s="8" t="s">
        <x:v>16</x:v>
      </x:c>
      <x:c r="D15" s="11" t="n">
        <x:f>SUMIF(MATCH_W1!$B:$B,$B15,MATCH_W1!$F:$F)+SUMIF(MATCH_W2!$B:$B,$B15,MATCH_W2!$F:$F)+SUMIF(MATCH_W3!$B:$B,$B15,MATCH_W3!$F:$F)+SUMIF(MATCH_W4!$B:$B,$B15,MATCH_W4!$F:$F)+SUMIF(MATCH_W5!$B:$B,$B15,MATCH_W5!$F:$F)+SUMIF(MATCH_W6!$B:$B,$B15,MATCH_W6!$F:$F)</x:f>
        <x:v>567</x:v>
      </x:c>
      <x:c r="E15" s="11" t="n">
        <x:f>SUMIF(MATCH_W1!$B:$B,$B15,MATCH_W1!$G:$G)+SUMIF(MATCH_W2!$B:$B,$B15,MATCH_W2!$G:$G)+SUMIF(MATCH_W3!$B:$B,$B15,MATCH_W3!$G:$G)+SUMIF(MATCH_W4!$B:$B,$B15,MATCH_W4!$G:$G)+SUMIF(MATCH_W5!$B:$B,$B15,MATCH_W5!$G:$G)+SUMIF(MATCH_W6!$B:$B,$B15,MATCH_W6!$G:$G)</x:f>
        <x:v>293</x:v>
      </x:c>
      <x:c r="F15" s="11" t="n">
        <x:f>SUMIF(MATCH_W1!$B:$B,$B15,MATCH_W1!$H:$H)+SUMIF(MATCH_W2!$B:$B,$B15,MATCH_W2!$H:$H)+SUMIF(MATCH_W3!$B:$B,$B15,MATCH_W3!$H:$H)+SUMIF(MATCH_W4!$B:$B,$B15,MATCH_W4!$H:$H)+SUMIF(MATCH_W5!$B:$B,$B15,MATCH_W5!$H:$H)+SUMIF(MATCH_W6!$B:$B,$B15,MATCH_W6!$H:$H)</x:f>
        <x:v>893</x:v>
      </x:c>
      <x:c r="G15" s="11" t="n">
        <x:f>SUMIF(MATCH_W1!$B:$B,$B15,MATCH_W1!$I:$I)+SUMIF(MATCH_W2!$B:$B,$B15,MATCH_W2!$I:$I)+SUMIF(MATCH_W3!$B:$B,$B15,MATCH_W3!$I:$I)+SUMIF(MATCH_W4!$B:$B,$B15,MATCH_W4!$I:$I)+SUMIF(MATCH_W5!$B:$B,$B15,MATCH_W5!$I:$I)+SUMIF(MATCH_W6!$B:$B,$B15,MATCH_W6!$I:$I)</x:f>
        <x:v>220504</x:v>
      </x:c>
      <x:c r="H15" s="11" t="n">
        <x:f>SUMIF(MATCH_W1!$B:$B,$B15,MATCH_W1!$J:$J)+SUMIF(MATCH_W2!$B:$B,$B15,MATCH_W2!$J:$J)+SUMIF(MATCH_W3!$B:$B,$B15,MATCH_W3!$J:$J)+SUMIF(MATCH_W4!$B:$B,$B15,MATCH_W4!$J:$J)+SUMIF(MATCH_W5!$B:$B,$B15,MATCH_W5!$J:$J)+SUMIF(MATCH_W6!$B:$B,$B15,MATCH_W6!$J:$J)</x:f>
        <x:v>650995</x:v>
      </x:c>
      <x:c r="I15" s="11" t="n">
        <x:f>SUMIF(MATCH_W1!$B:$B,$B15,MATCH_W1!$K:$K)+SUMIF(MATCH_W2!$B:$B,$B15,MATCH_W2!$K:$K)+SUMIF(MATCH_W3!$B:$B,$B15,MATCH_W3!$K:$K)+SUMIF(MATCH_W4!$B:$B,$B15,MATCH_W4!$K:$K)+SUMIF(MATCH_W5!$B:$B,$B15,MATCH_W5!$K:$K)+SUMIF(MATCH_W6!$B:$B,$B15,MATCH_W6!$K:$K)</x:f>
        <x:v>5588</x:v>
      </x:c>
      <x:c r="J15" s="10">
        <x:f t="shared" si="0"/>
        <x:v>1.9351535836177474</x:v>
      </x:c>
      <x:c r="K15" s="12" t="e">
        <x:f>SUMIF(MATCH_W1!$B:$B,$B15,MATCH_W1!$M:$M)+SUMIF(MATCH_W2!$B:$B,$B15,MATCH_W2!$M:$M)+SUMIF(MATCH_W3!$B:$B,$B15,MATCH_W3!$M:$M)+SUMIF(MATCH_W4!$B:$B,$B15,MATCH_W4!$M:$M)+SUMIF(MATCH_W5!$B:$B,$B15,MATCH_W5!$M:$M)+SUMIF(MATCH_W6!$B:$B,$B15,MATCH_W6!$M:$M)</x:f>
        <x:v>#VALUE!</x:v>
      </x:c>
    </x:row>
    <x:row r="16">
      <x:c r="A16" s="8" t="s">
        <x:v>31</x:v>
      </x:c>
      <x:c r="B16" s="8" t="s">
        <x:v>32</x:v>
      </x:c>
      <x:c r="C16" s="8" t="s">
        <x:v>8</x:v>
      </x:c>
      <x:c r="D16" s="11" t="n">
        <x:f>SUMIF(MATCH_W1!$B:$B,$B16,MATCH_W1!$F:$F)+SUMIF(MATCH_W2!$B:$B,$B16,MATCH_W2!$F:$F)+SUMIF(MATCH_W3!$B:$B,$B16,MATCH_W3!$F:$F)+SUMIF(MATCH_W4!$B:$B,$B16,MATCH_W4!$F:$F)+SUMIF(MATCH_W5!$B:$B,$B16,MATCH_W5!$F:$F)+SUMIF(MATCH_W6!$B:$B,$B16,MATCH_W6!$F:$F)</x:f>
        <x:v>163</x:v>
      </x:c>
      <x:c r="E16" s="11" t="n">
        <x:f>SUMIF(MATCH_W1!$B:$B,$B16,MATCH_W1!$G:$G)+SUMIF(MATCH_W2!$B:$B,$B16,MATCH_W2!$G:$G)+SUMIF(MATCH_W3!$B:$B,$B16,MATCH_W3!$G:$G)+SUMIF(MATCH_W4!$B:$B,$B16,MATCH_W4!$G:$G)+SUMIF(MATCH_W5!$B:$B,$B16,MATCH_W5!$G:$G)+SUMIF(MATCH_W6!$B:$B,$B16,MATCH_W6!$G:$G)</x:f>
        <x:v>64</x:v>
      </x:c>
      <x:c r="F16" s="11" t="n">
        <x:f>SUMIF(MATCH_W1!$B:$B,$B16,MATCH_W1!$H:$H)+SUMIF(MATCH_W2!$B:$B,$B16,MATCH_W2!$H:$H)+SUMIF(MATCH_W3!$B:$B,$B16,MATCH_W3!$H:$H)+SUMIF(MATCH_W4!$B:$B,$B16,MATCH_W4!$H:$H)+SUMIF(MATCH_W5!$B:$B,$B16,MATCH_W5!$H:$H)+SUMIF(MATCH_W6!$B:$B,$B16,MATCH_W6!$H:$H)</x:f>
        <x:v>88</x:v>
      </x:c>
      <x:c r="G16" s="11" t="n">
        <x:f>SUMIF(MATCH_W1!$B:$B,$B16,MATCH_W1!$I:$I)+SUMIF(MATCH_W2!$B:$B,$B16,MATCH_W2!$I:$I)+SUMIF(MATCH_W3!$B:$B,$B16,MATCH_W3!$I:$I)+SUMIF(MATCH_W4!$B:$B,$B16,MATCH_W4!$I:$I)+SUMIF(MATCH_W5!$B:$B,$B16,MATCH_W5!$I:$I)+SUMIF(MATCH_W6!$B:$B,$B16,MATCH_W6!$I:$I)</x:f>
        <x:v>100814</x:v>
      </x:c>
      <x:c r="H16" s="11" t="n">
        <x:f>SUMIF(MATCH_W1!$B:$B,$B16,MATCH_W1!$J:$J)+SUMIF(MATCH_W2!$B:$B,$B16,MATCH_W2!$J:$J)+SUMIF(MATCH_W3!$B:$B,$B16,MATCH_W3!$J:$J)+SUMIF(MATCH_W4!$B:$B,$B16,MATCH_W4!$J:$J)+SUMIF(MATCH_W5!$B:$B,$B16,MATCH_W5!$J:$J)+SUMIF(MATCH_W6!$B:$B,$B16,MATCH_W6!$J:$J)</x:f>
        <x:v>31670</x:v>
      </x:c>
      <x:c r="I16" s="11" t="n">
        <x:f>SUMIF(MATCH_W1!$B:$B,$B16,MATCH_W1!$K:$K)+SUMIF(MATCH_W2!$B:$B,$B16,MATCH_W2!$K:$K)+SUMIF(MATCH_W3!$B:$B,$B16,MATCH_W3!$K:$K)+SUMIF(MATCH_W4!$B:$B,$B16,MATCH_W4!$K:$K)+SUMIF(MATCH_W5!$B:$B,$B16,MATCH_W5!$K:$K)+SUMIF(MATCH_W6!$B:$B,$B16,MATCH_W6!$K:$K)</x:f>
        <x:v>53908</x:v>
      </x:c>
      <x:c r="J16" s="10">
        <x:f t="shared" si="0"/>
        <x:v>2.546875</x:v>
      </x:c>
      <x:c r="K16" s="12" t="e">
        <x:f>SUMIF(MATCH_W1!$B:$B,$B16,MATCH_W1!$M:$M)+SUMIF(MATCH_W2!$B:$B,$B16,MATCH_W2!$M:$M)+SUMIF(MATCH_W3!$B:$B,$B16,MATCH_W3!$M:$M)+SUMIF(MATCH_W4!$B:$B,$B16,MATCH_W4!$M:$M)+SUMIF(MATCH_W5!$B:$B,$B16,MATCH_W5!$M:$M)+SUMIF(MATCH_W6!$B:$B,$B16,MATCH_W6!$M:$M)</x:f>
        <x:v>#VALUE!</x:v>
      </x:c>
    </x:row>
    <x:row r="17">
      <x:c r="A17" s="8" t="s">
        <x:v>31</x:v>
      </x:c>
      <x:c r="B17" s="8" t="s">
        <x:v>33</x:v>
      </x:c>
      <x:c r="C17" s="8" t="s">
        <x:v>8</x:v>
      </x:c>
      <x:c r="D17" s="11" t="n">
        <x:f>SUMIF(MATCH_W1!$B:$B,$B17,MATCH_W1!$F:$F)+SUMIF(MATCH_W2!$B:$B,$B17,MATCH_W2!$F:$F)+SUMIF(MATCH_W3!$B:$B,$B17,MATCH_W3!$F:$F)+SUMIF(MATCH_W4!$B:$B,$B17,MATCH_W4!$F:$F)+SUMIF(MATCH_W5!$B:$B,$B17,MATCH_W5!$F:$F)+SUMIF(MATCH_W6!$B:$B,$B17,MATCH_W6!$F:$F)</x:f>
        <x:v>365</x:v>
      </x:c>
      <x:c r="E17" s="11" t="n">
        <x:f>SUMIF(MATCH_W1!$B:$B,$B17,MATCH_W1!$G:$G)+SUMIF(MATCH_W2!$B:$B,$B17,MATCH_W2!$G:$G)+SUMIF(MATCH_W3!$B:$B,$B17,MATCH_W3!$G:$G)+SUMIF(MATCH_W4!$B:$B,$B17,MATCH_W4!$G:$G)+SUMIF(MATCH_W5!$B:$B,$B17,MATCH_W5!$G:$G)+SUMIF(MATCH_W6!$B:$B,$B17,MATCH_W6!$G:$G)</x:f>
        <x:v>139</x:v>
      </x:c>
      <x:c r="F17" s="11" t="n">
        <x:f>SUMIF(MATCH_W1!$B:$B,$B17,MATCH_W1!$H:$H)+SUMIF(MATCH_W2!$B:$B,$B17,MATCH_W2!$H:$H)+SUMIF(MATCH_W3!$B:$B,$B17,MATCH_W3!$H:$H)+SUMIF(MATCH_W4!$B:$B,$B17,MATCH_W4!$H:$H)+SUMIF(MATCH_W5!$B:$B,$B17,MATCH_W5!$H:$H)+SUMIF(MATCH_W6!$B:$B,$B17,MATCH_W6!$H:$H)</x:f>
        <x:v>153</x:v>
      </x:c>
      <x:c r="G17" s="11" t="n">
        <x:f>SUMIF(MATCH_W1!$B:$B,$B17,MATCH_W1!$I:$I)+SUMIF(MATCH_W2!$B:$B,$B17,MATCH_W2!$I:$I)+SUMIF(MATCH_W3!$B:$B,$B17,MATCH_W3!$I:$I)+SUMIF(MATCH_W4!$B:$B,$B17,MATCH_W4!$I:$I)+SUMIF(MATCH_W5!$B:$B,$B17,MATCH_W5!$I:$I)+SUMIF(MATCH_W6!$B:$B,$B17,MATCH_W6!$I:$I)</x:f>
        <x:v>263966</x:v>
      </x:c>
      <x:c r="H17" s="11" t="n">
        <x:f>SUMIF(MATCH_W1!$B:$B,$B17,MATCH_W1!$J:$J)+SUMIF(MATCH_W2!$B:$B,$B17,MATCH_W2!$J:$J)+SUMIF(MATCH_W3!$B:$B,$B17,MATCH_W3!$J:$J)+SUMIF(MATCH_W4!$B:$B,$B17,MATCH_W4!$J:$J)+SUMIF(MATCH_W5!$B:$B,$B17,MATCH_W5!$J:$J)+SUMIF(MATCH_W6!$B:$B,$B17,MATCH_W6!$J:$J)</x:f>
        <x:v>33067</x:v>
      </x:c>
      <x:c r="I17" s="11" t="n">
        <x:f>SUMIF(MATCH_W1!$B:$B,$B17,MATCH_W1!$K:$K)+SUMIF(MATCH_W2!$B:$B,$B17,MATCH_W2!$K:$K)+SUMIF(MATCH_W3!$B:$B,$B17,MATCH_W3!$K:$K)+SUMIF(MATCH_W4!$B:$B,$B17,MATCH_W4!$K:$K)+SUMIF(MATCH_W5!$B:$B,$B17,MATCH_W5!$K:$K)+SUMIF(MATCH_W6!$B:$B,$B17,MATCH_W6!$K:$K)</x:f>
        <x:v>341579</x:v>
      </x:c>
      <x:c r="J17" s="10">
        <x:f t="shared" si="0"/>
        <x:v>2.6258992805755397</x:v>
      </x:c>
      <x:c r="K17" s="12" t="n">
        <x:f>SUMIF(MATCH_W1!$B:$B,$B17,MATCH_W1!$M:$M)+SUMIF(MATCH_W2!$B:$B,$B17,MATCH_W2!$M:$M)+SUMIF(MATCH_W3!$B:$B,$B17,MATCH_W3!$M:$M)+SUMIF(MATCH_W4!$B:$B,$B17,MATCH_W4!$M:$M)+SUMIF(MATCH_W5!$B:$B,$B17,MATCH_W5!$M:$M)+SUMIF(MATCH_W6!$B:$B,$B17,MATCH_W6!$M:$M)</x:f>
        <x:v>13757</x:v>
      </x:c>
    </x:row>
    <x:row r="18">
      <x:c r="A18" s="8" t="s">
        <x:v>31</x:v>
      </x:c>
      <x:c r="B18" s="8" t="s">
        <x:v>34</x:v>
      </x:c>
      <x:c r="C18" s="8" t="s">
        <x:v>11</x:v>
      </x:c>
      <x:c r="D18" s="11" t="n">
        <x:f>SUMIF(MATCH_W1!$B:$B,$B18,MATCH_W1!$F:$F)+SUMIF(MATCH_W2!$B:$B,$B18,MATCH_W2!$F:$F)+SUMIF(MATCH_W3!$B:$B,$B18,MATCH_W3!$F:$F)+SUMIF(MATCH_W4!$B:$B,$B18,MATCH_W4!$F:$F)+SUMIF(MATCH_W5!$B:$B,$B18,MATCH_W5!$F:$F)+SUMIF(MATCH_W6!$B:$B,$B18,MATCH_W6!$F:$F)</x:f>
        <x:v>538</x:v>
      </x:c>
      <x:c r="E18" s="11" t="n">
        <x:f>SUMIF(MATCH_W1!$B:$B,$B18,MATCH_W1!$G:$G)+SUMIF(MATCH_W2!$B:$B,$B18,MATCH_W2!$G:$G)+SUMIF(MATCH_W3!$B:$B,$B18,MATCH_W3!$G:$G)+SUMIF(MATCH_W4!$B:$B,$B18,MATCH_W4!$G:$G)+SUMIF(MATCH_W5!$B:$B,$B18,MATCH_W5!$G:$G)+SUMIF(MATCH_W6!$B:$B,$B18,MATCH_W6!$G:$G)</x:f>
        <x:v>196</x:v>
      </x:c>
      <x:c r="F18" s="11" t="n">
        <x:f>SUMIF(MATCH_W1!$B:$B,$B18,MATCH_W1!$H:$H)+SUMIF(MATCH_W2!$B:$B,$B18,MATCH_W2!$H:$H)+SUMIF(MATCH_W3!$B:$B,$B18,MATCH_W3!$H:$H)+SUMIF(MATCH_W4!$B:$B,$B18,MATCH_W4!$H:$H)+SUMIF(MATCH_W5!$B:$B,$B18,MATCH_W5!$H:$H)+SUMIF(MATCH_W6!$B:$B,$B18,MATCH_W6!$H:$H)</x:f>
        <x:v>67</x:v>
      </x:c>
      <x:c r="G18" s="11" t="n">
        <x:f>SUMIF(MATCH_W1!$B:$B,$B18,MATCH_W1!$I:$I)+SUMIF(MATCH_W2!$B:$B,$B18,MATCH_W2!$I:$I)+SUMIF(MATCH_W3!$B:$B,$B18,MATCH_W3!$I:$I)+SUMIF(MATCH_W4!$B:$B,$B18,MATCH_W4!$I:$I)+SUMIF(MATCH_W5!$B:$B,$B18,MATCH_W5!$I:$I)+SUMIF(MATCH_W6!$B:$B,$B18,MATCH_W6!$I:$I)</x:f>
        <x:v>297491</x:v>
      </x:c>
      <x:c r="H18" s="11" t="n">
        <x:f>SUMIF(MATCH_W1!$B:$B,$B18,MATCH_W1!$J:$J)+SUMIF(MATCH_W2!$B:$B,$B18,MATCH_W2!$J:$J)+SUMIF(MATCH_W3!$B:$B,$B18,MATCH_W3!$J:$J)+SUMIF(MATCH_W4!$B:$B,$B18,MATCH_W4!$J:$J)+SUMIF(MATCH_W5!$B:$B,$B18,MATCH_W5!$J:$J)+SUMIF(MATCH_W6!$B:$B,$B18,MATCH_W6!$J:$J)</x:f>
        <x:v>38957</x:v>
      </x:c>
      <x:c r="I18" s="11" t="n">
        <x:f>SUMIF(MATCH_W1!$B:$B,$B18,MATCH_W1!$K:$K)+SUMIF(MATCH_W2!$B:$B,$B18,MATCH_W2!$K:$K)+SUMIF(MATCH_W3!$B:$B,$B18,MATCH_W3!$K:$K)+SUMIF(MATCH_W4!$B:$B,$B18,MATCH_W4!$K:$K)+SUMIF(MATCH_W5!$B:$B,$B18,MATCH_W5!$K:$K)+SUMIF(MATCH_W6!$B:$B,$B18,MATCH_W6!$K:$K)</x:f>
        <x:v>52040</x:v>
      </x:c>
      <x:c r="J18" s="10">
        <x:f t="shared" si="0"/>
        <x:v>2.7448979591836733</x:v>
      </x:c>
      <x:c r="K18" s="12" t="e">
        <x:f>SUMIF(MATCH_W1!$B:$B,$B18,MATCH_W1!$M:$M)+SUMIF(MATCH_W2!$B:$B,$B18,MATCH_W2!$M:$M)+SUMIF(MATCH_W3!$B:$B,$B18,MATCH_W3!$M:$M)+SUMIF(MATCH_W4!$B:$B,$B18,MATCH_W4!$M:$M)+SUMIF(MATCH_W5!$B:$B,$B18,MATCH_W5!$M:$M)+SUMIF(MATCH_W6!$B:$B,$B18,MATCH_W6!$M:$M)</x:f>
        <x:v>#VALUE!</x:v>
      </x:c>
    </x:row>
    <x:row r="19">
      <x:c r="A19" s="8" t="s">
        <x:v>31</x:v>
      </x:c>
      <x:c r="B19" s="8" t="s">
        <x:v>35</x:v>
      </x:c>
      <x:c r="C19" s="8" t="s">
        <x:v>11</x:v>
      </x:c>
      <x:c r="D19" s="11" t="n">
        <x:f>SUMIF(MATCH_W1!$B:$B,$B19,MATCH_W1!$F:$F)+SUMIF(MATCH_W2!$B:$B,$B19,MATCH_W2!$F:$F)+SUMIF(MATCH_W3!$B:$B,$B19,MATCH_W3!$F:$F)+SUMIF(MATCH_W4!$B:$B,$B19,MATCH_W4!$F:$F)+SUMIF(MATCH_W5!$B:$B,$B19,MATCH_W5!$F:$F)+SUMIF(MATCH_W6!$B:$B,$B19,MATCH_W6!$F:$F)</x:f>
        <x:v>524</x:v>
      </x:c>
      <x:c r="E19" s="11" t="n">
        <x:f>SUMIF(MATCH_W1!$B:$B,$B19,MATCH_W1!$G:$G)+SUMIF(MATCH_W2!$B:$B,$B19,MATCH_W2!$G:$G)+SUMIF(MATCH_W3!$B:$B,$B19,MATCH_W3!$G:$G)+SUMIF(MATCH_W4!$B:$B,$B19,MATCH_W4!$G:$G)+SUMIF(MATCH_W5!$B:$B,$B19,MATCH_W5!$G:$G)+SUMIF(MATCH_W6!$B:$B,$B19,MATCH_W6!$G:$G)</x:f>
        <x:v>231</x:v>
      </x:c>
      <x:c r="F19" s="11" t="n">
        <x:f>SUMIF(MATCH_W1!$B:$B,$B19,MATCH_W1!$H:$H)+SUMIF(MATCH_W2!$B:$B,$B19,MATCH_W2!$H:$H)+SUMIF(MATCH_W3!$B:$B,$B19,MATCH_W3!$H:$H)+SUMIF(MATCH_W4!$B:$B,$B19,MATCH_W4!$H:$H)+SUMIF(MATCH_W5!$B:$B,$B19,MATCH_W5!$H:$H)+SUMIF(MATCH_W6!$B:$B,$B19,MATCH_W6!$H:$H)</x:f>
        <x:v>38</x:v>
      </x:c>
      <x:c r="G19" s="11" t="n">
        <x:f>SUMIF(MATCH_W1!$B:$B,$B19,MATCH_W1!$I:$I)+SUMIF(MATCH_W2!$B:$B,$B19,MATCH_W2!$I:$I)+SUMIF(MATCH_W3!$B:$B,$B19,MATCH_W3!$I:$I)+SUMIF(MATCH_W4!$B:$B,$B19,MATCH_W4!$I:$I)+SUMIF(MATCH_W5!$B:$B,$B19,MATCH_W5!$I:$I)+SUMIF(MATCH_W6!$B:$B,$B19,MATCH_W6!$I:$I)</x:f>
        <x:v>336582</x:v>
      </x:c>
      <x:c r="H19" s="11" t="n">
        <x:f>SUMIF(MATCH_W1!$B:$B,$B19,MATCH_W1!$J:$J)+SUMIF(MATCH_W2!$B:$B,$B19,MATCH_W2!$J:$J)+SUMIF(MATCH_W3!$B:$B,$B19,MATCH_W3!$J:$J)+SUMIF(MATCH_W4!$B:$B,$B19,MATCH_W4!$J:$J)+SUMIF(MATCH_W5!$B:$B,$B19,MATCH_W5!$J:$J)+SUMIF(MATCH_W6!$B:$B,$B19,MATCH_W6!$J:$J)</x:f>
        <x:v>3210</x:v>
      </x:c>
      <x:c r="I19" s="11" t="n">
        <x:f>SUMIF(MATCH_W1!$B:$B,$B19,MATCH_W1!$K:$K)+SUMIF(MATCH_W2!$B:$B,$B19,MATCH_W2!$K:$K)+SUMIF(MATCH_W3!$B:$B,$B19,MATCH_W3!$K:$K)+SUMIF(MATCH_W4!$B:$B,$B19,MATCH_W4!$K:$K)+SUMIF(MATCH_W5!$B:$B,$B19,MATCH_W5!$K:$K)+SUMIF(MATCH_W6!$B:$B,$B19,MATCH_W6!$K:$K)</x:f>
        <x:v>20100</x:v>
      </x:c>
      <x:c r="J19" s="10">
        <x:f t="shared" si="0"/>
        <x:v>2.2683982683982684</x:v>
      </x:c>
      <x:c r="K19" s="12" t="n">
        <x:f>SUMIF(MATCH_W1!$B:$B,$B19,MATCH_W1!$M:$M)+SUMIF(MATCH_W2!$B:$B,$B19,MATCH_W2!$M:$M)+SUMIF(MATCH_W3!$B:$B,$B19,MATCH_W3!$M:$M)+SUMIF(MATCH_W4!$B:$B,$B19,MATCH_W4!$M:$M)+SUMIF(MATCH_W5!$B:$B,$B19,MATCH_W5!$M:$M)+SUMIF(MATCH_W6!$B:$B,$B19,MATCH_W6!$M:$M)</x:f>
        <x:v>20135</x:v>
      </x:c>
    </x:row>
    <x:row r="20">
      <x:c r="A20" s="8" t="s">
        <x:v>31</x:v>
      </x:c>
      <x:c r="B20" s="8" t="s">
        <x:v>36</x:v>
      </x:c>
      <x:c r="C20" s="8" t="s">
        <x:v>16</x:v>
      </x:c>
      <x:c r="D20" s="11" t="n">
        <x:f>SUMIF(MATCH_W1!$B:$B,$B20,MATCH_W1!$F:$F)+SUMIF(MATCH_W2!$B:$B,$B20,MATCH_W2!$F:$F)+SUMIF(MATCH_W3!$B:$B,$B20,MATCH_W3!$F:$F)+SUMIF(MATCH_W4!$B:$B,$B20,MATCH_W4!$F:$F)+SUMIF(MATCH_W5!$B:$B,$B20,MATCH_W5!$F:$F)+SUMIF(MATCH_W6!$B:$B,$B20,MATCH_W6!$F:$F)</x:f>
        <x:v>424</x:v>
      </x:c>
      <x:c r="E20" s="11" t="n">
        <x:f>SUMIF(MATCH_W1!$B:$B,$B20,MATCH_W1!$G:$G)+SUMIF(MATCH_W2!$B:$B,$B20,MATCH_W2!$G:$G)+SUMIF(MATCH_W3!$B:$B,$B20,MATCH_W3!$G:$G)+SUMIF(MATCH_W4!$B:$B,$B20,MATCH_W4!$G:$G)+SUMIF(MATCH_W5!$B:$B,$B20,MATCH_W5!$G:$G)+SUMIF(MATCH_W6!$B:$B,$B20,MATCH_W6!$G:$G)</x:f>
        <x:v>176</x:v>
      </x:c>
      <x:c r="F20" s="11" t="n">
        <x:f>SUMIF(MATCH_W1!$B:$B,$B20,MATCH_W1!$H:$H)+SUMIF(MATCH_W2!$B:$B,$B20,MATCH_W2!$H:$H)+SUMIF(MATCH_W3!$B:$B,$B20,MATCH_W3!$H:$H)+SUMIF(MATCH_W4!$B:$B,$B20,MATCH_W4!$H:$H)+SUMIF(MATCH_W5!$B:$B,$B20,MATCH_W5!$H:$H)+SUMIF(MATCH_W6!$B:$B,$B20,MATCH_W6!$H:$H)</x:f>
        <x:v>410</x:v>
      </x:c>
      <x:c r="G20" s="11" t="n">
        <x:f>SUMIF(MATCH_W1!$B:$B,$B20,MATCH_W1!$I:$I)+SUMIF(MATCH_W2!$B:$B,$B20,MATCH_W2!$I:$I)+SUMIF(MATCH_W3!$B:$B,$B20,MATCH_W3!$I:$I)+SUMIF(MATCH_W4!$B:$B,$B20,MATCH_W4!$I:$I)+SUMIF(MATCH_W5!$B:$B,$B20,MATCH_W5!$I:$I)+SUMIF(MATCH_W6!$B:$B,$B20,MATCH_W6!$I:$I)</x:f>
        <x:v>156141</x:v>
      </x:c>
      <x:c r="H20" s="11" t="n">
        <x:f>SUMIF(MATCH_W1!$B:$B,$B20,MATCH_W1!$J:$J)+SUMIF(MATCH_W2!$B:$B,$B20,MATCH_W2!$J:$J)+SUMIF(MATCH_W3!$B:$B,$B20,MATCH_W3!$J:$J)+SUMIF(MATCH_W4!$B:$B,$B20,MATCH_W4!$J:$J)+SUMIF(MATCH_W5!$B:$B,$B20,MATCH_W5!$J:$J)+SUMIF(MATCH_W6!$B:$B,$B20,MATCH_W6!$J:$J)</x:f>
        <x:v>291932</x:v>
      </x:c>
      <x:c r="I20" s="11" t="n">
        <x:f>SUMIF(MATCH_W1!$B:$B,$B20,MATCH_W1!$K:$K)+SUMIF(MATCH_W2!$B:$B,$B20,MATCH_W2!$K:$K)+SUMIF(MATCH_W3!$B:$B,$B20,MATCH_W3!$K:$K)+SUMIF(MATCH_W4!$B:$B,$B20,MATCH_W4!$K:$K)+SUMIF(MATCH_W5!$B:$B,$B20,MATCH_W5!$K:$K)+SUMIF(MATCH_W6!$B:$B,$B20,MATCH_W6!$K:$K)</x:f>
        <x:v>30929</x:v>
      </x:c>
      <x:c r="J20" s="10">
        <x:f t="shared" si="0"/>
        <x:v>2.4090909090909092</x:v>
      </x:c>
      <x:c r="K20" s="12" t="e">
        <x:f>SUMIF(MATCH_W1!$B:$B,$B20,MATCH_W1!$M:$M)+SUMIF(MATCH_W2!$B:$B,$B20,MATCH_W2!$M:$M)+SUMIF(MATCH_W3!$B:$B,$B20,MATCH_W3!$M:$M)+SUMIF(MATCH_W4!$B:$B,$B20,MATCH_W4!$M:$M)+SUMIF(MATCH_W5!$B:$B,$B20,MATCH_W5!$M:$M)+SUMIF(MATCH_W6!$B:$B,$B20,MATCH_W6!$M:$M)</x:f>
        <x:v>#VALUE!</x:v>
      </x:c>
    </x:row>
    <x:row r="21">
      <x:c r="A21" s="8" t="s">
        <x:v>31</x:v>
      </x:c>
      <x:c r="B21" s="8" t="s">
        <x:v>37</x:v>
      </x:c>
      <x:c r="C21" s="8" t="s">
        <x:v>16</x:v>
      </x:c>
      <x:c r="D21" s="11" t="n">
        <x:f>SUMIF(MATCH_W1!$B:$B,$B21,MATCH_W1!$F:$F)+SUMIF(MATCH_W2!$B:$B,$B21,MATCH_W2!$F:$F)+SUMIF(MATCH_W3!$B:$B,$B21,MATCH_W3!$F:$F)+SUMIF(MATCH_W4!$B:$B,$B21,MATCH_W4!$F:$F)+SUMIF(MATCH_W5!$B:$B,$B21,MATCH_W5!$F:$F)+SUMIF(MATCH_W6!$B:$B,$B21,MATCH_W6!$F:$F)</x:f>
        <x:v>300</x:v>
      </x:c>
      <x:c r="E21" s="11" t="n">
        <x:f>SUMIF(MATCH_W1!$B:$B,$B21,MATCH_W1!$G:$G)+SUMIF(MATCH_W2!$B:$B,$B21,MATCH_W2!$G:$G)+SUMIF(MATCH_W3!$B:$B,$B21,MATCH_W3!$G:$G)+SUMIF(MATCH_W4!$B:$B,$B21,MATCH_W4!$G:$G)+SUMIF(MATCH_W5!$B:$B,$B21,MATCH_W5!$G:$G)+SUMIF(MATCH_W6!$B:$B,$B21,MATCH_W6!$G:$G)</x:f>
        <x:v>179</x:v>
      </x:c>
      <x:c r="F21" s="11" t="n">
        <x:f>SUMIF(MATCH_W1!$B:$B,$B21,MATCH_W1!$H:$H)+SUMIF(MATCH_W2!$B:$B,$B21,MATCH_W2!$H:$H)+SUMIF(MATCH_W3!$B:$B,$B21,MATCH_W3!$H:$H)+SUMIF(MATCH_W4!$B:$B,$B21,MATCH_W4!$H:$H)+SUMIF(MATCH_W5!$B:$B,$B21,MATCH_W5!$H:$H)+SUMIF(MATCH_W6!$B:$B,$B21,MATCH_W6!$H:$H)</x:f>
        <x:v>543</x:v>
      </x:c>
      <x:c r="G21" s="11" t="n">
        <x:f>SUMIF(MATCH_W1!$B:$B,$B21,MATCH_W1!$I:$I)+SUMIF(MATCH_W2!$B:$B,$B21,MATCH_W2!$I:$I)+SUMIF(MATCH_W3!$B:$B,$B21,MATCH_W3!$I:$I)+SUMIF(MATCH_W4!$B:$B,$B21,MATCH_W4!$I:$I)+SUMIF(MATCH_W5!$B:$B,$B21,MATCH_W5!$I:$I)+SUMIF(MATCH_W6!$B:$B,$B21,MATCH_W6!$I:$I)</x:f>
        <x:v>145797</x:v>
      </x:c>
      <x:c r="H21" s="11" t="n">
        <x:f>SUMIF(MATCH_W1!$B:$B,$B21,MATCH_W1!$J:$J)+SUMIF(MATCH_W2!$B:$B,$B21,MATCH_W2!$J:$J)+SUMIF(MATCH_W3!$B:$B,$B21,MATCH_W3!$J:$J)+SUMIF(MATCH_W4!$B:$B,$B21,MATCH_W4!$J:$J)+SUMIF(MATCH_W5!$B:$B,$B21,MATCH_W5!$J:$J)+SUMIF(MATCH_W6!$B:$B,$B21,MATCH_W6!$J:$J)</x:f>
        <x:v>397930</x:v>
      </x:c>
      <x:c r="I21" s="11" t="n">
        <x:f>SUMIF(MATCH_W1!$B:$B,$B21,MATCH_W1!$K:$K)+SUMIF(MATCH_W2!$B:$B,$B21,MATCH_W2!$K:$K)+SUMIF(MATCH_W3!$B:$B,$B21,MATCH_W3!$K:$K)+SUMIF(MATCH_W4!$B:$B,$B21,MATCH_W4!$K:$K)+SUMIF(MATCH_W5!$B:$B,$B21,MATCH_W5!$K:$K)+SUMIF(MATCH_W6!$B:$B,$B21,MATCH_W6!$K:$K)</x:f>
        <x:v>3204</x:v>
      </x:c>
      <x:c r="J21" s="10">
        <x:f t="shared" si="0"/>
        <x:v>1.6759776536312849</x:v>
      </x:c>
      <x:c r="K21" s="12" t="n">
        <x:f>SUMIF(MATCH_W1!$B:$B,$B21,MATCH_W1!$M:$M)+SUMIF(MATCH_W2!$B:$B,$B21,MATCH_W2!$M:$M)+SUMIF(MATCH_W3!$B:$B,$B21,MATCH_W3!$M:$M)+SUMIF(MATCH_W4!$B:$B,$B21,MATCH_W4!$M:$M)+SUMIF(MATCH_W5!$B:$B,$B21,MATCH_W5!$M:$M)+SUMIF(MATCH_W6!$B:$B,$B21,MATCH_W6!$M:$M)</x:f>
        <x:v>20135</x:v>
      </x:c>
    </x:row>
    <x:row r="22">
      <x:c r="A22" s="8" t="s">
        <x:v>39</x:v>
      </x:c>
      <x:c r="B22" s="8" t="s">
        <x:v>40</x:v>
      </x:c>
      <x:c r="C22" s="8" t="s">
        <x:v>8</x:v>
      </x:c>
      <x:c r="D22" s="11" t="n">
        <x:f>SUMIF(MATCH_W1!$B:$B,$B22,MATCH_W1!$F:$F)+SUMIF(MATCH_W2!$B:$B,$B22,MATCH_W2!$F:$F)+SUMIF(MATCH_W3!$B:$B,$B22,MATCH_W3!$F:$F)+SUMIF(MATCH_W4!$B:$B,$B22,MATCH_W4!$F:$F)+SUMIF(MATCH_W5!$B:$B,$B22,MATCH_W5!$F:$F)+SUMIF(MATCH_W6!$B:$B,$B22,MATCH_W6!$F:$F)</x:f>
        <x:v>294</x:v>
      </x:c>
      <x:c r="E22" s="11" t="n">
        <x:f>SUMIF(MATCH_W1!$B:$B,$B22,MATCH_W1!$G:$G)+SUMIF(MATCH_W2!$B:$B,$B22,MATCH_W2!$G:$G)+SUMIF(MATCH_W3!$B:$B,$B22,MATCH_W3!$G:$G)+SUMIF(MATCH_W4!$B:$B,$B22,MATCH_W4!$G:$G)+SUMIF(MATCH_W5!$B:$B,$B22,MATCH_W5!$G:$G)+SUMIF(MATCH_W6!$B:$B,$B22,MATCH_W6!$G:$G)</x:f>
        <x:v>166</x:v>
      </x:c>
      <x:c r="F22" s="11" t="n">
        <x:f>SUMIF(MATCH_W1!$B:$B,$B22,MATCH_W1!$H:$H)+SUMIF(MATCH_W2!$B:$B,$B22,MATCH_W2!$H:$H)+SUMIF(MATCH_W3!$B:$B,$B22,MATCH_W3!$H:$H)+SUMIF(MATCH_W4!$B:$B,$B22,MATCH_W4!$H:$H)+SUMIF(MATCH_W5!$B:$B,$B22,MATCH_W5!$H:$H)+SUMIF(MATCH_W6!$B:$B,$B22,MATCH_W6!$H:$H)</x:f>
        <x:v>117</x:v>
      </x:c>
      <x:c r="G22" s="11" t="n">
        <x:f>SUMIF(MATCH_W1!$B:$B,$B22,MATCH_W1!$I:$I)+SUMIF(MATCH_W2!$B:$B,$B22,MATCH_W2!$I:$I)+SUMIF(MATCH_W3!$B:$B,$B22,MATCH_W3!$I:$I)+SUMIF(MATCH_W4!$B:$B,$B22,MATCH_W4!$I:$I)+SUMIF(MATCH_W5!$B:$B,$B22,MATCH_W5!$I:$I)+SUMIF(MATCH_W6!$B:$B,$B22,MATCH_W6!$I:$I)</x:f>
        <x:v>221807</x:v>
      </x:c>
      <x:c r="H22" s="11" t="n">
        <x:f>SUMIF(MATCH_W1!$B:$B,$B22,MATCH_W1!$J:$J)+SUMIF(MATCH_W2!$B:$B,$B22,MATCH_W2!$J:$J)+SUMIF(MATCH_W3!$B:$B,$B22,MATCH_W3!$J:$J)+SUMIF(MATCH_W4!$B:$B,$B22,MATCH_W4!$J:$J)+SUMIF(MATCH_W5!$B:$B,$B22,MATCH_W5!$J:$J)+SUMIF(MATCH_W6!$B:$B,$B22,MATCH_W6!$J:$J)</x:f>
        <x:v>37904</x:v>
      </x:c>
      <x:c r="I22" s="11" t="n">
        <x:f>SUMIF(MATCH_W1!$B:$B,$B22,MATCH_W1!$K:$K)+SUMIF(MATCH_W2!$B:$B,$B22,MATCH_W2!$K:$K)+SUMIF(MATCH_W3!$B:$B,$B22,MATCH_W3!$K:$K)+SUMIF(MATCH_W4!$B:$B,$B22,MATCH_W4!$K:$K)+SUMIF(MATCH_W5!$B:$B,$B22,MATCH_W5!$K:$K)+SUMIF(MATCH_W6!$B:$B,$B22,MATCH_W6!$K:$K)</x:f>
        <x:v>233244</x:v>
      </x:c>
      <x:c r="J22" s="10">
        <x:f t="shared" si="0"/>
        <x:v>1.7710843373493976</x:v>
      </x:c>
      <x:c r="K22" s="12" t="n">
        <x:f>SUMIF(MATCH_W1!$B:$B,$B22,MATCH_W1!$M:$M)+SUMIF(MATCH_W2!$B:$B,$B22,MATCH_W2!$M:$M)+SUMIF(MATCH_W3!$B:$B,$B22,MATCH_W3!$M:$M)+SUMIF(MATCH_W4!$B:$B,$B22,MATCH_W4!$M:$M)+SUMIF(MATCH_W5!$B:$B,$B22,MATCH_W5!$M:$M)+SUMIF(MATCH_W6!$B:$B,$B22,MATCH_W6!$M:$M)</x:f>
        <x:v>14511</x:v>
      </x:c>
    </x:row>
    <x:row r="23">
      <x:c r="A23" s="8" t="s">
        <x:v>39</x:v>
      </x:c>
      <x:c r="B23" s="8" t="s">
        <x:v>41</x:v>
      </x:c>
      <x:c r="C23" s="8" t="s">
        <x:v>8</x:v>
      </x:c>
      <x:c r="D23" s="11" t="n">
        <x:f>SUMIF(MATCH_W1!$B:$B,$B23,MATCH_W1!$F:$F)+SUMIF(MATCH_W2!$B:$B,$B23,MATCH_W2!$F:$F)+SUMIF(MATCH_W3!$B:$B,$B23,MATCH_W3!$F:$F)+SUMIF(MATCH_W4!$B:$B,$B23,MATCH_W4!$F:$F)+SUMIF(MATCH_W5!$B:$B,$B23,MATCH_W5!$F:$F)+SUMIF(MATCH_W6!$B:$B,$B23,MATCH_W6!$F:$F)</x:f>
        <x:v>6</x:v>
      </x:c>
      <x:c r="E23" s="11" t="n">
        <x:f>SUMIF(MATCH_W1!$B:$B,$B23,MATCH_W1!$G:$G)+SUMIF(MATCH_W2!$B:$B,$B23,MATCH_W2!$G:$G)+SUMIF(MATCH_W3!$B:$B,$B23,MATCH_W3!$G:$G)+SUMIF(MATCH_W4!$B:$B,$B23,MATCH_W4!$G:$G)+SUMIF(MATCH_W5!$B:$B,$B23,MATCH_W5!$G:$G)+SUMIF(MATCH_W6!$B:$B,$B23,MATCH_W6!$G:$G)</x:f>
        <x:v>8</x:v>
      </x:c>
      <x:c r="F23" s="11" t="n">
        <x:f>SUMIF(MATCH_W1!$B:$B,$B23,MATCH_W1!$H:$H)+SUMIF(MATCH_W2!$B:$B,$B23,MATCH_W2!$H:$H)+SUMIF(MATCH_W3!$B:$B,$B23,MATCH_W3!$H:$H)+SUMIF(MATCH_W4!$B:$B,$B23,MATCH_W4!$H:$H)+SUMIF(MATCH_W5!$B:$B,$B23,MATCH_W5!$H:$H)+SUMIF(MATCH_W6!$B:$B,$B23,MATCH_W6!$H:$H)</x:f>
        <x:v>3</x:v>
      </x:c>
      <x:c r="G23" s="11" t="n">
        <x:f>SUMIF(MATCH_W1!$B:$B,$B23,MATCH_W1!$I:$I)+SUMIF(MATCH_W2!$B:$B,$B23,MATCH_W2!$I:$I)+SUMIF(MATCH_W3!$B:$B,$B23,MATCH_W3!$I:$I)+SUMIF(MATCH_W4!$B:$B,$B23,MATCH_W4!$I:$I)+SUMIF(MATCH_W5!$B:$B,$B23,MATCH_W5!$I:$I)+SUMIF(MATCH_W6!$B:$B,$B23,MATCH_W6!$I:$I)</x:f>
        <x:v>4787</x:v>
      </x:c>
      <x:c r="H23" s="11" t="n">
        <x:f>SUMIF(MATCH_W1!$B:$B,$B23,MATCH_W1!$J:$J)+SUMIF(MATCH_W2!$B:$B,$B23,MATCH_W2!$J:$J)+SUMIF(MATCH_W3!$B:$B,$B23,MATCH_W3!$J:$J)+SUMIF(MATCH_W4!$B:$B,$B23,MATCH_W4!$J:$J)+SUMIF(MATCH_W5!$B:$B,$B23,MATCH_W5!$J:$J)+SUMIF(MATCH_W6!$B:$B,$B23,MATCH_W6!$J:$J)</x:f>
        <x:v>987</x:v>
      </x:c>
      <x:c r="I23" s="11" t="n">
        <x:f>SUMIF(MATCH_W1!$B:$B,$B23,MATCH_W1!$K:$K)+SUMIF(MATCH_W2!$B:$B,$B23,MATCH_W2!$K:$K)+SUMIF(MATCH_W3!$B:$B,$B23,MATCH_W3!$K:$K)+SUMIF(MATCH_W4!$B:$B,$B23,MATCH_W4!$K:$K)+SUMIF(MATCH_W5!$B:$B,$B23,MATCH_W5!$K:$K)+SUMIF(MATCH_W6!$B:$B,$B23,MATCH_W6!$K:$K)</x:f>
        <x:v>2960</x:v>
      </x:c>
      <x:c r="J23" s="10">
        <x:f t="shared" si="0"/>
        <x:v>0.75</x:v>
      </x:c>
      <x:c r="K23" s="12" t="n">
        <x:f>SUMIF(MATCH_W1!$B:$B,$B23,MATCH_W1!$M:$M)+SUMIF(MATCH_W2!$B:$B,$B23,MATCH_W2!$M:$M)+SUMIF(MATCH_W3!$B:$B,$B23,MATCH_W3!$M:$M)+SUMIF(MATCH_W4!$B:$B,$B23,MATCH_W4!$M:$M)+SUMIF(MATCH_W5!$B:$B,$B23,MATCH_W5!$M:$M)+SUMIF(MATCH_W6!$B:$B,$B23,MATCH_W6!$M:$M)</x:f>
        <x:v>347.00000000000006</x:v>
      </x:c>
    </x:row>
    <x:row r="24">
      <x:c r="A24" s="8" t="s">
        <x:v>39</x:v>
      </x:c>
      <x:c r="B24" s="8" t="s">
        <x:v>42</x:v>
      </x:c>
      <x:c r="C24" s="8" t="s">
        <x:v>11</x:v>
      </x:c>
      <x:c r="D24" s="11" t="n">
        <x:f>SUMIF(MATCH_W1!$B:$B,$B24,MATCH_W1!$F:$F)+SUMIF(MATCH_W2!$B:$B,$B24,MATCH_W2!$F:$F)+SUMIF(MATCH_W3!$B:$B,$B24,MATCH_W3!$F:$F)+SUMIF(MATCH_W4!$B:$B,$B24,MATCH_W4!$F:$F)+SUMIF(MATCH_W5!$B:$B,$B24,MATCH_W5!$F:$F)+SUMIF(MATCH_W6!$B:$B,$B24,MATCH_W6!$F:$F)</x:f>
        <x:v>303</x:v>
      </x:c>
      <x:c r="E24" s="11" t="n">
        <x:f>SUMIF(MATCH_W1!$B:$B,$B24,MATCH_W1!$G:$G)+SUMIF(MATCH_W2!$B:$B,$B24,MATCH_W2!$G:$G)+SUMIF(MATCH_W3!$B:$B,$B24,MATCH_W3!$G:$G)+SUMIF(MATCH_W4!$B:$B,$B24,MATCH_W4!$G:$G)+SUMIF(MATCH_W5!$B:$B,$B24,MATCH_W5!$G:$G)+SUMIF(MATCH_W6!$B:$B,$B24,MATCH_W6!$G:$G)</x:f>
        <x:v>179</x:v>
      </x:c>
      <x:c r="F24" s="11" t="n">
        <x:f>SUMIF(MATCH_W1!$B:$B,$B24,MATCH_W1!$H:$H)+SUMIF(MATCH_W2!$B:$B,$B24,MATCH_W2!$H:$H)+SUMIF(MATCH_W3!$B:$B,$B24,MATCH_W3!$H:$H)+SUMIF(MATCH_W4!$B:$B,$B24,MATCH_W4!$H:$H)+SUMIF(MATCH_W5!$B:$B,$B24,MATCH_W5!$H:$H)+SUMIF(MATCH_W6!$B:$B,$B24,MATCH_W6!$H:$H)</x:f>
        <x:v>31</x:v>
      </x:c>
      <x:c r="G24" s="11" t="n">
        <x:f>SUMIF(MATCH_W1!$B:$B,$B24,MATCH_W1!$I:$I)+SUMIF(MATCH_W2!$B:$B,$B24,MATCH_W2!$I:$I)+SUMIF(MATCH_W3!$B:$B,$B24,MATCH_W3!$I:$I)+SUMIF(MATCH_W4!$B:$B,$B24,MATCH_W4!$I:$I)+SUMIF(MATCH_W5!$B:$B,$B24,MATCH_W5!$I:$I)+SUMIF(MATCH_W6!$B:$B,$B24,MATCH_W6!$I:$I)</x:f>
        <x:v>173857</x:v>
      </x:c>
      <x:c r="H24" s="11" t="n">
        <x:f>SUMIF(MATCH_W1!$B:$B,$B24,MATCH_W1!$J:$J)+SUMIF(MATCH_W2!$B:$B,$B24,MATCH_W2!$J:$J)+SUMIF(MATCH_W3!$B:$B,$B24,MATCH_W3!$J:$J)+SUMIF(MATCH_W4!$B:$B,$B24,MATCH_W4!$J:$J)+SUMIF(MATCH_W5!$B:$B,$B24,MATCH_W5!$J:$J)+SUMIF(MATCH_W6!$B:$B,$B24,MATCH_W6!$J:$J)</x:f>
        <x:v>9265</x:v>
      </x:c>
      <x:c r="I24" s="11" t="n">
        <x:f>SUMIF(MATCH_W1!$B:$B,$B24,MATCH_W1!$K:$K)+SUMIF(MATCH_W2!$B:$B,$B24,MATCH_W2!$K:$K)+SUMIF(MATCH_W3!$B:$B,$B24,MATCH_W3!$K:$K)+SUMIF(MATCH_W4!$B:$B,$B24,MATCH_W4!$K:$K)+SUMIF(MATCH_W5!$B:$B,$B24,MATCH_W5!$K:$K)+SUMIF(MATCH_W6!$B:$B,$B24,MATCH_W6!$K:$K)</x:f>
        <x:v>37356</x:v>
      </x:c>
      <x:c r="J24" s="10">
        <x:f t="shared" si="0"/>
        <x:v>1.6927374301675977</x:v>
      </x:c>
      <x:c r="K24" s="12" t="n">
        <x:f>SUMIF(MATCH_W1!$B:$B,$B24,MATCH_W1!$M:$M)+SUMIF(MATCH_W2!$B:$B,$B24,MATCH_W2!$M:$M)+SUMIF(MATCH_W3!$B:$B,$B24,MATCH_W3!$M:$M)+SUMIF(MATCH_W4!$B:$B,$B24,MATCH_W4!$M:$M)+SUMIF(MATCH_W5!$B:$B,$B24,MATCH_W5!$M:$M)+SUMIF(MATCH_W6!$B:$B,$B24,MATCH_W6!$M:$M)</x:f>
        <x:v>14858</x:v>
      </x:c>
    </x:row>
    <x:row r="25">
      <x:c r="A25" s="8" t="s">
        <x:v>39</x:v>
      </x:c>
      <x:c r="B25" s="8" t="s">
        <x:v>43</x:v>
      </x:c>
      <x:c r="C25" s="8" t="s">
        <x:v>11</x:v>
      </x:c>
      <x:c r="D25" s="11" t="n">
        <x:f>SUMIF(MATCH_W1!$B:$B,$B25,MATCH_W1!$F:$F)+SUMIF(MATCH_W2!$B:$B,$B25,MATCH_W2!$F:$F)+SUMIF(MATCH_W3!$B:$B,$B25,MATCH_W3!$F:$F)+SUMIF(MATCH_W4!$B:$B,$B25,MATCH_W4!$F:$F)+SUMIF(MATCH_W5!$B:$B,$B25,MATCH_W5!$F:$F)+SUMIF(MATCH_W6!$B:$B,$B25,MATCH_W6!$F:$F)</x:f>
        <x:v>364</x:v>
      </x:c>
      <x:c r="E25" s="11" t="n">
        <x:f>SUMIF(MATCH_W1!$B:$B,$B25,MATCH_W1!$G:$G)+SUMIF(MATCH_W2!$B:$B,$B25,MATCH_W2!$G:$G)+SUMIF(MATCH_W3!$B:$B,$B25,MATCH_W3!$G:$G)+SUMIF(MATCH_W4!$B:$B,$B25,MATCH_W4!$G:$G)+SUMIF(MATCH_W5!$B:$B,$B25,MATCH_W5!$G:$G)+SUMIF(MATCH_W6!$B:$B,$B25,MATCH_W6!$G:$G)</x:f>
        <x:v>153</x:v>
      </x:c>
      <x:c r="F25" s="11" t="n">
        <x:f>SUMIF(MATCH_W1!$B:$B,$B25,MATCH_W1!$H:$H)+SUMIF(MATCH_W2!$B:$B,$B25,MATCH_W2!$H:$H)+SUMIF(MATCH_W3!$B:$B,$B25,MATCH_W3!$H:$H)+SUMIF(MATCH_W4!$B:$B,$B25,MATCH_W4!$H:$H)+SUMIF(MATCH_W5!$B:$B,$B25,MATCH_W5!$H:$H)+SUMIF(MATCH_W6!$B:$B,$B25,MATCH_W6!$H:$H)</x:f>
        <x:v>12</x:v>
      </x:c>
      <x:c r="G25" s="11" t="n">
        <x:f>SUMIF(MATCH_W1!$B:$B,$B25,MATCH_W1!$I:$I)+SUMIF(MATCH_W2!$B:$B,$B25,MATCH_W2!$I:$I)+SUMIF(MATCH_W3!$B:$B,$B25,MATCH_W3!$I:$I)+SUMIF(MATCH_W4!$B:$B,$B25,MATCH_W4!$I:$I)+SUMIF(MATCH_W5!$B:$B,$B25,MATCH_W5!$I:$I)+SUMIF(MATCH_W6!$B:$B,$B25,MATCH_W6!$I:$I)</x:f>
        <x:v>260104</x:v>
      </x:c>
      <x:c r="H25" s="11" t="n">
        <x:f>SUMIF(MATCH_W1!$B:$B,$B25,MATCH_W1!$J:$J)+SUMIF(MATCH_W2!$B:$B,$B25,MATCH_W2!$J:$J)+SUMIF(MATCH_W3!$B:$B,$B25,MATCH_W3!$J:$J)+SUMIF(MATCH_W4!$B:$B,$B25,MATCH_W4!$J:$J)+SUMIF(MATCH_W5!$B:$B,$B25,MATCH_W5!$J:$J)+SUMIF(MATCH_W6!$B:$B,$B25,MATCH_W6!$J:$J)</x:f>
        <x:v>765</x:v>
      </x:c>
      <x:c r="I25" s="11" t="n">
        <x:f>SUMIF(MATCH_W1!$B:$B,$B25,MATCH_W1!$K:$K)+SUMIF(MATCH_W2!$B:$B,$B25,MATCH_W2!$K:$K)+SUMIF(MATCH_W3!$B:$B,$B25,MATCH_W3!$K:$K)+SUMIF(MATCH_W4!$B:$B,$B25,MATCH_W4!$K:$K)+SUMIF(MATCH_W5!$B:$B,$B25,MATCH_W5!$K:$K)+SUMIF(MATCH_W6!$B:$B,$B25,MATCH_W6!$K:$K)</x:f>
        <x:v>5918</x:v>
      </x:c>
      <x:c r="J25" s="10">
        <x:f t="shared" si="0"/>
        <x:v>2.3790849673202614</x:v>
      </x:c>
      <x:c r="K25" s="12" t="e">
        <x:f>SUMIF(MATCH_W1!$B:$B,$B25,MATCH_W1!$M:$M)+SUMIF(MATCH_W2!$B:$B,$B25,MATCH_W2!$M:$M)+SUMIF(MATCH_W3!$B:$B,$B25,MATCH_W3!$M:$M)+SUMIF(MATCH_W4!$B:$B,$B25,MATCH_W4!$M:$M)+SUMIF(MATCH_W5!$B:$B,$B25,MATCH_W5!$M:$M)+SUMIF(MATCH_W6!$B:$B,$B25,MATCH_W6!$M:$M)</x:f>
        <x:v>#VALUE!</x:v>
      </x:c>
    </x:row>
    <x:row r="26">
      <x:c r="A26" s="8" t="s">
        <x:v>39</x:v>
      </x:c>
      <x:c r="B26" s="8" t="s">
        <x:v>44</x:v>
      </x:c>
      <x:c r="C26" s="8" t="s">
        <x:v>16</x:v>
      </x:c>
      <x:c r="D26" s="11" t="n">
        <x:f>SUMIF(MATCH_W1!$B:$B,$B26,MATCH_W1!$F:$F)+SUMIF(MATCH_W2!$B:$B,$B26,MATCH_W2!$F:$F)+SUMIF(MATCH_W3!$B:$B,$B26,MATCH_W3!$F:$F)+SUMIF(MATCH_W4!$B:$B,$B26,MATCH_W4!$F:$F)+SUMIF(MATCH_W5!$B:$B,$B26,MATCH_W5!$F:$F)+SUMIF(MATCH_W6!$B:$B,$B26,MATCH_W6!$F:$F)</x:f>
        <x:v>217</x:v>
      </x:c>
      <x:c r="E26" s="11" t="n">
        <x:f>SUMIF(MATCH_W1!$B:$B,$B26,MATCH_W1!$G:$G)+SUMIF(MATCH_W2!$B:$B,$B26,MATCH_W2!$G:$G)+SUMIF(MATCH_W3!$B:$B,$B26,MATCH_W3!$G:$G)+SUMIF(MATCH_W4!$B:$B,$B26,MATCH_W4!$G:$G)+SUMIF(MATCH_W5!$B:$B,$B26,MATCH_W5!$G:$G)+SUMIF(MATCH_W6!$B:$B,$B26,MATCH_W6!$G:$G)</x:f>
        <x:v>150</x:v>
      </x:c>
      <x:c r="F26" s="11" t="n">
        <x:f>SUMIF(MATCH_W1!$B:$B,$B26,MATCH_W1!$H:$H)+SUMIF(MATCH_W2!$B:$B,$B26,MATCH_W2!$H:$H)+SUMIF(MATCH_W3!$B:$B,$B26,MATCH_W3!$H:$H)+SUMIF(MATCH_W4!$B:$B,$B26,MATCH_W4!$H:$H)+SUMIF(MATCH_W5!$B:$B,$B26,MATCH_W5!$H:$H)+SUMIF(MATCH_W6!$B:$B,$B26,MATCH_W6!$H:$H)</x:f>
        <x:v>282</x:v>
      </x:c>
      <x:c r="G26" s="11" t="n">
        <x:f>SUMIF(MATCH_W1!$B:$B,$B26,MATCH_W1!$I:$I)+SUMIF(MATCH_W2!$B:$B,$B26,MATCH_W2!$I:$I)+SUMIF(MATCH_W3!$B:$B,$B26,MATCH_W3!$I:$I)+SUMIF(MATCH_W4!$B:$B,$B26,MATCH_W4!$I:$I)+SUMIF(MATCH_W5!$B:$B,$B26,MATCH_W5!$I:$I)+SUMIF(MATCH_W6!$B:$B,$B26,MATCH_W6!$I:$I)</x:f>
        <x:v>91694</x:v>
      </x:c>
      <x:c r="H26" s="11" t="n">
        <x:f>SUMIF(MATCH_W1!$B:$B,$B26,MATCH_W1!$J:$J)+SUMIF(MATCH_W2!$B:$B,$B26,MATCH_W2!$J:$J)+SUMIF(MATCH_W3!$B:$B,$B26,MATCH_W3!$J:$J)+SUMIF(MATCH_W4!$B:$B,$B26,MATCH_W4!$J:$J)+SUMIF(MATCH_W5!$B:$B,$B26,MATCH_W5!$J:$J)+SUMIF(MATCH_W6!$B:$B,$B26,MATCH_W6!$J:$J)</x:f>
        <x:v>174441</x:v>
      </x:c>
      <x:c r="I26" s="11" t="n">
        <x:f>SUMIF(MATCH_W1!$B:$B,$B26,MATCH_W1!$K:$K)+SUMIF(MATCH_W2!$B:$B,$B26,MATCH_W2!$K:$K)+SUMIF(MATCH_W3!$B:$B,$B26,MATCH_W3!$K:$K)+SUMIF(MATCH_W4!$B:$B,$B26,MATCH_W4!$K:$K)+SUMIF(MATCH_W5!$B:$B,$B26,MATCH_W5!$K:$K)+SUMIF(MATCH_W6!$B:$B,$B26,MATCH_W6!$K:$K)</x:f>
        <x:v>35016</x:v>
      </x:c>
      <x:c r="J26" s="10">
        <x:f t="shared" si="0"/>
        <x:v>1.4466666666666668</x:v>
      </x:c>
      <x:c r="K26" s="12" t="n">
        <x:f>SUMIF(MATCH_W1!$B:$B,$B26,MATCH_W1!$M:$M)+SUMIF(MATCH_W2!$B:$B,$B26,MATCH_W2!$M:$M)+SUMIF(MATCH_W3!$B:$B,$B26,MATCH_W3!$M:$M)+SUMIF(MATCH_W4!$B:$B,$B26,MATCH_W4!$M:$M)+SUMIF(MATCH_W5!$B:$B,$B26,MATCH_W5!$M:$M)+SUMIF(MATCH_W6!$B:$B,$B26,MATCH_W6!$M:$M)</x:f>
        <x:v>14858</x:v>
      </x:c>
    </x:row>
    <x:row r="27">
      <x:c r="A27" s="8" t="s">
        <x:v>39</x:v>
      </x:c>
      <x:c r="B27" s="8" t="s">
        <x:v>45</x:v>
      </x:c>
      <x:c r="C27" s="8" t="s">
        <x:v>16</x:v>
      </x:c>
      <x:c r="D27" s="11" t="n">
        <x:f>SUMIF(MATCH_W1!$B:$B,$B27,MATCH_W1!$F:$F)+SUMIF(MATCH_W2!$B:$B,$B27,MATCH_W2!$F:$F)+SUMIF(MATCH_W3!$B:$B,$B27,MATCH_W3!$F:$F)+SUMIF(MATCH_W4!$B:$B,$B27,MATCH_W4!$F:$F)+SUMIF(MATCH_W5!$B:$B,$B27,MATCH_W5!$F:$F)+SUMIF(MATCH_W6!$B:$B,$B27,MATCH_W6!$F:$F)</x:f>
        <x:v>152</x:v>
      </x:c>
      <x:c r="E27" s="11" t="n">
        <x:f>SUMIF(MATCH_W1!$B:$B,$B27,MATCH_W1!$G:$G)+SUMIF(MATCH_W2!$B:$B,$B27,MATCH_W2!$G:$G)+SUMIF(MATCH_W3!$B:$B,$B27,MATCH_W3!$G:$G)+SUMIF(MATCH_W4!$B:$B,$B27,MATCH_W4!$G:$G)+SUMIF(MATCH_W5!$B:$B,$B27,MATCH_W5!$G:$G)+SUMIF(MATCH_W6!$B:$B,$B27,MATCH_W6!$G:$G)</x:f>
        <x:v>158</x:v>
      </x:c>
      <x:c r="F27" s="11" t="n">
        <x:f>SUMIF(MATCH_W1!$B:$B,$B27,MATCH_W1!$H:$H)+SUMIF(MATCH_W2!$B:$B,$B27,MATCH_W2!$H:$H)+SUMIF(MATCH_W3!$B:$B,$B27,MATCH_W3!$H:$H)+SUMIF(MATCH_W4!$B:$B,$B27,MATCH_W4!$H:$H)+SUMIF(MATCH_W5!$B:$B,$B27,MATCH_W5!$H:$H)+SUMIF(MATCH_W6!$B:$B,$B27,MATCH_W6!$H:$H)</x:f>
        <x:v>342</x:v>
      </x:c>
      <x:c r="G27" s="11" t="n">
        <x:f>SUMIF(MATCH_W1!$B:$B,$B27,MATCH_W1!$I:$I)+SUMIF(MATCH_W2!$B:$B,$B27,MATCH_W2!$I:$I)+SUMIF(MATCH_W3!$B:$B,$B27,MATCH_W3!$I:$I)+SUMIF(MATCH_W4!$B:$B,$B27,MATCH_W4!$I:$I)+SUMIF(MATCH_W5!$B:$B,$B27,MATCH_W5!$I:$I)+SUMIF(MATCH_W6!$B:$B,$B27,MATCH_W6!$I:$I)</x:f>
        <x:v>69446</x:v>
      </x:c>
      <x:c r="H27" s="11" t="n">
        <x:f>SUMIF(MATCH_W1!$B:$B,$B27,MATCH_W1!$J:$J)+SUMIF(MATCH_W2!$B:$B,$B27,MATCH_W2!$J:$J)+SUMIF(MATCH_W3!$B:$B,$B27,MATCH_W3!$J:$J)+SUMIF(MATCH_W4!$B:$B,$B27,MATCH_W4!$J:$J)+SUMIF(MATCH_W5!$B:$B,$B27,MATCH_W5!$J:$J)+SUMIF(MATCH_W6!$B:$B,$B27,MATCH_W6!$J:$J)</x:f>
        <x:v>278309</x:v>
      </x:c>
      <x:c r="I27" s="11" t="n">
        <x:f>SUMIF(MATCH_W1!$B:$B,$B27,MATCH_W1!$K:$K)+SUMIF(MATCH_W2!$B:$B,$B27,MATCH_W2!$K:$K)+SUMIF(MATCH_W3!$B:$B,$B27,MATCH_W3!$K:$K)+SUMIF(MATCH_W4!$B:$B,$B27,MATCH_W4!$K:$K)+SUMIF(MATCH_W5!$B:$B,$B27,MATCH_W5!$K:$K)+SUMIF(MATCH_W6!$B:$B,$B27,MATCH_W6!$K:$K)</x:f>
        <x:v>0</x:v>
      </x:c>
      <x:c r="J27" s="10">
        <x:f t="shared" si="0"/>
        <x:v>0.96202531645569622</x:v>
      </x:c>
      <x:c r="K27" s="12" t="e">
        <x:f>SUMIF(MATCH_W1!$B:$B,$B27,MATCH_W1!$M:$M)+SUMIF(MATCH_W2!$B:$B,$B27,MATCH_W2!$M:$M)+SUMIF(MATCH_W3!$B:$B,$B27,MATCH_W3!$M:$M)+SUMIF(MATCH_W4!$B:$B,$B27,MATCH_W4!$M:$M)+SUMIF(MATCH_W5!$B:$B,$B27,MATCH_W5!$M:$M)+SUMIF(MATCH_W6!$B:$B,$B27,MATCH_W6!$M:$M)</x:f>
        <x:v>#VALUE!</x:v>
      </x:c>
    </x:row>
    <x:row r="28">
      <x:c r="A28" s="8" t="s">
        <x:v>47</x:v>
      </x:c>
      <x:c r="B28" s="8" t="s">
        <x:v>48</x:v>
      </x:c>
      <x:c r="C28" s="8" t="s">
        <x:v>8</x:v>
      </x:c>
      <x:c r="D28" s="11" t="n">
        <x:f>SUMIF(MATCH_W1!$B:$B,$B28,MATCH_W1!$F:$F)+SUMIF(MATCH_W2!$B:$B,$B28,MATCH_W2!$F:$F)+SUMIF(MATCH_W3!$B:$B,$B28,MATCH_W3!$F:$F)+SUMIF(MATCH_W4!$B:$B,$B28,MATCH_W4!$F:$F)+SUMIF(MATCH_W5!$B:$B,$B28,MATCH_W5!$F:$F)+SUMIF(MATCH_W6!$B:$B,$B28,MATCH_W6!$F:$F)</x:f>
        <x:v>134</x:v>
      </x:c>
      <x:c r="E28" s="11" t="n">
        <x:f>SUMIF(MATCH_W1!$B:$B,$B28,MATCH_W1!$G:$G)+SUMIF(MATCH_W2!$B:$B,$B28,MATCH_W2!$G:$G)+SUMIF(MATCH_W3!$B:$B,$B28,MATCH_W3!$G:$G)+SUMIF(MATCH_W4!$B:$B,$B28,MATCH_W4!$G:$G)+SUMIF(MATCH_W5!$B:$B,$B28,MATCH_W5!$G:$G)+SUMIF(MATCH_W6!$B:$B,$B28,MATCH_W6!$G:$G)</x:f>
        <x:v>28</x:v>
      </x:c>
      <x:c r="F28" s="11" t="n">
        <x:f>SUMIF(MATCH_W1!$B:$B,$B28,MATCH_W1!$H:$H)+SUMIF(MATCH_W2!$B:$B,$B28,MATCH_W2!$H:$H)+SUMIF(MATCH_W3!$B:$B,$B28,MATCH_W3!$H:$H)+SUMIF(MATCH_W4!$B:$B,$B28,MATCH_W4!$H:$H)+SUMIF(MATCH_W5!$B:$B,$B28,MATCH_W5!$H:$H)+SUMIF(MATCH_W6!$B:$B,$B28,MATCH_W6!$H:$H)</x:f>
        <x:v>56</x:v>
      </x:c>
      <x:c r="G28" s="11" t="n">
        <x:f>SUMIF(MATCH_W1!$B:$B,$B28,MATCH_W1!$I:$I)+SUMIF(MATCH_W2!$B:$B,$B28,MATCH_W2!$I:$I)+SUMIF(MATCH_W3!$B:$B,$B28,MATCH_W3!$I:$I)+SUMIF(MATCH_W4!$B:$B,$B28,MATCH_W4!$I:$I)+SUMIF(MATCH_W5!$B:$B,$B28,MATCH_W5!$I:$I)+SUMIF(MATCH_W6!$B:$B,$B28,MATCH_W6!$I:$I)</x:f>
        <x:v>64929</x:v>
      </x:c>
      <x:c r="H28" s="11" t="n">
        <x:f>SUMIF(MATCH_W1!$B:$B,$B28,MATCH_W1!$J:$J)+SUMIF(MATCH_W2!$B:$B,$B28,MATCH_W2!$J:$J)+SUMIF(MATCH_W3!$B:$B,$B28,MATCH_W3!$J:$J)+SUMIF(MATCH_W4!$B:$B,$B28,MATCH_W4!$J:$J)+SUMIF(MATCH_W5!$B:$B,$B28,MATCH_W5!$J:$J)+SUMIF(MATCH_W6!$B:$B,$B28,MATCH_W6!$J:$J)</x:f>
        <x:v>13194</x:v>
      </x:c>
      <x:c r="I28" s="11" t="n">
        <x:f>SUMIF(MATCH_W1!$B:$B,$B28,MATCH_W1!$K:$K)+SUMIF(MATCH_W2!$B:$B,$B28,MATCH_W2!$K:$K)+SUMIF(MATCH_W3!$B:$B,$B28,MATCH_W3!$K:$K)+SUMIF(MATCH_W4!$B:$B,$B28,MATCH_W4!$K:$K)+SUMIF(MATCH_W5!$B:$B,$B28,MATCH_W5!$K:$K)+SUMIF(MATCH_W6!$B:$B,$B28,MATCH_W6!$K:$K)</x:f>
        <x:v>38785</x:v>
      </x:c>
      <x:c r="J28" s="10">
        <x:f t="shared" si="0"/>
        <x:v>4.7857142857142856</x:v>
      </x:c>
      <x:c r="K28" s="12" t="n">
        <x:f>SUMIF(MATCH_W1!$B:$B,$B28,MATCH_W1!$M:$M)+SUMIF(MATCH_W2!$B:$B,$B28,MATCH_W2!$M:$M)+SUMIF(MATCH_W3!$B:$B,$B28,MATCH_W3!$M:$M)+SUMIF(MATCH_W4!$B:$B,$B28,MATCH_W4!$M:$M)+SUMIF(MATCH_W5!$B:$B,$B28,MATCH_W5!$M:$M)+SUMIF(MATCH_W6!$B:$B,$B28,MATCH_W6!$M:$M)</x:f>
        <x:v>4189</x:v>
      </x:c>
    </x:row>
    <x:row r="29">
      <x:c r="A29" s="8" t="s">
        <x:v>47</x:v>
      </x:c>
      <x:c r="B29" s="8" t="s">
        <x:v>49</x:v>
      </x:c>
      <x:c r="C29" s="8" t="s">
        <x:v>8</x:v>
      </x:c>
      <x:c r="D29" s="11" t="n">
        <x:f>SUMIF(MATCH_W1!$B:$B,$B29,MATCH_W1!$F:$F)+SUMIF(MATCH_W2!$B:$B,$B29,MATCH_W2!$F:$F)+SUMIF(MATCH_W3!$B:$B,$B29,MATCH_W3!$F:$F)+SUMIF(MATCH_W4!$B:$B,$B29,MATCH_W4!$F:$F)+SUMIF(MATCH_W5!$B:$B,$B29,MATCH_W5!$F:$F)+SUMIF(MATCH_W6!$B:$B,$B29,MATCH_W6!$F:$F)</x:f>
        <x:v>1524</x:v>
      </x:c>
      <x:c r="E29" s="11" t="n">
        <x:f>SUMIF(MATCH_W1!$B:$B,$B29,MATCH_W1!$G:$G)+SUMIF(MATCH_W2!$B:$B,$B29,MATCH_W2!$G:$G)+SUMIF(MATCH_W3!$B:$B,$B29,MATCH_W3!$G:$G)+SUMIF(MATCH_W4!$B:$B,$B29,MATCH_W4!$G:$G)+SUMIF(MATCH_W5!$B:$B,$B29,MATCH_W5!$G:$G)+SUMIF(MATCH_W6!$B:$B,$B29,MATCH_W6!$G:$G)</x:f>
        <x:v>366</x:v>
      </x:c>
      <x:c r="F29" s="11" t="n">
        <x:f>SUMIF(MATCH_W1!$B:$B,$B29,MATCH_W1!$H:$H)+SUMIF(MATCH_W2!$B:$B,$B29,MATCH_W2!$H:$H)+SUMIF(MATCH_W3!$B:$B,$B29,MATCH_W3!$H:$H)+SUMIF(MATCH_W4!$B:$B,$B29,MATCH_W4!$H:$H)+SUMIF(MATCH_W5!$B:$B,$B29,MATCH_W5!$H:$H)+SUMIF(MATCH_W6!$B:$B,$B29,MATCH_W6!$H:$H)</x:f>
        <x:v>766</x:v>
      </x:c>
      <x:c r="G29" s="11" t="n">
        <x:f>SUMIF(MATCH_W1!$B:$B,$B29,MATCH_W1!$I:$I)+SUMIF(MATCH_W2!$B:$B,$B29,MATCH_W2!$I:$I)+SUMIF(MATCH_W3!$B:$B,$B29,MATCH_W3!$I:$I)+SUMIF(MATCH_W4!$B:$B,$B29,MATCH_W4!$I:$I)+SUMIF(MATCH_W5!$B:$B,$B29,MATCH_W5!$I:$I)+SUMIF(MATCH_W6!$B:$B,$B29,MATCH_W6!$I:$I)</x:f>
        <x:v>679637</x:v>
      </x:c>
      <x:c r="H29" s="11" t="n">
        <x:f>SUMIF(MATCH_W1!$B:$B,$B29,MATCH_W1!$J:$J)+SUMIF(MATCH_W2!$B:$B,$B29,MATCH_W2!$J:$J)+SUMIF(MATCH_W3!$B:$B,$B29,MATCH_W3!$J:$J)+SUMIF(MATCH_W4!$B:$B,$B29,MATCH_W4!$J:$J)+SUMIF(MATCH_W5!$B:$B,$B29,MATCH_W5!$J:$J)+SUMIF(MATCH_W6!$B:$B,$B29,MATCH_W6!$J:$J)</x:f>
        <x:v>103656</x:v>
      </x:c>
      <x:c r="I29" s="11" t="n">
        <x:f>SUMIF(MATCH_W1!$B:$B,$B29,MATCH_W1!$K:$K)+SUMIF(MATCH_W2!$B:$B,$B29,MATCH_W2!$K:$K)+SUMIF(MATCH_W3!$B:$B,$B29,MATCH_W3!$K:$K)+SUMIF(MATCH_W4!$B:$B,$B29,MATCH_W4!$K:$K)+SUMIF(MATCH_W5!$B:$B,$B29,MATCH_W5!$K:$K)+SUMIF(MATCH_W6!$B:$B,$B29,MATCH_W6!$K:$K)</x:f>
        <x:v>632316</x:v>
      </x:c>
      <x:c r="J29" s="10">
        <x:f t="shared" si="0"/>
        <x:v>4.1639344262295079</x:v>
      </x:c>
      <x:c r="K29" s="12" t="n">
        <x:f>SUMIF(MATCH_W1!$B:$B,$B29,MATCH_W1!$M:$M)+SUMIF(MATCH_W2!$B:$B,$B29,MATCH_W2!$M:$M)+SUMIF(MATCH_W3!$B:$B,$B29,MATCH_W3!$M:$M)+SUMIF(MATCH_W4!$B:$B,$B29,MATCH_W4!$M:$M)+SUMIF(MATCH_W5!$B:$B,$B29,MATCH_W5!$M:$M)+SUMIF(MATCH_W6!$B:$B,$B29,MATCH_W6!$M:$M)</x:f>
        <x:v>35986</x:v>
      </x:c>
    </x:row>
    <x:row r="30">
      <x:c r="A30" s="8" t="s">
        <x:v>47</x:v>
      </x:c>
      <x:c r="B30" s="8" t="s">
        <x:v>50</x:v>
      </x:c>
      <x:c r="C30" s="8" t="s">
        <x:v>11</x:v>
      </x:c>
      <x:c r="D30" s="11" t="n">
        <x:f>SUMIF(MATCH_W1!$B:$B,$B30,MATCH_W1!$F:$F)+SUMIF(MATCH_W2!$B:$B,$B30,MATCH_W2!$F:$F)+SUMIF(MATCH_W3!$B:$B,$B30,MATCH_W3!$F:$F)+SUMIF(MATCH_W4!$B:$B,$B30,MATCH_W4!$F:$F)+SUMIF(MATCH_W5!$B:$B,$B30,MATCH_W5!$F:$F)+SUMIF(MATCH_W6!$B:$B,$B30,MATCH_W6!$F:$F)</x:f>
        <x:v>1597</x:v>
      </x:c>
      <x:c r="E30" s="11" t="n">
        <x:f>SUMIF(MATCH_W1!$B:$B,$B30,MATCH_W1!$G:$G)+SUMIF(MATCH_W2!$B:$B,$B30,MATCH_W2!$G:$G)+SUMIF(MATCH_W3!$B:$B,$B30,MATCH_W3!$G:$G)+SUMIF(MATCH_W4!$B:$B,$B30,MATCH_W4!$G:$G)+SUMIF(MATCH_W5!$B:$B,$B30,MATCH_W5!$G:$G)+SUMIF(MATCH_W6!$B:$B,$B30,MATCH_W6!$G:$G)</x:f>
        <x:v>396</x:v>
      </x:c>
      <x:c r="F30" s="11" t="n">
        <x:f>SUMIF(MATCH_W1!$B:$B,$B30,MATCH_W1!$H:$H)+SUMIF(MATCH_W2!$B:$B,$B30,MATCH_W2!$H:$H)+SUMIF(MATCH_W3!$B:$B,$B30,MATCH_W3!$H:$H)+SUMIF(MATCH_W4!$B:$B,$B30,MATCH_W4!$H:$H)+SUMIF(MATCH_W5!$B:$B,$B30,MATCH_W5!$H:$H)+SUMIF(MATCH_W6!$B:$B,$B30,MATCH_W6!$H:$H)</x:f>
        <x:v>188</x:v>
      </x:c>
      <x:c r="G30" s="11" t="n">
        <x:f>SUMIF(MATCH_W1!$B:$B,$B30,MATCH_W1!$I:$I)+SUMIF(MATCH_W2!$B:$B,$B30,MATCH_W2!$I:$I)+SUMIF(MATCH_W3!$B:$B,$B30,MATCH_W3!$I:$I)+SUMIF(MATCH_W4!$B:$B,$B30,MATCH_W4!$I:$I)+SUMIF(MATCH_W5!$B:$B,$B30,MATCH_W5!$I:$I)+SUMIF(MATCH_W6!$B:$B,$B30,MATCH_W6!$I:$I)</x:f>
        <x:v>698105</x:v>
      </x:c>
      <x:c r="H30" s="11" t="n">
        <x:f>SUMIF(MATCH_W1!$B:$B,$B30,MATCH_W1!$J:$J)+SUMIF(MATCH_W2!$B:$B,$B30,MATCH_W2!$J:$J)+SUMIF(MATCH_W3!$B:$B,$B30,MATCH_W3!$J:$J)+SUMIF(MATCH_W4!$B:$B,$B30,MATCH_W4!$J:$J)+SUMIF(MATCH_W5!$B:$B,$B30,MATCH_W5!$J:$J)+SUMIF(MATCH_W6!$B:$B,$B30,MATCH_W6!$J:$J)</x:f>
        <x:v>27497</x:v>
      </x:c>
      <x:c r="I30" s="11" t="n">
        <x:f>SUMIF(MATCH_W1!$B:$B,$B30,MATCH_W1!$K:$K)+SUMIF(MATCH_W2!$B:$B,$B30,MATCH_W2!$K:$K)+SUMIF(MATCH_W3!$B:$B,$B30,MATCH_W3!$K:$K)+SUMIF(MATCH_W4!$B:$B,$B30,MATCH_W4!$K:$K)+SUMIF(MATCH_W5!$B:$B,$B30,MATCH_W5!$K:$K)+SUMIF(MATCH_W6!$B:$B,$B30,MATCH_W6!$K:$K)</x:f>
        <x:v>58633</x:v>
      </x:c>
      <x:c r="J30" s="10">
        <x:f t="shared" si="0"/>
        <x:v>4.0328282828282829</x:v>
      </x:c>
      <x:c r="K30" s="12" t="e">
        <x:f>SUMIF(MATCH_W1!$B:$B,$B30,MATCH_W1!$M:$M)+SUMIF(MATCH_W2!$B:$B,$B30,MATCH_W2!$M:$M)+SUMIF(MATCH_W3!$B:$B,$B30,MATCH_W3!$M:$M)+SUMIF(MATCH_W4!$B:$B,$B30,MATCH_W4!$M:$M)+SUMIF(MATCH_W5!$B:$B,$B30,MATCH_W5!$M:$M)+SUMIF(MATCH_W6!$B:$B,$B30,MATCH_W6!$M:$M)</x:f>
        <x:v>#VALUE!</x:v>
      </x:c>
    </x:row>
    <x:row r="31">
      <x:c r="A31" s="8" t="s">
        <x:v>47</x:v>
      </x:c>
      <x:c r="B31" s="8" t="s">
        <x:v>51</x:v>
      </x:c>
      <x:c r="C31" s="8" t="s">
        <x:v>11</x:v>
      </x:c>
      <x:c r="D31" s="11" t="n">
        <x:f>SUMIF(MATCH_W1!$B:$B,$B31,MATCH_W1!$F:$F)+SUMIF(MATCH_W2!$B:$B,$B31,MATCH_W2!$F:$F)+SUMIF(MATCH_W3!$B:$B,$B31,MATCH_W3!$F:$F)+SUMIF(MATCH_W4!$B:$B,$B31,MATCH_W4!$F:$F)+SUMIF(MATCH_W5!$B:$B,$B31,MATCH_W5!$F:$F)+SUMIF(MATCH_W6!$B:$B,$B31,MATCH_W6!$F:$F)</x:f>
        <x:v>1526</x:v>
      </x:c>
      <x:c r="E31" s="11" t="n">
        <x:f>SUMIF(MATCH_W1!$B:$B,$B31,MATCH_W1!$G:$G)+SUMIF(MATCH_W2!$B:$B,$B31,MATCH_W2!$G:$G)+SUMIF(MATCH_W3!$B:$B,$B31,MATCH_W3!$G:$G)+SUMIF(MATCH_W4!$B:$B,$B31,MATCH_W4!$G:$G)+SUMIF(MATCH_W5!$B:$B,$B31,MATCH_W5!$G:$G)+SUMIF(MATCH_W6!$B:$B,$B31,MATCH_W6!$G:$G)</x:f>
        <x:v>470</x:v>
      </x:c>
      <x:c r="F31" s="11" t="n">
        <x:f>SUMIF(MATCH_W1!$B:$B,$B31,MATCH_W1!$H:$H)+SUMIF(MATCH_W2!$B:$B,$B31,MATCH_W2!$H:$H)+SUMIF(MATCH_W3!$B:$B,$B31,MATCH_W3!$H:$H)+SUMIF(MATCH_W4!$B:$B,$B31,MATCH_W4!$H:$H)+SUMIF(MATCH_W5!$B:$B,$B31,MATCH_W5!$H:$H)+SUMIF(MATCH_W6!$B:$B,$B31,MATCH_W6!$H:$H)</x:f>
        <x:v>108</x:v>
      </x:c>
      <x:c r="G31" s="11" t="n">
        <x:f>SUMIF(MATCH_W1!$B:$B,$B31,MATCH_W1!$I:$I)+SUMIF(MATCH_W2!$B:$B,$B31,MATCH_W2!$I:$I)+SUMIF(MATCH_W3!$B:$B,$B31,MATCH_W3!$I:$I)+SUMIF(MATCH_W4!$B:$B,$B31,MATCH_W4!$I:$I)+SUMIF(MATCH_W5!$B:$B,$B31,MATCH_W5!$I:$I)+SUMIF(MATCH_W6!$B:$B,$B31,MATCH_W6!$I:$I)</x:f>
        <x:v>691747</x:v>
      </x:c>
      <x:c r="H31" s="11" t="n">
        <x:f>SUMIF(MATCH_W1!$B:$B,$B31,MATCH_W1!$J:$J)+SUMIF(MATCH_W2!$B:$B,$B31,MATCH_W2!$J:$J)+SUMIF(MATCH_W3!$B:$B,$B31,MATCH_W3!$J:$J)+SUMIF(MATCH_W4!$B:$B,$B31,MATCH_W4!$J:$J)+SUMIF(MATCH_W5!$B:$B,$B31,MATCH_W5!$J:$J)+SUMIF(MATCH_W6!$B:$B,$B31,MATCH_W6!$J:$J)</x:f>
        <x:v>41602</x:v>
      </x:c>
      <x:c r="I31" s="11" t="n">
        <x:f>SUMIF(MATCH_W1!$B:$B,$B31,MATCH_W1!$K:$K)+SUMIF(MATCH_W2!$B:$B,$B31,MATCH_W2!$K:$K)+SUMIF(MATCH_W3!$B:$B,$B31,MATCH_W3!$K:$K)+SUMIF(MATCH_W4!$B:$B,$B31,MATCH_W4!$K:$K)+SUMIF(MATCH_W5!$B:$B,$B31,MATCH_W5!$K:$K)+SUMIF(MATCH_W6!$B:$B,$B31,MATCH_W6!$K:$K)</x:f>
        <x:v>50147</x:v>
      </x:c>
      <x:c r="J31" s="10">
        <x:f t="shared" si="0"/>
        <x:v>3.246808510638298</x:v>
      </x:c>
      <x:c r="K31" s="12" t="e">
        <x:f>SUMIF(MATCH_W1!$B:$B,$B31,MATCH_W1!$M:$M)+SUMIF(MATCH_W2!$B:$B,$B31,MATCH_W2!$M:$M)+SUMIF(MATCH_W3!$B:$B,$B31,MATCH_W3!$M:$M)+SUMIF(MATCH_W4!$B:$B,$B31,MATCH_W4!$M:$M)+SUMIF(MATCH_W5!$B:$B,$B31,MATCH_W5!$M:$M)+SUMIF(MATCH_W6!$B:$B,$B31,MATCH_W6!$M:$M)</x:f>
        <x:v>#VALUE!</x:v>
      </x:c>
    </x:row>
    <x:row r="32">
      <x:c r="A32" s="8" t="s">
        <x:v>47</x:v>
      </x:c>
      <x:c r="B32" s="8" t="s">
        <x:v>52</x:v>
      </x:c>
      <x:c r="C32" s="8" t="s">
        <x:v>16</x:v>
      </x:c>
      <x:c r="D32" s="11" t="n">
        <x:f>SUMIF(MATCH_W1!$B:$B,$B32,MATCH_W1!$F:$F)+SUMIF(MATCH_W2!$B:$B,$B32,MATCH_W2!$F:$F)+SUMIF(MATCH_W3!$B:$B,$B32,MATCH_W3!$F:$F)+SUMIF(MATCH_W4!$B:$B,$B32,MATCH_W4!$F:$F)+SUMIF(MATCH_W5!$B:$B,$B32,MATCH_W5!$F:$F)+SUMIF(MATCH_W6!$B:$B,$B32,MATCH_W6!$F:$F)</x:f>
        <x:v>1319</x:v>
      </x:c>
      <x:c r="E32" s="11" t="n">
        <x:f>SUMIF(MATCH_W1!$B:$B,$B32,MATCH_W1!$G:$G)+SUMIF(MATCH_W2!$B:$B,$B32,MATCH_W2!$G:$G)+SUMIF(MATCH_W3!$B:$B,$B32,MATCH_W3!$G:$G)+SUMIF(MATCH_W4!$B:$B,$B32,MATCH_W4!$G:$G)+SUMIF(MATCH_W5!$B:$B,$B32,MATCH_W5!$G:$G)+SUMIF(MATCH_W6!$B:$B,$B32,MATCH_W6!$G:$G)</x:f>
        <x:v>409</x:v>
      </x:c>
      <x:c r="F32" s="11" t="n">
        <x:f>SUMIF(MATCH_W1!$B:$B,$B32,MATCH_W1!$H:$H)+SUMIF(MATCH_W2!$B:$B,$B32,MATCH_W2!$H:$H)+SUMIF(MATCH_W3!$B:$B,$B32,MATCH_W3!$H:$H)+SUMIF(MATCH_W4!$B:$B,$B32,MATCH_W4!$H:$H)+SUMIF(MATCH_W5!$B:$B,$B32,MATCH_W5!$H:$H)+SUMIF(MATCH_W6!$B:$B,$B32,MATCH_W6!$H:$H)</x:f>
        <x:v>1202</x:v>
      </x:c>
      <x:c r="G32" s="11" t="n">
        <x:f>SUMIF(MATCH_W1!$B:$B,$B32,MATCH_W1!$I:$I)+SUMIF(MATCH_W2!$B:$B,$B32,MATCH_W2!$I:$I)+SUMIF(MATCH_W3!$B:$B,$B32,MATCH_W3!$I:$I)+SUMIF(MATCH_W4!$B:$B,$B32,MATCH_W4!$I:$I)+SUMIF(MATCH_W5!$B:$B,$B32,MATCH_W5!$I:$I)+SUMIF(MATCH_W6!$B:$B,$B32,MATCH_W6!$I:$I)</x:f>
        <x:v>351520</x:v>
      </x:c>
      <x:c r="H32" s="11" t="n">
        <x:f>SUMIF(MATCH_W1!$B:$B,$B32,MATCH_W1!$J:$J)+SUMIF(MATCH_W2!$B:$B,$B32,MATCH_W2!$J:$J)+SUMIF(MATCH_W3!$B:$B,$B32,MATCH_W3!$J:$J)+SUMIF(MATCH_W4!$B:$B,$B32,MATCH_W4!$J:$J)+SUMIF(MATCH_W5!$B:$B,$B32,MATCH_W5!$J:$J)+SUMIF(MATCH_W6!$B:$B,$B32,MATCH_W6!$J:$J)</x:f>
        <x:v>573501</x:v>
      </x:c>
      <x:c r="I32" s="11" t="n">
        <x:f>SUMIF(MATCH_W1!$B:$B,$B32,MATCH_W1!$K:$K)+SUMIF(MATCH_W2!$B:$B,$B32,MATCH_W2!$K:$K)+SUMIF(MATCH_W3!$B:$B,$B32,MATCH_W3!$K:$K)+SUMIF(MATCH_W4!$B:$B,$B32,MATCH_W4!$K:$K)+SUMIF(MATCH_W5!$B:$B,$B32,MATCH_W5!$K:$K)+SUMIF(MATCH_W6!$B:$B,$B32,MATCH_W6!$K:$K)</x:f>
        <x:v>44085</x:v>
      </x:c>
      <x:c r="J32" s="10">
        <x:f t="shared" si="0"/>
        <x:v>3.2249388753056234</x:v>
      </x:c>
      <x:c r="K32" s="12" t="n">
        <x:f>SUMIF(MATCH_W1!$B:$B,$B32,MATCH_W1!$M:$M)+SUMIF(MATCH_W2!$B:$B,$B32,MATCH_W2!$M:$M)+SUMIF(MATCH_W3!$B:$B,$B32,MATCH_W3!$M:$M)+SUMIF(MATCH_W4!$B:$B,$B32,MATCH_W4!$M:$M)+SUMIF(MATCH_W5!$B:$B,$B32,MATCH_W5!$M:$M)+SUMIF(MATCH_W6!$B:$B,$B32,MATCH_W6!$M:$M)</x:f>
        <x:v>40175</x:v>
      </x:c>
    </x:row>
    <x:row r="33">
      <x:c r="A33" s="8" t="s">
        <x:v>47</x:v>
      </x:c>
      <x:c r="B33" s="8" t="s">
        <x:v>53</x:v>
      </x:c>
      <x:c r="C33" s="8" t="s">
        <x:v>16</x:v>
      </x:c>
      <x:c r="D33" s="11" t="n">
        <x:f>SUMIF(MATCH_W1!$B:$B,$B33,MATCH_W1!$F:$F)+SUMIF(MATCH_W2!$B:$B,$B33,MATCH_W2!$F:$F)+SUMIF(MATCH_W3!$B:$B,$B33,MATCH_W3!$F:$F)+SUMIF(MATCH_W4!$B:$B,$B33,MATCH_W4!$F:$F)+SUMIF(MATCH_W5!$B:$B,$B33,MATCH_W5!$F:$F)+SUMIF(MATCH_W6!$B:$B,$B33,MATCH_W6!$F:$F)</x:f>
        <x:v>903</x:v>
      </x:c>
      <x:c r="E33" s="11" t="n">
        <x:f>SUMIF(MATCH_W1!$B:$B,$B33,MATCH_W1!$G:$G)+SUMIF(MATCH_W2!$B:$B,$B33,MATCH_W2!$G:$G)+SUMIF(MATCH_W3!$B:$B,$B33,MATCH_W3!$G:$G)+SUMIF(MATCH_W4!$B:$B,$B33,MATCH_W4!$G:$G)+SUMIF(MATCH_W5!$B:$B,$B33,MATCH_W5!$G:$G)+SUMIF(MATCH_W6!$B:$B,$B33,MATCH_W6!$G:$G)</x:f>
        <x:v>422</x:v>
      </x:c>
      <x:c r="F33" s="11" t="n">
        <x:f>SUMIF(MATCH_W1!$B:$B,$B33,MATCH_W1!$H:$H)+SUMIF(MATCH_W2!$B:$B,$B33,MATCH_W2!$H:$H)+SUMIF(MATCH_W3!$B:$B,$B33,MATCH_W3!$H:$H)+SUMIF(MATCH_W4!$B:$B,$B33,MATCH_W4!$H:$H)+SUMIF(MATCH_W5!$B:$B,$B33,MATCH_W5!$H:$H)+SUMIF(MATCH_W6!$B:$B,$B33,MATCH_W6!$H:$H)</x:f>
        <x:v>1571</x:v>
      </x:c>
      <x:c r="G33" s="11" t="n">
        <x:f>SUMIF(MATCH_W1!$B:$B,$B33,MATCH_W1!$I:$I)+SUMIF(MATCH_W2!$B:$B,$B33,MATCH_W2!$I:$I)+SUMIF(MATCH_W3!$B:$B,$B33,MATCH_W3!$I:$I)+SUMIF(MATCH_W4!$B:$B,$B33,MATCH_W4!$I:$I)+SUMIF(MATCH_W5!$B:$B,$B33,MATCH_W5!$I:$I)+SUMIF(MATCH_W6!$B:$B,$B33,MATCH_W6!$I:$I)</x:f>
        <x:v>306862</x:v>
      </x:c>
      <x:c r="H33" s="11" t="n">
        <x:f>SUMIF(MATCH_W1!$B:$B,$B33,MATCH_W1!$J:$J)+SUMIF(MATCH_W2!$B:$B,$B33,MATCH_W2!$J:$J)+SUMIF(MATCH_W3!$B:$B,$B33,MATCH_W3!$J:$J)+SUMIF(MATCH_W4!$B:$B,$B33,MATCH_W4!$J:$J)+SUMIF(MATCH_W5!$B:$B,$B33,MATCH_W5!$J:$J)+SUMIF(MATCH_W6!$B:$B,$B33,MATCH_W6!$J:$J)</x:f>
        <x:v>719517</x:v>
      </x:c>
      <x:c r="I33" s="11" t="n">
        <x:f>SUMIF(MATCH_W1!$B:$B,$B33,MATCH_W1!$K:$K)+SUMIF(MATCH_W2!$B:$B,$B33,MATCH_W2!$K:$K)+SUMIF(MATCH_W3!$B:$B,$B33,MATCH_W3!$K:$K)+SUMIF(MATCH_W4!$B:$B,$B33,MATCH_W4!$K:$K)+SUMIF(MATCH_W5!$B:$B,$B33,MATCH_W5!$K:$K)+SUMIF(MATCH_W6!$B:$B,$B33,MATCH_W6!$K:$K)</x:f>
        <x:v>20945</x:v>
      </x:c>
      <x:c r="J33" s="10">
        <x:f t="shared" si="0"/>
        <x:v>2.1398104265402842</x:v>
      </x:c>
      <x:c r="K33" s="12" t="n">
        <x:f>SUMIF(MATCH_W1!$B:$B,$B33,MATCH_W1!$M:$M)+SUMIF(MATCH_W2!$B:$B,$B33,MATCH_W2!$M:$M)+SUMIF(MATCH_W3!$B:$B,$B33,MATCH_W3!$M:$M)+SUMIF(MATCH_W4!$B:$B,$B33,MATCH_W4!$M:$M)+SUMIF(MATCH_W5!$B:$B,$B33,MATCH_W5!$M:$M)+SUMIF(MATCH_W6!$B:$B,$B33,MATCH_W6!$M:$M)</x:f>
        <x:v>40175</x:v>
      </x:c>
    </x:row>
    <x:row r="34">
      <x:c r="A34" s="8" t="s">
        <x:v>55</x:v>
      </x:c>
      <x:c r="B34" s="8" t="s">
        <x:v>56</x:v>
      </x:c>
      <x:c r="C34" s="8" t="s">
        <x:v>8</x:v>
      </x:c>
      <x:c r="D34" s="11" t="n">
        <x:f>SUMIF(MATCH_W1!$B:$B,$B34,MATCH_W1!$F:$F)+SUMIF(MATCH_W2!$B:$B,$B34,MATCH_W2!$F:$F)+SUMIF(MATCH_W3!$B:$B,$B34,MATCH_W3!$F:$F)+SUMIF(MATCH_W4!$B:$B,$B34,MATCH_W4!$F:$F)+SUMIF(MATCH_W5!$B:$B,$B34,MATCH_W5!$F:$F)+SUMIF(MATCH_W6!$B:$B,$B34,MATCH_W6!$F:$F)</x:f>
        <x:v>135</x:v>
      </x:c>
      <x:c r="E34" s="11" t="n">
        <x:f>SUMIF(MATCH_W1!$B:$B,$B34,MATCH_W1!$G:$G)+SUMIF(MATCH_W2!$B:$B,$B34,MATCH_W2!$G:$G)+SUMIF(MATCH_W3!$B:$B,$B34,MATCH_W3!$G:$G)+SUMIF(MATCH_W4!$B:$B,$B34,MATCH_W4!$G:$G)+SUMIF(MATCH_W5!$B:$B,$B34,MATCH_W5!$G:$G)+SUMIF(MATCH_W6!$B:$B,$B34,MATCH_W6!$G:$G)</x:f>
        <x:v>27</x:v>
      </x:c>
      <x:c r="F34" s="11" t="n">
        <x:f>SUMIF(MATCH_W1!$B:$B,$B34,MATCH_W1!$H:$H)+SUMIF(MATCH_W2!$B:$B,$B34,MATCH_W2!$H:$H)+SUMIF(MATCH_W3!$B:$B,$B34,MATCH_W3!$H:$H)+SUMIF(MATCH_W4!$B:$B,$B34,MATCH_W4!$H:$H)+SUMIF(MATCH_W5!$B:$B,$B34,MATCH_W5!$H:$H)+SUMIF(MATCH_W6!$B:$B,$B34,MATCH_W6!$H:$H)</x:f>
        <x:v>59</x:v>
      </x:c>
      <x:c r="G34" s="11" t="n">
        <x:f>SUMIF(MATCH_W1!$B:$B,$B34,MATCH_W1!$I:$I)+SUMIF(MATCH_W2!$B:$B,$B34,MATCH_W2!$I:$I)+SUMIF(MATCH_W3!$B:$B,$B34,MATCH_W3!$I:$I)+SUMIF(MATCH_W4!$B:$B,$B34,MATCH_W4!$I:$I)+SUMIF(MATCH_W5!$B:$B,$B34,MATCH_W5!$I:$I)+SUMIF(MATCH_W6!$B:$B,$B34,MATCH_W6!$I:$I)</x:f>
        <x:v>58545</x:v>
      </x:c>
      <x:c r="H34" s="11" t="n">
        <x:f>SUMIF(MATCH_W1!$B:$B,$B34,MATCH_W1!$J:$J)+SUMIF(MATCH_W2!$B:$B,$B34,MATCH_W2!$J:$J)+SUMIF(MATCH_W3!$B:$B,$B34,MATCH_W3!$J:$J)+SUMIF(MATCH_W4!$B:$B,$B34,MATCH_W4!$J:$J)+SUMIF(MATCH_W5!$B:$B,$B34,MATCH_W5!$J:$J)+SUMIF(MATCH_W6!$B:$B,$B34,MATCH_W6!$J:$J)</x:f>
        <x:v>12596</x:v>
      </x:c>
      <x:c r="I34" s="11" t="n">
        <x:f>SUMIF(MATCH_W1!$B:$B,$B34,MATCH_W1!$K:$K)+SUMIF(MATCH_W2!$B:$B,$B34,MATCH_W2!$K:$K)+SUMIF(MATCH_W3!$B:$B,$B34,MATCH_W3!$K:$K)+SUMIF(MATCH_W4!$B:$B,$B34,MATCH_W4!$K:$K)+SUMIF(MATCH_W5!$B:$B,$B34,MATCH_W5!$K:$K)+SUMIF(MATCH_W6!$B:$B,$B34,MATCH_W6!$K:$K)</x:f>
        <x:v>32891</x:v>
      </x:c>
      <x:c r="J34" s="10" t="n">
        <x:f t="shared" ref="J34:J61" si="1">IFERROR(D34/E34,0)</x:f>
        <x:v>5</x:v>
      </x:c>
      <x:c r="K34" s="12" t="n">
        <x:f>SUMIF(MATCH_W1!$B:$B,$B34,MATCH_W1!$M:$M)+SUMIF(MATCH_W2!$B:$B,$B34,MATCH_W2!$M:$M)+SUMIF(MATCH_W3!$B:$B,$B34,MATCH_W3!$M:$M)+SUMIF(MATCH_W4!$B:$B,$B34,MATCH_W4!$M:$M)+SUMIF(MATCH_W5!$B:$B,$B34,MATCH_W5!$M:$M)+SUMIF(MATCH_W6!$B:$B,$B34,MATCH_W6!$M:$M)</x:f>
        <x:v>3446</x:v>
      </x:c>
    </x:row>
    <x:row r="35">
      <x:c r="A35" s="8" t="s">
        <x:v>55</x:v>
      </x:c>
      <x:c r="B35" s="8" t="s">
        <x:v>57</x:v>
      </x:c>
      <x:c r="C35" s="8" t="s">
        <x:v>8</x:v>
      </x:c>
      <x:c r="D35" s="11" t="n">
        <x:f>SUMIF(MATCH_W1!$B:$B,$B35,MATCH_W1!$F:$F)+SUMIF(MATCH_W2!$B:$B,$B35,MATCH_W2!$F:$F)+SUMIF(MATCH_W3!$B:$B,$B35,MATCH_W3!$F:$F)+SUMIF(MATCH_W4!$B:$B,$B35,MATCH_W4!$F:$F)+SUMIF(MATCH_W5!$B:$B,$B35,MATCH_W5!$F:$F)+SUMIF(MATCH_W6!$B:$B,$B35,MATCH_W6!$F:$F)</x:f>
        <x:v>1250</x:v>
      </x:c>
      <x:c r="E35" s="11" t="n">
        <x:f>SUMIF(MATCH_W1!$B:$B,$B35,MATCH_W1!$G:$G)+SUMIF(MATCH_W2!$B:$B,$B35,MATCH_W2!$G:$G)+SUMIF(MATCH_W3!$B:$B,$B35,MATCH_W3!$G:$G)+SUMIF(MATCH_W4!$B:$B,$B35,MATCH_W4!$G:$G)+SUMIF(MATCH_W5!$B:$B,$B35,MATCH_W5!$G:$G)+SUMIF(MATCH_W6!$B:$B,$B35,MATCH_W6!$G:$G)</x:f>
        <x:v>250</x:v>
      </x:c>
      <x:c r="F35" s="11" t="n">
        <x:f>SUMIF(MATCH_W1!$B:$B,$B35,MATCH_W1!$H:$H)+SUMIF(MATCH_W2!$B:$B,$B35,MATCH_W2!$H:$H)+SUMIF(MATCH_W3!$B:$B,$B35,MATCH_W3!$H:$H)+SUMIF(MATCH_W4!$B:$B,$B35,MATCH_W4!$H:$H)+SUMIF(MATCH_W5!$B:$B,$B35,MATCH_W5!$H:$H)+SUMIF(MATCH_W6!$B:$B,$B35,MATCH_W6!$H:$H)</x:f>
        <x:v>573</x:v>
      </x:c>
      <x:c r="G35" s="11" t="n">
        <x:f>SUMIF(MATCH_W1!$B:$B,$B35,MATCH_W1!$I:$I)+SUMIF(MATCH_W2!$B:$B,$B35,MATCH_W2!$I:$I)+SUMIF(MATCH_W3!$B:$B,$B35,MATCH_W3!$I:$I)+SUMIF(MATCH_W4!$B:$B,$B35,MATCH_W4!$I:$I)+SUMIF(MATCH_W5!$B:$B,$B35,MATCH_W5!$I:$I)+SUMIF(MATCH_W6!$B:$B,$B35,MATCH_W6!$I:$I)</x:f>
        <x:v>599878</x:v>
      </x:c>
      <x:c r="H35" s="11" t="n">
        <x:f>SUMIF(MATCH_W1!$B:$B,$B35,MATCH_W1!$J:$J)+SUMIF(MATCH_W2!$B:$B,$B35,MATCH_W2!$J:$J)+SUMIF(MATCH_W3!$B:$B,$B35,MATCH_W3!$J:$J)+SUMIF(MATCH_W4!$B:$B,$B35,MATCH_W4!$J:$J)+SUMIF(MATCH_W5!$B:$B,$B35,MATCH_W5!$J:$J)+SUMIF(MATCH_W6!$B:$B,$B35,MATCH_W6!$J:$J)</x:f>
        <x:v>66239</x:v>
      </x:c>
      <x:c r="I35" s="11" t="n">
        <x:f>SUMIF(MATCH_W1!$B:$B,$B35,MATCH_W1!$K:$K)+SUMIF(MATCH_W2!$B:$B,$B35,MATCH_W2!$K:$K)+SUMIF(MATCH_W3!$B:$B,$B35,MATCH_W3!$K:$K)+SUMIF(MATCH_W4!$B:$B,$B35,MATCH_W4!$K:$K)+SUMIF(MATCH_W5!$B:$B,$B35,MATCH_W5!$K:$K)+SUMIF(MATCH_W6!$B:$B,$B35,MATCH_W6!$K:$K)</x:f>
        <x:v>720361</x:v>
      </x:c>
      <x:c r="J35" s="10">
        <x:f t="shared" si="1"/>
        <x:v>5</x:v>
      </x:c>
      <x:c r="K35" s="12" t="e">
        <x:f>SUMIF(MATCH_W1!$B:$B,$B35,MATCH_W1!$M:$M)+SUMIF(MATCH_W2!$B:$B,$B35,MATCH_W2!$M:$M)+SUMIF(MATCH_W3!$B:$B,$B35,MATCH_W3!$M:$M)+SUMIF(MATCH_W4!$B:$B,$B35,MATCH_W4!$M:$M)+SUMIF(MATCH_W5!$B:$B,$B35,MATCH_W5!$M:$M)+SUMIF(MATCH_W6!$B:$B,$B35,MATCH_W6!$M:$M)</x:f>
        <x:v>#VALUE!</x:v>
      </x:c>
    </x:row>
    <x:row r="36">
      <x:c r="A36" s="8" t="s">
        <x:v>55</x:v>
      </x:c>
      <x:c r="B36" s="8" t="s">
        <x:v>58</x:v>
      </x:c>
      <x:c r="C36" s="8" t="s">
        <x:v>11</x:v>
      </x:c>
      <x:c r="D36" s="11" t="n">
        <x:f>SUMIF(MATCH_W1!$B:$B,$B36,MATCH_W1!$F:$F)+SUMIF(MATCH_W2!$B:$B,$B36,MATCH_W2!$F:$F)+SUMIF(MATCH_W3!$B:$B,$B36,MATCH_W3!$F:$F)+SUMIF(MATCH_W4!$B:$B,$B36,MATCH_W4!$F:$F)+SUMIF(MATCH_W5!$B:$B,$B36,MATCH_W5!$F:$F)+SUMIF(MATCH_W6!$B:$B,$B36,MATCH_W6!$F:$F)</x:f>
        <x:v>1175</x:v>
      </x:c>
      <x:c r="E36" s="11" t="n">
        <x:f>SUMIF(MATCH_W1!$B:$B,$B36,MATCH_W1!$G:$G)+SUMIF(MATCH_W2!$B:$B,$B36,MATCH_W2!$G:$G)+SUMIF(MATCH_W3!$B:$B,$B36,MATCH_W3!$G:$G)+SUMIF(MATCH_W4!$B:$B,$B36,MATCH_W4!$G:$G)+SUMIF(MATCH_W5!$B:$B,$B36,MATCH_W5!$G:$G)+SUMIF(MATCH_W6!$B:$B,$B36,MATCH_W6!$G:$G)</x:f>
        <x:v>310</x:v>
      </x:c>
      <x:c r="F36" s="11" t="n">
        <x:f>SUMIF(MATCH_W1!$B:$B,$B36,MATCH_W1!$H:$H)+SUMIF(MATCH_W2!$B:$B,$B36,MATCH_W2!$H:$H)+SUMIF(MATCH_W3!$B:$B,$B36,MATCH_W3!$H:$H)+SUMIF(MATCH_W4!$B:$B,$B36,MATCH_W4!$H:$H)+SUMIF(MATCH_W5!$B:$B,$B36,MATCH_W5!$H:$H)+SUMIF(MATCH_W6!$B:$B,$B36,MATCH_W6!$H:$H)</x:f>
        <x:v>188</x:v>
      </x:c>
      <x:c r="G36" s="11" t="n">
        <x:f>SUMIF(MATCH_W1!$B:$B,$B36,MATCH_W1!$I:$I)+SUMIF(MATCH_W2!$B:$B,$B36,MATCH_W2!$I:$I)+SUMIF(MATCH_W3!$B:$B,$B36,MATCH_W3!$I:$I)+SUMIF(MATCH_W4!$B:$B,$B36,MATCH_W4!$I:$I)+SUMIF(MATCH_W5!$B:$B,$B36,MATCH_W5!$I:$I)+SUMIF(MATCH_W6!$B:$B,$B36,MATCH_W6!$I:$I)</x:f>
        <x:v>499969</x:v>
      </x:c>
      <x:c r="H36" s="11" t="n">
        <x:f>SUMIF(MATCH_W1!$B:$B,$B36,MATCH_W1!$J:$J)+SUMIF(MATCH_W2!$B:$B,$B36,MATCH_W2!$J:$J)+SUMIF(MATCH_W3!$B:$B,$B36,MATCH_W3!$J:$J)+SUMIF(MATCH_W4!$B:$B,$B36,MATCH_W4!$J:$J)+SUMIF(MATCH_W5!$B:$B,$B36,MATCH_W5!$J:$J)+SUMIF(MATCH_W6!$B:$B,$B36,MATCH_W6!$J:$J)</x:f>
        <x:v>42805</x:v>
      </x:c>
      <x:c r="I36" s="11" t="n">
        <x:f>SUMIF(MATCH_W1!$B:$B,$B36,MATCH_W1!$K:$K)+SUMIF(MATCH_W2!$B:$B,$B36,MATCH_W2!$K:$K)+SUMIF(MATCH_W3!$B:$B,$B36,MATCH_W3!$K:$K)+SUMIF(MATCH_W4!$B:$B,$B36,MATCH_W4!$K:$K)+SUMIF(MATCH_W5!$B:$B,$B36,MATCH_W5!$K:$K)+SUMIF(MATCH_W6!$B:$B,$B36,MATCH_W6!$K:$K)</x:f>
        <x:v>100682</x:v>
      </x:c>
      <x:c r="J36" s="10">
        <x:f t="shared" si="1"/>
        <x:v>3.7903225806451615</x:v>
      </x:c>
      <x:c r="K36" s="12" t="n">
        <x:f>SUMIF(MATCH_W1!$B:$B,$B36,MATCH_W1!$M:$M)+SUMIF(MATCH_W2!$B:$B,$B36,MATCH_W2!$M:$M)+SUMIF(MATCH_W3!$B:$B,$B36,MATCH_W3!$M:$M)+SUMIF(MATCH_W4!$B:$B,$B36,MATCH_W4!$M:$M)+SUMIF(MATCH_W5!$B:$B,$B36,MATCH_W5!$M:$M)+SUMIF(MATCH_W6!$B:$B,$B36,MATCH_W6!$M:$M)</x:f>
        <x:v>30858</x:v>
      </x:c>
    </x:row>
    <x:row r="37">
      <x:c r="A37" s="8" t="s">
        <x:v>55</x:v>
      </x:c>
      <x:c r="B37" s="8" t="s">
        <x:v>59</x:v>
      </x:c>
      <x:c r="C37" s="8" t="s">
        <x:v>11</x:v>
      </x:c>
      <x:c r="D37" s="11" t="n">
        <x:f>SUMIF(MATCH_W1!$B:$B,$B37,MATCH_W1!$F:$F)+SUMIF(MATCH_W2!$B:$B,$B37,MATCH_W2!$F:$F)+SUMIF(MATCH_W3!$B:$B,$B37,MATCH_W3!$F:$F)+SUMIF(MATCH_W4!$B:$B,$B37,MATCH_W4!$F:$F)+SUMIF(MATCH_W5!$B:$B,$B37,MATCH_W5!$F:$F)+SUMIF(MATCH_W6!$B:$B,$B37,MATCH_W6!$F:$F)</x:f>
        <x:v>409</x:v>
      </x:c>
      <x:c r="E37" s="11" t="n">
        <x:f>SUMIF(MATCH_W1!$B:$B,$B37,MATCH_W1!$G:$G)+SUMIF(MATCH_W2!$B:$B,$B37,MATCH_W2!$G:$G)+SUMIF(MATCH_W3!$B:$B,$B37,MATCH_W3!$G:$G)+SUMIF(MATCH_W4!$B:$B,$B37,MATCH_W4!$G:$G)+SUMIF(MATCH_W5!$B:$B,$B37,MATCH_W5!$G:$G)+SUMIF(MATCH_W6!$B:$B,$B37,MATCH_W6!$G:$G)</x:f>
        <x:v>98</x:v>
      </x:c>
      <x:c r="F37" s="11" t="n">
        <x:f>SUMIF(MATCH_W1!$B:$B,$B37,MATCH_W1!$H:$H)+SUMIF(MATCH_W2!$B:$B,$B37,MATCH_W2!$H:$H)+SUMIF(MATCH_W3!$B:$B,$B37,MATCH_W3!$H:$H)+SUMIF(MATCH_W4!$B:$B,$B37,MATCH_W4!$H:$H)+SUMIF(MATCH_W5!$B:$B,$B37,MATCH_W5!$H:$H)+SUMIF(MATCH_W6!$B:$B,$B37,MATCH_W6!$H:$H)</x:f>
        <x:v>43</x:v>
      </x:c>
      <x:c r="G37" s="11" t="n">
        <x:f>SUMIF(MATCH_W1!$B:$B,$B37,MATCH_W1!$I:$I)+SUMIF(MATCH_W2!$B:$B,$B37,MATCH_W2!$I:$I)+SUMIF(MATCH_W3!$B:$B,$B37,MATCH_W3!$I:$I)+SUMIF(MATCH_W4!$B:$B,$B37,MATCH_W4!$I:$I)+SUMIF(MATCH_W5!$B:$B,$B37,MATCH_W5!$I:$I)+SUMIF(MATCH_W6!$B:$B,$B37,MATCH_W6!$I:$I)</x:f>
        <x:v>194424</x:v>
      </x:c>
      <x:c r="H37" s="11" t="n">
        <x:f>SUMIF(MATCH_W1!$B:$B,$B37,MATCH_W1!$J:$J)+SUMIF(MATCH_W2!$B:$B,$B37,MATCH_W2!$J:$J)+SUMIF(MATCH_W3!$B:$B,$B37,MATCH_W3!$J:$J)+SUMIF(MATCH_W4!$B:$B,$B37,MATCH_W4!$J:$J)+SUMIF(MATCH_W5!$B:$B,$B37,MATCH_W5!$J:$J)+SUMIF(MATCH_W6!$B:$B,$B37,MATCH_W6!$J:$J)</x:f>
        <x:v>2368</x:v>
      </x:c>
      <x:c r="I37" s="11" t="n">
        <x:f>SUMIF(MATCH_W1!$B:$B,$B37,MATCH_W1!$K:$K)+SUMIF(MATCH_W2!$B:$B,$B37,MATCH_W2!$K:$K)+SUMIF(MATCH_W3!$B:$B,$B37,MATCH_W3!$K:$K)+SUMIF(MATCH_W4!$B:$B,$B37,MATCH_W4!$K:$K)+SUMIF(MATCH_W5!$B:$B,$B37,MATCH_W5!$K:$K)+SUMIF(MATCH_W6!$B:$B,$B37,MATCH_W6!$K:$K)</x:f>
        <x:v>4793</x:v>
      </x:c>
      <x:c r="J37" s="10">
        <x:f t="shared" si="1"/>
        <x:v>4.1734693877551017</x:v>
      </x:c>
      <x:c r="K37" s="12" t="e">
        <x:f>SUMIF(MATCH_W1!$B:$B,$B37,MATCH_W1!$M:$M)+SUMIF(MATCH_W2!$B:$B,$B37,MATCH_W2!$M:$M)+SUMIF(MATCH_W3!$B:$B,$B37,MATCH_W3!$M:$M)+SUMIF(MATCH_W4!$B:$B,$B37,MATCH_W4!$M:$M)+SUMIF(MATCH_W5!$B:$B,$B37,MATCH_W5!$M:$M)+SUMIF(MATCH_W6!$B:$B,$B37,MATCH_W6!$M:$M)</x:f>
        <x:v>#VALUE!</x:v>
      </x:c>
    </x:row>
    <x:row r="38">
      <x:c r="A38" s="8" t="s">
        <x:v>55</x:v>
      </x:c>
      <x:c r="B38" s="8" t="s">
        <x:v>60</x:v>
      </x:c>
      <x:c r="C38" s="8" t="s">
        <x:v>11</x:v>
      </x:c>
      <x:c r="D38" s="11" t="n">
        <x:f>SUMIF(MATCH_W1!$B:$B,$B38,MATCH_W1!$F:$F)+SUMIF(MATCH_W2!$B:$B,$B38,MATCH_W2!$F:$F)+SUMIF(MATCH_W3!$B:$B,$B38,MATCH_W3!$F:$F)+SUMIF(MATCH_W4!$B:$B,$B38,MATCH_W4!$F:$F)+SUMIF(MATCH_W5!$B:$B,$B38,MATCH_W5!$F:$F)+SUMIF(MATCH_W6!$B:$B,$B38,MATCH_W6!$F:$F)</x:f>
        <x:v>1059</x:v>
      </x:c>
      <x:c r="E38" s="11" t="n">
        <x:f>SUMIF(MATCH_W1!$B:$B,$B38,MATCH_W1!$G:$G)+SUMIF(MATCH_W2!$B:$B,$B38,MATCH_W2!$G:$G)+SUMIF(MATCH_W3!$B:$B,$B38,MATCH_W3!$G:$G)+SUMIF(MATCH_W4!$B:$B,$B38,MATCH_W4!$G:$G)+SUMIF(MATCH_W5!$B:$B,$B38,MATCH_W5!$G:$G)+SUMIF(MATCH_W6!$B:$B,$B38,MATCH_W6!$G:$G)</x:f>
        <x:v>298</x:v>
      </x:c>
      <x:c r="F38" s="11" t="n">
        <x:f>SUMIF(MATCH_W1!$B:$B,$B38,MATCH_W1!$H:$H)+SUMIF(MATCH_W2!$B:$B,$B38,MATCH_W2!$H:$H)+SUMIF(MATCH_W3!$B:$B,$B38,MATCH_W3!$H:$H)+SUMIF(MATCH_W4!$B:$B,$B38,MATCH_W4!$H:$H)+SUMIF(MATCH_W5!$B:$B,$B38,MATCH_W5!$H:$H)+SUMIF(MATCH_W6!$B:$B,$B38,MATCH_W6!$H:$H)</x:f>
        <x:v>105</x:v>
      </x:c>
      <x:c r="G38" s="11" t="n">
        <x:f>SUMIF(MATCH_W1!$B:$B,$B38,MATCH_W1!$I:$I)+SUMIF(MATCH_W2!$B:$B,$B38,MATCH_W2!$I:$I)+SUMIF(MATCH_W3!$B:$B,$B38,MATCH_W3!$I:$I)+SUMIF(MATCH_W4!$B:$B,$B38,MATCH_W4!$I:$I)+SUMIF(MATCH_W5!$B:$B,$B38,MATCH_W5!$I:$I)+SUMIF(MATCH_W6!$B:$B,$B38,MATCH_W6!$I:$I)</x:f>
        <x:v>475987</x:v>
      </x:c>
      <x:c r="H38" s="11" t="n">
        <x:f>SUMIF(MATCH_W1!$B:$B,$B38,MATCH_W1!$J:$J)+SUMIF(MATCH_W2!$B:$B,$B38,MATCH_W2!$J:$J)+SUMIF(MATCH_W3!$B:$B,$B38,MATCH_W3!$J:$J)+SUMIF(MATCH_W4!$B:$B,$B38,MATCH_W4!$J:$J)+SUMIF(MATCH_W5!$B:$B,$B38,MATCH_W5!$J:$J)+SUMIF(MATCH_W6!$B:$B,$B38,MATCH_W6!$J:$J)</x:f>
        <x:v>9498</x:v>
      </x:c>
      <x:c r="I38" s="11" t="n">
        <x:f>SUMIF(MATCH_W1!$B:$B,$B38,MATCH_W1!$K:$K)+SUMIF(MATCH_W2!$B:$B,$B38,MATCH_W2!$K:$K)+SUMIF(MATCH_W3!$B:$B,$B38,MATCH_W3!$K:$K)+SUMIF(MATCH_W4!$B:$B,$B38,MATCH_W4!$K:$K)+SUMIF(MATCH_W5!$B:$B,$B38,MATCH_W5!$K:$K)+SUMIF(MATCH_W6!$B:$B,$B38,MATCH_W6!$K:$K)</x:f>
        <x:v>43066</x:v>
      </x:c>
      <x:c r="J38" s="10">
        <x:f t="shared" si="1"/>
        <x:v>3.5536912751677852</x:v>
      </x:c>
      <x:c r="K38" s="12" t="n">
        <x:f>SUMIF(MATCH_W1!$B:$B,$B38,MATCH_W1!$M:$M)+SUMIF(MATCH_W2!$B:$B,$B38,MATCH_W2!$M:$M)+SUMIF(MATCH_W3!$B:$B,$B38,MATCH_W3!$M:$M)+SUMIF(MATCH_W4!$B:$B,$B38,MATCH_W4!$M:$M)+SUMIF(MATCH_W5!$B:$B,$B38,MATCH_W5!$M:$M)+SUMIF(MATCH_W6!$B:$B,$B38,MATCH_W6!$M:$M)</x:f>
        <x:v>27601</x:v>
      </x:c>
    </x:row>
    <x:row r="39">
      <x:c r="A39" s="8" t="s">
        <x:v>55</x:v>
      </x:c>
      <x:c r="B39" s="8" t="s">
        <x:v>61</x:v>
      </x:c>
      <x:c r="C39" s="8" t="s">
        <x:v>16</x:v>
      </x:c>
      <x:c r="D39" s="11" t="n">
        <x:f>SUMIF(MATCH_W1!$B:$B,$B39,MATCH_W1!$F:$F)+SUMIF(MATCH_W2!$B:$B,$B39,MATCH_W2!$F:$F)+SUMIF(MATCH_W3!$B:$B,$B39,MATCH_W3!$F:$F)+SUMIF(MATCH_W4!$B:$B,$B39,MATCH_W4!$F:$F)+SUMIF(MATCH_W5!$B:$B,$B39,MATCH_W5!$F:$F)+SUMIF(MATCH_W6!$B:$B,$B39,MATCH_W6!$F:$F)</x:f>
        <x:v>1122</x:v>
      </x:c>
      <x:c r="E39" s="11" t="n">
        <x:f>SUMIF(MATCH_W1!$B:$B,$B39,MATCH_W1!$G:$G)+SUMIF(MATCH_W2!$B:$B,$B39,MATCH_W2!$G:$G)+SUMIF(MATCH_W3!$B:$B,$B39,MATCH_W3!$G:$G)+SUMIF(MATCH_W4!$B:$B,$B39,MATCH_W4!$G:$G)+SUMIF(MATCH_W5!$B:$B,$B39,MATCH_W5!$G:$G)+SUMIF(MATCH_W6!$B:$B,$B39,MATCH_W6!$G:$G)</x:f>
        <x:v>330</x:v>
      </x:c>
      <x:c r="F39" s="11" t="n">
        <x:f>SUMIF(MATCH_W1!$B:$B,$B39,MATCH_W1!$H:$H)+SUMIF(MATCH_W2!$B:$B,$B39,MATCH_W2!$H:$H)+SUMIF(MATCH_W3!$B:$B,$B39,MATCH_W3!$H:$H)+SUMIF(MATCH_W4!$B:$B,$B39,MATCH_W4!$H:$H)+SUMIF(MATCH_W5!$B:$B,$B39,MATCH_W5!$H:$H)+SUMIF(MATCH_W6!$B:$B,$B39,MATCH_W6!$H:$H)</x:f>
        <x:v>1171</x:v>
      </x:c>
      <x:c r="G39" s="11" t="n">
        <x:f>SUMIF(MATCH_W1!$B:$B,$B39,MATCH_W1!$I:$I)+SUMIF(MATCH_W2!$B:$B,$B39,MATCH_W2!$I:$I)+SUMIF(MATCH_W3!$B:$B,$B39,MATCH_W3!$I:$I)+SUMIF(MATCH_W4!$B:$B,$B39,MATCH_W4!$I:$I)+SUMIF(MATCH_W5!$B:$B,$B39,MATCH_W5!$I:$I)+SUMIF(MATCH_W6!$B:$B,$B39,MATCH_W6!$I:$I)</x:f>
        <x:v>295633</x:v>
      </x:c>
      <x:c r="H39" s="11" t="n">
        <x:f>SUMIF(MATCH_W1!$B:$B,$B39,MATCH_W1!$J:$J)+SUMIF(MATCH_W2!$B:$B,$B39,MATCH_W2!$J:$J)+SUMIF(MATCH_W3!$B:$B,$B39,MATCH_W3!$J:$J)+SUMIF(MATCH_W4!$B:$B,$B39,MATCH_W4!$J:$J)+SUMIF(MATCH_W5!$B:$B,$B39,MATCH_W5!$J:$J)+SUMIF(MATCH_W6!$B:$B,$B39,MATCH_W6!$J:$J)</x:f>
        <x:v>470800</x:v>
      </x:c>
      <x:c r="I39" s="11" t="n">
        <x:f>SUMIF(MATCH_W1!$B:$B,$B39,MATCH_W1!$K:$K)+SUMIF(MATCH_W2!$B:$B,$B39,MATCH_W2!$K:$K)+SUMIF(MATCH_W3!$B:$B,$B39,MATCH_W3!$K:$K)+SUMIF(MATCH_W4!$B:$B,$B39,MATCH_W4!$K:$K)+SUMIF(MATCH_W5!$B:$B,$B39,MATCH_W5!$K:$K)+SUMIF(MATCH_W6!$B:$B,$B39,MATCH_W6!$K:$K)</x:f>
        <x:v>82377</x:v>
      </x:c>
      <x:c r="J39" s="10">
        <x:f t="shared" si="1"/>
        <x:v>3.4</x:v>
      </x:c>
      <x:c r="K39" s="12" t="n">
        <x:f>SUMIF(MATCH_W1!$B:$B,$B39,MATCH_W1!$M:$M)+SUMIF(MATCH_W2!$B:$B,$B39,MATCH_W2!$M:$M)+SUMIF(MATCH_W3!$B:$B,$B39,MATCH_W3!$M:$M)+SUMIF(MATCH_W4!$B:$B,$B39,MATCH_W4!$M:$M)+SUMIF(MATCH_W5!$B:$B,$B39,MATCH_W5!$M:$M)+SUMIF(MATCH_W6!$B:$B,$B39,MATCH_W6!$M:$M)</x:f>
        <x:v>34527</x:v>
      </x:c>
    </x:row>
    <x:row r="40">
      <x:c r="A40" s="8" t="s">
        <x:v>55</x:v>
      </x:c>
      <x:c r="B40" s="8" t="s">
        <x:v>62</x:v>
      </x:c>
      <x:c r="C40" s="8" t="s">
        <x:v>16</x:v>
      </x:c>
      <x:c r="D40" s="11" t="n">
        <x:f>SUMIF(MATCH_W1!$B:$B,$B40,MATCH_W1!$F:$F)+SUMIF(MATCH_W2!$B:$B,$B40,MATCH_W2!$F:$F)+SUMIF(MATCH_W3!$B:$B,$B40,MATCH_W3!$F:$F)+SUMIF(MATCH_W4!$B:$B,$B40,MATCH_W4!$F:$F)+SUMIF(MATCH_W5!$B:$B,$B40,MATCH_W5!$F:$F)+SUMIF(MATCH_W6!$B:$B,$B40,MATCH_W6!$F:$F)</x:f>
        <x:v>846</x:v>
      </x:c>
      <x:c r="E40" s="11" t="n">
        <x:f>SUMIF(MATCH_W1!$B:$B,$B40,MATCH_W1!$G:$G)+SUMIF(MATCH_W2!$B:$B,$B40,MATCH_W2!$G:$G)+SUMIF(MATCH_W3!$B:$B,$B40,MATCH_W3!$G:$G)+SUMIF(MATCH_W4!$B:$B,$B40,MATCH_W4!$G:$G)+SUMIF(MATCH_W5!$B:$B,$B40,MATCH_W5!$G:$G)+SUMIF(MATCH_W6!$B:$B,$B40,MATCH_W6!$G:$G)</x:f>
        <x:v>288</x:v>
      </x:c>
      <x:c r="F40" s="11" t="n">
        <x:f>SUMIF(MATCH_W1!$B:$B,$B40,MATCH_W1!$H:$H)+SUMIF(MATCH_W2!$B:$B,$B40,MATCH_W2!$H:$H)+SUMIF(MATCH_W3!$B:$B,$B40,MATCH_W3!$H:$H)+SUMIF(MATCH_W4!$B:$B,$B40,MATCH_W4!$H:$H)+SUMIF(MATCH_W5!$B:$B,$B40,MATCH_W5!$H:$H)+SUMIF(MATCH_W6!$B:$B,$B40,MATCH_W6!$H:$H)</x:f>
        <x:v>1366</x:v>
      </x:c>
      <x:c r="G40" s="11" t="n">
        <x:f>SUMIF(MATCH_W1!$B:$B,$B40,MATCH_W1!$I:$I)+SUMIF(MATCH_W2!$B:$B,$B40,MATCH_W2!$I:$I)+SUMIF(MATCH_W3!$B:$B,$B40,MATCH_W3!$I:$I)+SUMIF(MATCH_W4!$B:$B,$B40,MATCH_W4!$I:$I)+SUMIF(MATCH_W5!$B:$B,$B40,MATCH_W5!$I:$I)+SUMIF(MATCH_W6!$B:$B,$B40,MATCH_W6!$I:$I)</x:f>
        <x:v>265037</x:v>
      </x:c>
      <x:c r="H40" s="11" t="n">
        <x:f>SUMIF(MATCH_W1!$B:$B,$B40,MATCH_W1!$J:$J)+SUMIF(MATCH_W2!$B:$B,$B40,MATCH_W2!$J:$J)+SUMIF(MATCH_W3!$B:$B,$B40,MATCH_W3!$J:$J)+SUMIF(MATCH_W4!$B:$B,$B40,MATCH_W4!$J:$J)+SUMIF(MATCH_W5!$B:$B,$B40,MATCH_W5!$J:$J)+SUMIF(MATCH_W6!$B:$B,$B40,MATCH_W6!$J:$J)</x:f>
        <x:v>700591</x:v>
      </x:c>
      <x:c r="I40" s="11" t="n">
        <x:f>SUMIF(MATCH_W1!$B:$B,$B40,MATCH_W1!$K:$K)+SUMIF(MATCH_W2!$B:$B,$B40,MATCH_W2!$K:$K)+SUMIF(MATCH_W3!$B:$B,$B40,MATCH_W3!$K:$K)+SUMIF(MATCH_W4!$B:$B,$B40,MATCH_W4!$K:$K)+SUMIF(MATCH_W5!$B:$B,$B40,MATCH_W5!$K:$K)+SUMIF(MATCH_W6!$B:$B,$B40,MATCH_W6!$K:$K)</x:f>
        <x:v>2654</x:v>
      </x:c>
      <x:c r="J40" s="10">
        <x:f t="shared" si="1"/>
        <x:v>2.9375</x:v>
      </x:c>
      <x:c r="K40" s="12" t="e">
        <x:f>SUMIF(MATCH_W1!$B:$B,$B40,MATCH_W1!$M:$M)+SUMIF(MATCH_W2!$B:$B,$B40,MATCH_W2!$M:$M)+SUMIF(MATCH_W3!$B:$B,$B40,MATCH_W3!$M:$M)+SUMIF(MATCH_W4!$B:$B,$B40,MATCH_W4!$M:$M)+SUMIF(MATCH_W5!$B:$B,$B40,MATCH_W5!$M:$M)+SUMIF(MATCH_W6!$B:$B,$B40,MATCH_W6!$M:$M)</x:f>
        <x:v>#VALUE!</x:v>
      </x:c>
    </x:row>
    <x:row r="41">
      <x:c r="A41" s="8" t="s">
        <x:v>63</x:v>
      </x:c>
      <x:c r="B41" s="8" t="s">
        <x:v>64</x:v>
      </x:c>
      <x:c r="C41" s="8" t="s">
        <x:v>8</x:v>
      </x:c>
      <x:c r="D41" s="11" t="n">
        <x:f>SUMIF(MATCH_W1!$B:$B,$B41,MATCH_W1!$F:$F)+SUMIF(MATCH_W2!$B:$B,$B41,MATCH_W2!$F:$F)+SUMIF(MATCH_W3!$B:$B,$B41,MATCH_W3!$F:$F)+SUMIF(MATCH_W4!$B:$B,$B41,MATCH_W4!$F:$F)+SUMIF(MATCH_W5!$B:$B,$B41,MATCH_W5!$F:$F)+SUMIF(MATCH_W6!$B:$B,$B41,MATCH_W6!$F:$F)</x:f>
        <x:v>790</x:v>
      </x:c>
      <x:c r="E41" s="11" t="n">
        <x:f>SUMIF(MATCH_W1!$B:$B,$B41,MATCH_W1!$G:$G)+SUMIF(MATCH_W2!$B:$B,$B41,MATCH_W2!$G:$G)+SUMIF(MATCH_W3!$B:$B,$B41,MATCH_W3!$G:$G)+SUMIF(MATCH_W4!$B:$B,$B41,MATCH_W4!$G:$G)+SUMIF(MATCH_W5!$B:$B,$B41,MATCH_W5!$G:$G)+SUMIF(MATCH_W6!$B:$B,$B41,MATCH_W6!$G:$G)</x:f>
        <x:v>193</x:v>
      </x:c>
      <x:c r="F41" s="11" t="n">
        <x:f>SUMIF(MATCH_W1!$B:$B,$B41,MATCH_W1!$H:$H)+SUMIF(MATCH_W2!$B:$B,$B41,MATCH_W2!$H:$H)+SUMIF(MATCH_W3!$B:$B,$B41,MATCH_W3!$H:$H)+SUMIF(MATCH_W4!$B:$B,$B41,MATCH_W4!$H:$H)+SUMIF(MATCH_W5!$B:$B,$B41,MATCH_W5!$H:$H)+SUMIF(MATCH_W6!$B:$B,$B41,MATCH_W6!$H:$H)</x:f>
        <x:v>441</x:v>
      </x:c>
      <x:c r="G41" s="11" t="n">
        <x:f>SUMIF(MATCH_W1!$B:$B,$B41,MATCH_W1!$I:$I)+SUMIF(MATCH_W2!$B:$B,$B41,MATCH_W2!$I:$I)+SUMIF(MATCH_W3!$B:$B,$B41,MATCH_W3!$I:$I)+SUMIF(MATCH_W4!$B:$B,$B41,MATCH_W4!$I:$I)+SUMIF(MATCH_W5!$B:$B,$B41,MATCH_W5!$I:$I)+SUMIF(MATCH_W6!$B:$B,$B41,MATCH_W6!$I:$I)</x:f>
        <x:v>379444</x:v>
      </x:c>
      <x:c r="H41" s="11" t="n">
        <x:f>SUMIF(MATCH_W1!$B:$B,$B41,MATCH_W1!$J:$J)+SUMIF(MATCH_W2!$B:$B,$B41,MATCH_W2!$J:$J)+SUMIF(MATCH_W3!$B:$B,$B41,MATCH_W3!$J:$J)+SUMIF(MATCH_W4!$B:$B,$B41,MATCH_W4!$J:$J)+SUMIF(MATCH_W5!$B:$B,$B41,MATCH_W5!$J:$J)+SUMIF(MATCH_W6!$B:$B,$B41,MATCH_W6!$J:$J)</x:f>
        <x:v>85079</x:v>
      </x:c>
      <x:c r="I41" s="11" t="n">
        <x:f>SUMIF(MATCH_W1!$B:$B,$B41,MATCH_W1!$K:$K)+SUMIF(MATCH_W2!$B:$B,$B41,MATCH_W2!$K:$K)+SUMIF(MATCH_W3!$B:$B,$B41,MATCH_W3!$K:$K)+SUMIF(MATCH_W4!$B:$B,$B41,MATCH_W4!$K:$K)+SUMIF(MATCH_W5!$B:$B,$B41,MATCH_W5!$K:$K)+SUMIF(MATCH_W6!$B:$B,$B41,MATCH_W6!$K:$K)</x:f>
        <x:v>244794</x:v>
      </x:c>
      <x:c r="J41" s="10">
        <x:f t="shared" si="1"/>
        <x:v>4.0932642487046635</x:v>
      </x:c>
      <x:c r="K41" s="12" t="e">
        <x:f>SUMIF(MATCH_W1!$B:$B,$B41,MATCH_W1!$M:$M)+SUMIF(MATCH_W2!$B:$B,$B41,MATCH_W2!$M:$M)+SUMIF(MATCH_W3!$B:$B,$B41,MATCH_W3!$M:$M)+SUMIF(MATCH_W4!$B:$B,$B41,MATCH_W4!$M:$M)+SUMIF(MATCH_W5!$B:$B,$B41,MATCH_W5!$M:$M)+SUMIF(MATCH_W6!$B:$B,$B41,MATCH_W6!$M:$M)</x:f>
        <x:v>#VALUE!</x:v>
      </x:c>
    </x:row>
    <x:row r="42">
      <x:c r="A42" s="8" t="s">
        <x:v>63</x:v>
      </x:c>
      <x:c r="B42" s="8" t="s">
        <x:v>65</x:v>
      </x:c>
      <x:c r="C42" s="8" t="s">
        <x:v>8</x:v>
      </x:c>
      <x:c r="D42" s="11" t="n">
        <x:f>SUMIF(MATCH_W1!$B:$B,$B42,MATCH_W1!$F:$F)+SUMIF(MATCH_W2!$B:$B,$B42,MATCH_W2!$F:$F)+SUMIF(MATCH_W3!$B:$B,$B42,MATCH_W3!$F:$F)+SUMIF(MATCH_W4!$B:$B,$B42,MATCH_W4!$F:$F)+SUMIF(MATCH_W5!$B:$B,$B42,MATCH_W5!$F:$F)+SUMIF(MATCH_W6!$B:$B,$B42,MATCH_W6!$F:$F)</x:f>
        <x:v>362</x:v>
      </x:c>
      <x:c r="E42" s="11" t="n">
        <x:f>SUMIF(MATCH_W1!$B:$B,$B42,MATCH_W1!$G:$G)+SUMIF(MATCH_W2!$B:$B,$B42,MATCH_W2!$G:$G)+SUMIF(MATCH_W3!$B:$B,$B42,MATCH_W3!$G:$G)+SUMIF(MATCH_W4!$B:$B,$B42,MATCH_W4!$G:$G)+SUMIF(MATCH_W5!$B:$B,$B42,MATCH_W5!$G:$G)+SUMIF(MATCH_W6!$B:$B,$B42,MATCH_W6!$G:$G)</x:f>
        <x:v>88</x:v>
      </x:c>
      <x:c r="F42" s="11" t="n">
        <x:f>SUMIF(MATCH_W1!$B:$B,$B42,MATCH_W1!$H:$H)+SUMIF(MATCH_W2!$B:$B,$B42,MATCH_W2!$H:$H)+SUMIF(MATCH_W3!$B:$B,$B42,MATCH_W3!$H:$H)+SUMIF(MATCH_W4!$B:$B,$B42,MATCH_W4!$H:$H)+SUMIF(MATCH_W5!$B:$B,$B42,MATCH_W5!$H:$H)+SUMIF(MATCH_W6!$B:$B,$B42,MATCH_W6!$H:$H)</x:f>
        <x:v>96</x:v>
      </x:c>
      <x:c r="G42" s="11" t="n">
        <x:f>SUMIF(MATCH_W1!$B:$B,$B42,MATCH_W1!$I:$I)+SUMIF(MATCH_W2!$B:$B,$B42,MATCH_W2!$I:$I)+SUMIF(MATCH_W3!$B:$B,$B42,MATCH_W3!$I:$I)+SUMIF(MATCH_W4!$B:$B,$B42,MATCH_W4!$I:$I)+SUMIF(MATCH_W5!$B:$B,$B42,MATCH_W5!$I:$I)+SUMIF(MATCH_W6!$B:$B,$B42,MATCH_W6!$I:$I)</x:f>
        <x:v>199444</x:v>
      </x:c>
      <x:c r="H42" s="11" t="n">
        <x:f>SUMIF(MATCH_W1!$B:$B,$B42,MATCH_W1!$J:$J)+SUMIF(MATCH_W2!$B:$B,$B42,MATCH_W2!$J:$J)+SUMIF(MATCH_W3!$B:$B,$B42,MATCH_W3!$J:$J)+SUMIF(MATCH_W4!$B:$B,$B42,MATCH_W4!$J:$J)+SUMIF(MATCH_W5!$B:$B,$B42,MATCH_W5!$J:$J)+SUMIF(MATCH_W6!$B:$B,$B42,MATCH_W6!$J:$J)</x:f>
        <x:v>10628</x:v>
      </x:c>
      <x:c r="I42" s="11" t="n">
        <x:f>SUMIF(MATCH_W1!$B:$B,$B42,MATCH_W1!$K:$K)+SUMIF(MATCH_W2!$B:$B,$B42,MATCH_W2!$K:$K)+SUMIF(MATCH_W3!$B:$B,$B42,MATCH_W3!$K:$K)+SUMIF(MATCH_W4!$B:$B,$B42,MATCH_W4!$K:$K)+SUMIF(MATCH_W5!$B:$B,$B42,MATCH_W5!$K:$K)+SUMIF(MATCH_W6!$B:$B,$B42,MATCH_W6!$K:$K)</x:f>
        <x:v>254863</x:v>
      </x:c>
      <x:c r="J42" s="10">
        <x:f t="shared" si="1"/>
        <x:v>4.1136363636363633</x:v>
      </x:c>
      <x:c r="K42" s="12" t="n">
        <x:f>SUMIF(MATCH_W1!$B:$B,$B42,MATCH_W1!$M:$M)+SUMIF(MATCH_W2!$B:$B,$B42,MATCH_W2!$M:$M)+SUMIF(MATCH_W3!$B:$B,$B42,MATCH_W3!$M:$M)+SUMIF(MATCH_W4!$B:$B,$B42,MATCH_W4!$M:$M)+SUMIF(MATCH_W5!$B:$B,$B42,MATCH_W5!$M:$M)+SUMIF(MATCH_W6!$B:$B,$B42,MATCH_W6!$M:$M)</x:f>
        <x:v>11019</x:v>
      </x:c>
    </x:row>
    <x:row r="43">
      <x:c r="A43" s="8" t="s">
        <x:v>63</x:v>
      </x:c>
      <x:c r="B43" s="8" t="s">
        <x:v>66</x:v>
      </x:c>
      <x:c r="C43" s="8" t="s">
        <x:v>11</x:v>
      </x:c>
      <x:c r="D43" s="11" t="n">
        <x:f>SUMIF(MATCH_W1!$B:$B,$B43,MATCH_W1!$F:$F)+SUMIF(MATCH_W2!$B:$B,$B43,MATCH_W2!$F:$F)+SUMIF(MATCH_W3!$B:$B,$B43,MATCH_W3!$F:$F)+SUMIF(MATCH_W4!$B:$B,$B43,MATCH_W4!$F:$F)+SUMIF(MATCH_W5!$B:$B,$B43,MATCH_W5!$F:$F)+SUMIF(MATCH_W6!$B:$B,$B43,MATCH_W6!$F:$F)</x:f>
        <x:v>1117</x:v>
      </x:c>
      <x:c r="E43" s="11" t="n">
        <x:f>SUMIF(MATCH_W1!$B:$B,$B43,MATCH_W1!$G:$G)+SUMIF(MATCH_W2!$B:$B,$B43,MATCH_W2!$G:$G)+SUMIF(MATCH_W3!$B:$B,$B43,MATCH_W3!$G:$G)+SUMIF(MATCH_W4!$B:$B,$B43,MATCH_W4!$G:$G)+SUMIF(MATCH_W5!$B:$B,$B43,MATCH_W5!$G:$G)+SUMIF(MATCH_W6!$B:$B,$B43,MATCH_W6!$G:$G)</x:f>
        <x:v>315</x:v>
      </x:c>
      <x:c r="F43" s="11" t="n">
        <x:f>SUMIF(MATCH_W1!$B:$B,$B43,MATCH_W1!$H:$H)+SUMIF(MATCH_W2!$B:$B,$B43,MATCH_W2!$H:$H)+SUMIF(MATCH_W3!$B:$B,$B43,MATCH_W3!$H:$H)+SUMIF(MATCH_W4!$B:$B,$B43,MATCH_W4!$H:$H)+SUMIF(MATCH_W5!$B:$B,$B43,MATCH_W5!$H:$H)+SUMIF(MATCH_W6!$B:$B,$B43,MATCH_W6!$H:$H)</x:f>
        <x:v>147</x:v>
      </x:c>
      <x:c r="G43" s="11" t="n">
        <x:f>SUMIF(MATCH_W1!$B:$B,$B43,MATCH_W1!$I:$I)+SUMIF(MATCH_W2!$B:$B,$B43,MATCH_W2!$I:$I)+SUMIF(MATCH_W3!$B:$B,$B43,MATCH_W3!$I:$I)+SUMIF(MATCH_W4!$B:$B,$B43,MATCH_W4!$I:$I)+SUMIF(MATCH_W5!$B:$B,$B43,MATCH_W5!$I:$I)+SUMIF(MATCH_W6!$B:$B,$B43,MATCH_W6!$I:$I)</x:f>
        <x:v>466751</x:v>
      </x:c>
      <x:c r="H43" s="11" t="n">
        <x:f>SUMIF(MATCH_W1!$B:$B,$B43,MATCH_W1!$J:$J)+SUMIF(MATCH_W2!$B:$B,$B43,MATCH_W2!$J:$J)+SUMIF(MATCH_W3!$B:$B,$B43,MATCH_W3!$J:$J)+SUMIF(MATCH_W4!$B:$B,$B43,MATCH_W4!$J:$J)+SUMIF(MATCH_W5!$B:$B,$B43,MATCH_W5!$J:$J)+SUMIF(MATCH_W6!$B:$B,$B43,MATCH_W6!$J:$J)</x:f>
        <x:v>32522</x:v>
      </x:c>
      <x:c r="I43" s="11" t="n">
        <x:f>SUMIF(MATCH_W1!$B:$B,$B43,MATCH_W1!$K:$K)+SUMIF(MATCH_W2!$B:$B,$B43,MATCH_W2!$K:$K)+SUMIF(MATCH_W3!$B:$B,$B43,MATCH_W3!$K:$K)+SUMIF(MATCH_W4!$B:$B,$B43,MATCH_W4!$K:$K)+SUMIF(MATCH_W5!$B:$B,$B43,MATCH_W5!$K:$K)+SUMIF(MATCH_W6!$B:$B,$B43,MATCH_W6!$K:$K)</x:f>
        <x:v>48950</x:v>
      </x:c>
      <x:c r="J43" s="10">
        <x:f t="shared" si="1"/>
        <x:v>3.5460317460317459</x:v>
      </x:c>
      <x:c r="K43" s="12" t="e">
        <x:f>SUMIF(MATCH_W1!$B:$B,$B43,MATCH_W1!$M:$M)+SUMIF(MATCH_W2!$B:$B,$B43,MATCH_W2!$M:$M)+SUMIF(MATCH_W3!$B:$B,$B43,MATCH_W3!$M:$M)+SUMIF(MATCH_W4!$B:$B,$B43,MATCH_W4!$M:$M)+SUMIF(MATCH_W5!$B:$B,$B43,MATCH_W5!$M:$M)+SUMIF(MATCH_W6!$B:$B,$B43,MATCH_W6!$M:$M)</x:f>
        <x:v>#VALUE!</x:v>
      </x:c>
    </x:row>
    <x:row r="44">
      <x:c r="A44" s="8" t="s">
        <x:v>63</x:v>
      </x:c>
      <x:c r="B44" s="8" t="s">
        <x:v>67</x:v>
      </x:c>
      <x:c r="C44" s="8" t="s">
        <x:v>11</x:v>
      </x:c>
      <x:c r="D44" s="11" t="n">
        <x:f>SUMIF(MATCH_W1!$B:$B,$B44,MATCH_W1!$F:$F)+SUMIF(MATCH_W2!$B:$B,$B44,MATCH_W2!$F:$F)+SUMIF(MATCH_W3!$B:$B,$B44,MATCH_W3!$F:$F)+SUMIF(MATCH_W4!$B:$B,$B44,MATCH_W4!$F:$F)+SUMIF(MATCH_W5!$B:$B,$B44,MATCH_W5!$F:$F)+SUMIF(MATCH_W6!$B:$B,$B44,MATCH_W6!$F:$F)</x:f>
        <x:v>1161</x:v>
      </x:c>
      <x:c r="E44" s="11" t="n">
        <x:f>SUMIF(MATCH_W1!$B:$B,$B44,MATCH_W1!$G:$G)+SUMIF(MATCH_W2!$B:$B,$B44,MATCH_W2!$G:$G)+SUMIF(MATCH_W3!$B:$B,$B44,MATCH_W3!$G:$G)+SUMIF(MATCH_W4!$B:$B,$B44,MATCH_W4!$G:$G)+SUMIF(MATCH_W5!$B:$B,$B44,MATCH_W5!$G:$G)+SUMIF(MATCH_W6!$B:$B,$B44,MATCH_W6!$G:$G)</x:f>
        <x:v>339</x:v>
      </x:c>
      <x:c r="F44" s="11" t="n">
        <x:f>SUMIF(MATCH_W1!$B:$B,$B44,MATCH_W1!$H:$H)+SUMIF(MATCH_W2!$B:$B,$B44,MATCH_W2!$H:$H)+SUMIF(MATCH_W3!$B:$B,$B44,MATCH_W3!$H:$H)+SUMIF(MATCH_W4!$B:$B,$B44,MATCH_W4!$H:$H)+SUMIF(MATCH_W5!$B:$B,$B44,MATCH_W5!$H:$H)+SUMIF(MATCH_W6!$B:$B,$B44,MATCH_W6!$H:$H)</x:f>
        <x:v>88</x:v>
      </x:c>
      <x:c r="G44" s="11" t="n">
        <x:f>SUMIF(MATCH_W1!$B:$B,$B44,MATCH_W1!$I:$I)+SUMIF(MATCH_W2!$B:$B,$B44,MATCH_W2!$I:$I)+SUMIF(MATCH_W3!$B:$B,$B44,MATCH_W3!$I:$I)+SUMIF(MATCH_W4!$B:$B,$B44,MATCH_W4!$I:$I)+SUMIF(MATCH_W5!$B:$B,$B44,MATCH_W5!$I:$I)+SUMIF(MATCH_W6!$B:$B,$B44,MATCH_W6!$I:$I)</x:f>
        <x:v>569124</x:v>
      </x:c>
      <x:c r="H44" s="11" t="n">
        <x:f>SUMIF(MATCH_W1!$B:$B,$B44,MATCH_W1!$J:$J)+SUMIF(MATCH_W2!$B:$B,$B44,MATCH_W2!$J:$J)+SUMIF(MATCH_W3!$B:$B,$B44,MATCH_W3!$J:$J)+SUMIF(MATCH_W4!$B:$B,$B44,MATCH_W4!$J:$J)+SUMIF(MATCH_W5!$B:$B,$B44,MATCH_W5!$J:$J)+SUMIF(MATCH_W6!$B:$B,$B44,MATCH_W6!$J:$J)</x:f>
        <x:v>3202</x:v>
      </x:c>
      <x:c r="I44" s="11" t="n">
        <x:f>SUMIF(MATCH_W1!$B:$B,$B44,MATCH_W1!$K:$K)+SUMIF(MATCH_W2!$B:$B,$B44,MATCH_W2!$K:$K)+SUMIF(MATCH_W3!$B:$B,$B44,MATCH_W3!$K:$K)+SUMIF(MATCH_W4!$B:$B,$B44,MATCH_W4!$K:$K)+SUMIF(MATCH_W5!$B:$B,$B44,MATCH_W5!$K:$K)+SUMIF(MATCH_W6!$B:$B,$B44,MATCH_W6!$K:$K)</x:f>
        <x:v>28237</x:v>
      </x:c>
      <x:c r="J44" s="10">
        <x:f t="shared" si="1"/>
        <x:v>3.4247787610619471</x:v>
      </x:c>
      <x:c r="K44" s="12" t="n">
        <x:f>SUMIF(MATCH_W1!$B:$B,$B44,MATCH_W1!$M:$M)+SUMIF(MATCH_W2!$B:$B,$B44,MATCH_W2!$M:$M)+SUMIF(MATCH_W3!$B:$B,$B44,MATCH_W3!$M:$M)+SUMIF(MATCH_W4!$B:$B,$B44,MATCH_W4!$M:$M)+SUMIF(MATCH_W5!$B:$B,$B44,MATCH_W5!$M:$M)+SUMIF(MATCH_W6!$B:$B,$B44,MATCH_W6!$M:$M)</x:f>
        <x:v>31266</x:v>
      </x:c>
    </x:row>
    <x:row r="45">
      <x:c r="A45" s="8" t="s">
        <x:v>63</x:v>
      </x:c>
      <x:c r="B45" s="8" t="s">
        <x:v>68</x:v>
      </x:c>
      <x:c r="C45" s="8" t="str">
        <x:v>SPT</x:v>
      </x:c>
      <x:c r="D45" s="11" t="n">
        <x:f>SUMIF(MATCH_W1!$B:$B,$B45,MATCH_W1!$F:$F)+SUMIF(MATCH_W2!$B:$B,$B45,MATCH_W2!$F:$F)+SUMIF(MATCH_W3!$B:$B,$B45,MATCH_W3!$F:$F)+SUMIF(MATCH_W4!$B:$B,$B45,MATCH_W4!$F:$F)+SUMIF(MATCH_W5!$B:$B,$B45,MATCH_W5!$F:$F)+SUMIF(MATCH_W6!$B:$B,$B45,MATCH_W6!$F:$F)</x:f>
        <x:v>11</x:v>
      </x:c>
      <x:c r="E45" s="11" t="n">
        <x:f>SUMIF(MATCH_W1!$B:$B,$B45,MATCH_W1!$G:$G)+SUMIF(MATCH_W2!$B:$B,$B45,MATCH_W2!$G:$G)+SUMIF(MATCH_W3!$B:$B,$B45,MATCH_W3!$G:$G)+SUMIF(MATCH_W4!$B:$B,$B45,MATCH_W4!$G:$G)+SUMIF(MATCH_W5!$B:$B,$B45,MATCH_W5!$G:$G)+SUMIF(MATCH_W6!$B:$B,$B45,MATCH_W6!$G:$G)</x:f>
        <x:v>3</x:v>
      </x:c>
      <x:c r="F45" s="11" t="n">
        <x:f>SUMIF(MATCH_W1!$B:$B,$B45,MATCH_W1!$H:$H)+SUMIF(MATCH_W2!$B:$B,$B45,MATCH_W2!$H:$H)+SUMIF(MATCH_W3!$B:$B,$B45,MATCH_W3!$H:$H)+SUMIF(MATCH_W4!$B:$B,$B45,MATCH_W4!$H:$H)+SUMIF(MATCH_W5!$B:$B,$B45,MATCH_W5!$H:$H)+SUMIF(MATCH_W6!$B:$B,$B45,MATCH_W6!$H:$H)</x:f>
        <x:v>22</x:v>
      </x:c>
      <x:c r="G45" s="11" t="n">
        <x:f>SUMIF(MATCH_W1!$B:$B,$B45,MATCH_W1!$I:$I)+SUMIF(MATCH_W2!$B:$B,$B45,MATCH_W2!$I:$I)+SUMIF(MATCH_W3!$B:$B,$B45,MATCH_W3!$I:$I)+SUMIF(MATCH_W4!$B:$B,$B45,MATCH_W4!$I:$I)+SUMIF(MATCH_W5!$B:$B,$B45,MATCH_W5!$I:$I)+SUMIF(MATCH_W6!$B:$B,$B45,MATCH_W6!$I:$I)</x:f>
        <x:v>1471</x:v>
      </x:c>
      <x:c r="H45" s="11" t="n">
        <x:f>SUMIF(MATCH_W1!$B:$B,$B45,MATCH_W1!$J:$J)+SUMIF(MATCH_W2!$B:$B,$B45,MATCH_W2!$J:$J)+SUMIF(MATCH_W3!$B:$B,$B45,MATCH_W3!$J:$J)+SUMIF(MATCH_W4!$B:$B,$B45,MATCH_W4!$J:$J)+SUMIF(MATCH_W5!$B:$B,$B45,MATCH_W5!$J:$J)+SUMIF(MATCH_W6!$B:$B,$B45,MATCH_W6!$J:$J)</x:f>
        <x:v>5991</x:v>
      </x:c>
      <x:c r="I45" s="11" t="n">
        <x:f>SUMIF(MATCH_W1!$B:$B,$B45,MATCH_W1!$K:$K)+SUMIF(MATCH_W2!$B:$B,$B45,MATCH_W2!$K:$K)+SUMIF(MATCH_W3!$B:$B,$B45,MATCH_W3!$K:$K)+SUMIF(MATCH_W4!$B:$B,$B45,MATCH_W4!$K:$K)+SUMIF(MATCH_W5!$B:$B,$B45,MATCH_W5!$K:$K)+SUMIF(MATCH_W6!$B:$B,$B45,MATCH_W6!$K:$K)</x:f>
        <x:v>0</x:v>
      </x:c>
      <x:c r="J45" s="10">
        <x:f t="shared" si="1"/>
        <x:v>3.6666666666666665</x:v>
      </x:c>
      <x:c r="K45" s="12" t="n">
        <x:f>SUMIF(MATCH_W1!$B:$B,$B45,MATCH_W1!$M:$M)+SUMIF(MATCH_W2!$B:$B,$B45,MATCH_W2!$M:$M)+SUMIF(MATCH_W3!$B:$B,$B45,MATCH_W3!$M:$M)+SUMIF(MATCH_W4!$B:$B,$B45,MATCH_W4!$M:$M)+SUMIF(MATCH_W5!$B:$B,$B45,MATCH_W5!$M:$M)+SUMIF(MATCH_W6!$B:$B,$B45,MATCH_W6!$M:$M)</x:f>
        <x:v>398</x:v>
      </x:c>
    </x:row>
    <x:row r="46">
      <x:c r="A46" s="8" t="s">
        <x:v>63</x:v>
      </x:c>
      <x:c r="B46" s="8" t="s">
        <x:v>69</x:v>
      </x:c>
      <x:c r="C46" s="8" t="s">
        <x:v>16</x:v>
      </x:c>
      <x:c r="D46" s="11" t="n">
        <x:f>SUMIF(MATCH_W1!$B:$B,$B46,MATCH_W1!$F:$F)+SUMIF(MATCH_W2!$B:$B,$B46,MATCH_W2!$F:$F)+SUMIF(MATCH_W3!$B:$B,$B46,MATCH_W3!$F:$F)+SUMIF(MATCH_W4!$B:$B,$B46,MATCH_W4!$F:$F)+SUMIF(MATCH_W5!$B:$B,$B46,MATCH_W5!$F:$F)+SUMIF(MATCH_W6!$B:$B,$B46,MATCH_W6!$F:$F)</x:f>
        <x:v>873</x:v>
      </x:c>
      <x:c r="E46" s="11" t="n">
        <x:f>SUMIF(MATCH_W1!$B:$B,$B46,MATCH_W1!$G:$G)+SUMIF(MATCH_W2!$B:$B,$B46,MATCH_W2!$G:$G)+SUMIF(MATCH_W3!$B:$B,$B46,MATCH_W3!$G:$G)+SUMIF(MATCH_W4!$B:$B,$B46,MATCH_W4!$G:$G)+SUMIF(MATCH_W5!$B:$B,$B46,MATCH_W5!$G:$G)+SUMIF(MATCH_W6!$B:$B,$B46,MATCH_W6!$G:$G)</x:f>
        <x:v>277</x:v>
      </x:c>
      <x:c r="F46" s="11" t="n">
        <x:f>SUMIF(MATCH_W1!$B:$B,$B46,MATCH_W1!$H:$H)+SUMIF(MATCH_W2!$B:$B,$B46,MATCH_W2!$H:$H)+SUMIF(MATCH_W3!$B:$B,$B46,MATCH_W3!$H:$H)+SUMIF(MATCH_W4!$B:$B,$B46,MATCH_W4!$H:$H)+SUMIF(MATCH_W5!$B:$B,$B46,MATCH_W5!$H:$H)+SUMIF(MATCH_W6!$B:$B,$B46,MATCH_W6!$H:$H)</x:f>
        <x:v>983</x:v>
      </x:c>
      <x:c r="G46" s="11" t="n">
        <x:f>SUMIF(MATCH_W1!$B:$B,$B46,MATCH_W1!$I:$I)+SUMIF(MATCH_W2!$B:$B,$B46,MATCH_W2!$I:$I)+SUMIF(MATCH_W3!$B:$B,$B46,MATCH_W3!$I:$I)+SUMIF(MATCH_W4!$B:$B,$B46,MATCH_W4!$I:$I)+SUMIF(MATCH_W5!$B:$B,$B46,MATCH_W5!$I:$I)+SUMIF(MATCH_W6!$B:$B,$B46,MATCH_W6!$I:$I)</x:f>
        <x:v>206375</x:v>
      </x:c>
      <x:c r="H46" s="11" t="n">
        <x:f>SUMIF(MATCH_W1!$B:$B,$B46,MATCH_W1!$J:$J)+SUMIF(MATCH_W2!$B:$B,$B46,MATCH_W2!$J:$J)+SUMIF(MATCH_W3!$B:$B,$B46,MATCH_W3!$J:$J)+SUMIF(MATCH_W4!$B:$B,$B46,MATCH_W4!$J:$J)+SUMIF(MATCH_W5!$B:$B,$B46,MATCH_W5!$J:$J)+SUMIF(MATCH_W6!$B:$B,$B46,MATCH_W6!$J:$J)</x:f>
        <x:v>409868</x:v>
      </x:c>
      <x:c r="I46" s="11" t="n">
        <x:f>SUMIF(MATCH_W1!$B:$B,$B46,MATCH_W1!$K:$K)+SUMIF(MATCH_W2!$B:$B,$B46,MATCH_W2!$K:$K)+SUMIF(MATCH_W3!$B:$B,$B46,MATCH_W3!$K:$K)+SUMIF(MATCH_W4!$B:$B,$B46,MATCH_W4!$K:$K)+SUMIF(MATCH_W5!$B:$B,$B46,MATCH_W5!$K:$K)+SUMIF(MATCH_W6!$B:$B,$B46,MATCH_W6!$K:$K)</x:f>
        <x:v>58722</x:v>
      </x:c>
      <x:c r="J46" s="10">
        <x:f t="shared" si="1"/>
        <x:v>3.151624548736462</x:v>
      </x:c>
      <x:c r="K46" s="12" t="n">
        <x:f>SUMIF(MATCH_W1!$B:$B,$B46,MATCH_W1!$M:$M)+SUMIF(MATCH_W2!$B:$B,$B46,MATCH_W2!$M:$M)+SUMIF(MATCH_W3!$B:$B,$B46,MATCH_W3!$M:$M)+SUMIF(MATCH_W4!$B:$B,$B46,MATCH_W4!$M:$M)+SUMIF(MATCH_W5!$B:$B,$B46,MATCH_W5!$M:$M)+SUMIF(MATCH_W6!$B:$B,$B46,MATCH_W6!$M:$M)</x:f>
        <x:v>30868</x:v>
      </x:c>
    </x:row>
    <x:row r="47">
      <x:c r="A47" s="8" t="s">
        <x:v>63</x:v>
      </x:c>
      <x:c r="B47" s="8" t="s">
        <x:v>70</x:v>
      </x:c>
      <x:c r="C47" s="8" t="s">
        <x:v>16</x:v>
      </x:c>
      <x:c r="D47" s="11" t="n">
        <x:f>SUMIF(MATCH_W1!$B:$B,$B47,MATCH_W1!$F:$F)+SUMIF(MATCH_W2!$B:$B,$B47,MATCH_W2!$F:$F)+SUMIF(MATCH_W3!$B:$B,$B47,MATCH_W3!$F:$F)+SUMIF(MATCH_W4!$B:$B,$B47,MATCH_W4!$F:$F)+SUMIF(MATCH_W5!$B:$B,$B47,MATCH_W5!$F:$F)+SUMIF(MATCH_W6!$B:$B,$B47,MATCH_W6!$F:$F)</x:f>
        <x:v>735</x:v>
      </x:c>
      <x:c r="E47" s="11" t="n">
        <x:f>SUMIF(MATCH_W1!$B:$B,$B47,MATCH_W1!$G:$G)+SUMIF(MATCH_W2!$B:$B,$B47,MATCH_W2!$G:$G)+SUMIF(MATCH_W3!$B:$B,$B47,MATCH_W3!$G:$G)+SUMIF(MATCH_W4!$B:$B,$B47,MATCH_W4!$G:$G)+SUMIF(MATCH_W5!$B:$B,$B47,MATCH_W5!$G:$G)+SUMIF(MATCH_W6!$B:$B,$B47,MATCH_W6!$G:$G)</x:f>
        <x:v>279</x:v>
      </x:c>
      <x:c r="F47" s="11" t="n">
        <x:f>SUMIF(MATCH_W1!$B:$B,$B47,MATCH_W1!$H:$H)+SUMIF(MATCH_W2!$B:$B,$B47,MATCH_W2!$H:$H)+SUMIF(MATCH_W3!$B:$B,$B47,MATCH_W3!$H:$H)+SUMIF(MATCH_W4!$B:$B,$B47,MATCH_W4!$H:$H)+SUMIF(MATCH_W5!$B:$B,$B47,MATCH_W5!$H:$H)+SUMIF(MATCH_W6!$B:$B,$B47,MATCH_W6!$H:$H)</x:f>
        <x:v>1121</x:v>
      </x:c>
      <x:c r="G47" s="11" t="n">
        <x:f>SUMIF(MATCH_W1!$B:$B,$B47,MATCH_W1!$I:$I)+SUMIF(MATCH_W2!$B:$B,$B47,MATCH_W2!$I:$I)+SUMIF(MATCH_W3!$B:$B,$B47,MATCH_W3!$I:$I)+SUMIF(MATCH_W4!$B:$B,$B47,MATCH_W4!$I:$I)+SUMIF(MATCH_W5!$B:$B,$B47,MATCH_W5!$I:$I)+SUMIF(MATCH_W6!$B:$B,$B47,MATCH_W6!$I:$I)</x:f>
        <x:v>253689</x:v>
      </x:c>
      <x:c r="H47" s="11" t="n">
        <x:f>SUMIF(MATCH_W1!$B:$B,$B47,MATCH_W1!$J:$J)+SUMIF(MATCH_W2!$B:$B,$B47,MATCH_W2!$J:$J)+SUMIF(MATCH_W3!$B:$B,$B47,MATCH_W3!$J:$J)+SUMIF(MATCH_W4!$B:$B,$B47,MATCH_W4!$J:$J)+SUMIF(MATCH_W5!$B:$B,$B47,MATCH_W5!$J:$J)+SUMIF(MATCH_W6!$B:$B,$B47,MATCH_W6!$J:$J)</x:f>
        <x:v>577452</x:v>
      </x:c>
      <x:c r="I47" s="11" t="n">
        <x:f>SUMIF(MATCH_W1!$B:$B,$B47,MATCH_W1!$K:$K)+SUMIF(MATCH_W2!$B:$B,$B47,MATCH_W2!$K:$K)+SUMIF(MATCH_W3!$B:$B,$B47,MATCH_W3!$K:$K)+SUMIF(MATCH_W4!$B:$B,$B47,MATCH_W4!$K:$K)+SUMIF(MATCH_W5!$B:$B,$B47,MATCH_W5!$K:$K)+SUMIF(MATCH_W6!$B:$B,$B47,MATCH_W6!$K:$K)</x:f>
        <x:v>6852</x:v>
      </x:c>
      <x:c r="J47" s="10">
        <x:f t="shared" si="1"/>
        <x:v>2.6344086021505375</x:v>
      </x:c>
      <x:c r="K47" s="12" t="n">
        <x:f>SUMIF(MATCH_W1!$B:$B,$B47,MATCH_W1!$M:$M)+SUMIF(MATCH_W2!$B:$B,$B47,MATCH_W2!$M:$M)+SUMIF(MATCH_W3!$B:$B,$B47,MATCH_W3!$M:$M)+SUMIF(MATCH_W4!$B:$B,$B47,MATCH_W4!$M:$M)+SUMIF(MATCH_W5!$B:$B,$B47,MATCH_W5!$M:$M)+SUMIF(MATCH_W6!$B:$B,$B47,MATCH_W6!$M:$M)</x:f>
        <x:v>31266</x:v>
      </x:c>
    </x:row>
    <x:row r="48">
      <x:c r="A48" s="8" t="s">
        <x:v>72</x:v>
      </x:c>
      <x:c r="B48" s="8" t="s">
        <x:v>73</x:v>
      </x:c>
      <x:c r="C48" s="8" t="s">
        <x:v>8</x:v>
      </x:c>
      <x:c r="D48" s="11" t="n">
        <x:f>SUMIF(MATCH_W1!$B:$B,$B48,MATCH_W1!$F:$F)+SUMIF(MATCH_W2!$B:$B,$B48,MATCH_W2!$F:$F)+SUMIF(MATCH_W3!$B:$B,$B48,MATCH_W3!$F:$F)+SUMIF(MATCH_W4!$B:$B,$B48,MATCH_W4!$F:$F)+SUMIF(MATCH_W5!$B:$B,$B48,MATCH_W5!$F:$F)+SUMIF(MATCH_W6!$B:$B,$B48,MATCH_W6!$F:$F)</x:f>
        <x:v>456</x:v>
      </x:c>
      <x:c r="E48" s="11" t="n">
        <x:f>SUMIF(MATCH_W1!$B:$B,$B48,MATCH_W1!$G:$G)+SUMIF(MATCH_W2!$B:$B,$B48,MATCH_W2!$G:$G)+SUMIF(MATCH_W3!$B:$B,$B48,MATCH_W3!$G:$G)+SUMIF(MATCH_W4!$B:$B,$B48,MATCH_W4!$G:$G)+SUMIF(MATCH_W5!$B:$B,$B48,MATCH_W5!$G:$G)+SUMIF(MATCH_W6!$B:$B,$B48,MATCH_W6!$G:$G)</x:f>
        <x:v>124</x:v>
      </x:c>
      <x:c r="F48" s="11" t="n">
        <x:f>SUMIF(MATCH_W1!$B:$B,$B48,MATCH_W1!$H:$H)+SUMIF(MATCH_W2!$B:$B,$B48,MATCH_W2!$H:$H)+SUMIF(MATCH_W3!$B:$B,$B48,MATCH_W3!$H:$H)+SUMIF(MATCH_W4!$B:$B,$B48,MATCH_W4!$H:$H)+SUMIF(MATCH_W5!$B:$B,$B48,MATCH_W5!$H:$H)+SUMIF(MATCH_W6!$B:$B,$B48,MATCH_W6!$H:$H)</x:f>
        <x:v>94</x:v>
      </x:c>
      <x:c r="G48" s="11" t="n">
        <x:f>SUMIF(MATCH_W1!$B:$B,$B48,MATCH_W1!$I:$I)+SUMIF(MATCH_W2!$B:$B,$B48,MATCH_W2!$I:$I)+SUMIF(MATCH_W3!$B:$B,$B48,MATCH_W3!$I:$I)+SUMIF(MATCH_W4!$B:$B,$B48,MATCH_W4!$I:$I)+SUMIF(MATCH_W5!$B:$B,$B48,MATCH_W5!$I:$I)+SUMIF(MATCH_W6!$B:$B,$B48,MATCH_W6!$I:$I)</x:f>
        <x:v>276608</x:v>
      </x:c>
      <x:c r="H48" s="11" t="n">
        <x:f>SUMIF(MATCH_W1!$B:$B,$B48,MATCH_W1!$J:$J)+SUMIF(MATCH_W2!$B:$B,$B48,MATCH_W2!$J:$J)+SUMIF(MATCH_W3!$B:$B,$B48,MATCH_W3!$J:$J)+SUMIF(MATCH_W4!$B:$B,$B48,MATCH_W4!$J:$J)+SUMIF(MATCH_W5!$B:$B,$B48,MATCH_W5!$J:$J)+SUMIF(MATCH_W6!$B:$B,$B48,MATCH_W6!$J:$J)</x:f>
        <x:v>9755</x:v>
      </x:c>
      <x:c r="I48" s="11" t="n">
        <x:f>SUMIF(MATCH_W1!$B:$B,$B48,MATCH_W1!$K:$K)+SUMIF(MATCH_W2!$B:$B,$B48,MATCH_W2!$K:$K)+SUMIF(MATCH_W3!$B:$B,$B48,MATCH_W3!$K:$K)+SUMIF(MATCH_W4!$B:$B,$B48,MATCH_W4!$K:$K)+SUMIF(MATCH_W5!$B:$B,$B48,MATCH_W5!$K:$K)+SUMIF(MATCH_W6!$B:$B,$B48,MATCH_W6!$K:$K)</x:f>
        <x:v>431979</x:v>
      </x:c>
      <x:c r="J48" s="10">
        <x:f t="shared" si="1"/>
        <x:v>3.6774193548387095</x:v>
      </x:c>
      <x:c r="K48" s="12" t="e">
        <x:f>SUMIF(MATCH_W1!$B:$B,$B48,MATCH_W1!$M:$M)+SUMIF(MATCH_W2!$B:$B,$B48,MATCH_W2!$M:$M)+SUMIF(MATCH_W3!$B:$B,$B48,MATCH_W3!$M:$M)+SUMIF(MATCH_W4!$B:$B,$B48,MATCH_W4!$M:$M)+SUMIF(MATCH_W5!$B:$B,$B48,MATCH_W5!$M:$M)+SUMIF(MATCH_W6!$B:$B,$B48,MATCH_W6!$M:$M)</x:f>
        <x:v>#VALUE!</x:v>
      </x:c>
    </x:row>
    <x:row r="49">
      <x:c r="A49" s="8" t="s">
        <x:v>72</x:v>
      </x:c>
      <x:c r="B49" s="8" t="s">
        <x:v>74</x:v>
      </x:c>
      <x:c r="C49" s="8" t="s">
        <x:v>8</x:v>
      </x:c>
      <x:c r="D49" s="11" t="n">
        <x:f>SUMIF(MATCH_W1!$B:$B,$B49,MATCH_W1!$F:$F)+SUMIF(MATCH_W2!$B:$B,$B49,MATCH_W2!$F:$F)+SUMIF(MATCH_W3!$B:$B,$B49,MATCH_W3!$F:$F)+SUMIF(MATCH_W4!$B:$B,$B49,MATCH_W4!$F:$F)+SUMIF(MATCH_W5!$B:$B,$B49,MATCH_W5!$F:$F)+SUMIF(MATCH_W6!$B:$B,$B49,MATCH_W6!$F:$F)</x:f>
        <x:v>476</x:v>
      </x:c>
      <x:c r="E49" s="11" t="n">
        <x:f>SUMIF(MATCH_W1!$B:$B,$B49,MATCH_W1!$G:$G)+SUMIF(MATCH_W2!$B:$B,$B49,MATCH_W2!$G:$G)+SUMIF(MATCH_W3!$B:$B,$B49,MATCH_W3!$G:$G)+SUMIF(MATCH_W4!$B:$B,$B49,MATCH_W4!$G:$G)+SUMIF(MATCH_W5!$B:$B,$B49,MATCH_W5!$G:$G)+SUMIF(MATCH_W6!$B:$B,$B49,MATCH_W6!$G:$G)</x:f>
        <x:v>125</x:v>
      </x:c>
      <x:c r="F49" s="11" t="n">
        <x:f>SUMIF(MATCH_W1!$B:$B,$B49,MATCH_W1!$H:$H)+SUMIF(MATCH_W2!$B:$B,$B49,MATCH_W2!$H:$H)+SUMIF(MATCH_W3!$B:$B,$B49,MATCH_W3!$H:$H)+SUMIF(MATCH_W4!$B:$B,$B49,MATCH_W4!$H:$H)+SUMIF(MATCH_W5!$B:$B,$B49,MATCH_W5!$H:$H)+SUMIF(MATCH_W6!$B:$B,$B49,MATCH_W6!$H:$H)</x:f>
        <x:v>313</x:v>
      </x:c>
      <x:c r="G49" s="11" t="n">
        <x:f>SUMIF(MATCH_W1!$B:$B,$B49,MATCH_W1!$I:$I)+SUMIF(MATCH_W2!$B:$B,$B49,MATCH_W2!$I:$I)+SUMIF(MATCH_W3!$B:$B,$B49,MATCH_W3!$I:$I)+SUMIF(MATCH_W4!$B:$B,$B49,MATCH_W4!$I:$I)+SUMIF(MATCH_W5!$B:$B,$B49,MATCH_W5!$I:$I)+SUMIF(MATCH_W6!$B:$B,$B49,MATCH_W6!$I:$I)</x:f>
        <x:v>227828</x:v>
      </x:c>
      <x:c r="H49" s="11" t="n">
        <x:f>SUMIF(MATCH_W1!$B:$B,$B49,MATCH_W1!$J:$J)+SUMIF(MATCH_W2!$B:$B,$B49,MATCH_W2!$J:$J)+SUMIF(MATCH_W3!$B:$B,$B49,MATCH_W3!$J:$J)+SUMIF(MATCH_W4!$B:$B,$B49,MATCH_W4!$J:$J)+SUMIF(MATCH_W5!$B:$B,$B49,MATCH_W5!$J:$J)+SUMIF(MATCH_W6!$B:$B,$B49,MATCH_W6!$J:$J)</x:f>
        <x:v>60873</x:v>
      </x:c>
      <x:c r="I49" s="11" t="n">
        <x:f>SUMIF(MATCH_W1!$B:$B,$B49,MATCH_W1!$K:$K)+SUMIF(MATCH_W2!$B:$B,$B49,MATCH_W2!$K:$K)+SUMIF(MATCH_W3!$B:$B,$B49,MATCH_W3!$K:$K)+SUMIF(MATCH_W4!$B:$B,$B49,MATCH_W4!$K:$K)+SUMIF(MATCH_W5!$B:$B,$B49,MATCH_W5!$K:$K)+SUMIF(MATCH_W6!$B:$B,$B49,MATCH_W6!$K:$K)</x:f>
        <x:v>225351</x:v>
      </x:c>
      <x:c r="J49" s="10">
        <x:f t="shared" si="1"/>
        <x:v>3.8079999999999998</x:v>
      </x:c>
      <x:c r="K49" s="12" t="e">
        <x:f>SUMIF(MATCH_W1!$B:$B,$B49,MATCH_W1!$M:$M)+SUMIF(MATCH_W2!$B:$B,$B49,MATCH_W2!$M:$M)+SUMIF(MATCH_W3!$B:$B,$B49,MATCH_W3!$M:$M)+SUMIF(MATCH_W4!$B:$B,$B49,MATCH_W4!$M:$M)+SUMIF(MATCH_W5!$B:$B,$B49,MATCH_W5!$M:$M)+SUMIF(MATCH_W6!$B:$B,$B49,MATCH_W6!$M:$M)</x:f>
        <x:v>#VALUE!</x:v>
      </x:c>
    </x:row>
    <x:row r="50">
      <x:c r="A50" s="8" t="s">
        <x:v>72</x:v>
      </x:c>
      <x:c r="B50" s="8" t="s">
        <x:v>75</x:v>
      </x:c>
      <x:c r="C50" s="8" t="s">
        <x:v>11</x:v>
      </x:c>
      <x:c r="D50" s="11" t="n">
        <x:f>SUMIF(MATCH_W1!$B:$B,$B50,MATCH_W1!$F:$F)+SUMIF(MATCH_W2!$B:$B,$B50,MATCH_W2!$F:$F)+SUMIF(MATCH_W3!$B:$B,$B50,MATCH_W3!$F:$F)+SUMIF(MATCH_W4!$B:$B,$B50,MATCH_W4!$F:$F)+SUMIF(MATCH_W5!$B:$B,$B50,MATCH_W5!$F:$F)+SUMIF(MATCH_W6!$B:$B,$B50,MATCH_W6!$F:$F)</x:f>
        <x:v>665</x:v>
      </x:c>
      <x:c r="E50" s="11" t="n">
        <x:f>SUMIF(MATCH_W1!$B:$B,$B50,MATCH_W1!$G:$G)+SUMIF(MATCH_W2!$B:$B,$B50,MATCH_W2!$G:$G)+SUMIF(MATCH_W3!$B:$B,$B50,MATCH_W3!$G:$G)+SUMIF(MATCH_W4!$B:$B,$B50,MATCH_W4!$G:$G)+SUMIF(MATCH_W5!$B:$B,$B50,MATCH_W5!$G:$G)+SUMIF(MATCH_W6!$B:$B,$B50,MATCH_W6!$G:$G)</x:f>
        <x:v>242</x:v>
      </x:c>
      <x:c r="F50" s="11" t="n">
        <x:f>SUMIF(MATCH_W1!$B:$B,$B50,MATCH_W1!$H:$H)+SUMIF(MATCH_W2!$B:$B,$B50,MATCH_W2!$H:$H)+SUMIF(MATCH_W3!$B:$B,$B50,MATCH_W3!$H:$H)+SUMIF(MATCH_W4!$B:$B,$B50,MATCH_W4!$H:$H)+SUMIF(MATCH_W5!$B:$B,$B50,MATCH_W5!$H:$H)+SUMIF(MATCH_W6!$B:$B,$B50,MATCH_W6!$H:$H)</x:f>
        <x:v>75</x:v>
      </x:c>
      <x:c r="G50" s="11" t="n">
        <x:f>SUMIF(MATCH_W1!$B:$B,$B50,MATCH_W1!$I:$I)+SUMIF(MATCH_W2!$B:$B,$B50,MATCH_W2!$I:$I)+SUMIF(MATCH_W3!$B:$B,$B50,MATCH_W3!$I:$I)+SUMIF(MATCH_W4!$B:$B,$B50,MATCH_W4!$I:$I)+SUMIF(MATCH_W5!$B:$B,$B50,MATCH_W5!$I:$I)+SUMIF(MATCH_W6!$B:$B,$B50,MATCH_W6!$I:$I)</x:f>
        <x:v>334496</x:v>
      </x:c>
      <x:c r="H50" s="11" t="n">
        <x:f>SUMIF(MATCH_W1!$B:$B,$B50,MATCH_W1!$J:$J)+SUMIF(MATCH_W2!$B:$B,$B50,MATCH_W2!$J:$J)+SUMIF(MATCH_W3!$B:$B,$B50,MATCH_W3!$J:$J)+SUMIF(MATCH_W4!$B:$B,$B50,MATCH_W4!$J:$J)+SUMIF(MATCH_W5!$B:$B,$B50,MATCH_W5!$J:$J)+SUMIF(MATCH_W6!$B:$B,$B50,MATCH_W6!$J:$J)</x:f>
        <x:v>11710</x:v>
      </x:c>
      <x:c r="I50" s="11" t="n">
        <x:f>SUMIF(MATCH_W1!$B:$B,$B50,MATCH_W1!$K:$K)+SUMIF(MATCH_W2!$B:$B,$B50,MATCH_W2!$K:$K)+SUMIF(MATCH_W3!$B:$B,$B50,MATCH_W3!$K:$K)+SUMIF(MATCH_W4!$B:$B,$B50,MATCH_W4!$K:$K)+SUMIF(MATCH_W5!$B:$B,$B50,MATCH_W5!$K:$K)+SUMIF(MATCH_W6!$B:$B,$B50,MATCH_W6!$K:$K)</x:f>
        <x:v>23311</x:v>
      </x:c>
      <x:c r="J50" s="10">
        <x:f t="shared" si="1"/>
        <x:v>2.7479338842975207</x:v>
      </x:c>
      <x:c r="K50" s="12" t="n">
        <x:f>SUMIF(MATCH_W1!$B:$B,$B50,MATCH_W1!$M:$M)+SUMIF(MATCH_W2!$B:$B,$B50,MATCH_W2!$M:$M)+SUMIF(MATCH_W3!$B:$B,$B50,MATCH_W3!$M:$M)+SUMIF(MATCH_W4!$B:$B,$B50,MATCH_W4!$M:$M)+SUMIF(MATCH_W5!$B:$B,$B50,MATCH_W5!$M:$M)+SUMIF(MATCH_W6!$B:$B,$B50,MATCH_W6!$M:$M)</x:f>
        <x:v>20938</x:v>
      </x:c>
    </x:row>
    <x:row r="51">
      <x:c r="A51" s="8" t="s">
        <x:v>72</x:v>
      </x:c>
      <x:c r="B51" s="8" t="s">
        <x:v>76</x:v>
      </x:c>
      <x:c r="C51" s="8" t="s">
        <x:v>11</x:v>
      </x:c>
      <x:c r="D51" s="11" t="n">
        <x:f>SUMIF(MATCH_W1!$B:$B,$B51,MATCH_W1!$F:$F)+SUMIF(MATCH_W2!$B:$B,$B51,MATCH_W2!$F:$F)+SUMIF(MATCH_W3!$B:$B,$B51,MATCH_W3!$F:$F)+SUMIF(MATCH_W4!$B:$B,$B51,MATCH_W4!$F:$F)+SUMIF(MATCH_W5!$B:$B,$B51,MATCH_W5!$F:$F)+SUMIF(MATCH_W6!$B:$B,$B51,MATCH_W6!$F:$F)</x:f>
        <x:v>553</x:v>
      </x:c>
      <x:c r="E51" s="11" t="n">
        <x:f>SUMIF(MATCH_W1!$B:$B,$B51,MATCH_W1!$G:$G)+SUMIF(MATCH_W2!$B:$B,$B51,MATCH_W2!$G:$G)+SUMIF(MATCH_W3!$B:$B,$B51,MATCH_W3!$G:$G)+SUMIF(MATCH_W4!$B:$B,$B51,MATCH_W4!$G:$G)+SUMIF(MATCH_W5!$B:$B,$B51,MATCH_W5!$G:$G)+SUMIF(MATCH_W6!$B:$B,$B51,MATCH_W6!$G:$G)</x:f>
        <x:v>210</x:v>
      </x:c>
      <x:c r="F51" s="11" t="n">
        <x:f>SUMIF(MATCH_W1!$B:$B,$B51,MATCH_W1!$H:$H)+SUMIF(MATCH_W2!$B:$B,$B51,MATCH_W2!$H:$H)+SUMIF(MATCH_W3!$B:$B,$B51,MATCH_W3!$H:$H)+SUMIF(MATCH_W4!$B:$B,$B51,MATCH_W4!$H:$H)+SUMIF(MATCH_W5!$B:$B,$B51,MATCH_W5!$H:$H)+SUMIF(MATCH_W6!$B:$B,$B51,MATCH_W6!$H:$H)</x:f>
        <x:v>113</x:v>
      </x:c>
      <x:c r="G51" s="11" t="n">
        <x:f>SUMIF(MATCH_W1!$B:$B,$B51,MATCH_W1!$I:$I)+SUMIF(MATCH_W2!$B:$B,$B51,MATCH_W2!$I:$I)+SUMIF(MATCH_W3!$B:$B,$B51,MATCH_W3!$I:$I)+SUMIF(MATCH_W4!$B:$B,$B51,MATCH_W4!$I:$I)+SUMIF(MATCH_W5!$B:$B,$B51,MATCH_W5!$I:$I)+SUMIF(MATCH_W6!$B:$B,$B51,MATCH_W6!$I:$I)</x:f>
        <x:v>267398</x:v>
      </x:c>
      <x:c r="H51" s="11" t="n">
        <x:f>SUMIF(MATCH_W1!$B:$B,$B51,MATCH_W1!$J:$J)+SUMIF(MATCH_W2!$B:$B,$B51,MATCH_W2!$J:$J)+SUMIF(MATCH_W3!$B:$B,$B51,MATCH_W3!$J:$J)+SUMIF(MATCH_W4!$B:$B,$B51,MATCH_W4!$J:$J)+SUMIF(MATCH_W5!$B:$B,$B51,MATCH_W5!$J:$J)+SUMIF(MATCH_W6!$B:$B,$B51,MATCH_W6!$J:$J)</x:f>
        <x:v>27351</x:v>
      </x:c>
      <x:c r="I51" s="11" t="n">
        <x:f>SUMIF(MATCH_W1!$B:$B,$B51,MATCH_W1!$K:$K)+SUMIF(MATCH_W2!$B:$B,$B51,MATCH_W2!$K:$K)+SUMIF(MATCH_W3!$B:$B,$B51,MATCH_W3!$K:$K)+SUMIF(MATCH_W4!$B:$B,$B51,MATCH_W4!$K:$K)+SUMIF(MATCH_W5!$B:$B,$B51,MATCH_W5!$K:$K)+SUMIF(MATCH_W6!$B:$B,$B51,MATCH_W6!$K:$K)</x:f>
        <x:v>107990</x:v>
      </x:c>
      <x:c r="J51" s="10">
        <x:f t="shared" si="1"/>
        <x:v>2.6333333333333333</x:v>
      </x:c>
      <x:c r="K51" s="12" t="e">
        <x:f>SUMIF(MATCH_W1!$B:$B,$B51,MATCH_W1!$M:$M)+SUMIF(MATCH_W2!$B:$B,$B51,MATCH_W2!$M:$M)+SUMIF(MATCH_W3!$B:$B,$B51,MATCH_W3!$M:$M)+SUMIF(MATCH_W4!$B:$B,$B51,MATCH_W4!$M:$M)+SUMIF(MATCH_W5!$B:$B,$B51,MATCH_W5!$M:$M)+SUMIF(MATCH_W6!$B:$B,$B51,MATCH_W6!$M:$M)</x:f>
        <x:v>#VALUE!</x:v>
      </x:c>
    </x:row>
    <x:row r="52">
      <x:c r="A52" s="8" t="s">
        <x:v>72</x:v>
      </x:c>
      <x:c r="B52" s="8" t="s">
        <x:v>77</x:v>
      </x:c>
      <x:c r="C52" s="8" t="s">
        <x:v>11</x:v>
      </x:c>
      <x:c r="D52" s="11" t="n">
        <x:f>SUMIF(MATCH_W1!$B:$B,$B52,MATCH_W1!$F:$F)+SUMIF(MATCH_W2!$B:$B,$B52,MATCH_W2!$F:$F)+SUMIF(MATCH_W3!$B:$B,$B52,MATCH_W3!$F:$F)+SUMIF(MATCH_W4!$B:$B,$B52,MATCH_W4!$F:$F)+SUMIF(MATCH_W5!$B:$B,$B52,MATCH_W5!$F:$F)+SUMIF(MATCH_W6!$B:$B,$B52,MATCH_W6!$F:$F)</x:f>
        <x:v>504</x:v>
      </x:c>
      <x:c r="E52" s="11" t="n">
        <x:f>SUMIF(MATCH_W1!$B:$B,$B52,MATCH_W1!$G:$G)+SUMIF(MATCH_W2!$B:$B,$B52,MATCH_W2!$G:$G)+SUMIF(MATCH_W3!$B:$B,$B52,MATCH_W3!$G:$G)+SUMIF(MATCH_W4!$B:$B,$B52,MATCH_W4!$G:$G)+SUMIF(MATCH_W5!$B:$B,$B52,MATCH_W5!$G:$G)+SUMIF(MATCH_W6!$B:$B,$B52,MATCH_W6!$G:$G)</x:f>
        <x:v>162</x:v>
      </x:c>
      <x:c r="F52" s="11" t="n">
        <x:f>SUMIF(MATCH_W1!$B:$B,$B52,MATCH_W1!$H:$H)+SUMIF(MATCH_W2!$B:$B,$B52,MATCH_W2!$H:$H)+SUMIF(MATCH_W3!$B:$B,$B52,MATCH_W3!$H:$H)+SUMIF(MATCH_W4!$B:$B,$B52,MATCH_W4!$H:$H)+SUMIF(MATCH_W5!$B:$B,$B52,MATCH_W5!$H:$H)+SUMIF(MATCH_W6!$B:$B,$B52,MATCH_W6!$H:$H)</x:f>
        <x:v>37</x:v>
      </x:c>
      <x:c r="G52" s="11" t="n">
        <x:f>SUMIF(MATCH_W1!$B:$B,$B52,MATCH_W1!$I:$I)+SUMIF(MATCH_W2!$B:$B,$B52,MATCH_W2!$I:$I)+SUMIF(MATCH_W3!$B:$B,$B52,MATCH_W3!$I:$I)+SUMIF(MATCH_W4!$B:$B,$B52,MATCH_W4!$I:$I)+SUMIF(MATCH_W5!$B:$B,$B52,MATCH_W5!$I:$I)+SUMIF(MATCH_W6!$B:$B,$B52,MATCH_W6!$I:$I)</x:f>
        <x:v>290856</x:v>
      </x:c>
      <x:c r="H52" s="11" t="n">
        <x:f>SUMIF(MATCH_W1!$B:$B,$B52,MATCH_W1!$J:$J)+SUMIF(MATCH_W2!$B:$B,$B52,MATCH_W2!$J:$J)+SUMIF(MATCH_W3!$B:$B,$B52,MATCH_W3!$J:$J)+SUMIF(MATCH_W4!$B:$B,$B52,MATCH_W4!$J:$J)+SUMIF(MATCH_W5!$B:$B,$B52,MATCH_W5!$J:$J)+SUMIF(MATCH_W6!$B:$B,$B52,MATCH_W6!$J:$J)</x:f>
        <x:v>3943</x:v>
      </x:c>
      <x:c r="I52" s="11" t="n">
        <x:f>SUMIF(MATCH_W1!$B:$B,$B52,MATCH_W1!$K:$K)+SUMIF(MATCH_W2!$B:$B,$B52,MATCH_W2!$K:$K)+SUMIF(MATCH_W3!$B:$B,$B52,MATCH_W3!$K:$K)+SUMIF(MATCH_W4!$B:$B,$B52,MATCH_W4!$K:$K)+SUMIF(MATCH_W5!$B:$B,$B52,MATCH_W5!$K:$K)+SUMIF(MATCH_W6!$B:$B,$B52,MATCH_W6!$K:$K)</x:f>
        <x:v>17029</x:v>
      </x:c>
      <x:c r="J52" s="10">
        <x:f t="shared" si="1"/>
        <x:v>3.1111111111111112</x:v>
      </x:c>
      <x:c r="K52" s="12" t="n">
        <x:f>SUMIF(MATCH_W1!$B:$B,$B52,MATCH_W1!$M:$M)+SUMIF(MATCH_W2!$B:$B,$B52,MATCH_W2!$M:$M)+SUMIF(MATCH_W3!$B:$B,$B52,MATCH_W3!$M:$M)+SUMIF(MATCH_W4!$B:$B,$B52,MATCH_W4!$M:$M)+SUMIF(MATCH_W5!$B:$B,$B52,MATCH_W5!$M:$M)+SUMIF(MATCH_W6!$B:$B,$B52,MATCH_W6!$M:$M)</x:f>
        <x:v>14879</x:v>
      </x:c>
    </x:row>
    <x:row r="53">
      <x:c r="A53" s="8" t="s">
        <x:v>72</x:v>
      </x:c>
      <x:c r="B53" s="8" t="s">
        <x:v>78</x:v>
      </x:c>
      <x:c r="C53" s="8" t="s">
        <x:v>16</x:v>
      </x:c>
      <x:c r="D53" s="11" t="n">
        <x:f>SUMIF(MATCH_W1!$B:$B,$B53,MATCH_W1!$F:$F)+SUMIF(MATCH_W2!$B:$B,$B53,MATCH_W2!$F:$F)+SUMIF(MATCH_W3!$B:$B,$B53,MATCH_W3!$F:$F)+SUMIF(MATCH_W4!$B:$B,$B53,MATCH_W4!$F:$F)+SUMIF(MATCH_W5!$B:$B,$B53,MATCH_W5!$F:$F)+SUMIF(MATCH_W6!$B:$B,$B53,MATCH_W6!$F:$F)</x:f>
        <x:v>675</x:v>
      </x:c>
      <x:c r="E53" s="11" t="n">
        <x:f>SUMIF(MATCH_W1!$B:$B,$B53,MATCH_W1!$G:$G)+SUMIF(MATCH_W2!$B:$B,$B53,MATCH_W2!$G:$G)+SUMIF(MATCH_W3!$B:$B,$B53,MATCH_W3!$G:$G)+SUMIF(MATCH_W4!$B:$B,$B53,MATCH_W4!$G:$G)+SUMIF(MATCH_W5!$B:$B,$B53,MATCH_W5!$G:$G)+SUMIF(MATCH_W6!$B:$B,$B53,MATCH_W6!$G:$G)</x:f>
        <x:v>253</x:v>
      </x:c>
      <x:c r="F53" s="11" t="n">
        <x:f>SUMIF(MATCH_W1!$B:$B,$B53,MATCH_W1!$H:$H)+SUMIF(MATCH_W2!$B:$B,$B53,MATCH_W2!$H:$H)+SUMIF(MATCH_W3!$B:$B,$B53,MATCH_W3!$H:$H)+SUMIF(MATCH_W4!$B:$B,$B53,MATCH_W4!$H:$H)+SUMIF(MATCH_W5!$B:$B,$B53,MATCH_W5!$H:$H)+SUMIF(MATCH_W6!$B:$B,$B53,MATCH_W6!$H:$H)</x:f>
        <x:v>691</x:v>
      </x:c>
      <x:c r="G53" s="11" t="n">
        <x:f>SUMIF(MATCH_W1!$B:$B,$B53,MATCH_W1!$I:$I)+SUMIF(MATCH_W2!$B:$B,$B53,MATCH_W2!$I:$I)+SUMIF(MATCH_W3!$B:$B,$B53,MATCH_W3!$I:$I)+SUMIF(MATCH_W4!$B:$B,$B53,MATCH_W4!$I:$I)+SUMIF(MATCH_W5!$B:$B,$B53,MATCH_W5!$I:$I)+SUMIF(MATCH_W6!$B:$B,$B53,MATCH_W6!$I:$I)</x:f>
        <x:v>197963</x:v>
      </x:c>
      <x:c r="H53" s="11" t="n">
        <x:f>SUMIF(MATCH_W1!$B:$B,$B53,MATCH_W1!$J:$J)+SUMIF(MATCH_W2!$B:$B,$B53,MATCH_W2!$J:$J)+SUMIF(MATCH_W3!$B:$B,$B53,MATCH_W3!$J:$J)+SUMIF(MATCH_W4!$B:$B,$B53,MATCH_W4!$J:$J)+SUMIF(MATCH_W5!$B:$B,$B53,MATCH_W5!$J:$J)+SUMIF(MATCH_W6!$B:$B,$B53,MATCH_W6!$J:$J)</x:f>
        <x:v>431444</x:v>
      </x:c>
      <x:c r="I53" s="11" t="n">
        <x:f>SUMIF(MATCH_W1!$B:$B,$B53,MATCH_W1!$K:$K)+SUMIF(MATCH_W2!$B:$B,$B53,MATCH_W2!$K:$K)+SUMIF(MATCH_W3!$B:$B,$B53,MATCH_W3!$K:$K)+SUMIF(MATCH_W4!$B:$B,$B53,MATCH_W4!$K:$K)+SUMIF(MATCH_W5!$B:$B,$B53,MATCH_W5!$K:$K)+SUMIF(MATCH_W6!$B:$B,$B53,MATCH_W6!$K:$K)</x:f>
        <x:v>39627</x:v>
      </x:c>
      <x:c r="J53" s="10">
        <x:f t="shared" si="1"/>
        <x:v>2.6679841897233203</x:v>
      </x:c>
      <x:c r="K53" s="12" t="e">
        <x:f>SUMIF(MATCH_W1!$B:$B,$B53,MATCH_W1!$M:$M)+SUMIF(MATCH_W2!$B:$B,$B53,MATCH_W2!$M:$M)+SUMIF(MATCH_W3!$B:$B,$B53,MATCH_W3!$M:$M)+SUMIF(MATCH_W4!$B:$B,$B53,MATCH_W4!$M:$M)+SUMIF(MATCH_W5!$B:$B,$B53,MATCH_W5!$M:$M)+SUMIF(MATCH_W6!$B:$B,$B53,MATCH_W6!$M:$M)</x:f>
        <x:v>#VALUE!</x:v>
      </x:c>
    </x:row>
    <x:row r="54">
      <x:c r="A54" s="8" t="s">
        <x:v>72</x:v>
      </x:c>
      <x:c r="B54" s="8" t="s">
        <x:v>79</x:v>
      </x:c>
      <x:c r="C54" s="8" t="s">
        <x:v>16</x:v>
      </x:c>
      <x:c r="D54" s="11" t="n">
        <x:f>SUMIF(MATCH_W1!$B:$B,$B54,MATCH_W1!$F:$F)+SUMIF(MATCH_W2!$B:$B,$B54,MATCH_W2!$F:$F)+SUMIF(MATCH_W3!$B:$B,$B54,MATCH_W3!$F:$F)+SUMIF(MATCH_W4!$B:$B,$B54,MATCH_W4!$F:$F)+SUMIF(MATCH_W5!$B:$B,$B54,MATCH_W5!$F:$F)+SUMIF(MATCH_W6!$B:$B,$B54,MATCH_W6!$F:$F)</x:f>
        <x:v>549</x:v>
      </x:c>
      <x:c r="E54" s="11" t="n">
        <x:f>SUMIF(MATCH_W1!$B:$B,$B54,MATCH_W1!$G:$G)+SUMIF(MATCH_W2!$B:$B,$B54,MATCH_W2!$G:$G)+SUMIF(MATCH_W3!$B:$B,$B54,MATCH_W3!$G:$G)+SUMIF(MATCH_W4!$B:$B,$B54,MATCH_W4!$G:$G)+SUMIF(MATCH_W5!$B:$B,$B54,MATCH_W5!$G:$G)+SUMIF(MATCH_W6!$B:$B,$B54,MATCH_W6!$G:$G)</x:f>
        <x:v>279</x:v>
      </x:c>
      <x:c r="F54" s="11" t="n">
        <x:f>SUMIF(MATCH_W1!$B:$B,$B54,MATCH_W1!$H:$H)+SUMIF(MATCH_W2!$B:$B,$B54,MATCH_W2!$H:$H)+SUMIF(MATCH_W3!$B:$B,$B54,MATCH_W3!$H:$H)+SUMIF(MATCH_W4!$B:$B,$B54,MATCH_W4!$H:$H)+SUMIF(MATCH_W5!$B:$B,$B54,MATCH_W5!$H:$H)+SUMIF(MATCH_W6!$B:$B,$B54,MATCH_W6!$H:$H)</x:f>
        <x:v>944</x:v>
      </x:c>
      <x:c r="G54" s="11" t="n">
        <x:f>SUMIF(MATCH_W1!$B:$B,$B54,MATCH_W1!$I:$I)+SUMIF(MATCH_W2!$B:$B,$B54,MATCH_W2!$I:$I)+SUMIF(MATCH_W3!$B:$B,$B54,MATCH_W3!$I:$I)+SUMIF(MATCH_W4!$B:$B,$B54,MATCH_W4!$I:$I)+SUMIF(MATCH_W5!$B:$B,$B54,MATCH_W5!$I:$I)+SUMIF(MATCH_W6!$B:$B,$B54,MATCH_W6!$I:$I)</x:f>
        <x:v>203962</x:v>
      </x:c>
      <x:c r="H54" s="11" t="n">
        <x:f>SUMIF(MATCH_W1!$B:$B,$B54,MATCH_W1!$J:$J)+SUMIF(MATCH_W2!$B:$B,$B54,MATCH_W2!$J:$J)+SUMIF(MATCH_W3!$B:$B,$B54,MATCH_W3!$J:$J)+SUMIF(MATCH_W4!$B:$B,$B54,MATCH_W4!$J:$J)+SUMIF(MATCH_W5!$B:$B,$B54,MATCH_W5!$J:$J)+SUMIF(MATCH_W6!$B:$B,$B54,MATCH_W6!$J:$J)</x:f>
        <x:v>526168</x:v>
      </x:c>
      <x:c r="I54" s="11" t="n">
        <x:f>SUMIF(MATCH_W1!$B:$B,$B54,MATCH_W1!$K:$K)+SUMIF(MATCH_W2!$B:$B,$B54,MATCH_W2!$K:$K)+SUMIF(MATCH_W3!$B:$B,$B54,MATCH_W3!$K:$K)+SUMIF(MATCH_W4!$B:$B,$B54,MATCH_W4!$K:$K)+SUMIF(MATCH_W5!$B:$B,$B54,MATCH_W5!$K:$K)+SUMIF(MATCH_W6!$B:$B,$B54,MATCH_W6!$K:$K)</x:f>
        <x:v>19439</x:v>
      </x:c>
      <x:c r="J54" s="10">
        <x:f t="shared" si="1"/>
        <x:v>1.967741935483871</x:v>
      </x:c>
      <x:c r="K54" s="12" t="e">
        <x:f>SUMIF(MATCH_W1!$B:$B,$B54,MATCH_W1!$M:$M)+SUMIF(MATCH_W2!$B:$B,$B54,MATCH_W2!$M:$M)+SUMIF(MATCH_W3!$B:$B,$B54,MATCH_W3!$M:$M)+SUMIF(MATCH_W4!$B:$B,$B54,MATCH_W4!$M:$M)+SUMIF(MATCH_W5!$B:$B,$B54,MATCH_W5!$M:$M)+SUMIF(MATCH_W6!$B:$B,$B54,MATCH_W6!$M:$M)</x:f>
        <x:v>#VALUE!</x:v>
      </x:c>
    </x:row>
    <x:row r="55">
      <x:c r="A55" s="8" t="s">
        <x:v>81</x:v>
      </x:c>
      <x:c r="B55" s="8" t="s">
        <x:v>82</x:v>
      </x:c>
      <x:c r="C55" s="8" t="s">
        <x:v>8</x:v>
      </x:c>
      <x:c r="D55" s="11" t="n">
        <x:f>SUMIF(MATCH_W1!$B:$B,$B55,MATCH_W1!$F:$F)+SUMIF(MATCH_W2!$B:$B,$B55,MATCH_W2!$F:$F)+SUMIF(MATCH_W3!$B:$B,$B55,MATCH_W3!$F:$F)+SUMIF(MATCH_W4!$B:$B,$B55,MATCH_W4!$F:$F)+SUMIF(MATCH_W5!$B:$B,$B55,MATCH_W5!$F:$F)+SUMIF(MATCH_W6!$B:$B,$B55,MATCH_W6!$F:$F)</x:f>
        <x:v>260</x:v>
      </x:c>
      <x:c r="E55" s="11" t="n">
        <x:f>SUMIF(MATCH_W1!$B:$B,$B55,MATCH_W1!$G:$G)+SUMIF(MATCH_W2!$B:$B,$B55,MATCH_W2!$G:$G)+SUMIF(MATCH_W3!$B:$B,$B55,MATCH_W3!$G:$G)+SUMIF(MATCH_W4!$B:$B,$B55,MATCH_W4!$G:$G)+SUMIF(MATCH_W5!$B:$B,$B55,MATCH_W5!$G:$G)+SUMIF(MATCH_W6!$B:$B,$B55,MATCH_W6!$G:$G)</x:f>
        <x:v>86</x:v>
      </x:c>
      <x:c r="F55" s="11" t="n">
        <x:f>SUMIF(MATCH_W1!$B:$B,$B55,MATCH_W1!$H:$H)+SUMIF(MATCH_W2!$B:$B,$B55,MATCH_W2!$H:$H)+SUMIF(MATCH_W3!$B:$B,$B55,MATCH_W3!$H:$H)+SUMIF(MATCH_W4!$B:$B,$B55,MATCH_W4!$H:$H)+SUMIF(MATCH_W5!$B:$B,$B55,MATCH_W5!$H:$H)+SUMIF(MATCH_W6!$B:$B,$B55,MATCH_W6!$H:$H)</x:f>
        <x:v>95</x:v>
      </x:c>
      <x:c r="G55" s="11" t="n">
        <x:f>SUMIF(MATCH_W1!$B:$B,$B55,MATCH_W1!$I:$I)+SUMIF(MATCH_W2!$B:$B,$B55,MATCH_W2!$I:$I)+SUMIF(MATCH_W3!$B:$B,$B55,MATCH_W3!$I:$I)+SUMIF(MATCH_W4!$B:$B,$B55,MATCH_W4!$I:$I)+SUMIF(MATCH_W5!$B:$B,$B55,MATCH_W5!$I:$I)+SUMIF(MATCH_W6!$B:$B,$B55,MATCH_W6!$I:$I)</x:f>
        <x:v>185336</x:v>
      </x:c>
      <x:c r="H55" s="11" t="n">
        <x:f>SUMIF(MATCH_W1!$B:$B,$B55,MATCH_W1!$J:$J)+SUMIF(MATCH_W2!$B:$B,$B55,MATCH_W2!$J:$J)+SUMIF(MATCH_W3!$B:$B,$B55,MATCH_W3!$J:$J)+SUMIF(MATCH_W4!$B:$B,$B55,MATCH_W4!$J:$J)+SUMIF(MATCH_W5!$B:$B,$B55,MATCH_W5!$J:$J)+SUMIF(MATCH_W6!$B:$B,$B55,MATCH_W6!$J:$J)</x:f>
        <x:v>22646</x:v>
      </x:c>
      <x:c r="I55" s="11" t="n">
        <x:f>SUMIF(MATCH_W1!$B:$B,$B55,MATCH_W1!$K:$K)+SUMIF(MATCH_W2!$B:$B,$B55,MATCH_W2!$K:$K)+SUMIF(MATCH_W3!$B:$B,$B55,MATCH_W3!$K:$K)+SUMIF(MATCH_W4!$B:$B,$B55,MATCH_W4!$K:$K)+SUMIF(MATCH_W5!$B:$B,$B55,MATCH_W5!$K:$K)+SUMIF(MATCH_W6!$B:$B,$B55,MATCH_W6!$K:$K)</x:f>
        <x:v>205594</x:v>
      </x:c>
      <x:c r="J55" s="10">
        <x:f t="shared" si="1"/>
        <x:v>3.0232558139534884</x:v>
      </x:c>
      <x:c r="K55" s="12" t="n">
        <x:f>SUMIF(MATCH_W1!$B:$B,$B55,MATCH_W1!$M:$M)+SUMIF(MATCH_W2!$B:$B,$B55,MATCH_W2!$M:$M)+SUMIF(MATCH_W3!$B:$B,$B55,MATCH_W3!$M:$M)+SUMIF(MATCH_W4!$B:$B,$B55,MATCH_W4!$M:$M)+SUMIF(MATCH_W5!$B:$B,$B55,MATCH_W5!$M:$M)+SUMIF(MATCH_W6!$B:$B,$B55,MATCH_W6!$M:$M)</x:f>
        <x:v>9624</x:v>
      </x:c>
    </x:row>
    <x:row r="56">
      <x:c r="A56" s="8" t="s">
        <x:v>81</x:v>
      </x:c>
      <x:c r="B56" s="8" t="s">
        <x:v>83</x:v>
      </x:c>
      <x:c r="C56" s="8" t="s">
        <x:v>8</x:v>
      </x:c>
      <x:c r="D56" s="11" t="n">
        <x:f>SUMIF(MATCH_W1!$B:$B,$B56,MATCH_W1!$F:$F)+SUMIF(MATCH_W2!$B:$B,$B56,MATCH_W2!$F:$F)+SUMIF(MATCH_W3!$B:$B,$B56,MATCH_W3!$F:$F)+SUMIF(MATCH_W4!$B:$B,$B56,MATCH_W4!$F:$F)+SUMIF(MATCH_W5!$B:$B,$B56,MATCH_W5!$F:$F)+SUMIF(MATCH_W6!$B:$B,$B56,MATCH_W6!$F:$F)</x:f>
        <x:v>182</x:v>
      </x:c>
      <x:c r="E56" s="11" t="n">
        <x:f>SUMIF(MATCH_W1!$B:$B,$B56,MATCH_W1!$G:$G)+SUMIF(MATCH_W2!$B:$B,$B56,MATCH_W2!$G:$G)+SUMIF(MATCH_W3!$B:$B,$B56,MATCH_W3!$G:$G)+SUMIF(MATCH_W4!$B:$B,$B56,MATCH_W4!$G:$G)+SUMIF(MATCH_W5!$B:$B,$B56,MATCH_W5!$G:$G)+SUMIF(MATCH_W6!$B:$B,$B56,MATCH_W6!$G:$G)</x:f>
        <x:v>96</x:v>
      </x:c>
      <x:c r="F56" s="11" t="n">
        <x:f>SUMIF(MATCH_W1!$B:$B,$B56,MATCH_W1!$H:$H)+SUMIF(MATCH_W2!$B:$B,$B56,MATCH_W2!$H:$H)+SUMIF(MATCH_W3!$B:$B,$B56,MATCH_W3!$H:$H)+SUMIF(MATCH_W4!$B:$B,$B56,MATCH_W4!$H:$H)+SUMIF(MATCH_W5!$B:$B,$B56,MATCH_W5!$H:$H)+SUMIF(MATCH_W6!$B:$B,$B56,MATCH_W6!$H:$H)</x:f>
        <x:v>51</x:v>
      </x:c>
      <x:c r="G56" s="11" t="n">
        <x:f>SUMIF(MATCH_W1!$B:$B,$B56,MATCH_W1!$I:$I)+SUMIF(MATCH_W2!$B:$B,$B56,MATCH_W2!$I:$I)+SUMIF(MATCH_W3!$B:$B,$B56,MATCH_W3!$I:$I)+SUMIF(MATCH_W4!$B:$B,$B56,MATCH_W4!$I:$I)+SUMIF(MATCH_W5!$B:$B,$B56,MATCH_W5!$I:$I)+SUMIF(MATCH_W6!$B:$B,$B56,MATCH_W6!$I:$I)</x:f>
        <x:v>151292</x:v>
      </x:c>
      <x:c r="H56" s="11" t="n">
        <x:f>SUMIF(MATCH_W1!$B:$B,$B56,MATCH_W1!$J:$J)+SUMIF(MATCH_W2!$B:$B,$B56,MATCH_W2!$J:$J)+SUMIF(MATCH_W3!$B:$B,$B56,MATCH_W3!$J:$J)+SUMIF(MATCH_W4!$B:$B,$B56,MATCH_W4!$J:$J)+SUMIF(MATCH_W5!$B:$B,$B56,MATCH_W5!$J:$J)+SUMIF(MATCH_W6!$B:$B,$B56,MATCH_W6!$J:$J)</x:f>
        <x:v>9354</x:v>
      </x:c>
      <x:c r="I56" s="11" t="n">
        <x:f>SUMIF(MATCH_W1!$B:$B,$B56,MATCH_W1!$K:$K)+SUMIF(MATCH_W2!$B:$B,$B56,MATCH_W2!$K:$K)+SUMIF(MATCH_W3!$B:$B,$B56,MATCH_W3!$K:$K)+SUMIF(MATCH_W4!$B:$B,$B56,MATCH_W4!$K:$K)+SUMIF(MATCH_W5!$B:$B,$B56,MATCH_W5!$K:$K)+SUMIF(MATCH_W6!$B:$B,$B56,MATCH_W6!$K:$K)</x:f>
        <x:v>241953</x:v>
      </x:c>
      <x:c r="J56" s="10">
        <x:f t="shared" si="1"/>
        <x:v>1.8958333333333333</x:v>
      </x:c>
      <x:c r="K56" s="12" t="n">
        <x:f>SUMIF(MATCH_W1!$B:$B,$B56,MATCH_W1!$M:$M)+SUMIF(MATCH_W2!$B:$B,$B56,MATCH_W2!$M:$M)+SUMIF(MATCH_W3!$B:$B,$B56,MATCH_W3!$M:$M)+SUMIF(MATCH_W4!$B:$B,$B56,MATCH_W4!$M:$M)+SUMIF(MATCH_W5!$B:$B,$B56,MATCH_W5!$M:$M)+SUMIF(MATCH_W6!$B:$B,$B56,MATCH_W6!$M:$M)</x:f>
        <x:v>9379</x:v>
      </x:c>
    </x:row>
    <x:row r="57">
      <x:c r="A57" s="8" t="s">
        <x:v>81</x:v>
      </x:c>
      <x:c r="B57" s="8" t="s">
        <x:v>84</x:v>
      </x:c>
      <x:c r="C57" s="8" t="s">
        <x:v>11</x:v>
      </x:c>
      <x:c r="D57" s="11" t="n">
        <x:f>SUMIF(MATCH_W1!$B:$B,$B57,MATCH_W1!$F:$F)+SUMIF(MATCH_W2!$B:$B,$B57,MATCH_W2!$F:$F)+SUMIF(MATCH_W3!$B:$B,$B57,MATCH_W3!$F:$F)+SUMIF(MATCH_W4!$B:$B,$B57,MATCH_W4!$F:$F)+SUMIF(MATCH_W5!$B:$B,$B57,MATCH_W5!$F:$F)+SUMIF(MATCH_W6!$B:$B,$B57,MATCH_W6!$F:$F)</x:f>
        <x:v>362</x:v>
      </x:c>
      <x:c r="E57" s="11" t="n">
        <x:f>SUMIF(MATCH_W1!$B:$B,$B57,MATCH_W1!$G:$G)+SUMIF(MATCH_W2!$B:$B,$B57,MATCH_W2!$G:$G)+SUMIF(MATCH_W3!$B:$B,$B57,MATCH_W3!$G:$G)+SUMIF(MATCH_W4!$B:$B,$B57,MATCH_W4!$G:$G)+SUMIF(MATCH_W5!$B:$B,$B57,MATCH_W5!$G:$G)+SUMIF(MATCH_W6!$B:$B,$B57,MATCH_W6!$G:$G)</x:f>
        <x:v>169</x:v>
      </x:c>
      <x:c r="F57" s="11" t="n">
        <x:f>SUMIF(MATCH_W1!$B:$B,$B57,MATCH_W1!$H:$H)+SUMIF(MATCH_W2!$B:$B,$B57,MATCH_W2!$H:$H)+SUMIF(MATCH_W3!$B:$B,$B57,MATCH_W3!$H:$H)+SUMIF(MATCH_W4!$B:$B,$B57,MATCH_W4!$H:$H)+SUMIF(MATCH_W5!$B:$B,$B57,MATCH_W5!$H:$H)+SUMIF(MATCH_W6!$B:$B,$B57,MATCH_W6!$H:$H)</x:f>
        <x:v>61</x:v>
      </x:c>
      <x:c r="G57" s="11" t="n">
        <x:f>SUMIF(MATCH_W1!$B:$B,$B57,MATCH_W1!$I:$I)+SUMIF(MATCH_W2!$B:$B,$B57,MATCH_W2!$I:$I)+SUMIF(MATCH_W3!$B:$B,$B57,MATCH_W3!$I:$I)+SUMIF(MATCH_W4!$B:$B,$B57,MATCH_W4!$I:$I)+SUMIF(MATCH_W5!$B:$B,$B57,MATCH_W5!$I:$I)+SUMIF(MATCH_W6!$B:$B,$B57,MATCH_W6!$I:$I)</x:f>
        <x:v>201098</x:v>
      </x:c>
      <x:c r="H57" s="11" t="n">
        <x:f>SUMIF(MATCH_W1!$B:$B,$B57,MATCH_W1!$J:$J)+SUMIF(MATCH_W2!$B:$B,$B57,MATCH_W2!$J:$J)+SUMIF(MATCH_W3!$B:$B,$B57,MATCH_W3!$J:$J)+SUMIF(MATCH_W4!$B:$B,$B57,MATCH_W4!$J:$J)+SUMIF(MATCH_W5!$B:$B,$B57,MATCH_W5!$J:$J)+SUMIF(MATCH_W6!$B:$B,$B57,MATCH_W6!$J:$J)</x:f>
        <x:v>18341</x:v>
      </x:c>
      <x:c r="I57" s="11" t="n">
        <x:f>SUMIF(MATCH_W1!$B:$B,$B57,MATCH_W1!$K:$K)+SUMIF(MATCH_W2!$B:$B,$B57,MATCH_W2!$K:$K)+SUMIF(MATCH_W3!$B:$B,$B57,MATCH_W3!$K:$K)+SUMIF(MATCH_W4!$B:$B,$B57,MATCH_W4!$K:$K)+SUMIF(MATCH_W5!$B:$B,$B57,MATCH_W5!$K:$K)+SUMIF(MATCH_W6!$B:$B,$B57,MATCH_W6!$K:$K)</x:f>
        <x:v>28402</x:v>
      </x:c>
      <x:c r="J57" s="10">
        <x:f t="shared" si="1"/>
        <x:v>2.1420118343195265</x:v>
      </x:c>
      <x:c r="K57" s="12" t="n">
        <x:f>SUMIF(MATCH_W1!$B:$B,$B57,MATCH_W1!$M:$M)+SUMIF(MATCH_W2!$B:$B,$B57,MATCH_W2!$M:$M)+SUMIF(MATCH_W3!$B:$B,$B57,MATCH_W3!$M:$M)+SUMIF(MATCH_W4!$B:$B,$B57,MATCH_W4!$M:$M)+SUMIF(MATCH_W5!$B:$B,$B57,MATCH_W5!$M:$M)+SUMIF(MATCH_W6!$B:$B,$B57,MATCH_W6!$M:$M)</x:f>
        <x:v>14362</x:v>
      </x:c>
    </x:row>
    <x:row r="58">
      <x:c r="A58" s="8" t="s">
        <x:v>81</x:v>
      </x:c>
      <x:c r="B58" s="8" t="s">
        <x:v>85</x:v>
      </x:c>
      <x:c r="C58" s="8" t="s">
        <x:v>11</x:v>
      </x:c>
      <x:c r="D58" s="11" t="n">
        <x:f>SUMIF(MATCH_W1!$B:$B,$B58,MATCH_W1!$F:$F)+SUMIF(MATCH_W2!$B:$B,$B58,MATCH_W2!$F:$F)+SUMIF(MATCH_W3!$B:$B,$B58,MATCH_W3!$F:$F)+SUMIF(MATCH_W4!$B:$B,$B58,MATCH_W4!$F:$F)+SUMIF(MATCH_W5!$B:$B,$B58,MATCH_W5!$F:$F)+SUMIF(MATCH_W6!$B:$B,$B58,MATCH_W6!$F:$F)</x:f>
        <x:v>423</x:v>
      </x:c>
      <x:c r="E58" s="11" t="n">
        <x:f>SUMIF(MATCH_W1!$B:$B,$B58,MATCH_W1!$G:$G)+SUMIF(MATCH_W2!$B:$B,$B58,MATCH_W2!$G:$G)+SUMIF(MATCH_W3!$B:$B,$B58,MATCH_W3!$G:$G)+SUMIF(MATCH_W4!$B:$B,$B58,MATCH_W4!$G:$G)+SUMIF(MATCH_W5!$B:$B,$B58,MATCH_W5!$G:$G)+SUMIF(MATCH_W6!$B:$B,$B58,MATCH_W6!$G:$G)</x:f>
        <x:v>250</x:v>
      </x:c>
      <x:c r="F58" s="11" t="n">
        <x:f>SUMIF(MATCH_W1!$B:$B,$B58,MATCH_W1!$H:$H)+SUMIF(MATCH_W2!$B:$B,$B58,MATCH_W2!$H:$H)+SUMIF(MATCH_W3!$B:$B,$B58,MATCH_W3!$H:$H)+SUMIF(MATCH_W4!$B:$B,$B58,MATCH_W4!$H:$H)+SUMIF(MATCH_W5!$B:$B,$B58,MATCH_W5!$H:$H)+SUMIF(MATCH_W6!$B:$B,$B58,MATCH_W6!$H:$H)</x:f>
        <x:v>24</x:v>
      </x:c>
      <x:c r="G58" s="11" t="n">
        <x:f>SUMIF(MATCH_W1!$B:$B,$B58,MATCH_W1!$I:$I)+SUMIF(MATCH_W2!$B:$B,$B58,MATCH_W2!$I:$I)+SUMIF(MATCH_W3!$B:$B,$B58,MATCH_W3!$I:$I)+SUMIF(MATCH_W4!$B:$B,$B58,MATCH_W4!$I:$I)+SUMIF(MATCH_W5!$B:$B,$B58,MATCH_W5!$I:$I)+SUMIF(MATCH_W6!$B:$B,$B58,MATCH_W6!$I:$I)</x:f>
        <x:v>272416</x:v>
      </x:c>
      <x:c r="H58" s="11" t="n">
        <x:f>SUMIF(MATCH_W1!$B:$B,$B58,MATCH_W1!$J:$J)+SUMIF(MATCH_W2!$B:$B,$B58,MATCH_W2!$J:$J)+SUMIF(MATCH_W3!$B:$B,$B58,MATCH_W3!$J:$J)+SUMIF(MATCH_W4!$B:$B,$B58,MATCH_W4!$J:$J)+SUMIF(MATCH_W5!$B:$B,$B58,MATCH_W5!$J:$J)+SUMIF(MATCH_W6!$B:$B,$B58,MATCH_W6!$J:$J)</x:f>
        <x:v>2550</x:v>
      </x:c>
      <x:c r="I58" s="11" t="n">
        <x:f>SUMIF(MATCH_W1!$B:$B,$B58,MATCH_W1!$K:$K)+SUMIF(MATCH_W2!$B:$B,$B58,MATCH_W2!$K:$K)+SUMIF(MATCH_W3!$B:$B,$B58,MATCH_W3!$K:$K)+SUMIF(MATCH_W4!$B:$B,$B58,MATCH_W4!$K:$K)+SUMIF(MATCH_W5!$B:$B,$B58,MATCH_W5!$K:$K)+SUMIF(MATCH_W6!$B:$B,$B58,MATCH_W6!$K:$K)</x:f>
        <x:v>10556</x:v>
      </x:c>
      <x:c r="J58" s="10">
        <x:f t="shared" si="1"/>
        <x:v>1.6919999999999999</x:v>
      </x:c>
      <x:c r="K58" s="12" t="n">
        <x:f>SUMIF(MATCH_W1!$B:$B,$B58,MATCH_W1!$M:$M)+SUMIF(MATCH_W2!$B:$B,$B58,MATCH_W2!$M:$M)+SUMIF(MATCH_W3!$B:$B,$B58,MATCH_W3!$M:$M)+SUMIF(MATCH_W4!$B:$B,$B58,MATCH_W4!$M:$M)+SUMIF(MATCH_W5!$B:$B,$B58,MATCH_W5!$M:$M)+SUMIF(MATCH_W6!$B:$B,$B58,MATCH_W6!$M:$M)</x:f>
        <x:v>19003</x:v>
      </x:c>
    </x:row>
    <x:row r="59">
      <x:c r="A59" s="8" t="s">
        <x:v>81</x:v>
      </x:c>
      <x:c r="B59" s="8" t="s">
        <x:v>86</x:v>
      </x:c>
      <x:c r="C59" s="8" t="s">
        <x:v>16</x:v>
      </x:c>
      <x:c r="D59" s="11" t="n">
        <x:f>SUMIF(MATCH_W1!$B:$B,$B59,MATCH_W1!$F:$F)+SUMIF(MATCH_W2!$B:$B,$B59,MATCH_W2!$F:$F)+SUMIF(MATCH_W3!$B:$B,$B59,MATCH_W3!$F:$F)+SUMIF(MATCH_W4!$B:$B,$B59,MATCH_W4!$F:$F)+SUMIF(MATCH_W5!$B:$B,$B59,MATCH_W5!$F:$F)+SUMIF(MATCH_W6!$B:$B,$B59,MATCH_W6!$F:$F)</x:f>
        <x:v>304</x:v>
      </x:c>
      <x:c r="E59" s="11" t="n">
        <x:f>SUMIF(MATCH_W1!$B:$B,$B59,MATCH_W1!$G:$G)+SUMIF(MATCH_W2!$B:$B,$B59,MATCH_W2!$G:$G)+SUMIF(MATCH_W3!$B:$B,$B59,MATCH_W3!$G:$G)+SUMIF(MATCH_W4!$B:$B,$B59,MATCH_W4!$G:$G)+SUMIF(MATCH_W5!$B:$B,$B59,MATCH_W5!$G:$G)+SUMIF(MATCH_W6!$B:$B,$B59,MATCH_W6!$G:$G)</x:f>
        <x:v>183</x:v>
      </x:c>
      <x:c r="F59" s="11" t="n">
        <x:f>SUMIF(MATCH_W1!$B:$B,$B59,MATCH_W1!$H:$H)+SUMIF(MATCH_W2!$B:$B,$B59,MATCH_W2!$H:$H)+SUMIF(MATCH_W3!$B:$B,$B59,MATCH_W3!$H:$H)+SUMIF(MATCH_W4!$B:$B,$B59,MATCH_W4!$H:$H)+SUMIF(MATCH_W5!$B:$B,$B59,MATCH_W5!$H:$H)+SUMIF(MATCH_W6!$B:$B,$B59,MATCH_W6!$H:$H)</x:f>
        <x:v>300</x:v>
      </x:c>
      <x:c r="G59" s="11" t="n">
        <x:f>SUMIF(MATCH_W1!$B:$B,$B59,MATCH_W1!$I:$I)+SUMIF(MATCH_W2!$B:$B,$B59,MATCH_W2!$I:$I)+SUMIF(MATCH_W3!$B:$B,$B59,MATCH_W3!$I:$I)+SUMIF(MATCH_W4!$B:$B,$B59,MATCH_W4!$I:$I)+SUMIF(MATCH_W5!$B:$B,$B59,MATCH_W5!$I:$I)+SUMIF(MATCH_W6!$B:$B,$B59,MATCH_W6!$I:$I)</x:f>
        <x:v>134190</x:v>
      </x:c>
      <x:c r="H59" s="11" t="n">
        <x:f>SUMIF(MATCH_W1!$B:$B,$B59,MATCH_W1!$J:$J)+SUMIF(MATCH_W2!$B:$B,$B59,MATCH_W2!$J:$J)+SUMIF(MATCH_W3!$B:$B,$B59,MATCH_W3!$J:$J)+SUMIF(MATCH_W4!$B:$B,$B59,MATCH_W4!$J:$J)+SUMIF(MATCH_W5!$B:$B,$B59,MATCH_W5!$J:$J)+SUMIF(MATCH_W6!$B:$B,$B59,MATCH_W6!$J:$J)</x:f>
        <x:v>195259</x:v>
      </x:c>
      <x:c r="I59" s="11" t="n">
        <x:f>SUMIF(MATCH_W1!$B:$B,$B59,MATCH_W1!$K:$K)+SUMIF(MATCH_W2!$B:$B,$B59,MATCH_W2!$K:$K)+SUMIF(MATCH_W3!$B:$B,$B59,MATCH_W3!$K:$K)+SUMIF(MATCH_W4!$B:$B,$B59,MATCH_W4!$K:$K)+SUMIF(MATCH_W5!$B:$B,$B59,MATCH_W5!$K:$K)+SUMIF(MATCH_W6!$B:$B,$B59,MATCH_W6!$K:$K)</x:f>
        <x:v>50889</x:v>
      </x:c>
      <x:c r="J59" s="10">
        <x:f t="shared" si="1"/>
        <x:v>1.6612021857923498</x:v>
      </x:c>
      <x:c r="K59" s="12" t="n">
        <x:f>SUMIF(MATCH_W1!$B:$B,$B59,MATCH_W1!$M:$M)+SUMIF(MATCH_W2!$B:$B,$B59,MATCH_W2!$M:$M)+SUMIF(MATCH_W3!$B:$B,$B59,MATCH_W3!$M:$M)+SUMIF(MATCH_W4!$B:$B,$B59,MATCH_W4!$M:$M)+SUMIF(MATCH_W5!$B:$B,$B59,MATCH_W5!$M:$M)+SUMIF(MATCH_W6!$B:$B,$B59,MATCH_W6!$M:$M)</x:f>
        <x:v>17014</x:v>
      </x:c>
    </x:row>
    <x:row r="60">
      <x:c r="A60" s="8" t="s">
        <x:v>81</x:v>
      </x:c>
      <x:c r="B60" s="8" t="s">
        <x:v>87</x:v>
      </x:c>
      <x:c r="C60" s="8" t="s">
        <x:v>16</x:v>
      </x:c>
      <x:c r="D60" s="11" t="n">
        <x:f>SUMIF(MATCH_W1!$B:$B,$B60,MATCH_W1!$F:$F)+SUMIF(MATCH_W2!$B:$B,$B60,MATCH_W2!$F:$F)+SUMIF(MATCH_W3!$B:$B,$B60,MATCH_W3!$F:$F)+SUMIF(MATCH_W4!$B:$B,$B60,MATCH_W4!$F:$F)+SUMIF(MATCH_W5!$B:$B,$B60,MATCH_W5!$F:$F)+SUMIF(MATCH_W6!$B:$B,$B60,MATCH_W6!$F:$F)</x:f>
        <x:v>70</x:v>
      </x:c>
      <x:c r="E60" s="11" t="n">
        <x:f>SUMIF(MATCH_W1!$B:$B,$B60,MATCH_W1!$G:$G)+SUMIF(MATCH_W2!$B:$B,$B60,MATCH_W2!$G:$G)+SUMIF(MATCH_W3!$B:$B,$B60,MATCH_W3!$G:$G)+SUMIF(MATCH_W4!$B:$B,$B60,MATCH_W4!$G:$G)+SUMIF(MATCH_W5!$B:$B,$B60,MATCH_W5!$G:$G)+SUMIF(MATCH_W6!$B:$B,$B60,MATCH_W6!$G:$G)</x:f>
        <x:v>68</x:v>
      </x:c>
      <x:c r="F60" s="11" t="n">
        <x:f>SUMIF(MATCH_W1!$B:$B,$B60,MATCH_W1!$H:$H)+SUMIF(MATCH_W2!$B:$B,$B60,MATCH_W2!$H:$H)+SUMIF(MATCH_W3!$B:$B,$B60,MATCH_W3!$H:$H)+SUMIF(MATCH_W4!$B:$B,$B60,MATCH_W4!$H:$H)+SUMIF(MATCH_W5!$B:$B,$B60,MATCH_W5!$H:$H)+SUMIF(MATCH_W6!$B:$B,$B60,MATCH_W6!$H:$H)</x:f>
        <x:v>99</x:v>
      </x:c>
      <x:c r="G60" s="11" t="n">
        <x:f>SUMIF(MATCH_W1!$B:$B,$B60,MATCH_W1!$I:$I)+SUMIF(MATCH_W2!$B:$B,$B60,MATCH_W2!$I:$I)+SUMIF(MATCH_W3!$B:$B,$B60,MATCH_W3!$I:$I)+SUMIF(MATCH_W4!$B:$B,$B60,MATCH_W4!$I:$I)+SUMIF(MATCH_W5!$B:$B,$B60,MATCH_W5!$I:$I)+SUMIF(MATCH_W6!$B:$B,$B60,MATCH_W6!$I:$I)</x:f>
        <x:v>41309</x:v>
      </x:c>
      <x:c r="H60" s="11" t="n">
        <x:f>SUMIF(MATCH_W1!$B:$B,$B60,MATCH_W1!$J:$J)+SUMIF(MATCH_W2!$B:$B,$B60,MATCH_W2!$J:$J)+SUMIF(MATCH_W3!$B:$B,$B60,MATCH_W3!$J:$J)+SUMIF(MATCH_W4!$B:$B,$B60,MATCH_W4!$J:$J)+SUMIF(MATCH_W5!$B:$B,$B60,MATCH_W5!$J:$J)+SUMIF(MATCH_W6!$B:$B,$B60,MATCH_W6!$J:$J)</x:f>
        <x:v>90266</x:v>
      </x:c>
      <x:c r="I60" s="11" t="n">
        <x:f>SUMIF(MATCH_W1!$B:$B,$B60,MATCH_W1!$K:$K)+SUMIF(MATCH_W2!$B:$B,$B60,MATCH_W2!$K:$K)+SUMIF(MATCH_W3!$B:$B,$B60,MATCH_W3!$K:$K)+SUMIF(MATCH_W4!$B:$B,$B60,MATCH_W4!$K:$K)+SUMIF(MATCH_W5!$B:$B,$B60,MATCH_W5!$K:$K)+SUMIF(MATCH_W6!$B:$B,$B60,MATCH_W6!$K:$K)</x:f>
        <x:v>14461</x:v>
      </x:c>
      <x:c r="J60" s="10">
        <x:f t="shared" si="1"/>
        <x:v>1.0294117647058822</x:v>
      </x:c>
      <x:c r="K60" s="12" t="n">
        <x:f>SUMIF(MATCH_W1!$B:$B,$B60,MATCH_W1!$M:$M)+SUMIF(MATCH_W2!$B:$B,$B60,MATCH_W2!$M:$M)+SUMIF(MATCH_W3!$B:$B,$B60,MATCH_W3!$M:$M)+SUMIF(MATCH_W4!$B:$B,$B60,MATCH_W4!$M:$M)+SUMIF(MATCH_W5!$B:$B,$B60,MATCH_W5!$M:$M)+SUMIF(MATCH_W6!$B:$B,$B60,MATCH_W6!$M:$M)</x:f>
        <x:v>6630</x:v>
      </x:c>
    </x:row>
    <x:row r="61">
      <x:c r="A61" s="8" t="s">
        <x:v>81</x:v>
      </x:c>
      <x:c r="B61" s="8" t="s">
        <x:v>88</x:v>
      </x:c>
      <x:c r="C61" s="8" t="s">
        <x:v>16</x:v>
      </x:c>
      <x:c r="D61" s="11" t="n">
        <x:f>SUMIF(MATCH_W1!$B:$B,$B61,MATCH_W1!$F:$F)+SUMIF(MATCH_W2!$B:$B,$B61,MATCH_W2!$F:$F)+SUMIF(MATCH_W3!$B:$B,$B61,MATCH_W3!$F:$F)+SUMIF(MATCH_W4!$B:$B,$B61,MATCH_W4!$F:$F)+SUMIF(MATCH_W5!$B:$B,$B61,MATCH_W5!$F:$F)+SUMIF(MATCH_W6!$B:$B,$B61,MATCH_W6!$F:$F)</x:f>
        <x:v>256</x:v>
      </x:c>
      <x:c r="E61" s="11" t="n">
        <x:f>SUMIF(MATCH_W1!$B:$B,$B61,MATCH_W1!$G:$G)+SUMIF(MATCH_W2!$B:$B,$B61,MATCH_W2!$G:$G)+SUMIF(MATCH_W3!$B:$B,$B61,MATCH_W3!$G:$G)+SUMIF(MATCH_W4!$B:$B,$B61,MATCH_W4!$G:$G)+SUMIF(MATCH_W5!$B:$B,$B61,MATCH_W5!$G:$G)+SUMIF(MATCH_W6!$B:$B,$B61,MATCH_W6!$G:$G)</x:f>
        <x:v>210</x:v>
      </x:c>
      <x:c r="F61" s="11" t="n">
        <x:f>SUMIF(MATCH_W1!$B:$B,$B61,MATCH_W1!$H:$H)+SUMIF(MATCH_W2!$B:$B,$B61,MATCH_W2!$H:$H)+SUMIF(MATCH_W3!$B:$B,$B61,MATCH_W3!$H:$H)+SUMIF(MATCH_W4!$B:$B,$B61,MATCH_W4!$H:$H)+SUMIF(MATCH_W5!$B:$B,$B61,MATCH_W5!$H:$H)+SUMIF(MATCH_W6!$B:$B,$B61,MATCH_W6!$H:$H)</x:f>
        <x:v>439</x:v>
      </x:c>
      <x:c r="G61" s="11" t="n">
        <x:f>SUMIF(MATCH_W1!$B:$B,$B61,MATCH_W1!$I:$I)+SUMIF(MATCH_W2!$B:$B,$B61,MATCH_W2!$I:$I)+SUMIF(MATCH_W3!$B:$B,$B61,MATCH_W3!$I:$I)+SUMIF(MATCH_W4!$B:$B,$B61,MATCH_W4!$I:$I)+SUMIF(MATCH_W5!$B:$B,$B61,MATCH_W5!$I:$I)+SUMIF(MATCH_W6!$B:$B,$B61,MATCH_W6!$I:$I)</x:f>
        <x:v>118991</x:v>
      </x:c>
      <x:c r="H61" s="11" t="n">
        <x:f>SUMIF(MATCH_W1!$B:$B,$B61,MATCH_W1!$J:$J)+SUMIF(MATCH_W2!$B:$B,$B61,MATCH_W2!$J:$J)+SUMIF(MATCH_W3!$B:$B,$B61,MATCH_W3!$J:$J)+SUMIF(MATCH_W4!$B:$B,$B61,MATCH_W4!$J:$J)+SUMIF(MATCH_W5!$B:$B,$B61,MATCH_W5!$J:$J)+SUMIF(MATCH_W6!$B:$B,$B61,MATCH_W6!$J:$J)</x:f>
        <x:v>364139</x:v>
      </x:c>
      <x:c r="I61" s="11" t="n">
        <x:f>SUMIF(MATCH_W1!$B:$B,$B61,MATCH_W1!$K:$K)+SUMIF(MATCH_W2!$B:$B,$B61,MATCH_W2!$K:$K)+SUMIF(MATCH_W3!$B:$B,$B61,MATCH_W3!$K:$K)+SUMIF(MATCH_W4!$B:$B,$B61,MATCH_W4!$K:$K)+SUMIF(MATCH_W5!$B:$B,$B61,MATCH_W5!$K:$K)+SUMIF(MATCH_W6!$B:$B,$B61,MATCH_W6!$K:$K)</x:f>
        <x:v>4194</x:v>
      </x:c>
      <x:c r="J61" s="10">
        <x:f t="shared" si="1"/>
        <x:v>1.2190476190476192</x:v>
      </x:c>
      <x:c r="K61" s="12" t="n">
        <x:f>SUMIF(MATCH_W1!$B:$B,$B61,MATCH_W1!$M:$M)+SUMIF(MATCH_W2!$B:$B,$B61,MATCH_W2!$M:$M)+SUMIF(MATCH_W3!$B:$B,$B61,MATCH_W3!$M:$M)+SUMIF(MATCH_W4!$B:$B,$B61,MATCH_W4!$M:$M)+SUMIF(MATCH_W5!$B:$B,$B61,MATCH_W5!$M:$M)+SUMIF(MATCH_W6!$B:$B,$B61,MATCH_W6!$M:$M)</x:f>
        <x:v>19003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RowHeight="18"/>
  <x:cols>
    <x:col min="4" max="10" width="14.7109375" style="3" customWidth="1"/>
  </x:cols>
  <x:sheetData>
    <x:row r="1">
      <x:c r="A1" s="22" t="s">
        <x:v>171</x:v>
      </x:c>
      <x:c r="B1" s="22" t="s">
        <x:v>172</x:v>
      </x:c>
      <x:c r="C1" s="22" t="s">
        <x:v>173</x:v>
      </x:c>
      <x:c r="D1" s="22" t="s">
        <x:v>361</x:v>
      </x:c>
      <x:c r="E1" s="22" t="s">
        <x:v>362</x:v>
      </x:c>
      <x:c r="F1" s="22" t="s">
        <x:v>363</x:v>
      </x:c>
      <x:c r="G1" s="22" t="s">
        <x:v>364</x:v>
      </x:c>
      <x:c r="H1" s="22" t="s">
        <x:v>365</x:v>
      </x:c>
      <x:c r="I1" s="22" t="s">
        <x:v>366</x:v>
      </x:c>
      <x:c r="J1" s="22" t="s">
        <x:v>367</x:v>
      </x:c>
    </x:row>
    <x:row r="2">
      <x:c r="A2" t="s">
        <x:v>6</x:v>
      </x:c>
      <x:c r="B2" t="s">
        <x:v>7</x:v>
      </x:c>
      <x:c r="C2" t="s">
        <x:v>8</x:v>
      </x:c>
      <x:c r="D2" s="50" t="e">
        <x:f>'TOTAL STATISTICS'!K2/60</x:f>
        <x:v>#VALUE!</x:v>
      </x:c>
      <x:c r="E2" s="50" t="n">
        <x:f>IFERROR('TOTAL STATISTICS'!D2/'TOTAL STATISTICS'!K2*600,0)</x:f>
        <x:v>0</x:v>
      </x:c>
      <x:c r="F2" s="50" t="n">
        <x:f>IFERROR('TOTAL STATISTICS'!E2/'TOTAL STATISTICS'!K2*600,0)</x:f>
        <x:v>0</x:v>
      </x:c>
      <x:c r="G2" s="50" t="n">
        <x:f>IFERROR('TOTAL STATISTICS'!F2/'TOTAL STATISTICS'!K2*600,0)</x:f>
        <x:v>0</x:v>
      </x:c>
      <x:c r="H2" s="50" t="n">
        <x:f>IFERROR('TOTAL STATISTICS'!G2/'TOTAL STATISTICS'!K2*600,0)</x:f>
        <x:v>0</x:v>
      </x:c>
      <x:c r="I2" s="50" t="n">
        <x:f>IFERROR('TOTAL STATISTICS'!H2/'TOTAL STATISTICS'!K2*600,0)</x:f>
        <x:v>0</x:v>
      </x:c>
      <x:c r="J2" s="50" t="n">
        <x:f>IFERROR('TOTAL STATISTICS'!I2/'TOTAL STATISTICS'!K2*600,0)</x:f>
        <x:v>0</x:v>
      </x:c>
    </x:row>
    <x:row r="3">
      <x:c r="A3" t="s">
        <x:v>6</x:v>
      </x:c>
      <x:c r="B3" t="s">
        <x:v>9</x:v>
      </x:c>
      <x:c r="C3" t="s">
        <x:v>8</x:v>
      </x:c>
      <x:c r="D3" s="50" t="n">
        <x:f>'TOTAL STATISTICS'!K3/60</x:f>
        <x:v>227.73333333333332</x:v>
      </x:c>
      <x:c r="E3" s="50" t="n">
        <x:f>IFERROR('TOTAL STATISTICS'!D3/'TOTAL STATISTICS'!K3*600,0)</x:f>
        <x:v>15.149297423887589</x:v>
      </x:c>
      <x:c r="F3" s="50" t="n">
        <x:f>IFERROR('TOTAL STATISTICS'!E3/'TOTAL STATISTICS'!K3*600,0)</x:f>
        <x:v>6.015807962529275</x:v>
      </x:c>
      <x:c r="G3" s="50" t="n">
        <x:f>IFERROR('TOTAL STATISTICS'!F3/'TOTAL STATISTICS'!K3*600,0)</x:f>
        <x:v>4.874121779859485</x:v>
      </x:c>
      <x:c r="H3" s="50" t="n">
        <x:f>IFERROR('TOTAL STATISTICS'!G3/'TOTAL STATISTICS'!K3*600,0)</x:f>
        <x:v>10096.282201405153</x:v>
      </x:c>
      <x:c r="I3" s="50" t="n">
        <x:f>IFERROR('TOTAL STATISTICS'!H3/'TOTAL STATISTICS'!K3*600,0)</x:f>
        <x:v>748.2874707259954</x:v>
      </x:c>
      <x:c r="J3" s="50" t="n">
        <x:f>IFERROR('TOTAL STATISTICS'!I3/'TOTAL STATISTICS'!K3*600,0)</x:f>
        <x:v>15766.07142857143</x:v>
      </x:c>
    </x:row>
    <x:row r="4">
      <x:c r="A4" t="s">
        <x:v>6</x:v>
      </x:c>
      <x:c r="B4" t="s">
        <x:v>10</x:v>
      </x:c>
      <x:c r="C4" t="s">
        <x:v>11</x:v>
      </x:c>
      <x:c r="D4" s="50" t="e">
        <x:f>'TOTAL STATISTICS'!K4/60</x:f>
        <x:v>#VALUE!</x:v>
      </x:c>
      <x:c r="E4" s="50" t="n">
        <x:f>IFERROR('TOTAL STATISTICS'!D4/'TOTAL STATISTICS'!K4*600,0)</x:f>
        <x:v>0</x:v>
      </x:c>
      <x:c r="F4" s="50" t="n">
        <x:f>IFERROR('TOTAL STATISTICS'!E4/'TOTAL STATISTICS'!K4*600,0)</x:f>
        <x:v>0</x:v>
      </x:c>
      <x:c r="G4" s="50" t="n">
        <x:f>IFERROR('TOTAL STATISTICS'!F4/'TOTAL STATISTICS'!K4*600,0)</x:f>
        <x:v>0</x:v>
      </x:c>
      <x:c r="H4" s="50" t="n">
        <x:f>IFERROR('TOTAL STATISTICS'!G4/'TOTAL STATISTICS'!K4*600,0)</x:f>
        <x:v>0</x:v>
      </x:c>
      <x:c r="I4" s="50" t="n">
        <x:f>IFERROR('TOTAL STATISTICS'!H4/'TOTAL STATISTICS'!K4*600,0)</x:f>
        <x:v>0</x:v>
      </x:c>
      <x:c r="J4" s="50" t="n">
        <x:f>IFERROR('TOTAL STATISTICS'!I4/'TOTAL STATISTICS'!K4*600,0)</x:f>
        <x:v>0</x:v>
      </x:c>
    </x:row>
    <x:row r="5">
      <x:c r="A5" t="s">
        <x:v>6</x:v>
      </x:c>
      <x:c r="B5" t="s">
        <x:v>13</x:v>
      </x:c>
      <x:c r="C5" t="s">
        <x:v>11</x:v>
      </x:c>
      <x:c r="D5" s="50" t="e">
        <x:f>'TOTAL STATISTICS'!K5/60</x:f>
        <x:v>#VALUE!</x:v>
      </x:c>
      <x:c r="E5" s="50" t="n">
        <x:f>IFERROR('TOTAL STATISTICS'!D5/'TOTAL STATISTICS'!K5*600,0)</x:f>
        <x:v>0</x:v>
      </x:c>
      <x:c r="F5" s="50" t="n">
        <x:f>IFERROR('TOTAL STATISTICS'!E5/'TOTAL STATISTICS'!K5*600,0)</x:f>
        <x:v>0</x:v>
      </x:c>
      <x:c r="G5" s="50" t="n">
        <x:f>IFERROR('TOTAL STATISTICS'!F5/'TOTAL STATISTICS'!K5*600,0)</x:f>
        <x:v>0</x:v>
      </x:c>
      <x:c r="H5" s="50" t="n">
        <x:f>IFERROR('TOTAL STATISTICS'!G5/'TOTAL STATISTICS'!K5*600,0)</x:f>
        <x:v>0</x:v>
      </x:c>
      <x:c r="I5" s="50" t="n">
        <x:f>IFERROR('TOTAL STATISTICS'!H5/'TOTAL STATISTICS'!K5*600,0)</x:f>
        <x:v>0</x:v>
      </x:c>
      <x:c r="J5" s="50" t="n">
        <x:f>IFERROR('TOTAL STATISTICS'!I5/'TOTAL STATISTICS'!K5*600,0)</x:f>
        <x:v>0</x:v>
      </x:c>
    </x:row>
    <x:row r="6">
      <x:c r="A6" t="s">
        <x:v>6</x:v>
      </x:c>
      <x:c r="B6" t="s">
        <x:v>15</x:v>
      </x:c>
      <x:c r="C6" t="s">
        <x:v>16</x:v>
      </x:c>
      <x:c r="D6" s="50" t="e">
        <x:f>'TOTAL STATISTICS'!K6/60</x:f>
        <x:v>#VALUE!</x:v>
      </x:c>
      <x:c r="E6" s="50" t="n">
        <x:f>IFERROR('TOTAL STATISTICS'!D6/'TOTAL STATISTICS'!K6*600,0)</x:f>
        <x:v>0</x:v>
      </x:c>
      <x:c r="F6" s="50" t="n">
        <x:f>IFERROR('TOTAL STATISTICS'!E6/'TOTAL STATISTICS'!K6*600,0)</x:f>
        <x:v>0</x:v>
      </x:c>
      <x:c r="G6" s="50" t="n">
        <x:f>IFERROR('TOTAL STATISTICS'!F6/'TOTAL STATISTICS'!K6*600,0)</x:f>
        <x:v>0</x:v>
      </x:c>
      <x:c r="H6" s="50" t="n">
        <x:f>IFERROR('TOTAL STATISTICS'!G6/'TOTAL STATISTICS'!K6*600,0)</x:f>
        <x:v>0</x:v>
      </x:c>
      <x:c r="I6" s="50" t="n">
        <x:f>IFERROR('TOTAL STATISTICS'!H6/'TOTAL STATISTICS'!K6*600,0)</x:f>
        <x:v>0</x:v>
      </x:c>
      <x:c r="J6" s="50" t="n">
        <x:f>IFERROR('TOTAL STATISTICS'!I6/'TOTAL STATISTICS'!K6*600,0)</x:f>
        <x:v>0</x:v>
      </x:c>
    </x:row>
    <x:row r="7">
      <x:c r="A7" t="s">
        <x:v>6</x:v>
      </x:c>
      <x:c r="B7" t="s">
        <x:v>18</x:v>
      </x:c>
      <x:c r="C7" t="s">
        <x:v>16</x:v>
      </x:c>
      <x:c r="D7" s="50" t="n">
        <x:f>'TOTAL STATISTICS'!K7/60</x:f>
        <x:v>271.73333333333335</x:v>
      </x:c>
      <x:c r="E7" s="50" t="n">
        <x:f>IFERROR('TOTAL STATISTICS'!D7/'TOTAL STATISTICS'!K7*600,0)</x:f>
        <x:v>10.52502453385672</x:v>
      </x:c>
      <x:c r="F7" s="50" t="n">
        <x:f>IFERROR('TOTAL STATISTICS'!E7/'TOTAL STATISTICS'!K7*600,0)</x:f>
        <x:v>7.838567222767419</x:v>
      </x:c>
      <x:c r="G7" s="50" t="n">
        <x:f>IFERROR('TOTAL STATISTICS'!F7/'TOTAL STATISTICS'!K7*600,0)</x:f>
        <x:v>14.131501472031402</x:v>
      </x:c>
      <x:c r="H7" s="50" t="n">
        <x:f>IFERROR('TOTAL STATISTICS'!G7/'TOTAL STATISTICS'!K7*600,0)</x:f>
        <x:v>4183.660451422964</x:v>
      </x:c>
      <x:c r="I7" s="50" t="n">
        <x:f>IFERROR('TOTAL STATISTICS'!H7/'TOTAL STATISTICS'!K7*600,0)</x:f>
        <x:v>11075.785083415114</x:v>
      </x:c>
      <x:c r="J7" s="50" t="n">
        <x:f>IFERROR('TOTAL STATISTICS'!I7/'TOTAL STATISTICS'!K7*600,0)</x:f>
        <x:v>66.42541707556428</x:v>
      </x:c>
    </x:row>
    <x:row r="8">
      <x:c r="A8" t="s">
        <x:v>6</x:v>
      </x:c>
      <x:c r="B8" t="s">
        <x:v>20</x:v>
      </x:c>
      <x:c r="C8" t="s">
        <x:v>16</x:v>
      </x:c>
      <x:c r="D8" s="50" t="n">
        <x:f>'TOTAL STATISTICS'!K8/60</x:f>
        <x:v>135.5</x:v>
      </x:c>
      <x:c r="E8" s="50" t="n">
        <x:f>IFERROR('TOTAL STATISTICS'!D8/'TOTAL STATISTICS'!K8*600,0)</x:f>
        <x:v>11.07011070110701</x:v>
      </x:c>
      <x:c r="F8" s="50" t="n">
        <x:f>IFERROR('TOTAL STATISTICS'!E8/'TOTAL STATISTICS'!K8*600,0)</x:f>
        <x:v>5.756457564575646</x:v>
      </x:c>
      <x:c r="G8" s="50" t="n">
        <x:f>IFERROR('TOTAL STATISTICS'!F8/'TOTAL STATISTICS'!K8*600,0)</x:f>
        <x:v>18.671586715867157</x:v>
      </x:c>
      <x:c r="H8" s="50" t="n">
        <x:f>IFERROR('TOTAL STATISTICS'!G8/'TOTAL STATISTICS'!K8*600,0)</x:f>
        <x:v>4941.254612546126</x:v>
      </x:c>
      <x:c r="I8" s="50" t="n">
        <x:f>IFERROR('TOTAL STATISTICS'!H8/'TOTAL STATISTICS'!K8*600,0)</x:f>
        <x:v>13104.649446494464</x:v>
      </x:c>
      <x:c r="J8" s="50" t="n">
        <x:f>IFERROR('TOTAL STATISTICS'!I8/'TOTAL STATISTICS'!K8*600,0)</x:f>
        <x:v>0</x:v>
      </x:c>
    </x:row>
    <x:row r="9">
      <x:c r="A9" t="s">
        <x:v>22</x:v>
      </x:c>
      <x:c r="B9" t="s">
        <x:v>23</x:v>
      </x:c>
      <x:c r="C9" t="s">
        <x:v>8</x:v>
      </x:c>
      <x:c r="D9" s="50" t="n">
        <x:f>'TOTAL STATISTICS'!K9/60</x:f>
        <x:v>111.56666666666666</x:v>
      </x:c>
      <x:c r="E9" s="50" t="n">
        <x:f>IFERROR('TOTAL STATISTICS'!D9/'TOTAL STATISTICS'!K9*600,0)</x:f>
        <x:v>13.086345981475947</x:v>
      </x:c>
      <x:c r="F9" s="50" t="n">
        <x:f>IFERROR('TOTAL STATISTICS'!E9/'TOTAL STATISTICS'!K9*600,0)</x:f>
        <x:v>5.557215416791156</x:v>
      </x:c>
      <x:c r="G9" s="50" t="n">
        <x:f>IFERROR('TOTAL STATISTICS'!F9/'TOTAL STATISTICS'!K9*600,0)</x:f>
        <x:v>4.212727815954586</x:v>
      </x:c>
      <x:c r="H9" s="50" t="n">
        <x:f>IFERROR('TOTAL STATISTICS'!G9/'TOTAL STATISTICS'!K9*600,0)</x:f>
        <x:v>8997.579922318495</x:v>
      </x:c>
      <x:c r="I9" s="50" t="n">
        <x:f>IFERROR('TOTAL STATISTICS'!H9/'TOTAL STATISTICS'!K9*600,0)</x:f>
        <x:v>742.8742157155662</x:v>
      </x:c>
      <x:c r="J9" s="50" t="n">
        <x:f>IFERROR('TOTAL STATISTICS'!I9/'TOTAL STATISTICS'!K9*600,0)</x:f>
        <x:v>14112.90708096803</x:v>
      </x:c>
    </x:row>
    <x:row r="10">
      <x:c r="A10" t="s">
        <x:v>22</x:v>
      </x:c>
      <x:c r="B10" t="s">
        <x:v>24</x:v>
      </x:c>
      <x:c r="C10" t="s">
        <x:v>8</x:v>
      </x:c>
      <x:c r="D10" s="50" t="n">
        <x:f>'TOTAL STATISTICS'!K10/60</x:f>
        <x:v>408.46666666666664</x:v>
      </x:c>
      <x:c r="E10" s="50" t="n">
        <x:f>IFERROR('TOTAL STATISTICS'!D10/'TOTAL STATISTICS'!K10*600,0)</x:f>
        <x:v>17.6268973396442</x:v>
      </x:c>
      <x:c r="F10" s="50" t="n">
        <x:f>IFERROR('TOTAL STATISTICS'!E10/'TOTAL STATISTICS'!K10*600,0)</x:f>
        <x:v>6.3652684837604045</x:v>
      </x:c>
      <x:c r="G10" s="50" t="n">
        <x:f>IFERROR('TOTAL STATISTICS'!F10/'TOTAL STATISTICS'!K10*600,0)</x:f>
        <x:v>8.911375877264566</x:v>
      </x:c>
      <x:c r="H10" s="50" t="n">
        <x:f>IFERROR('TOTAL STATISTICS'!G10/'TOTAL STATISTICS'!K10*600,0)</x:f>
        <x:v>11019.944507915781</x:v>
      </x:c>
      <x:c r="I10" s="50" t="n">
        <x:f>IFERROR('TOTAL STATISTICS'!H10/'TOTAL STATISTICS'!K10*600,0)</x:f>
        <x:v>1946.0339480985801</x:v>
      </x:c>
      <x:c r="J10" s="50" t="n">
        <x:f>IFERROR('TOTAL STATISTICS'!I10/'TOTAL STATISTICS'!K10*600,0)</x:f>
        <x:v>10287.106251020075</x:v>
      </x:c>
    </x:row>
    <x:row r="11">
      <x:c r="A11" t="s">
        <x:v>22</x:v>
      </x:c>
      <x:c r="B11" t="s">
        <x:v>25</x:v>
      </x:c>
      <x:c r="C11" t="s">
        <x:v>11</x:v>
      </x:c>
      <x:c r="D11" s="50" t="e">
        <x:f>'TOTAL STATISTICS'!K11/60</x:f>
        <x:v>#VALUE!</x:v>
      </x:c>
      <x:c r="E11" s="50" t="n">
        <x:f>IFERROR('TOTAL STATISTICS'!D11/'TOTAL STATISTICS'!K11*600,0)</x:f>
        <x:v>0</x:v>
      </x:c>
      <x:c r="F11" s="50" t="n">
        <x:f>IFERROR('TOTAL STATISTICS'!E11/'TOTAL STATISTICS'!K11*600,0)</x:f>
        <x:v>0</x:v>
      </x:c>
      <x:c r="G11" s="50" t="n">
        <x:f>IFERROR('TOTAL STATISTICS'!F11/'TOTAL STATISTICS'!K11*600,0)</x:f>
        <x:v>0</x:v>
      </x:c>
      <x:c r="H11" s="50" t="n">
        <x:f>IFERROR('TOTAL STATISTICS'!G11/'TOTAL STATISTICS'!K11*600,0)</x:f>
        <x:v>0</x:v>
      </x:c>
      <x:c r="I11" s="50" t="n">
        <x:f>IFERROR('TOTAL STATISTICS'!H11/'TOTAL STATISTICS'!K11*600,0)</x:f>
        <x:v>0</x:v>
      </x:c>
      <x:c r="J11" s="50" t="n">
        <x:f>IFERROR('TOTAL STATISTICS'!I11/'TOTAL STATISTICS'!K11*600,0)</x:f>
        <x:v>0</x:v>
      </x:c>
    </x:row>
    <x:row r="12">
      <x:c r="A12" t="s">
        <x:v>22</x:v>
      </x:c>
      <x:c r="B12" t="s">
        <x:v>26</x:v>
      </x:c>
      <x:c r="C12" t="s">
        <x:v>11</x:v>
      </x:c>
      <x:c r="D12" s="50" t="n">
        <x:f>'TOTAL STATISTICS'!K12/60</x:f>
        <x:v>209.73333333333332</x:v>
      </x:c>
      <x:c r="E12" s="50" t="n">
        <x:f>IFERROR('TOTAL STATISTICS'!D12/'TOTAL STATISTICS'!K12*600,0)</x:f>
        <x:v>14.828353464717102</x:v>
      </x:c>
      <x:c r="F12" s="50" t="n">
        <x:f>IFERROR('TOTAL STATISTICS'!E12/'TOTAL STATISTICS'!K12*600,0)</x:f>
        <x:v>7.294977749523204</x:v>
      </x:c>
      <x:c r="G12" s="50" t="n">
        <x:f>IFERROR('TOTAL STATISTICS'!F12/'TOTAL STATISTICS'!K12*600,0)</x:f>
        <x:v>0.9059122695486332</x:v>
      </x:c>
      <x:c r="H12" s="50" t="n">
        <x:f>IFERROR('TOTAL STATISTICS'!G12/'TOTAL STATISTICS'!K12*600,0)</x:f>
        <x:v>9913.541004450095</x:v>
      </x:c>
      <x:c r="I12" s="50" t="n">
        <x:f>IFERROR('TOTAL STATISTICS'!H12/'TOTAL STATISTICS'!K12*600,0)</x:f>
        <x:v>60.21932612841704</x:v>
      </x:c>
      <x:c r="J12" s="50" t="n">
        <x:f>IFERROR('TOTAL STATISTICS'!I12/'TOTAL STATISTICS'!K12*600,0)</x:f>
        <x:v>326.50985378258105</x:v>
      </x:c>
    </x:row>
    <x:row r="13">
      <x:c r="A13" t="s">
        <x:v>22</x:v>
      </x:c>
      <x:c r="B13" t="s">
        <x:v>27</x:v>
      </x:c>
      <x:c r="C13" t="s">
        <x:v>11</x:v>
      </x:c>
      <x:c r="D13" s="50" t="n">
        <x:f>'TOTAL STATISTICS'!K13/60</x:f>
        <x:v>310.3</x:v>
      </x:c>
      <x:c r="E13" s="50" t="n">
        <x:f>IFERROR('TOTAL STATISTICS'!D13/'TOTAL STATISTICS'!K13*600,0)</x:f>
        <x:v>19.1427650660651</x:v>
      </x:c>
      <x:c r="F13" s="50" t="n">
        <x:f>IFERROR('TOTAL STATISTICS'!E13/'TOTAL STATISTICS'!K13*600,0)</x:f>
        <x:v>6.316467934257171</x:v>
      </x:c>
      <x:c r="G13" s="50" t="n">
        <x:f>IFERROR('TOTAL STATISTICS'!F13/'TOTAL STATISTICS'!K13*600,0)</x:f>
        <x:v>1.9336126329358685</x:v>
      </x:c>
      <x:c r="H13" s="50" t="n">
        <x:f>IFERROR('TOTAL STATISTICS'!G13/'TOTAL STATISTICS'!K13*600,0)</x:f>
        <x:v>11125.652594263616</x:v>
      </x:c>
      <x:c r="I13" s="50" t="n">
        <x:f>IFERROR('TOTAL STATISTICS'!H13/'TOTAL STATISTICS'!K13*600,0)</x:f>
        <x:v>96.10054785691266</x:v>
      </x:c>
      <x:c r="J13" s="50" t="n">
        <x:f>IFERROR('TOTAL STATISTICS'!I13/'TOTAL STATISTICS'!K13*600,0)</x:f>
        <x:v>426.0715436674186</x:v>
      </x:c>
    </x:row>
    <x:row r="14">
      <x:c r="A14" t="s">
        <x:v>22</x:v>
      </x:c>
      <x:c r="B14" t="s">
        <x:v>28</x:v>
      </x:c>
      <x:c r="C14" t="s">
        <x:v>16</x:v>
      </x:c>
      <x:c r="D14" s="50" t="n">
        <x:f>'TOTAL STATISTICS'!K14/60</x:f>
        <x:v>520.0333333333333</x:v>
      </x:c>
      <x:c r="E14" s="50" t="n">
        <x:f>IFERROR('TOTAL STATISTICS'!D14/'TOTAL STATISTICS'!K14*600,0)</x:f>
        <x:v>11.903083135696429</x:v>
      </x:c>
      <x:c r="F14" s="50" t="n">
        <x:f>IFERROR('TOTAL STATISTICS'!E14/'TOTAL STATISTICS'!K14*600,0)</x:f>
        <x:v>6.480353823472854</x:v>
      </x:c>
      <x:c r="G14" s="50" t="n">
        <x:f>IFERROR('TOTAL STATISTICS'!F14/'TOTAL STATISTICS'!K14*600,0)</x:f>
        <x:v>12.979937183513877</x:v>
      </x:c>
      <x:c r="H14" s="50" t="n">
        <x:f>IFERROR('TOTAL STATISTICS'!G14/'TOTAL STATISTICS'!K14*600,0)</x:f>
        <x:v>3796.5835523363885</x:v>
      </x:c>
      <x:c r="I14" s="50" t="n">
        <x:f>IFERROR('TOTAL STATISTICS'!H14/'TOTAL STATISTICS'!K14*600,0)</x:f>
        <x:v>7904.531760784565</x:v>
      </x:c>
      <x:c r="J14" s="50" t="n">
        <x:f>IFERROR('TOTAL STATISTICS'!I14/'TOTAL STATISTICS'!K14*600,0)</x:f>
        <x:v>1379.5461829369913</x:v>
      </x:c>
    </x:row>
    <x:row r="15">
      <x:c r="A15" t="s">
        <x:v>22</x:v>
      </x:c>
      <x:c r="B15" t="s">
        <x:v>29</x:v>
      </x:c>
      <x:c r="C15" t="s">
        <x:v>16</x:v>
      </x:c>
      <x:c r="D15" s="50" t="e">
        <x:f>'TOTAL STATISTICS'!K15/60</x:f>
        <x:v>#VALUE!</x:v>
      </x:c>
      <x:c r="E15" s="50" t="n">
        <x:f>IFERROR('TOTAL STATISTICS'!D15/'TOTAL STATISTICS'!K15*600,0)</x:f>
        <x:v>0</x:v>
      </x:c>
      <x:c r="F15" s="50" t="n">
        <x:f>IFERROR('TOTAL STATISTICS'!E15/'TOTAL STATISTICS'!K15*600,0)</x:f>
        <x:v>0</x:v>
      </x:c>
      <x:c r="G15" s="50" t="n">
        <x:f>IFERROR('TOTAL STATISTICS'!F15/'TOTAL STATISTICS'!K15*600,0)</x:f>
        <x:v>0</x:v>
      </x:c>
      <x:c r="H15" s="50" t="n">
        <x:f>IFERROR('TOTAL STATISTICS'!G15/'TOTAL STATISTICS'!K15*600,0)</x:f>
        <x:v>0</x:v>
      </x:c>
      <x:c r="I15" s="50" t="n">
        <x:f>IFERROR('TOTAL STATISTICS'!H15/'TOTAL STATISTICS'!K15*600,0)</x:f>
        <x:v>0</x:v>
      </x:c>
      <x:c r="J15" s="50" t="n">
        <x:f>IFERROR('TOTAL STATISTICS'!I15/'TOTAL STATISTICS'!K15*600,0)</x:f>
        <x:v>0</x:v>
      </x:c>
    </x:row>
    <x:row r="16">
      <x:c r="A16" t="s">
        <x:v>31</x:v>
      </x:c>
      <x:c r="B16" t="s">
        <x:v>32</x:v>
      </x:c>
      <x:c r="C16" t="s">
        <x:v>8</x:v>
      </x:c>
      <x:c r="D16" s="50" t="e">
        <x:f>'TOTAL STATISTICS'!K16/60</x:f>
        <x:v>#VALUE!</x:v>
      </x:c>
      <x:c r="E16" s="50" t="n">
        <x:f>IFERROR('TOTAL STATISTICS'!D16/'TOTAL STATISTICS'!K16*600,0)</x:f>
        <x:v>0</x:v>
      </x:c>
      <x:c r="F16" s="50" t="n">
        <x:f>IFERROR('TOTAL STATISTICS'!E16/'TOTAL STATISTICS'!K16*600,0)</x:f>
        <x:v>0</x:v>
      </x:c>
      <x:c r="G16" s="50" t="n">
        <x:f>IFERROR('TOTAL STATISTICS'!F16/'TOTAL STATISTICS'!K16*600,0)</x:f>
        <x:v>0</x:v>
      </x:c>
      <x:c r="H16" s="50" t="n">
        <x:f>IFERROR('TOTAL STATISTICS'!G16/'TOTAL STATISTICS'!K16*600,0)</x:f>
        <x:v>0</x:v>
      </x:c>
      <x:c r="I16" s="50" t="n">
        <x:f>IFERROR('TOTAL STATISTICS'!H16/'TOTAL STATISTICS'!K16*600,0)</x:f>
        <x:v>0</x:v>
      </x:c>
      <x:c r="J16" s="50" t="n">
        <x:f>IFERROR('TOTAL STATISTICS'!I16/'TOTAL STATISTICS'!K16*600,0)</x:f>
        <x:v>0</x:v>
      </x:c>
    </x:row>
    <x:row r="17">
      <x:c r="A17" t="s">
        <x:v>31</x:v>
      </x:c>
      <x:c r="B17" t="s">
        <x:v>33</x:v>
      </x:c>
      <x:c r="C17" t="s">
        <x:v>8</x:v>
      </x:c>
      <x:c r="D17" s="50" t="n">
        <x:f>'TOTAL STATISTICS'!K17/60</x:f>
        <x:v>229.28333333333333</x:v>
      </x:c>
      <x:c r="E17" s="50" t="n">
        <x:f>IFERROR('TOTAL STATISTICS'!D17/'TOTAL STATISTICS'!K17*600,0)</x:f>
        <x:v>15.919168423348113</x:v>
      </x:c>
      <x:c r="F17" s="50" t="n">
        <x:f>IFERROR('TOTAL STATISTICS'!E17/'TOTAL STATISTICS'!K17*600,0)</x:f>
        <x:v>6.062368248891473</x:v>
      </x:c>
      <x:c r="G17" s="50" t="n">
        <x:f>IFERROR('TOTAL STATISTICS'!F17/'TOTAL STATISTICS'!K17*600,0)</x:f>
        <x:v>6.672966489787018</x:v>
      </x:c>
      <x:c r="H17" s="50" t="n">
        <x:f>IFERROR('TOTAL STATISTICS'!G17/'TOTAL STATISTICS'!K17*600,0)</x:f>
        <x:v>11512.655375445229</x:v>
      </x:c>
      <x:c r="I17" s="50" t="n">
        <x:f>IFERROR('TOTAL STATISTICS'!H17/'TOTAL STATISTICS'!K17*600,0)</x:f>
        <x:v>1442.1894308352112</x:v>
      </x:c>
      <x:c r="J17" s="50" t="n">
        <x:f>IFERROR('TOTAL STATISTICS'!I17/'TOTAL STATISTICS'!K17*600,0)</x:f>
        <x:v>14897.681180489932</x:v>
      </x:c>
    </x:row>
    <x:row r="18">
      <x:c r="A18" t="s">
        <x:v>31</x:v>
      </x:c>
      <x:c r="B18" t="s">
        <x:v>34</x:v>
      </x:c>
      <x:c r="C18" t="s">
        <x:v>11</x:v>
      </x:c>
      <x:c r="D18" s="50" t="e">
        <x:f>'TOTAL STATISTICS'!K18/60</x:f>
        <x:v>#VALUE!</x:v>
      </x:c>
      <x:c r="E18" s="50" t="n">
        <x:f>IFERROR('TOTAL STATISTICS'!D18/'TOTAL STATISTICS'!K18*600,0)</x:f>
        <x:v>0</x:v>
      </x:c>
      <x:c r="F18" s="50" t="n">
        <x:f>IFERROR('TOTAL STATISTICS'!E18/'TOTAL STATISTICS'!K18*600,0)</x:f>
        <x:v>0</x:v>
      </x:c>
      <x:c r="G18" s="50" t="n">
        <x:f>IFERROR('TOTAL STATISTICS'!F18/'TOTAL STATISTICS'!K18*600,0)</x:f>
        <x:v>0</x:v>
      </x:c>
      <x:c r="H18" s="50" t="n">
        <x:f>IFERROR('TOTAL STATISTICS'!G18/'TOTAL STATISTICS'!K18*600,0)</x:f>
        <x:v>0</x:v>
      </x:c>
      <x:c r="I18" s="50" t="n">
        <x:f>IFERROR('TOTAL STATISTICS'!H18/'TOTAL STATISTICS'!K18*600,0)</x:f>
        <x:v>0</x:v>
      </x:c>
      <x:c r="J18" s="50" t="n">
        <x:f>IFERROR('TOTAL STATISTICS'!I18/'TOTAL STATISTICS'!K18*600,0)</x:f>
        <x:v>0</x:v>
      </x:c>
    </x:row>
    <x:row r="19">
      <x:c r="A19" t="s">
        <x:v>31</x:v>
      </x:c>
      <x:c r="B19" t="s">
        <x:v>35</x:v>
      </x:c>
      <x:c r="C19" t="s">
        <x:v>11</x:v>
      </x:c>
      <x:c r="D19" s="50" t="n">
        <x:f>'TOTAL STATISTICS'!K19/60</x:f>
        <x:v>335.5833333333333</x:v>
      </x:c>
      <x:c r="E19" s="50" t="n">
        <x:f>IFERROR('TOTAL STATISTICS'!D19/'TOTAL STATISTICS'!K19*600,0)</x:f>
        <x:v>15.614601440278122</x:v>
      </x:c>
      <x:c r="F19" s="50" t="n">
        <x:f>IFERROR('TOTAL STATISTICS'!E19/'TOTAL STATISTICS'!K19*600,0)</x:f>
        <x:v>6.883536131114974</x:v>
      </x:c>
      <x:c r="G19" s="50" t="n">
        <x:f>IFERROR('TOTAL STATISTICS'!F19/'TOTAL STATISTICS'!K19*600,0)</x:f>
        <x:v>1.1323565929972685</x:v>
      </x:c>
      <x:c r="H19" s="50" t="n">
        <x:f>IFERROR('TOTAL STATISTICS'!G19/'TOTAL STATISTICS'!K19*600,0)</x:f>
        <x:v>10029.759125900173</x:v>
      </x:c>
      <x:c r="I19" s="50" t="n">
        <x:f>IFERROR('TOTAL STATISTICS'!H19/'TOTAL STATISTICS'!K19*600,0)</x:f>
        <x:v>95.65433325055874</x:v>
      </x:c>
      <x:c r="J19" s="50" t="n">
        <x:f>IFERROR('TOTAL STATISTICS'!I19/'TOTAL STATISTICS'!K19*600,0)</x:f>
        <x:v>598.9570399801341</x:v>
      </x:c>
    </x:row>
    <x:row r="20">
      <x:c r="A20" t="s">
        <x:v>31</x:v>
      </x:c>
      <x:c r="B20" t="s">
        <x:v>36</x:v>
      </x:c>
      <x:c r="C20" t="s">
        <x:v>16</x:v>
      </x:c>
      <x:c r="D20" s="50" t="e">
        <x:f>'TOTAL STATISTICS'!K20/60</x:f>
        <x:v>#VALUE!</x:v>
      </x:c>
      <x:c r="E20" s="50" t="n">
        <x:f>IFERROR('TOTAL STATISTICS'!D20/'TOTAL STATISTICS'!K20*600,0)</x:f>
        <x:v>0</x:v>
      </x:c>
      <x:c r="F20" s="50" t="n">
        <x:f>IFERROR('TOTAL STATISTICS'!E20/'TOTAL STATISTICS'!K20*600,0)</x:f>
        <x:v>0</x:v>
      </x:c>
      <x:c r="G20" s="50" t="n">
        <x:f>IFERROR('TOTAL STATISTICS'!F20/'TOTAL STATISTICS'!K20*600,0)</x:f>
        <x:v>0</x:v>
      </x:c>
      <x:c r="H20" s="50" t="n">
        <x:f>IFERROR('TOTAL STATISTICS'!G20/'TOTAL STATISTICS'!K20*600,0)</x:f>
        <x:v>0</x:v>
      </x:c>
      <x:c r="I20" s="50" t="n">
        <x:f>IFERROR('TOTAL STATISTICS'!H20/'TOTAL STATISTICS'!K20*600,0)</x:f>
        <x:v>0</x:v>
      </x:c>
      <x:c r="J20" s="50" t="n">
        <x:f>IFERROR('TOTAL STATISTICS'!I20/'TOTAL STATISTICS'!K20*600,0)</x:f>
        <x:v>0</x:v>
      </x:c>
    </x:row>
    <x:row r="21">
      <x:c r="A21" t="s">
        <x:v>31</x:v>
      </x:c>
      <x:c r="B21" t="s">
        <x:v>37</x:v>
      </x:c>
      <x:c r="C21" t="s">
        <x:v>16</x:v>
      </x:c>
      <x:c r="D21" s="50" t="n">
        <x:f>'TOTAL STATISTICS'!K21/60</x:f>
        <x:v>335.5833333333333</x:v>
      </x:c>
      <x:c r="E21" s="50" t="n">
        <x:f>IFERROR('TOTAL STATISTICS'!D21/'TOTAL STATISTICS'!K21*600,0)</x:f>
        <x:v>8.93965731313633</x:v>
      </x:c>
      <x:c r="F21" s="50" t="n">
        <x:f>IFERROR('TOTAL STATISTICS'!E21/'TOTAL STATISTICS'!K21*600,0)</x:f>
        <x:v>5.333995530171343</x:v>
      </x:c>
      <x:c r="G21" s="50" t="n">
        <x:f>IFERROR('TOTAL STATISTICS'!F21/'TOTAL STATISTICS'!K21*600,0)</x:f>
        <x:v>16.180779736776756</x:v>
      </x:c>
      <x:c r="H21" s="50" t="n">
        <x:f>IFERROR('TOTAL STATISTICS'!G21/'TOTAL STATISTICS'!K21*600,0)</x:f>
        <x:v>4344.584057611125</x:v>
      </x:c>
      <x:c r="I21" s="50" t="n">
        <x:f>IFERROR('TOTAL STATISTICS'!H21/'TOTAL STATISTICS'!K21*600,0)</x:f>
        <x:v>11857.859448721132</x:v>
      </x:c>
      <x:c r="J21" s="50" t="n">
        <x:f>IFERROR('TOTAL STATISTICS'!I21/'TOTAL STATISTICS'!K21*600,0)</x:f>
        <x:v>95.475540104296</x:v>
      </x:c>
    </x:row>
    <x:row r="22">
      <x:c r="A22" t="s">
        <x:v>39</x:v>
      </x:c>
      <x:c r="B22" t="s">
        <x:v>40</x:v>
      </x:c>
      <x:c r="C22" t="s">
        <x:v>8</x:v>
      </x:c>
      <x:c r="D22" s="50" t="n">
        <x:f>'TOTAL STATISTICS'!K22/60</x:f>
        <x:v>241.85</x:v>
      </x:c>
      <x:c r="E22" s="50" t="n">
        <x:f>IFERROR('TOTAL STATISTICS'!D22/'TOTAL STATISTICS'!K22*600,0)</x:f>
        <x:v>12.15629522431259</x:v>
      </x:c>
      <x:c r="F22" s="50" t="n">
        <x:f>IFERROR('TOTAL STATISTICS'!E22/'TOTAL STATISTICS'!K22*600,0)</x:f>
        <x:v>6.863758528013232</x:v>
      </x:c>
      <x:c r="G22" s="50" t="n">
        <x:f>IFERROR('TOTAL STATISTICS'!F22/'TOTAL STATISTICS'!K22*600,0)</x:f>
        <x:v>4.837709323961134</x:v>
      </x:c>
      <x:c r="H22" s="50" t="n">
        <x:f>IFERROR('TOTAL STATISTICS'!G22/'TOTAL STATISTICS'!K22*600,0)</x:f>
        <x:v>9171.263179656813</x:v>
      </x:c>
      <x:c r="I22" s="50" t="n">
        <x:f>IFERROR('TOTAL STATISTICS'!H22/'TOTAL STATISTICS'!K22*600,0)</x:f>
        <x:v>1567.2524291916477</x:v>
      </x:c>
      <x:c r="J22" s="50" t="n">
        <x:f>IFERROR('TOTAL STATISTICS'!I22/'TOTAL STATISTICS'!K22*600,0)</x:f>
        <x:v>9644.159603059748</x:v>
      </x:c>
    </x:row>
    <x:row r="23">
      <x:c r="A23" t="s">
        <x:v>39</x:v>
      </x:c>
      <x:c r="B23" t="s">
        <x:v>41</x:v>
      </x:c>
      <x:c r="C23" t="s">
        <x:v>8</x:v>
      </x:c>
      <x:c r="D23" s="50" t="n">
        <x:f>'TOTAL STATISTICS'!K23/60</x:f>
        <x:v>5.783333333333334</x:v>
      </x:c>
      <x:c r="E23" s="50" t="n">
        <x:f>IFERROR('TOTAL STATISTICS'!D23/'TOTAL STATISTICS'!K23*600,0)</x:f>
        <x:v>10.374639769452449</x:v>
      </x:c>
      <x:c r="F23" s="50" t="n">
        <x:f>IFERROR('TOTAL STATISTICS'!E23/'TOTAL STATISTICS'!K23*600,0)</x:f>
        <x:v>13.832853025936597</x:v>
      </x:c>
      <x:c r="G23" s="50" t="n">
        <x:f>IFERROR('TOTAL STATISTICS'!F23/'TOTAL STATISTICS'!K23*600,0)</x:f>
        <x:v>5.187319884726224</x:v>
      </x:c>
      <x:c r="H23" s="50" t="n">
        <x:f>IFERROR('TOTAL STATISTICS'!G23/'TOTAL STATISTICS'!K23*600,0)</x:f>
        <x:v>8277.233429394812</x:v>
      </x:c>
      <x:c r="I23" s="50" t="n">
        <x:f>IFERROR('TOTAL STATISTICS'!H23/'TOTAL STATISTICS'!K23*600,0)</x:f>
        <x:v>1706.6282420749276</x:v>
      </x:c>
      <x:c r="J23" s="50" t="n">
        <x:f>IFERROR('TOTAL STATISTICS'!I23/'TOTAL STATISTICS'!K23*600,0)</x:f>
        <x:v>5118.155619596541</x:v>
      </x:c>
    </x:row>
    <x:row r="24">
      <x:c r="A24" t="s">
        <x:v>39</x:v>
      </x:c>
      <x:c r="B24" t="s">
        <x:v>42</x:v>
      </x:c>
      <x:c r="C24" t="s">
        <x:v>11</x:v>
      </x:c>
      <x:c r="D24" s="50" t="n">
        <x:f>'TOTAL STATISTICS'!K24/60</x:f>
        <x:v>247.63333333333333</x:v>
      </x:c>
      <x:c r="E24" s="50" t="n">
        <x:f>IFERROR('TOTAL STATISTICS'!D24/'TOTAL STATISTICS'!K24*600,0)</x:f>
        <x:v>12.235832548122223</x:v>
      </x:c>
      <x:c r="F24" s="50" t="n">
        <x:f>IFERROR('TOTAL STATISTICS'!E24/'TOTAL STATISTICS'!K24*600,0)</x:f>
        <x:v>7.228429129088707</x:v>
      </x:c>
      <x:c r="G24" s="50" t="n">
        <x:f>IFERROR('TOTAL STATISTICS'!F24/'TOTAL STATISTICS'!K24*600,0)</x:f>
        <x:v>1.2518508547583793</x:v>
      </x:c>
      <x:c r="H24" s="50" t="n">
        <x:f>IFERROR('TOTAL STATISTICS'!G24/'TOTAL STATISTICS'!K24*600,0)</x:f>
        <x:v>7020.743034055728</x:v>
      </x:c>
      <x:c r="I24" s="50" t="n">
        <x:f>IFERROR('TOTAL STATISTICS'!H24/'TOTAL STATISTICS'!K24*600,0)</x:f>
        <x:v>374.14187643020597</x:v>
      </x:c>
      <x:c r="J24" s="50" t="n">
        <x:f>IFERROR('TOTAL STATISTICS'!I24/'TOTAL STATISTICS'!K24*600,0)</x:f>
        <x:v>1508.5206622694845</x:v>
      </x:c>
    </x:row>
    <x:row r="25">
      <x:c r="A25" t="s">
        <x:v>39</x:v>
      </x:c>
      <x:c r="B25" t="s">
        <x:v>43</x:v>
      </x:c>
      <x:c r="C25" t="s">
        <x:v>11</x:v>
      </x:c>
      <x:c r="D25" s="50" t="e">
        <x:f>'TOTAL STATISTICS'!K25/60</x:f>
        <x:v>#VALUE!</x:v>
      </x:c>
      <x:c r="E25" s="50" t="n">
        <x:f>IFERROR('TOTAL STATISTICS'!D25/'TOTAL STATISTICS'!K25*600,0)</x:f>
        <x:v>0</x:v>
      </x:c>
      <x:c r="F25" s="50" t="n">
        <x:f>IFERROR('TOTAL STATISTICS'!E25/'TOTAL STATISTICS'!K25*600,0)</x:f>
        <x:v>0</x:v>
      </x:c>
      <x:c r="G25" s="50" t="n">
        <x:f>IFERROR('TOTAL STATISTICS'!F25/'TOTAL STATISTICS'!K25*600,0)</x:f>
        <x:v>0</x:v>
      </x:c>
      <x:c r="H25" s="50" t="n">
        <x:f>IFERROR('TOTAL STATISTICS'!G25/'TOTAL STATISTICS'!K25*600,0)</x:f>
        <x:v>0</x:v>
      </x:c>
      <x:c r="I25" s="50" t="n">
        <x:f>IFERROR('TOTAL STATISTICS'!H25/'TOTAL STATISTICS'!K25*600,0)</x:f>
        <x:v>0</x:v>
      </x:c>
      <x:c r="J25" s="50" t="n">
        <x:f>IFERROR('TOTAL STATISTICS'!I25/'TOTAL STATISTICS'!K25*600,0)</x:f>
        <x:v>0</x:v>
      </x:c>
    </x:row>
    <x:row r="26">
      <x:c r="A26" t="s">
        <x:v>39</x:v>
      </x:c>
      <x:c r="B26" t="s">
        <x:v>44</x:v>
      </x:c>
      <x:c r="C26" t="s">
        <x:v>16</x:v>
      </x:c>
      <x:c r="D26" s="50" t="n">
        <x:f>'TOTAL STATISTICS'!K26/60</x:f>
        <x:v>247.63333333333333</x:v>
      </x:c>
      <x:c r="E26" s="50" t="n">
        <x:f>IFERROR('TOTAL STATISTICS'!D26/'TOTAL STATISTICS'!K26*600,0)</x:f>
        <x:v>8.762955983308656</x:v>
      </x:c>
      <x:c r="F26" s="50" t="n">
        <x:f>IFERROR('TOTAL STATISTICS'!E26/'TOTAL STATISTICS'!K26*600,0)</x:f>
        <x:v>6.057342845605061</x:v>
      </x:c>
      <x:c r="G26" s="50" t="n">
        <x:f>IFERROR('TOTAL STATISTICS'!F26/'TOTAL STATISTICS'!K26*600,0)</x:f>
        <x:v>11.387804549737515</x:v>
      </x:c>
      <x:c r="H26" s="50" t="n">
        <x:f>IFERROR('TOTAL STATISTICS'!G26/'TOTAL STATISTICS'!K26*600,0)</x:f>
        <x:v>3702.813299232737</x:v>
      </x:c>
      <x:c r="I26" s="50" t="n">
        <x:f>IFERROR('TOTAL STATISTICS'!H26/'TOTAL STATISTICS'!K26*600,0)</x:f>
        <x:v>7044.32628886795</x:v>
      </x:c>
      <x:c r="J26" s="50" t="n">
        <x:f>IFERROR('TOTAL STATISTICS'!I26/'TOTAL STATISTICS'!K26*600,0)</x:f>
        <x:v>1414.0261138780454</x:v>
      </x:c>
    </x:row>
    <x:row r="27">
      <x:c r="A27" t="s">
        <x:v>39</x:v>
      </x:c>
      <x:c r="B27" t="s">
        <x:v>45</x:v>
      </x:c>
      <x:c r="C27" t="s">
        <x:v>16</x:v>
      </x:c>
      <x:c r="D27" s="50" t="e">
        <x:f>'TOTAL STATISTICS'!K27/60</x:f>
        <x:v>#VALUE!</x:v>
      </x:c>
      <x:c r="E27" s="50" t="n">
        <x:f>IFERROR('TOTAL STATISTICS'!D27/'TOTAL STATISTICS'!K27*600,0)</x:f>
        <x:v>0</x:v>
      </x:c>
      <x:c r="F27" s="50" t="n">
        <x:f>IFERROR('TOTAL STATISTICS'!E27/'TOTAL STATISTICS'!K27*600,0)</x:f>
        <x:v>0</x:v>
      </x:c>
      <x:c r="G27" s="50" t="n">
        <x:f>IFERROR('TOTAL STATISTICS'!F27/'TOTAL STATISTICS'!K27*600,0)</x:f>
        <x:v>0</x:v>
      </x:c>
      <x:c r="H27" s="50" t="n">
        <x:f>IFERROR('TOTAL STATISTICS'!G27/'TOTAL STATISTICS'!K27*600,0)</x:f>
        <x:v>0</x:v>
      </x:c>
      <x:c r="I27" s="50" t="n">
        <x:f>IFERROR('TOTAL STATISTICS'!H27/'TOTAL STATISTICS'!K27*600,0)</x:f>
        <x:v>0</x:v>
      </x:c>
      <x:c r="J27" s="50" t="n">
        <x:f>IFERROR('TOTAL STATISTICS'!I27/'TOTAL STATISTICS'!K27*600,0)</x:f>
        <x:v>0</x:v>
      </x:c>
    </x:row>
    <x:row r="28">
      <x:c r="A28" t="s">
        <x:v>47</x:v>
      </x:c>
      <x:c r="B28" t="s">
        <x:v>48</x:v>
      </x:c>
      <x:c r="C28" t="s">
        <x:v>8</x:v>
      </x:c>
      <x:c r="D28" s="50" t="n">
        <x:f>'TOTAL STATISTICS'!K28/60</x:f>
        <x:v>69.81666666666666</x:v>
      </x:c>
      <x:c r="E28" s="50" t="n">
        <x:f>IFERROR('TOTAL STATISTICS'!D28/'TOTAL STATISTICS'!K28*600,0)</x:f>
        <x:v>19.193124850799713</x:v>
      </x:c>
      <x:c r="F28" s="50" t="n">
        <x:f>IFERROR('TOTAL STATISTICS'!E28/'TOTAL STATISTICS'!K28*600,0)</x:f>
        <x:v>4.010503700167105</x:v>
      </x:c>
      <x:c r="G28" s="50" t="n">
        <x:f>IFERROR('TOTAL STATISTICS'!F28/'TOTAL STATISTICS'!K28*600,0)</x:f>
        <x:v>8.02100740033421</x:v>
      </x:c>
      <x:c r="H28" s="50" t="n">
        <x:f>IFERROR('TOTAL STATISTICS'!G28/'TOTAL STATISTICS'!K28*600,0)</x:f>
        <x:v>9299.928383862496</x:v>
      </x:c>
      <x:c r="I28" s="50" t="n">
        <x:f>IFERROR('TOTAL STATISTICS'!H28/'TOTAL STATISTICS'!K28*600,0)</x:f>
        <x:v>1889.806636428742</x:v>
      </x:c>
      <x:c r="J28" s="50" t="n">
        <x:f>IFERROR('TOTAL STATISTICS'!I28/'TOTAL STATISTICS'!K28*600,0)</x:f>
        <x:v>5555.2637861064695</x:v>
      </x:c>
    </x:row>
    <x:row r="29">
      <x:c r="A29" t="s">
        <x:v>47</x:v>
      </x:c>
      <x:c r="B29" t="s">
        <x:v>49</x:v>
      </x:c>
      <x:c r="C29" t="s">
        <x:v>8</x:v>
      </x:c>
      <x:c r="D29" s="50" t="n">
        <x:f>'TOTAL STATISTICS'!K29/60</x:f>
        <x:v>599.7666666666667</x:v>
      </x:c>
      <x:c r="E29" s="50" t="n">
        <x:f>IFERROR('TOTAL STATISTICS'!D29/'TOTAL STATISTICS'!K29*600,0)</x:f>
        <x:v>25.409881620630248</x:v>
      </x:c>
      <x:c r="F29" s="50" t="n">
        <x:f>IFERROR('TOTAL STATISTICS'!E29/'TOTAL STATISTICS'!K29*600,0)</x:f>
        <x:v>6.102373145111987</x:v>
      </x:c>
      <x:c r="G29" s="50" t="n">
        <x:f>IFERROR('TOTAL STATISTICS'!F29/'TOTAL STATISTICS'!K29*600,0)</x:f>
        <x:v>12.771633412993943</x:v>
      </x:c>
      <x:c r="H29" s="50" t="n">
        <x:f>IFERROR('TOTAL STATISTICS'!G29/'TOTAL STATISTICS'!K29*600,0)</x:f>
        <x:v>11331.69010170622</x:v>
      </x:c>
      <x:c r="I29" s="50" t="n">
        <x:f>IFERROR('TOTAL STATISTICS'!H29/'TOTAL STATISTICS'!K29*600,0)</x:f>
        <x:v>1728.2721058189295</x:v>
      </x:c>
      <x:c r="J29" s="50" t="n">
        <x:f>IFERROR('TOTAL STATISTICS'!I29/'TOTAL STATISTICS'!K29*600,0)</x:f>
        <x:v>10542.699938865115</x:v>
      </x:c>
    </x:row>
    <x:row r="30">
      <x:c r="A30" t="s">
        <x:v>47</x:v>
      </x:c>
      <x:c r="B30" t="s">
        <x:v>50</x:v>
      </x:c>
      <x:c r="C30" t="s">
        <x:v>11</x:v>
      </x:c>
      <x:c r="D30" s="50" t="e">
        <x:f>'TOTAL STATISTICS'!K30/60</x:f>
        <x:v>#VALUE!</x:v>
      </x:c>
      <x:c r="E30" s="50" t="n">
        <x:f>IFERROR('TOTAL STATISTICS'!D30/'TOTAL STATISTICS'!K30*600,0)</x:f>
        <x:v>0</x:v>
      </x:c>
      <x:c r="F30" s="50" t="n">
        <x:f>IFERROR('TOTAL STATISTICS'!E30/'TOTAL STATISTICS'!K30*600,0)</x:f>
        <x:v>0</x:v>
      </x:c>
      <x:c r="G30" s="50" t="n">
        <x:f>IFERROR('TOTAL STATISTICS'!F30/'TOTAL STATISTICS'!K30*600,0)</x:f>
        <x:v>0</x:v>
      </x:c>
      <x:c r="H30" s="50" t="n">
        <x:f>IFERROR('TOTAL STATISTICS'!G30/'TOTAL STATISTICS'!K30*600,0)</x:f>
        <x:v>0</x:v>
      </x:c>
      <x:c r="I30" s="50" t="n">
        <x:f>IFERROR('TOTAL STATISTICS'!H30/'TOTAL STATISTICS'!K30*600,0)</x:f>
        <x:v>0</x:v>
      </x:c>
      <x:c r="J30" s="50" t="n">
        <x:f>IFERROR('TOTAL STATISTICS'!I30/'TOTAL STATISTICS'!K30*600,0)</x:f>
        <x:v>0</x:v>
      </x:c>
    </x:row>
    <x:row r="31">
      <x:c r="A31" t="s">
        <x:v>47</x:v>
      </x:c>
      <x:c r="B31" t="s">
        <x:v>51</x:v>
      </x:c>
      <x:c r="C31" t="s">
        <x:v>11</x:v>
      </x:c>
      <x:c r="D31" s="50" t="e">
        <x:f>'TOTAL STATISTICS'!K31/60</x:f>
        <x:v>#VALUE!</x:v>
      </x:c>
      <x:c r="E31" s="50" t="n">
        <x:f>IFERROR('TOTAL STATISTICS'!D31/'TOTAL STATISTICS'!K31*600,0)</x:f>
        <x:v>0</x:v>
      </x:c>
      <x:c r="F31" s="50" t="n">
        <x:f>IFERROR('TOTAL STATISTICS'!E31/'TOTAL STATISTICS'!K31*600,0)</x:f>
        <x:v>0</x:v>
      </x:c>
      <x:c r="G31" s="50" t="n">
        <x:f>IFERROR('TOTAL STATISTICS'!F31/'TOTAL STATISTICS'!K31*600,0)</x:f>
        <x:v>0</x:v>
      </x:c>
      <x:c r="H31" s="50" t="n">
        <x:f>IFERROR('TOTAL STATISTICS'!G31/'TOTAL STATISTICS'!K31*600,0)</x:f>
        <x:v>0</x:v>
      </x:c>
      <x:c r="I31" s="50" t="n">
        <x:f>IFERROR('TOTAL STATISTICS'!H31/'TOTAL STATISTICS'!K31*600,0)</x:f>
        <x:v>0</x:v>
      </x:c>
      <x:c r="J31" s="50" t="n">
        <x:f>IFERROR('TOTAL STATISTICS'!I31/'TOTAL STATISTICS'!K31*600,0)</x:f>
        <x:v>0</x:v>
      </x:c>
    </x:row>
    <x:row r="32">
      <x:c r="A32" t="s">
        <x:v>47</x:v>
      </x:c>
      <x:c r="B32" t="s">
        <x:v>52</x:v>
      </x:c>
      <x:c r="C32" t="s">
        <x:v>16</x:v>
      </x:c>
      <x:c r="D32" s="50" t="n">
        <x:f>'TOTAL STATISTICS'!K32/60</x:f>
        <x:v>669.5833333333334</x:v>
      </x:c>
      <x:c r="E32" s="50" t="n">
        <x:f>IFERROR('TOTAL STATISTICS'!D32/'TOTAL STATISTICS'!K32*600,0)</x:f>
        <x:v>19.698817672682015</x:v>
      </x:c>
      <x:c r="F32" s="50" t="n">
        <x:f>IFERROR('TOTAL STATISTICS'!E32/'TOTAL STATISTICS'!K32*600,0)</x:f>
        <x:v>6.108276291225886</x:v>
      </x:c>
      <x:c r="G32" s="50" t="n">
        <x:f>IFERROR('TOTAL STATISTICS'!F32/'TOTAL STATISTICS'!K32*600,0)</x:f>
        <x:v>17.951462352209088</x:v>
      </x:c>
      <x:c r="H32" s="50" t="n">
        <x:f>IFERROR('TOTAL STATISTICS'!G32/'TOTAL STATISTICS'!K32*600,0)</x:f>
        <x:v>5249.83198506534</x:v>
      </x:c>
      <x:c r="I32" s="50" t="n">
        <x:f>IFERROR('TOTAL STATISTICS'!H32/'TOTAL STATISTICS'!K32*600,0)</x:f>
        <x:v>8565.042937149969</x:v>
      </x:c>
      <x:c r="J32" s="50" t="n">
        <x:f>IFERROR('TOTAL STATISTICS'!I32/'TOTAL STATISTICS'!K32*600,0)</x:f>
        <x:v>658.3945239576851</x:v>
      </x:c>
    </x:row>
    <x:row r="33">
      <x:c r="A33" t="s">
        <x:v>47</x:v>
      </x:c>
      <x:c r="B33" t="s">
        <x:v>53</x:v>
      </x:c>
      <x:c r="C33" t="s">
        <x:v>16</x:v>
      </x:c>
      <x:c r="D33" s="50" t="n">
        <x:f>'TOTAL STATISTICS'!K33/60</x:f>
        <x:v>669.5833333333334</x:v>
      </x:c>
      <x:c r="E33" s="50" t="n">
        <x:f>IFERROR('TOTAL STATISTICS'!D33/'TOTAL STATISTICS'!K33*600,0)</x:f>
        <x:v>13.485998755444928</x:v>
      </x:c>
      <x:c r="F33" s="50" t="n">
        <x:f>IFERROR('TOTAL STATISTICS'!E33/'TOTAL STATISTICS'!K33*600,0)</x:f>
        <x:v>6.302426882389545</x:v>
      </x:c>
      <x:c r="G33" s="50" t="n">
        <x:f>IFERROR('TOTAL STATISTICS'!F33/'TOTAL STATISTICS'!K33*600,0)</x:f>
        <x:v>23.462352209085253</x:v>
      </x:c>
      <x:c r="H33" s="50" t="n">
        <x:f>IFERROR('TOTAL STATISTICS'!G33/'TOTAL STATISTICS'!K33*600,0)</x:f>
        <x:v>4582.879900435594</x:v>
      </x:c>
      <x:c r="I33" s="50" t="n">
        <x:f>IFERROR('TOTAL STATISTICS'!H33/'TOTAL STATISTICS'!K33*600,0)</x:f>
        <x:v>10745.742377100187</x:v>
      </x:c>
      <x:c r="J33" s="50" t="n">
        <x:f>IFERROR('TOTAL STATISTICS'!I33/'TOTAL STATISTICS'!K33*600,0)</x:f>
        <x:v>312.8064716863721</x:v>
      </x:c>
    </x:row>
    <x:row r="34">
      <x:c r="A34" t="s">
        <x:v>55</x:v>
      </x:c>
      <x:c r="B34" t="s">
        <x:v>56</x:v>
      </x:c>
      <x:c r="C34" t="s">
        <x:v>8</x:v>
      </x:c>
      <x:c r="D34" s="50" t="n">
        <x:f>'TOTAL STATISTICS'!K34/60</x:f>
        <x:v>57.43333333333333</x:v>
      </x:c>
      <x:c r="E34" s="50" t="n">
        <x:f>IFERROR('TOTAL STATISTICS'!D34/'TOTAL STATISTICS'!K34*600,0)</x:f>
        <x:v>23.50551363900174</x:v>
      </x:c>
      <x:c r="F34" s="50" t="n">
        <x:f>IFERROR('TOTAL STATISTICS'!E34/'TOTAL STATISTICS'!K34*600,0)</x:f>
        <x:v>4.7011027278003485</x:v>
      </x:c>
      <x:c r="G34" s="50" t="n">
        <x:f>IFERROR('TOTAL STATISTICS'!F34/'TOTAL STATISTICS'!K34*600,0)</x:f>
        <x:v>10.272780034822983</x:v>
      </x:c>
      <x:c r="H34" s="50" t="n">
        <x:f>IFERROR('TOTAL STATISTICS'!G34/'TOTAL STATISTICS'!K34*600,0)</x:f>
        <x:v>10193.557748113755</x:v>
      </x:c>
      <x:c r="I34" s="50" t="n">
        <x:f>IFERROR('TOTAL STATISTICS'!H34/'TOTAL STATISTICS'!K34*600,0)</x:f>
        <x:v>2193.1514799767847</x:v>
      </x:c>
      <x:c r="J34" s="50" t="n">
        <x:f>IFERROR('TOTAL STATISTICS'!I34/'TOTAL STATISTICS'!K34*600,0)</x:f>
        <x:v>5726.813697040047</x:v>
      </x:c>
    </x:row>
    <x:row r="35">
      <x:c r="A35" t="s">
        <x:v>55</x:v>
      </x:c>
      <x:c r="B35" t="s">
        <x:v>57</x:v>
      </x:c>
      <x:c r="C35" t="s">
        <x:v>8</x:v>
      </x:c>
      <x:c r="D35" s="50" t="e">
        <x:f>'TOTAL STATISTICS'!K35/60</x:f>
        <x:v>#VALUE!</x:v>
      </x:c>
      <x:c r="E35" s="50" t="n">
        <x:f>IFERROR('TOTAL STATISTICS'!D35/'TOTAL STATISTICS'!K35*600,0)</x:f>
        <x:v>0</x:v>
      </x:c>
      <x:c r="F35" s="50" t="n">
        <x:f>IFERROR('TOTAL STATISTICS'!E35/'TOTAL STATISTICS'!K35*600,0)</x:f>
        <x:v>0</x:v>
      </x:c>
      <x:c r="G35" s="50" t="n">
        <x:f>IFERROR('TOTAL STATISTICS'!F35/'TOTAL STATISTICS'!K35*600,0)</x:f>
        <x:v>0</x:v>
      </x:c>
      <x:c r="H35" s="50" t="n">
        <x:f>IFERROR('TOTAL STATISTICS'!G35/'TOTAL STATISTICS'!K35*600,0)</x:f>
        <x:v>0</x:v>
      </x:c>
      <x:c r="I35" s="50" t="n">
        <x:f>IFERROR('TOTAL STATISTICS'!H35/'TOTAL STATISTICS'!K35*600,0)</x:f>
        <x:v>0</x:v>
      </x:c>
      <x:c r="J35" s="50" t="n">
        <x:f>IFERROR('TOTAL STATISTICS'!I35/'TOTAL STATISTICS'!K35*600,0)</x:f>
        <x:v>0</x:v>
      </x:c>
    </x:row>
    <x:row r="36">
      <x:c r="A36" t="s">
        <x:v>55</x:v>
      </x:c>
      <x:c r="B36" t="s">
        <x:v>58</x:v>
      </x:c>
      <x:c r="C36" t="s">
        <x:v>11</x:v>
      </x:c>
      <x:c r="D36" s="50" t="n">
        <x:f>'TOTAL STATISTICS'!K36/60</x:f>
        <x:v>514.3</x:v>
      </x:c>
      <x:c r="E36" s="50" t="n">
        <x:f>IFERROR('TOTAL STATISTICS'!D36/'TOTAL STATISTICS'!K36*600,0)</x:f>
        <x:v>22.846587594789035</x:v>
      </x:c>
      <x:c r="F36" s="50" t="n">
        <x:f>IFERROR('TOTAL STATISTICS'!E36/'TOTAL STATISTICS'!K36*600,0)</x:f>
        <x:v>6.0276103441571065</x:v>
      </x:c>
      <x:c r="G36" s="50" t="n">
        <x:f>IFERROR('TOTAL STATISTICS'!F36/'TOTAL STATISTICS'!K36*600,0)</x:f>
        <x:v>3.6554540151662454</x:v>
      </x:c>
      <x:c r="H36" s="50" t="n">
        <x:f>IFERROR('TOTAL STATISTICS'!G36/'TOTAL STATISTICS'!K36*600,0)</x:f>
        <x:v>9721.349406960919</x:v>
      </x:c>
      <x:c r="I36" s="50" t="n">
        <x:f>IFERROR('TOTAL STATISTICS'!H36/'TOTAL STATISTICS'!K36*600,0)</x:f>
        <x:v>832.2963251020806</x:v>
      </x:c>
      <x:c r="J36" s="50" t="n">
        <x:f>IFERROR('TOTAL STATISTICS'!I36/'TOTAL STATISTICS'!K36*600,0)</x:f>
        <x:v>1957.651176356212</x:v>
      </x:c>
    </x:row>
    <x:row r="37">
      <x:c r="A37" t="s">
        <x:v>55</x:v>
      </x:c>
      <x:c r="B37" t="s">
        <x:v>59</x:v>
      </x:c>
      <x:c r="C37" t="s">
        <x:v>11</x:v>
      </x:c>
      <x:c r="D37" s="50" t="e">
        <x:f>'TOTAL STATISTICS'!K37/60</x:f>
        <x:v>#VALUE!</x:v>
      </x:c>
      <x:c r="E37" s="50" t="n">
        <x:f>IFERROR('TOTAL STATISTICS'!D37/'TOTAL STATISTICS'!K37*600,0)</x:f>
        <x:v>0</x:v>
      </x:c>
      <x:c r="F37" s="50" t="n">
        <x:f>IFERROR('TOTAL STATISTICS'!E37/'TOTAL STATISTICS'!K37*600,0)</x:f>
        <x:v>0</x:v>
      </x:c>
      <x:c r="G37" s="50" t="n">
        <x:f>IFERROR('TOTAL STATISTICS'!F37/'TOTAL STATISTICS'!K37*600,0)</x:f>
        <x:v>0</x:v>
      </x:c>
      <x:c r="H37" s="50" t="n">
        <x:f>IFERROR('TOTAL STATISTICS'!G37/'TOTAL STATISTICS'!K37*600,0)</x:f>
        <x:v>0</x:v>
      </x:c>
      <x:c r="I37" s="50" t="n">
        <x:f>IFERROR('TOTAL STATISTICS'!H37/'TOTAL STATISTICS'!K37*600,0)</x:f>
        <x:v>0</x:v>
      </x:c>
      <x:c r="J37" s="50" t="n">
        <x:f>IFERROR('TOTAL STATISTICS'!I37/'TOTAL STATISTICS'!K37*600,0)</x:f>
        <x:v>0</x:v>
      </x:c>
    </x:row>
    <x:row r="38">
      <x:c r="A38" t="s">
        <x:v>55</x:v>
      </x:c>
      <x:c r="B38" t="s">
        <x:v>60</x:v>
      </x:c>
      <x:c r="C38" t="s">
        <x:v>11</x:v>
      </x:c>
      <x:c r="D38" s="50" t="n">
        <x:f>'TOTAL STATISTICS'!K38/60</x:f>
        <x:v>460.01666666666665</x:v>
      </x:c>
      <x:c r="E38" s="50" t="n">
        <x:f>IFERROR('TOTAL STATISTICS'!D38/'TOTAL STATISTICS'!K38*600,0)</x:f>
        <x:v>23.020905039672478</x:v>
      </x:c>
      <x:c r="F38" s="50" t="n">
        <x:f>IFERROR('TOTAL STATISTICS'!E38/'TOTAL STATISTICS'!K38*600,0)</x:f>
        <x:v>6.478026158472519</x:v>
      </x:c>
      <x:c r="G38" s="50" t="n">
        <x:f>IFERROR('TOTAL STATISTICS'!F38/'TOTAL STATISTICS'!K38*600,0)</x:f>
        <x:v>2.282525995434948</x:v>
      </x:c>
      <x:c r="H38" s="50" t="n">
        <x:f>IFERROR('TOTAL STATISTICS'!G38/'TOTAL STATISTICS'!K38*600,0)</x:f>
        <x:v>10347.16858084852</x:v>
      </x:c>
      <x:c r="I38" s="50" t="n">
        <x:f>IFERROR('TOTAL STATISTICS'!H38/'TOTAL STATISTICS'!K38*600,0)</x:f>
        <x:v>206.47078004420132</x:v>
      </x:c>
      <x:c r="J38" s="50" t="n">
        <x:f>IFERROR('TOTAL STATISTICS'!I38/'TOTAL STATISTICS'!K38*600,0)</x:f>
        <x:v>936.1834716133474</x:v>
      </x:c>
    </x:row>
    <x:row r="39">
      <x:c r="A39" t="s">
        <x:v>55</x:v>
      </x:c>
      <x:c r="B39" t="s">
        <x:v>61</x:v>
      </x:c>
      <x:c r="C39" t="s">
        <x:v>16</x:v>
      </x:c>
      <x:c r="D39" s="50" t="n">
        <x:f>'TOTAL STATISTICS'!K39/60</x:f>
        <x:v>575.45</x:v>
      </x:c>
      <x:c r="E39" s="50" t="n">
        <x:f>IFERROR('TOTAL STATISTICS'!D39/'TOTAL STATISTICS'!K39*600,0)</x:f>
        <x:v>19.49778434268833</x:v>
      </x:c>
      <x:c r="F39" s="50" t="n">
        <x:f>IFERROR('TOTAL STATISTICS'!E39/'TOTAL STATISTICS'!K39*600,0)</x:f>
        <x:v>5.734642453731862</x:v>
      </x:c>
      <x:c r="G39" s="50" t="n">
        <x:f>IFERROR('TOTAL STATISTICS'!F39/'TOTAL STATISTICS'!K39*600,0)</x:f>
        <x:v>20.349291858545485</x:v>
      </x:c>
      <x:c r="H39" s="50" t="n">
        <x:f>IFERROR('TOTAL STATISTICS'!G39/'TOTAL STATISTICS'!K39*600,0)</x:f>
        <x:v>5137.422886436702</x:v>
      </x:c>
      <x:c r="I39" s="50" t="n">
        <x:f>IFERROR('TOTAL STATISTICS'!H39/'TOTAL STATISTICS'!K39*600,0)</x:f>
        <x:v>8181.42323399079</x:v>
      </x:c>
      <x:c r="J39" s="50" t="n">
        <x:f>IFERROR('TOTAL STATISTICS'!I39/'TOTAL STATISTICS'!K39*600,0)</x:f>
        <x:v>1431.52315579112</x:v>
      </x:c>
    </x:row>
    <x:row r="40">
      <x:c r="A40" t="s">
        <x:v>55</x:v>
      </x:c>
      <x:c r="B40" t="s">
        <x:v>62</x:v>
      </x:c>
      <x:c r="C40" t="s">
        <x:v>16</x:v>
      </x:c>
      <x:c r="D40" s="50" t="e">
        <x:f>'TOTAL STATISTICS'!K40/60</x:f>
        <x:v>#VALUE!</x:v>
      </x:c>
      <x:c r="E40" s="50" t="n">
        <x:f>IFERROR('TOTAL STATISTICS'!D40/'TOTAL STATISTICS'!K40*600,0)</x:f>
        <x:v>0</x:v>
      </x:c>
      <x:c r="F40" s="50" t="n">
        <x:f>IFERROR('TOTAL STATISTICS'!E40/'TOTAL STATISTICS'!K40*600,0)</x:f>
        <x:v>0</x:v>
      </x:c>
      <x:c r="G40" s="50" t="n">
        <x:f>IFERROR('TOTAL STATISTICS'!F40/'TOTAL STATISTICS'!K40*600,0)</x:f>
        <x:v>0</x:v>
      </x:c>
      <x:c r="H40" s="50" t="n">
        <x:f>IFERROR('TOTAL STATISTICS'!G40/'TOTAL STATISTICS'!K40*600,0)</x:f>
        <x:v>0</x:v>
      </x:c>
      <x:c r="I40" s="50" t="n">
        <x:f>IFERROR('TOTAL STATISTICS'!H40/'TOTAL STATISTICS'!K40*600,0)</x:f>
        <x:v>0</x:v>
      </x:c>
      <x:c r="J40" s="50" t="n">
        <x:f>IFERROR('TOTAL STATISTICS'!I40/'TOTAL STATISTICS'!K40*600,0)</x:f>
        <x:v>0</x:v>
      </x:c>
    </x:row>
    <x:row r="41">
      <x:c r="A41" t="s">
        <x:v>63</x:v>
      </x:c>
      <x:c r="B41" t="s">
        <x:v>64</x:v>
      </x:c>
      <x:c r="C41" t="s">
        <x:v>8</x:v>
      </x:c>
      <x:c r="D41" s="50" t="e">
        <x:f>'TOTAL STATISTICS'!K41/60</x:f>
        <x:v>#VALUE!</x:v>
      </x:c>
      <x:c r="E41" s="50" t="n">
        <x:f>IFERROR('TOTAL STATISTICS'!D41/'TOTAL STATISTICS'!K41*600,0)</x:f>
        <x:v>0</x:v>
      </x:c>
      <x:c r="F41" s="50" t="n">
        <x:f>IFERROR('TOTAL STATISTICS'!E41/'TOTAL STATISTICS'!K41*600,0)</x:f>
        <x:v>0</x:v>
      </x:c>
      <x:c r="G41" s="50" t="n">
        <x:f>IFERROR('TOTAL STATISTICS'!F41/'TOTAL STATISTICS'!K41*600,0)</x:f>
        <x:v>0</x:v>
      </x:c>
      <x:c r="H41" s="50" t="n">
        <x:f>IFERROR('TOTAL STATISTICS'!G41/'TOTAL STATISTICS'!K41*600,0)</x:f>
        <x:v>0</x:v>
      </x:c>
      <x:c r="I41" s="50" t="n">
        <x:f>IFERROR('TOTAL STATISTICS'!H41/'TOTAL STATISTICS'!K41*600,0)</x:f>
        <x:v>0</x:v>
      </x:c>
      <x:c r="J41" s="50" t="n">
        <x:f>IFERROR('TOTAL STATISTICS'!I41/'TOTAL STATISTICS'!K41*600,0)</x:f>
        <x:v>0</x:v>
      </x:c>
    </x:row>
    <x:row r="42">
      <x:c r="A42" t="s">
        <x:v>63</x:v>
      </x:c>
      <x:c r="B42" t="s">
        <x:v>65</x:v>
      </x:c>
      <x:c r="C42" t="s">
        <x:v>8</x:v>
      </x:c>
      <x:c r="D42" s="50" t="n">
        <x:f>'TOTAL STATISTICS'!K42/60</x:f>
        <x:v>183.65</x:v>
      </x:c>
      <x:c r="E42" s="50" t="n">
        <x:f>IFERROR('TOTAL STATISTICS'!D42/'TOTAL STATISTICS'!K42*600,0)</x:f>
        <x:v>19.711407568744896</x:v>
      </x:c>
      <x:c r="F42" s="50" t="n">
        <x:f>IFERROR('TOTAL STATISTICS'!E42/'TOTAL STATISTICS'!K42*600,0)</x:f>
        <x:v>4.791723386877212</x:v>
      </x:c>
      <x:c r="G42" s="50" t="n">
        <x:f>IFERROR('TOTAL STATISTICS'!F42/'TOTAL STATISTICS'!K42*600,0)</x:f>
        <x:v>5.2273346038660495</x:v>
      </x:c>
      <x:c r="H42" s="50" t="n">
        <x:f>IFERROR('TOTAL STATISTICS'!G42/'TOTAL STATISTICS'!K42*600,0)</x:f>
        <x:v>10860.005445140212</x:v>
      </x:c>
      <x:c r="I42" s="50" t="n">
        <x:f>IFERROR('TOTAL STATISTICS'!H42/'TOTAL STATISTICS'!K42*600,0)</x:f>
        <x:v>578.7095017696705</x:v>
      </x:c>
      <x:c r="J42" s="50" t="n">
        <x:f>IFERROR('TOTAL STATISTICS'!I42/'TOTAL STATISTICS'!K42*600,0)</x:f>
        <x:v>13877.64769942826</x:v>
      </x:c>
    </x:row>
    <x:row r="43">
      <x:c r="A43" t="s">
        <x:v>63</x:v>
      </x:c>
      <x:c r="B43" t="s">
        <x:v>66</x:v>
      </x:c>
      <x:c r="C43" t="s">
        <x:v>11</x:v>
      </x:c>
      <x:c r="D43" s="50" t="e">
        <x:f>'TOTAL STATISTICS'!K43/60</x:f>
        <x:v>#VALUE!</x:v>
      </x:c>
      <x:c r="E43" s="50" t="n">
        <x:f>IFERROR('TOTAL STATISTICS'!D43/'TOTAL STATISTICS'!K43*600,0)</x:f>
        <x:v>0</x:v>
      </x:c>
      <x:c r="F43" s="50" t="n">
        <x:f>IFERROR('TOTAL STATISTICS'!E43/'TOTAL STATISTICS'!K43*600,0)</x:f>
        <x:v>0</x:v>
      </x:c>
      <x:c r="G43" s="50" t="n">
        <x:f>IFERROR('TOTAL STATISTICS'!F43/'TOTAL STATISTICS'!K43*600,0)</x:f>
        <x:v>0</x:v>
      </x:c>
      <x:c r="H43" s="50" t="n">
        <x:f>IFERROR('TOTAL STATISTICS'!G43/'TOTAL STATISTICS'!K43*600,0)</x:f>
        <x:v>0</x:v>
      </x:c>
      <x:c r="I43" s="50" t="n">
        <x:f>IFERROR('TOTAL STATISTICS'!H43/'TOTAL STATISTICS'!K43*600,0)</x:f>
        <x:v>0</x:v>
      </x:c>
      <x:c r="J43" s="50" t="n">
        <x:f>IFERROR('TOTAL STATISTICS'!I43/'TOTAL STATISTICS'!K43*600,0)</x:f>
        <x:v>0</x:v>
      </x:c>
    </x:row>
    <x:row r="44">
      <x:c r="A44" t="s">
        <x:v>63</x:v>
      </x:c>
      <x:c r="B44" t="s">
        <x:v>67</x:v>
      </x:c>
      <x:c r="C44" t="s">
        <x:v>11</x:v>
      </x:c>
      <x:c r="D44" s="50" t="n">
        <x:f>'TOTAL STATISTICS'!K44/60</x:f>
        <x:v>521.1</x:v>
      </x:c>
      <x:c r="E44" s="50" t="n">
        <x:f>IFERROR('TOTAL STATISTICS'!D44/'TOTAL STATISTICS'!K44*600,0)</x:f>
        <x:v>22.27979274611399</x:v>
      </x:c>
      <x:c r="F44" s="50" t="n">
        <x:f>IFERROR('TOTAL STATISTICS'!E44/'TOTAL STATISTICS'!K44*600,0)</x:f>
        <x:v>6.505469199769718</x:v>
      </x:c>
      <x:c r="G44" s="50" t="n">
        <x:f>IFERROR('TOTAL STATISTICS'!F44/'TOTAL STATISTICS'!K44*600,0)</x:f>
        <x:v>1.6887353674918442</x:v>
      </x:c>
      <x:c r="H44" s="50" t="n">
        <x:f>IFERROR('TOTAL STATISTICS'!G44/'TOTAL STATISTICS'!K44*600,0)</x:f>
        <x:v>10921.588946459413</x:v>
      </x:c>
      <x:c r="I44" s="50" t="n">
        <x:f>IFERROR('TOTAL STATISTICS'!H44/'TOTAL STATISTICS'!K44*600,0)</x:f>
        <x:v>61.44693916714642</x:v>
      </x:c>
      <x:c r="J44" s="50" t="n">
        <x:f>IFERROR('TOTAL STATISTICS'!I44/'TOTAL STATISTICS'!K44*600,0)</x:f>
        <x:v>541.8729610439456</x:v>
      </x:c>
    </x:row>
    <x:row r="45">
      <x:c r="A45" t="s">
        <x:v>63</x:v>
      </x:c>
      <x:c r="B45" t="s">
        <x:v>68</x:v>
      </x:c>
      <x:c r="C45" t="str">
        <x:v>SPT</x:v>
      </x:c>
      <x:c r="D45" s="50" t="n">
        <x:f>'TOTAL STATISTICS'!K45/60</x:f>
        <x:v>6.633333333333334</x:v>
      </x:c>
      <x:c r="E45" s="50" t="n">
        <x:f>IFERROR('TOTAL STATISTICS'!D45/'TOTAL STATISTICS'!K45*600,0)</x:f>
        <x:v>16.582914572864322</x:v>
      </x:c>
      <x:c r="F45" s="50" t="n">
        <x:f>IFERROR('TOTAL STATISTICS'!E45/'TOTAL STATISTICS'!K45*600,0)</x:f>
        <x:v>4.522613065326633</x:v>
      </x:c>
      <x:c r="G45" s="50" t="n">
        <x:f>IFERROR('TOTAL STATISTICS'!F45/'TOTAL STATISTICS'!K45*600,0)</x:f>
        <x:v>33.165829145728644</x:v>
      </x:c>
      <x:c r="H45" s="50" t="n">
        <x:f>IFERROR('TOTAL STATISTICS'!G45/'TOTAL STATISTICS'!K45*600,0)</x:f>
        <x:v>2217.5879396984924</x:v>
      </x:c>
      <x:c r="I45" s="50" t="n">
        <x:f>IFERROR('TOTAL STATISTICS'!H45/'TOTAL STATISTICS'!K45*600,0)</x:f>
        <x:v>9031.658291457286</x:v>
      </x:c>
      <x:c r="J45" s="50" t="n">
        <x:f>IFERROR('TOTAL STATISTICS'!I45/'TOTAL STATISTICS'!K45*600,0)</x:f>
        <x:v>0</x:v>
      </x:c>
    </x:row>
    <x:row r="46">
      <x:c r="A46" t="s">
        <x:v>63</x:v>
      </x:c>
      <x:c r="B46" t="s">
        <x:v>69</x:v>
      </x:c>
      <x:c r="C46" t="s">
        <x:v>16</x:v>
      </x:c>
      <x:c r="D46" s="50" t="n">
        <x:f>'TOTAL STATISTICS'!K46/60</x:f>
        <x:v>514.4666666666667</x:v>
      </x:c>
      <x:c r="E46" s="50" t="n">
        <x:f>IFERROR('TOTAL STATISTICS'!D46/'TOTAL STATISTICS'!K46*600,0)</x:f>
        <x:v>16.969029415576</x:v>
      </x:c>
      <x:c r="F46" s="50" t="n">
        <x:f>IFERROR('TOTAL STATISTICS'!E46/'TOTAL STATISTICS'!K46*600,0)</x:f>
        <x:v>5.3842166645069325</x:v>
      </x:c>
      <x:c r="G46" s="50" t="n">
        <x:f>IFERROR('TOTAL STATISTICS'!F46/'TOTAL STATISTICS'!K46*600,0)</x:f>
        <x:v>19.10716599714915</x:v>
      </x:c>
      <x:c r="H46" s="50" t="n">
        <x:f>IFERROR('TOTAL STATISTICS'!G46/'TOTAL STATISTICS'!K46*600,0)</x:f>
        <x:v>4011.4357911105353</x:v>
      </x:c>
      <x:c r="I46" s="50" t="n">
        <x:f>IFERROR('TOTAL STATISTICS'!H46/'TOTAL STATISTICS'!K46*600,0)</x:f>
        <x:v>7966.852403783853</x:v>
      </x:c>
      <x:c r="J46" s="50" t="n">
        <x:f>IFERROR('TOTAL STATISTICS'!I46/'TOTAL STATISTICS'!K46*600,0)</x:f>
        <x:v>1141.4150576648956</x:v>
      </x:c>
    </x:row>
    <x:row r="47">
      <x:c r="A47" t="s">
        <x:v>63</x:v>
      </x:c>
      <x:c r="B47" t="s">
        <x:v>70</x:v>
      </x:c>
      <x:c r="C47" t="s">
        <x:v>16</x:v>
      </x:c>
      <x:c r="D47" s="50" t="n">
        <x:f>'TOTAL STATISTICS'!K47/60</x:f>
        <x:v>521.1</x:v>
      </x:c>
      <x:c r="E47" s="50" t="n">
        <x:f>IFERROR('TOTAL STATISTICS'!D47/'TOTAL STATISTICS'!K47*600,0)</x:f>
        <x:v>14.104778353483018</x:v>
      </x:c>
      <x:c r="F47" s="50" t="n">
        <x:f>IFERROR('TOTAL STATISTICS'!E47/'TOTAL STATISTICS'!K47*600,0)</x:f>
        <x:v>5.354058721934369</x:v>
      </x:c>
      <x:c r="G47" s="50" t="n">
        <x:f>IFERROR('TOTAL STATISTICS'!F47/'TOTAL STATISTICS'!K47*600,0)</x:f>
        <x:v>21.512185760890425</x:v>
      </x:c>
      <x:c r="H47" s="50" t="n">
        <x:f>IFERROR('TOTAL STATISTICS'!G47/'TOTAL STATISTICS'!K47*600,0)</x:f>
        <x:v>4868.336211859529</x:v>
      </x:c>
      <x:c r="I47" s="50" t="n">
        <x:f>IFERROR('TOTAL STATISTICS'!H47/'TOTAL STATISTICS'!K47*600,0)</x:f>
        <x:v>11081.404720782959</x:v>
      </x:c>
      <x:c r="J47" s="50" t="n">
        <x:f>IFERROR('TOTAL STATISTICS'!I47/'TOTAL STATISTICS'!K47*600,0)</x:f>
        <x:v>131.49107656879679</x:v>
      </x:c>
    </x:row>
    <x:row r="48">
      <x:c r="A48" t="s">
        <x:v>72</x:v>
      </x:c>
      <x:c r="B48" t="s">
        <x:v>73</x:v>
      </x:c>
      <x:c r="C48" t="s">
        <x:v>8</x:v>
      </x:c>
      <x:c r="D48" s="50" t="e">
        <x:f>'TOTAL STATISTICS'!K48/60</x:f>
        <x:v>#VALUE!</x:v>
      </x:c>
      <x:c r="E48" s="50" t="n">
        <x:f>IFERROR('TOTAL STATISTICS'!D48/'TOTAL STATISTICS'!K48*600,0)</x:f>
        <x:v>0</x:v>
      </x:c>
      <x:c r="F48" s="50" t="n">
        <x:f>IFERROR('TOTAL STATISTICS'!E48/'TOTAL STATISTICS'!K48*600,0)</x:f>
        <x:v>0</x:v>
      </x:c>
      <x:c r="G48" s="50" t="n">
        <x:f>IFERROR('TOTAL STATISTICS'!F48/'TOTAL STATISTICS'!K48*600,0)</x:f>
        <x:v>0</x:v>
      </x:c>
      <x:c r="H48" s="50" t="n">
        <x:f>IFERROR('TOTAL STATISTICS'!G48/'TOTAL STATISTICS'!K48*600,0)</x:f>
        <x:v>0</x:v>
      </x:c>
      <x:c r="I48" s="50" t="n">
        <x:f>IFERROR('TOTAL STATISTICS'!H48/'TOTAL STATISTICS'!K48*600,0)</x:f>
        <x:v>0</x:v>
      </x:c>
      <x:c r="J48" s="50" t="n">
        <x:f>IFERROR('TOTAL STATISTICS'!I48/'TOTAL STATISTICS'!K48*600,0)</x:f>
        <x:v>0</x:v>
      </x:c>
    </x:row>
    <x:row r="49">
      <x:c r="A49" t="s">
        <x:v>72</x:v>
      </x:c>
      <x:c r="B49" t="s">
        <x:v>74</x:v>
      </x:c>
      <x:c r="C49" t="s">
        <x:v>8</x:v>
      </x:c>
      <x:c r="D49" s="50" t="e">
        <x:f>'TOTAL STATISTICS'!K49/60</x:f>
        <x:v>#VALUE!</x:v>
      </x:c>
      <x:c r="E49" s="50" t="n">
        <x:f>IFERROR('TOTAL STATISTICS'!D49/'TOTAL STATISTICS'!K49*600,0)</x:f>
        <x:v>0</x:v>
      </x:c>
      <x:c r="F49" s="50" t="n">
        <x:f>IFERROR('TOTAL STATISTICS'!E49/'TOTAL STATISTICS'!K49*600,0)</x:f>
        <x:v>0</x:v>
      </x:c>
      <x:c r="G49" s="50" t="n">
        <x:f>IFERROR('TOTAL STATISTICS'!F49/'TOTAL STATISTICS'!K49*600,0)</x:f>
        <x:v>0</x:v>
      </x:c>
      <x:c r="H49" s="50" t="n">
        <x:f>IFERROR('TOTAL STATISTICS'!G49/'TOTAL STATISTICS'!K49*600,0)</x:f>
        <x:v>0</x:v>
      </x:c>
      <x:c r="I49" s="50" t="n">
        <x:f>IFERROR('TOTAL STATISTICS'!H49/'TOTAL STATISTICS'!K49*600,0)</x:f>
        <x:v>0</x:v>
      </x:c>
      <x:c r="J49" s="50" t="n">
        <x:f>IFERROR('TOTAL STATISTICS'!I49/'TOTAL STATISTICS'!K49*600,0)</x:f>
        <x:v>0</x:v>
      </x:c>
    </x:row>
    <x:row r="50">
      <x:c r="A50" t="s">
        <x:v>72</x:v>
      </x:c>
      <x:c r="B50" t="s">
        <x:v>75</x:v>
      </x:c>
      <x:c r="C50" t="s">
        <x:v>11</x:v>
      </x:c>
      <x:c r="D50" s="50" t="n">
        <x:f>'TOTAL STATISTICS'!K50/60</x:f>
        <x:v>348.96666666666664</x:v>
      </x:c>
      <x:c r="E50" s="50" t="n">
        <x:f>IFERROR('TOTAL STATISTICS'!D50/'TOTAL STATISTICS'!K50*600,0)</x:f>
        <x:v>19.056261343012704</x:v>
      </x:c>
      <x:c r="F50" s="50" t="n">
        <x:f>IFERROR('TOTAL STATISTICS'!E50/'TOTAL STATISTICS'!K50*600,0)</x:f>
        <x:v>6.934759766930939</x:v>
      </x:c>
      <x:c r="G50" s="50" t="n">
        <x:f>IFERROR('TOTAL STATISTICS'!F50/'TOTAL STATISTICS'!K50*600,0)</x:f>
        <x:v>2.149202407106696</x:v>
      </x:c>
      <x:c r="H50" s="50" t="n">
        <x:f>IFERROR('TOTAL STATISTICS'!G50/'TOTAL STATISTICS'!K50*600,0)</x:f>
        <x:v>9585.328111567485</x:v>
      </x:c>
      <x:c r="I50" s="50" t="n">
        <x:f>IFERROR('TOTAL STATISTICS'!H50/'TOTAL STATISTICS'!K50*600,0)</x:f>
        <x:v>335.56213582959214</x:v>
      </x:c>
      <x:c r="J50" s="50" t="n">
        <x:f>IFERROR('TOTAL STATISTICS'!I50/'TOTAL STATISTICS'!K50*600,0)</x:f>
        <x:v>668.0007641608559</x:v>
      </x:c>
    </x:row>
    <x:row r="51">
      <x:c r="A51" t="s">
        <x:v>72</x:v>
      </x:c>
      <x:c r="B51" t="s">
        <x:v>76</x:v>
      </x:c>
      <x:c r="C51" t="s">
        <x:v>11</x:v>
      </x:c>
      <x:c r="D51" s="50" t="e">
        <x:f>'TOTAL STATISTICS'!K51/60</x:f>
        <x:v>#VALUE!</x:v>
      </x:c>
      <x:c r="E51" s="50" t="n">
        <x:f>IFERROR('TOTAL STATISTICS'!D51/'TOTAL STATISTICS'!K51*600,0)</x:f>
        <x:v>0</x:v>
      </x:c>
      <x:c r="F51" s="50" t="n">
        <x:f>IFERROR('TOTAL STATISTICS'!E51/'TOTAL STATISTICS'!K51*600,0)</x:f>
        <x:v>0</x:v>
      </x:c>
      <x:c r="G51" s="50" t="n">
        <x:f>IFERROR('TOTAL STATISTICS'!F51/'TOTAL STATISTICS'!K51*600,0)</x:f>
        <x:v>0</x:v>
      </x:c>
      <x:c r="H51" s="50" t="n">
        <x:f>IFERROR('TOTAL STATISTICS'!G51/'TOTAL STATISTICS'!K51*600,0)</x:f>
        <x:v>0</x:v>
      </x:c>
      <x:c r="I51" s="50" t="n">
        <x:f>IFERROR('TOTAL STATISTICS'!H51/'TOTAL STATISTICS'!K51*600,0)</x:f>
        <x:v>0</x:v>
      </x:c>
      <x:c r="J51" s="50" t="n">
        <x:f>IFERROR('TOTAL STATISTICS'!I51/'TOTAL STATISTICS'!K51*600,0)</x:f>
        <x:v>0</x:v>
      </x:c>
    </x:row>
    <x:row r="52">
      <x:c r="A52" t="s">
        <x:v>72</x:v>
      </x:c>
      <x:c r="B52" t="s">
        <x:v>77</x:v>
      </x:c>
      <x:c r="C52" t="s">
        <x:v>11</x:v>
      </x:c>
      <x:c r="D52" s="50" t="n">
        <x:f>'TOTAL STATISTICS'!K52/60</x:f>
        <x:v>247.98333333333332</x:v>
      </x:c>
      <x:c r="E52" s="50" t="n">
        <x:f>IFERROR('TOTAL STATISTICS'!D52/'TOTAL STATISTICS'!K52*600,0)</x:f>
        <x:v>20.32394650178103</x:v>
      </x:c>
      <x:c r="F52" s="50" t="n">
        <x:f>IFERROR('TOTAL STATISTICS'!E52/'TOTAL STATISTICS'!K52*600,0)</x:f>
        <x:v>6.53269708985819</x:v>
      </x:c>
      <x:c r="G52" s="50" t="n">
        <x:f>IFERROR('TOTAL STATISTICS'!F52/'TOTAL STATISTICS'!K52*600,0)</x:f>
        <x:v>1.4920357550910681</x:v>
      </x:c>
      <x:c r="H52" s="50" t="n">
        <x:f>IFERROR('TOTAL STATISTICS'!G52/'TOTAL STATISTICS'!K52*600,0)</x:f>
        <x:v>11728.852745480206</x:v>
      </x:c>
      <x:c r="I52" s="50" t="n">
        <x:f>IFERROR('TOTAL STATISTICS'!H52/'TOTAL STATISTICS'!K52*600,0)</x:f>
        <x:v>159.00262114389406</x:v>
      </x:c>
      <x:c r="J52" s="50" t="n">
        <x:f>IFERROR('TOTAL STATISTICS'!I52/'TOTAL STATISTICS'!K52*600,0)</x:f>
        <x:v>686.6993749579945</x:v>
      </x:c>
    </x:row>
    <x:row r="53">
      <x:c r="A53" t="s">
        <x:v>72</x:v>
      </x:c>
      <x:c r="B53" t="s">
        <x:v>78</x:v>
      </x:c>
      <x:c r="C53" t="s">
        <x:v>16</x:v>
      </x:c>
      <x:c r="D53" s="50" t="e">
        <x:f>'TOTAL STATISTICS'!K53/60</x:f>
        <x:v>#VALUE!</x:v>
      </x:c>
      <x:c r="E53" s="50" t="n">
        <x:f>IFERROR('TOTAL STATISTICS'!D53/'TOTAL STATISTICS'!K53*600,0)</x:f>
        <x:v>0</x:v>
      </x:c>
      <x:c r="F53" s="50" t="n">
        <x:f>IFERROR('TOTAL STATISTICS'!E53/'TOTAL STATISTICS'!K53*600,0)</x:f>
        <x:v>0</x:v>
      </x:c>
      <x:c r="G53" s="50" t="n">
        <x:f>IFERROR('TOTAL STATISTICS'!F53/'TOTAL STATISTICS'!K53*600,0)</x:f>
        <x:v>0</x:v>
      </x:c>
      <x:c r="H53" s="50" t="n">
        <x:f>IFERROR('TOTAL STATISTICS'!G53/'TOTAL STATISTICS'!K53*600,0)</x:f>
        <x:v>0</x:v>
      </x:c>
      <x:c r="I53" s="50" t="n">
        <x:f>IFERROR('TOTAL STATISTICS'!H53/'TOTAL STATISTICS'!K53*600,0)</x:f>
        <x:v>0</x:v>
      </x:c>
      <x:c r="J53" s="50" t="n">
        <x:f>IFERROR('TOTAL STATISTICS'!I53/'TOTAL STATISTICS'!K53*600,0)</x:f>
        <x:v>0</x:v>
      </x:c>
    </x:row>
    <x:row r="54">
      <x:c r="A54" t="s">
        <x:v>72</x:v>
      </x:c>
      <x:c r="B54" t="s">
        <x:v>79</x:v>
      </x:c>
      <x:c r="C54" t="s">
        <x:v>16</x:v>
      </x:c>
      <x:c r="D54" s="50" t="e">
        <x:f>'TOTAL STATISTICS'!K54/60</x:f>
        <x:v>#VALUE!</x:v>
      </x:c>
      <x:c r="E54" s="50" t="n">
        <x:f>IFERROR('TOTAL STATISTICS'!D54/'TOTAL STATISTICS'!K54*600,0)</x:f>
        <x:v>0</x:v>
      </x:c>
      <x:c r="F54" s="50" t="n">
        <x:f>IFERROR('TOTAL STATISTICS'!E54/'TOTAL STATISTICS'!K54*600,0)</x:f>
        <x:v>0</x:v>
      </x:c>
      <x:c r="G54" s="50" t="n">
        <x:f>IFERROR('TOTAL STATISTICS'!F54/'TOTAL STATISTICS'!K54*600,0)</x:f>
        <x:v>0</x:v>
      </x:c>
      <x:c r="H54" s="50" t="n">
        <x:f>IFERROR('TOTAL STATISTICS'!G54/'TOTAL STATISTICS'!K54*600,0)</x:f>
        <x:v>0</x:v>
      </x:c>
      <x:c r="I54" s="50" t="n">
        <x:f>IFERROR('TOTAL STATISTICS'!H54/'TOTAL STATISTICS'!K54*600,0)</x:f>
        <x:v>0</x:v>
      </x:c>
      <x:c r="J54" s="50" t="n">
        <x:f>IFERROR('TOTAL STATISTICS'!I54/'TOTAL STATISTICS'!K54*600,0)</x:f>
        <x:v>0</x:v>
      </x:c>
    </x:row>
    <x:row r="55">
      <x:c r="A55" t="s">
        <x:v>81</x:v>
      </x:c>
      <x:c r="B55" t="s">
        <x:v>82</x:v>
      </x:c>
      <x:c r="C55" t="s">
        <x:v>8</x:v>
      </x:c>
      <x:c r="D55" s="50" t="n">
        <x:f>'TOTAL STATISTICS'!K55/60</x:f>
        <x:v>160.4</x:v>
      </x:c>
      <x:c r="E55" s="50" t="n">
        <x:f>IFERROR('TOTAL STATISTICS'!D55/'TOTAL STATISTICS'!K55*600,0)</x:f>
        <x:v>16.209476309226932</x:v>
      </x:c>
      <x:c r="F55" s="50" t="n">
        <x:f>IFERROR('TOTAL STATISTICS'!E55/'TOTAL STATISTICS'!K55*600,0)</x:f>
        <x:v>5.361596009975062</x:v>
      </x:c>
      <x:c r="G55" s="50" t="n">
        <x:f>IFERROR('TOTAL STATISTICS'!F55/'TOTAL STATISTICS'!K55*600,0)</x:f>
        <x:v>5.922693266832918</x:v>
      </x:c>
      <x:c r="H55" s="50" t="n">
        <x:f>IFERROR('TOTAL STATISTICS'!G55/'TOTAL STATISTICS'!K55*600,0)</x:f>
        <x:v>11554.613466334165</x:v>
      </x:c>
      <x:c r="I55" s="50" t="n">
        <x:f>IFERROR('TOTAL STATISTICS'!H55/'TOTAL STATISTICS'!K55*600,0)</x:f>
        <x:v>1411.845386533666</x:v>
      </x:c>
      <x:c r="J55" s="50" t="n">
        <x:f>IFERROR('TOTAL STATISTICS'!I55/'TOTAL STATISTICS'!K55*600,0)</x:f>
        <x:v>12817.581047381547</x:v>
      </x:c>
    </x:row>
    <x:row r="56">
      <x:c r="A56" t="s">
        <x:v>81</x:v>
      </x:c>
      <x:c r="B56" t="s">
        <x:v>83</x:v>
      </x:c>
      <x:c r="C56" t="s">
        <x:v>8</x:v>
      </x:c>
      <x:c r="D56" s="50" t="n">
        <x:f>'TOTAL STATISTICS'!K56/60</x:f>
        <x:v>156.31666666666666</x:v>
      </x:c>
      <x:c r="E56" s="50" t="n">
        <x:f>IFERROR('TOTAL STATISTICS'!D56/'TOTAL STATISTICS'!K56*600,0)</x:f>
        <x:v>11.643032306216014</x:v>
      </x:c>
      <x:c r="F56" s="50" t="n">
        <x:f>IFERROR('TOTAL STATISTICS'!E56/'TOTAL STATISTICS'!K56*600,0)</x:f>
        <x:v>6.141379678004052</x:v>
      </x:c>
      <x:c r="G56" s="50" t="n">
        <x:f>IFERROR('TOTAL STATISTICS'!F56/'TOTAL STATISTICS'!K56*600,0)</x:f>
        <x:v>3.2626079539396526</x:v>
      </x:c>
      <x:c r="H56" s="50" t="n">
        <x:f>IFERROR('TOTAL STATISTICS'!G56/'TOTAL STATISTICS'!K56*600,0)</x:f>
        <x:v>9678.55848171447</x:v>
      </x:c>
      <x:c r="I56" s="50" t="n">
        <x:f>IFERROR('TOTAL STATISTICS'!H56/'TOTAL STATISTICS'!K56*600,0)</x:f>
        <x:v>598.4006823755198</x:v>
      </x:c>
      <x:c r="J56" s="50" t="n">
        <x:f>IFERROR('TOTAL STATISTICS'!I56/'TOTAL STATISTICS'!K56*600,0)</x:f>
        <x:v>15478.387887834524</x:v>
      </x:c>
    </x:row>
    <x:row r="57">
      <x:c r="A57" t="s">
        <x:v>81</x:v>
      </x:c>
      <x:c r="B57" t="s">
        <x:v>84</x:v>
      </x:c>
      <x:c r="C57" t="s">
        <x:v>11</x:v>
      </x:c>
      <x:c r="D57" s="50" t="n">
        <x:f>'TOTAL STATISTICS'!K57/60</x:f>
        <x:v>239.36666666666667</x:v>
      </x:c>
      <x:c r="E57" s="50" t="n">
        <x:f>IFERROR('TOTAL STATISTICS'!D57/'TOTAL STATISTICS'!K57*600,0)</x:f>
        <x:v>15.12324188831639</x:v>
      </x:c>
      <x:c r="F57" s="50" t="n">
        <x:f>IFERROR('TOTAL STATISTICS'!E57/'TOTAL STATISTICS'!K57*600,0)</x:f>
        <x:v>7.060298008633895</x:v>
      </x:c>
      <x:c r="G57" s="50" t="n">
        <x:f>IFERROR('TOTAL STATISTICS'!F57/'TOTAL STATISTICS'!K57*600,0)</x:f>
        <x:v>2.548391588915193</x:v>
      </x:c>
      <x:c r="H57" s="50" t="n">
        <x:f>IFERROR('TOTAL STATISTICS'!G57/'TOTAL STATISTICS'!K57*600,0)</x:f>
        <x:v>8401.253307338811</x:v>
      </x:c>
      <x:c r="I57" s="50" t="n">
        <x:f>IFERROR('TOTAL STATISTICS'!H57/'TOTAL STATISTICS'!K57*600,0)</x:f>
        <x:v>766.2303300375993</x:v>
      </x:c>
      <x:c r="J57" s="50" t="n">
        <x:f>IFERROR('TOTAL STATISTICS'!I57/'TOTAL STATISTICS'!K57*600,0)</x:f>
        <x:v>1186.5478345634313</x:v>
      </x:c>
    </x:row>
    <x:row r="58">
      <x:c r="A58" t="s">
        <x:v>81</x:v>
      </x:c>
      <x:c r="B58" t="s">
        <x:v>85</x:v>
      </x:c>
      <x:c r="C58" t="s">
        <x:v>11</x:v>
      </x:c>
      <x:c r="D58" s="50" t="n">
        <x:f>'TOTAL STATISTICS'!K58/60</x:f>
        <x:v>316.71666666666664</x:v>
      </x:c>
      <x:c r="E58" s="50" t="n">
        <x:f>IFERROR('TOTAL STATISTICS'!D58/'TOTAL STATISTICS'!K58*600,0)</x:f>
        <x:v>13.355785928537598</x:v>
      </x:c>
      <x:c r="F58" s="50" t="n">
        <x:f>IFERROR('TOTAL STATISTICS'!E58/'TOTAL STATISTICS'!K58*600,0)</x:f>
        <x:v>7.8934905014997625</x:v>
      </x:c>
      <x:c r="G58" s="50" t="n">
        <x:f>IFERROR('TOTAL STATISTICS'!F58/'TOTAL STATISTICS'!K58*600,0)</x:f>
        <x:v>0.7577750881439773</x:v>
      </x:c>
      <x:c r="H58" s="50" t="n">
        <x:f>IFERROR('TOTAL STATISTICS'!G58/'TOTAL STATISTICS'!K58*600,0)</x:f>
        <x:v>8601.25243382624</x:v>
      </x:c>
      <x:c r="I58" s="50" t="n">
        <x:f>IFERROR('TOTAL STATISTICS'!H58/'TOTAL STATISTICS'!K58*600,0)</x:f>
        <x:v>80.51360311529758</x:v>
      </x:c>
      <x:c r="J58" s="50" t="n">
        <x:f>IFERROR('TOTAL STATISTICS'!I58/'TOTAL STATISTICS'!K58*600,0)</x:f>
        <x:v>333.29474293532604</x:v>
      </x:c>
    </x:row>
    <x:row r="59">
      <x:c r="A59" t="s">
        <x:v>81</x:v>
      </x:c>
      <x:c r="B59" t="s">
        <x:v>86</x:v>
      </x:c>
      <x:c r="C59" t="s">
        <x:v>16</x:v>
      </x:c>
      <x:c r="D59" s="50" t="n">
        <x:f>'TOTAL STATISTICS'!K59/60</x:f>
        <x:v>283.56666666666666</x:v>
      </x:c>
      <x:c r="E59" s="50" t="n">
        <x:f>IFERROR('TOTAL STATISTICS'!D59/'TOTAL STATISTICS'!K59*600,0)</x:f>
        <x:v>10.720583049253555</x:v>
      </x:c>
      <x:c r="F59" s="50" t="n">
        <x:f>IFERROR('TOTAL STATISTICS'!E59/'TOTAL STATISTICS'!K59*600,0)</x:f>
        <x:v>6.453508875044082</x:v>
      </x:c>
      <x:c r="G59" s="50" t="n">
        <x:f>IFERROR('TOTAL STATISTICS'!F59/'TOTAL STATISTICS'!K59*600,0)</x:f>
        <x:v>10.579522745973904</x:v>
      </x:c>
      <x:c r="H59" s="50" t="n">
        <x:f>IFERROR('TOTAL STATISTICS'!G59/'TOTAL STATISTICS'!K59*600,0)</x:f>
        <x:v>4732.2205242741275</x:v>
      </x:c>
      <x:c r="I59" s="50" t="n">
        <x:f>IFERROR('TOTAL STATISTICS'!H59/'TOTAL STATISTICS'!K59*600,0)</x:f>
        <x:v>6885.8234395203945</x:v>
      </x:c>
      <x:c r="J59" s="50" t="n">
        <x:f>IFERROR('TOTAL STATISTICS'!I59/'TOTAL STATISTICS'!K59*600,0)</x:f>
        <x:v>1794.6044433995535</x:v>
      </x:c>
    </x:row>
    <x:row r="60">
      <x:c r="A60" t="s">
        <x:v>81</x:v>
      </x:c>
      <x:c r="B60" t="s">
        <x:v>87</x:v>
      </x:c>
      <x:c r="C60" t="s">
        <x:v>16</x:v>
      </x:c>
      <x:c r="D60" s="50" t="n">
        <x:f>'TOTAL STATISTICS'!K60/60</x:f>
        <x:v>110.5</x:v>
      </x:c>
      <x:c r="E60" s="50" t="n">
        <x:f>IFERROR('TOTAL STATISTICS'!D60/'TOTAL STATISTICS'!K60*600,0)</x:f>
        <x:v>6.334841628959277</x:v>
      </x:c>
      <x:c r="F60" s="50" t="n">
        <x:f>IFERROR('TOTAL STATISTICS'!E60/'TOTAL STATISTICS'!K60*600,0)</x:f>
        <x:v>6.153846153846154</x:v>
      </x:c>
      <x:c r="G60" s="50" t="n">
        <x:f>IFERROR('TOTAL STATISTICS'!F60/'TOTAL STATISTICS'!K60*600,0)</x:f>
        <x:v>8.959276018099548</x:v>
      </x:c>
      <x:c r="H60" s="50" t="n">
        <x:f>IFERROR('TOTAL STATISTICS'!G60/'TOTAL STATISTICS'!K60*600,0)</x:f>
        <x:v>3738.371040723982</x:v>
      </x:c>
      <x:c r="I60" s="50" t="n">
        <x:f>IFERROR('TOTAL STATISTICS'!H60/'TOTAL STATISTICS'!K60*600,0)</x:f>
        <x:v>8168.868778280543</x:v>
      </x:c>
      <x:c r="J60" s="50" t="n">
        <x:f>IFERROR('TOTAL STATISTICS'!I60/'TOTAL STATISTICS'!K60*600,0)</x:f>
        <x:v>1308.6877828054298</x:v>
      </x:c>
    </x:row>
    <x:row r="61">
      <x:c r="A61" t="s">
        <x:v>81</x:v>
      </x:c>
      <x:c r="B61" t="s">
        <x:v>88</x:v>
      </x:c>
      <x:c r="C61" t="s">
        <x:v>16</x:v>
      </x:c>
      <x:c r="D61" s="50" t="n">
        <x:f>'TOTAL STATISTICS'!K61/60</x:f>
        <x:v>316.71666666666664</x:v>
      </x:c>
      <x:c r="E61" s="50" t="n">
        <x:f>IFERROR('TOTAL STATISTICS'!D61/'TOTAL STATISTICS'!K61*600,0)</x:f>
        <x:v>8.082934273535757</x:v>
      </x:c>
      <x:c r="F61" s="50" t="n">
        <x:f>IFERROR('TOTAL STATISTICS'!E61/'TOTAL STATISTICS'!K61*600,0)</x:f>
        <x:v>6.630532021259801</x:v>
      </x:c>
      <x:c r="G61" s="50" t="n">
        <x:f>IFERROR('TOTAL STATISTICS'!F61/'TOTAL STATISTICS'!K61*600,0)</x:f>
        <x:v>13.860969320633584</x:v>
      </x:c>
      <x:c r="H61" s="50" t="n">
        <x:f>IFERROR('TOTAL STATISTICS'!G61/'TOTAL STATISTICS'!K61*600,0)</x:f>
        <x:v>3757.0173130558333</x:v>
      </x:c>
      <x:c r="I61" s="50" t="n">
        <x:f>IFERROR('TOTAL STATISTICS'!H61/'TOTAL STATISTICS'!K61*600,0)</x:f>
        <x:v>11497.310950902489</x:v>
      </x:c>
      <x:c r="J61" s="50" t="n">
        <x:f>IFERROR('TOTAL STATISTICS'!I61/'TOTAL STATISTICS'!K61*600,0)</x:f>
        <x:v>132.42119665316002</x:v>
      </x:c>
    </x:row>
    <x:row r="66">
      <x:c r="A66" s="27"/>
      <x:c r="B66" s="27"/>
      <x:c r="C66" s="27"/>
      <x:c r="D66" s="28"/>
      <x:c r="E66" s="28"/>
      <x:c r="F66" s="28"/>
      <x:c r="G66" s="28"/>
      <x:c r="H66" s="28"/>
      <x:c r="I66" s="28"/>
      <x:c r="J66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RowHeight="18"/>
  <x:sheetData>
    <x:row r="1">
      <x:c r="A1" s="7" t="s">
        <x:v>368</x:v>
      </x:c>
      <x:c r="B1" s="7" t="s">
        <x:v>369</x:v>
      </x:c>
      <x:c r="C1" s="7" t="s">
        <x:v>370</x:v>
      </x:c>
      <x:c r="D1" s="7" t="s">
        <x:v>173</x:v>
      </x:c>
    </x:row>
    <x:row r="2">
      <x:c r="A2" s="7" t="s">
        <x:v>371</x:v>
      </x:c>
      <x:c r="B2" s="7" t="s">
        <x:v>372</x:v>
      </x:c>
      <x:c r="C2" s="7" t="s">
        <x:v>10</x:v>
      </x:c>
      <x:c r="D2" s="7" t="s">
        <x:v>11</x:v>
      </x:c>
    </x:row>
    <x:row r="3">
      <x:c r="A3" s="7" t="s">
        <x:v>371</x:v>
      </x:c>
      <x:c r="B3" s="7" t="s">
        <x:v>373</x:v>
      </x:c>
      <x:c r="C3" s="7" t="s">
        <x:v>57</x:v>
      </x:c>
      <x:c r="D3" s="7" t="s">
        <x:v>8</x:v>
      </x:c>
    </x:row>
    <x:row r="4">
      <x:c r="A4" s="7" t="s">
        <x:v>371</x:v>
      </x:c>
      <x:c r="B4" s="7" t="s">
        <x:v>374</x:v>
      </x:c>
      <x:c r="C4" s="7" t="s">
        <x:v>67</x:v>
      </x:c>
      <x:c r="D4" s="7" t="s">
        <x:v>11</x:v>
      </x:c>
    </x:row>
    <x:row r="5">
      <x:c r="A5" s="7" t="s">
        <x:v>375</x:v>
      </x:c>
      <x:c r="B5" s="7" t="s">
        <x:v>376</x:v>
      </x:c>
      <x:c r="C5" s="7" t="s">
        <x:v>35</x:v>
      </x:c>
      <x:c r="D5" s="7" t="s">
        <x:v>11</x:v>
      </x:c>
    </x:row>
    <x:row r="6">
      <x:c r="A6" s="7" t="s">
        <x:v>375</x:v>
      </x:c>
      <x:c r="B6" s="7" t="s">
        <x:v>377</x:v>
      </x:c>
      <x:c r="C6" s="7" t="s">
        <x:v>67</x:v>
      </x:c>
      <x:c r="D6" s="7" t="s">
        <x:v>11</x:v>
      </x:c>
    </x:row>
    <x:row r="7">
      <x:c r="A7" s="7" t="s">
        <x:v>375</x:v>
      </x:c>
      <x:c r="B7" s="7" t="s">
        <x:v>378</x:v>
      </x:c>
      <x:c r="C7" s="7" t="s">
        <x:v>75</x:v>
      </x:c>
      <x:c r="D7" s="7" t="s">
        <x:v>11</x:v>
      </x:c>
    </x:row>
    <x:row r="8">
      <x:c r="A8" s="7" t="s">
        <x:v>379</x:v>
      </x:c>
      <x:c r="B8" s="7" t="s">
        <x:v>380</x:v>
      </x:c>
      <x:c r="C8" s="7" t="s">
        <x:v>13</x:v>
      </x:c>
      <x:c r="D8" s="7" t="s">
        <x:v>11</x:v>
      </x:c>
    </x:row>
    <x:row r="9">
      <x:c r="A9" s="7" t="s">
        <x:v>379</x:v>
      </x:c>
      <x:c r="B9" s="7" t="s">
        <x:v>381</x:v>
      </x:c>
      <x:c r="C9" s="7" t="s">
        <x:v>52</x:v>
      </x:c>
      <x:c r="D9" s="7" t="s">
        <x:v>16</x:v>
      </x:c>
    </x:row>
    <x:row r="10">
      <x:c r="A10" s="7" t="s">
        <x:v>379</x:v>
      </x:c>
      <x:c r="B10" s="7" t="s">
        <x:v>382</x:v>
      </x:c>
      <x:c r="C10" s="7" t="s">
        <x:v>57</x:v>
      </x:c>
      <x:c r="D10" s="7" t="s">
        <x:v>8</x:v>
      </x:c>
    </x:row>
    <x:row r="11">
      <x:c r="A11" s="7" t="s">
        <x:v>383</x:v>
      </x:c>
      <x:c r="B11" s="7" t="s">
        <x:v>384</x:v>
      </x:c>
      <x:c r="C11" s="7" t="s">
        <x:v>33</x:v>
      </x:c>
      <x:c r="D11" s="7" t="s">
        <x:v>8</x:v>
      </x:c>
    </x:row>
    <x:row r="12">
      <x:c r="A12" s="7" t="s">
        <x:v>383</x:v>
      </x:c>
      <x:c r="B12" s="7" t="s">
        <x:v>385</x:v>
      </x:c>
      <x:c r="C12" s="7" t="s">
        <x:v>50</x:v>
      </x:c>
      <x:c r="D12" s="7" t="s">
        <x:v>11</x:v>
      </x:c>
    </x:row>
    <x:row r="13">
      <x:c r="A13" s="7" t="s">
        <x:v>383</x:v>
      </x:c>
      <x:c r="B13" s="7" t="s">
        <x:v>386</x:v>
      </x:c>
      <x:c r="C13" s="7" t="s">
        <x:v>59</x:v>
      </x:c>
      <x:c r="D13" s="7" t="s">
        <x:v>11</x:v>
      </x:c>
    </x:row>
    <x:row r="14">
      <x:c r="A14" s="7" t="s">
        <x:v>387</x:v>
      </x:c>
      <x:c r="B14" s="7" t="s">
        <x:v>388</x:v>
      </x:c>
      <x:c r="C14" s="7" t="s">
        <x:v>75</x:v>
      </x:c>
      <x:c r="D14" s="7" t="s">
        <x:v>11</x:v>
      </x:c>
    </x:row>
    <x:row r="15">
      <x:c r="A15" s="7" t="s">
        <x:v>387</x:v>
      </x:c>
      <x:c r="B15" s="7" t="s">
        <x:v>389</x:v>
      </x:c>
      <x:c r="C15" s="7" t="s">
        <x:v>67</x:v>
      </x:c>
      <x:c r="D15" s="7" t="s">
        <x:v>11</x:v>
      </x:c>
    </x:row>
    <x:row r="16">
      <x:c r="A16" s="7" t="s">
        <x:v>387</x:v>
      </x:c>
      <x:c r="B16" s="7" t="s">
        <x:v>390</x:v>
      </x:c>
      <x:c r="C16" s="7" t="s">
        <x:v>50</x:v>
      </x:c>
      <x:c r="D16" s="7" t="s">
        <x:v>11</x:v>
      </x:c>
    </x:row>
    <x:row r="17">
      <x:c r="A17" s="7" t="s">
        <x:v>391</x:v>
      </x:c>
      <x:c r="B17" s="7" t="s">
        <x:v>392</x:v>
      </x:c>
      <x:c r="C17" s="7" t="s">
        <x:v>26</x:v>
      </x:c>
      <x:c r="D17" s="7" t="s">
        <x:v>11</x:v>
      </x:c>
    </x:row>
    <x:row r="18">
      <x:c r="A18" s="7" t="s">
        <x:v>391</x:v>
      </x:c>
      <x:c r="B18" s="7" t="s">
        <x:v>393</x:v>
      </x:c>
      <x:c r="C18" s="7" t="s">
        <x:v>57</x:v>
      </x:c>
      <x:c r="D18" s="7" t="s">
        <x:v>8</x:v>
      </x:c>
    </x:row>
    <x:row r="19">
      <x:c r="A19" s="7" t="s">
        <x:v>391</x:v>
      </x:c>
      <x:c r="B19" s="7" t="s">
        <x:v>394</x:v>
      </x:c>
      <x:c r="C19" s="7" t="s">
        <x:v>75</x:v>
      </x:c>
      <x:c r="D19" s="7" t="s">
        <x:v>11</x:v>
      </x:c>
    </x:row>
    <x:row r="20">
      <x:c r="A20" s="7" t="s">
        <x:v>395</x:v>
      </x:c>
      <x:c r="B20" s="7" t="s">
        <x:v>396</x:v>
      </x:c>
      <x:c r="C20" s="7" t="s">
        <x:v>26</x:v>
      </x:c>
      <x:c r="D20" s="7" t="s">
        <x:v>11</x:v>
      </x:c>
    </x:row>
    <x:row r="21">
      <x:c r="A21" s="7" t="s">
        <x:v>395</x:v>
      </x:c>
      <x:c r="B21" s="7" t="s">
        <x:v>397</x:v>
      </x:c>
      <x:c r="C21" s="7" t="s">
        <x:v>75</x:v>
      </x:c>
      <x:c r="D21" s="7" t="s">
        <x:v>11</x:v>
      </x:c>
    </x:row>
    <x:row r="22">
      <x:c r="A22" s="7" t="s">
        <x:v>395</x:v>
      </x:c>
      <x:c r="B22" s="7" t="s">
        <x:v>398</x:v>
      </x:c>
      <x:c r="C22" s="7" t="s">
        <x:v>60</x:v>
      </x:c>
      <x:c r="D22" s="7" t="s">
        <x:v>11</x:v>
      </x:c>
    </x:row>
    <x:row r="23">
      <x:c r="A23" s="7" t="s">
        <x:v>399</x:v>
      </x:c>
      <x:c r="B23" s="7" t="s">
        <x:v>400</x:v>
      </x:c>
      <x:c r="C23" s="7" t="s">
        <x:v>82</x:v>
      </x:c>
      <x:c r="D23" s="7" t="s">
        <x:v>8</x:v>
      </x:c>
    </x:row>
    <x:row r="24">
      <x:c r="A24" s="7" t="s">
        <x:v>399</x:v>
      </x:c>
      <x:c r="B24" s="7" t="s">
        <x:v>401</x:v>
      </x:c>
      <x:c r="C24" s="7" t="s">
        <x:v>50</x:v>
      </x:c>
      <x:c r="D24" s="7" t="s">
        <x:v>11</x:v>
      </x:c>
    </x:row>
    <x:row r="25">
      <x:c r="A25" s="7" t="s">
        <x:v>399</x:v>
      </x:c>
      <x:c r="B25" s="7" t="s">
        <x:v>402</x:v>
      </x:c>
      <x:c r="C25" s="7" t="s">
        <x:v>67</x:v>
      </x:c>
      <x:c r="D25" s="7" t="s">
        <x:v>11</x:v>
      </x:c>
    </x:row>
    <x:row r="26">
      <x:c r="A26" s="7" t="s">
        <x:v>403</x:v>
      </x:c>
      <x:c r="B26" s="7" t="s">
        <x:v>404</x:v>
      </x:c>
      <x:c r="C26" s="7" t="s">
        <x:v>77</x:v>
      </x:c>
      <x:c r="D26" s="7" t="s">
        <x:v>11</x:v>
      </x:c>
    </x:row>
    <x:row r="27">
      <x:c r="A27" s="7" t="s">
        <x:v>403</x:v>
      </x:c>
      <x:c r="B27" s="7" t="s">
        <x:v>405</x:v>
      </x:c>
      <x:c r="C27" s="7" t="s">
        <x:v>59</x:v>
      </x:c>
      <x:c r="D27" s="7" t="s">
        <x:v>11</x:v>
      </x:c>
    </x:row>
    <x:row r="28">
      <x:c r="A28" s="7" t="s">
        <x:v>403</x:v>
      </x:c>
      <x:c r="B28" s="7" t="s">
        <x:v>406</x:v>
      </x:c>
      <x:c r="C28" s="7" t="s">
        <x:v>50</x:v>
      </x:c>
      <x:c r="D28" s="7" t="s">
        <x:v>11</x:v>
      </x:c>
    </x:row>
    <x:row r="29">
      <x:c r="A29" s="7" t="s">
        <x:v>407</x:v>
      </x:c>
      <x:c r="B29" s="7" t="s">
        <x:v>408</x:v>
      </x:c>
      <x:c r="C29" s="7" t="s">
        <x:v>20</x:v>
      </x:c>
      <x:c r="D29" s="7" t="s">
        <x:v>16</x:v>
      </x:c>
    </x:row>
    <x:row r="30">
      <x:c r="A30" s="7" t="s">
        <x:v>407</x:v>
      </x:c>
      <x:c r="B30" s="7" t="s">
        <x:v>409</x:v>
      </x:c>
      <x:c r="C30" s="7" t="s">
        <x:v>52</x:v>
      </x:c>
      <x:c r="D30" s="7" t="s">
        <x:v>16</x:v>
      </x:c>
    </x:row>
    <x:row r="31">
      <x:c r="A31" s="7" t="s">
        <x:v>407</x:v>
      </x:c>
      <x:c r="B31" s="7" t="s">
        <x:v>410</x:v>
      </x:c>
      <x:c r="C31" s="7" t="s">
        <x:v>25</x:v>
      </x:c>
      <x:c r="D31" s="7" t="s">
        <x:v>11</x:v>
      </x:c>
    </x:row>
    <x:row r="32">
      <x:c r="A32" s="7" t="s">
        <x:v>411</x:v>
      </x:c>
      <x:c r="B32" s="7" t="s">
        <x:v>412</x:v>
      </x:c>
      <x:c r="C32" s="7" t="s">
        <x:v>65</x:v>
      </x:c>
      <x:c r="D32" s="7" t="s">
        <x:v>8</x:v>
      </x:c>
    </x:row>
    <x:row r="33">
      <x:c r="A33" s="7" t="s">
        <x:v>411</x:v>
      </x:c>
      <x:c r="B33" s="7" t="s">
        <x:v>413</x:v>
      </x:c>
      <x:c r="C33" s="7" t="s">
        <x:v>78</x:v>
      </x:c>
      <x:c r="D33" s="7" t="s">
        <x:v>16</x:v>
      </x:c>
    </x:row>
    <x:row r="34">
      <x:c r="A34" s="7" t="s">
        <x:v>411</x:v>
      </x:c>
      <x:c r="B34" s="7" t="s">
        <x:v>414</x:v>
      </x:c>
      <x:c r="C34" s="7" t="s">
        <x:v>60</x:v>
      </x:c>
      <x:c r="D34" s="7" t="s">
        <x:v>11</x:v>
      </x:c>
    </x:row>
    <x:row r="35">
      <x:c r="A35" s="7" t="s">
        <x:v>415</x:v>
      </x:c>
      <x:c r="B35" s="7" t="s">
        <x:v>416</x:v>
      </x:c>
      <x:c r="C35" s="7" t="s">
        <x:v>13</x:v>
      </x:c>
      <x:c r="D35" s="7" t="s">
        <x:v>11</x:v>
      </x:c>
    </x:row>
    <x:row r="36">
      <x:c r="A36" s="7" t="s">
        <x:v>415</x:v>
      </x:c>
      <x:c r="B36" s="7" t="s">
        <x:v>417</x:v>
      </x:c>
      <x:c r="C36" s="7" t="s">
        <x:v>64</x:v>
      </x:c>
      <x:c r="D36" s="7" t="s">
        <x:v>8</x:v>
      </x:c>
    </x:row>
    <x:row r="37">
      <x:c r="A37" s="7" t="s">
        <x:v>415</x:v>
      </x:c>
      <x:c r="B37" s="7" t="s">
        <x:v>418</x:v>
      </x:c>
      <x:c r="C37" s="7" t="s">
        <x:v>49</x:v>
      </x:c>
      <x:c r="D37" s="7" t="s">
        <x:v>8</x:v>
      </x:c>
    </x:row>
    <x:row r="38">
      <x:c r="A38" s="7" t="s">
        <x:v>419</x:v>
      </x:c>
      <x:c r="B38" s="7" t="s">
        <x:v>372</x:v>
      </x:c>
      <x:c r="C38" s="7" t="s">
        <x:v>29</x:v>
      </x:c>
      <x:c r="D38" s="7" t="s">
        <x:v>16</x:v>
      </x:c>
    </x:row>
    <x:row r="39">
      <x:c r="A39" s="7" t="s">
        <x:v>419</x:v>
      </x:c>
      <x:c r="B39" s="7" t="s">
        <x:v>420</x:v>
      </x:c>
      <x:c r="C39" s="7" t="s">
        <x:v>58</x:v>
      </x:c>
      <x:c r="D39" s="7" t="s">
        <x:v>11</x:v>
      </x:c>
    </x:row>
    <x:row r="40">
      <x:c r="A40" s="7" t="s">
        <x:v>419</x:v>
      </x:c>
      <x:c r="B40" s="7" t="s">
        <x:v>421</x:v>
      </x:c>
      <x:c r="C40" s="7" t="s">
        <x:v>66</x:v>
      </x:c>
      <x:c r="D40" s="7" t="s">
        <x:v>11</x:v>
      </x:c>
    </x:row>
    <x:row r="41">
      <x:c r="A41" s="7" t="s">
        <x:v>422</x:v>
      </x:c>
      <x:c r="B41" s="7" t="s">
        <x:v>384</x:v>
      </x:c>
      <x:c r="C41" s="7" t="s">
        <x:v>35</x:v>
      </x:c>
      <x:c r="D41" s="7" t="s">
        <x:v>11</x:v>
      </x:c>
    </x:row>
    <x:row r="42">
      <x:c r="A42" s="7" t="s">
        <x:v>422</x:v>
      </x:c>
      <x:c r="B42" s="7" t="s">
        <x:v>423</x:v>
      </x:c>
      <x:c r="C42" s="7" t="s">
        <x:v>58</x:v>
      </x:c>
      <x:c r="D42" s="7" t="s">
        <x:v>11</x:v>
      </x:c>
    </x:row>
    <x:row r="43">
      <x:c r="A43" s="7" t="s">
        <x:v>422</x:v>
      </x:c>
      <x:c r="B43" s="7" t="s">
        <x:v>409</x:v>
      </x:c>
      <x:c r="C43" s="7" t="s">
        <x:v>52</x:v>
      </x:c>
      <x:c r="D43" s="7" t="s">
        <x:v>16</x:v>
      </x:c>
    </x:row>
    <x:row r="44">
      <x:c r="A44" s="7" t="s">
        <x:v>424</x:v>
      </x:c>
      <x:c r="B44" s="7" t="s">
        <x:v>425</x:v>
      </x:c>
      <x:c r="C44" s="7" t="s">
        <x:v>7</x:v>
      </x:c>
      <x:c r="D44" s="7" t="s">
        <x:v>8</x:v>
      </x:c>
    </x:row>
    <x:row r="45">
      <x:c r="A45" s="7" t="s">
        <x:v>424</x:v>
      </x:c>
      <x:c r="B45" s="7" t="s">
        <x:v>418</x:v>
      </x:c>
      <x:c r="C45" s="7" t="s">
        <x:v>61</x:v>
      </x:c>
      <x:c r="D45" s="7" t="s">
        <x:v>16</x:v>
      </x:c>
    </x:row>
    <x:row r="46">
      <x:c r="A46" s="7" t="s">
        <x:v>424</x:v>
      </x:c>
      <x:c r="B46" s="7" t="s">
        <x:v>426</x:v>
      </x:c>
      <x:c r="C46" s="7" t="s">
        <x:v>69</x:v>
      </x:c>
      <x:c r="D46" s="7" t="s">
        <x:v>16</x:v>
      </x:c>
    </x:row>
    <x:row r="47">
      <x:c r="A47" s="7" t="s">
        <x:v>427</x:v>
      </x:c>
      <x:c r="B47" s="7" t="s">
        <x:v>428</x:v>
      </x:c>
      <x:c r="C47" s="7" t="s">
        <x:v>25</x:v>
      </x:c>
      <x:c r="D47" s="7" t="s">
        <x:v>11</x:v>
      </x:c>
    </x:row>
    <x:row r="48">
      <x:c r="A48" s="7" t="s">
        <x:v>427</x:v>
      </x:c>
      <x:c r="B48" s="7" t="s">
        <x:v>429</x:v>
      </x:c>
      <x:c r="C48" s="7" t="s">
        <x:v>52</x:v>
      </x:c>
      <x:c r="D48" s="7" t="s">
        <x:v>16</x:v>
      </x:c>
    </x:row>
    <x:row r="49">
      <x:c r="A49" s="7" t="s">
        <x:v>430</x:v>
      </x:c>
      <x:c r="B49" s="7" t="s">
        <x:v>386</x:v>
      </x:c>
      <x:c r="C49" s="7" t="s">
        <x:v>58</x:v>
      </x:c>
      <x:c r="D49" s="7" t="s">
        <x:v>11</x:v>
      </x:c>
    </x:row>
    <x:row r="50">
      <x:c r="A50" s="7" t="s">
        <x:v>430</x:v>
      </x:c>
      <x:c r="B50" s="7" t="s">
        <x:v>374</x:v>
      </x:c>
      <x:c r="C50" s="7" t="s">
        <x:v>51</x:v>
      </x:c>
      <x:c r="D50" s="7" t="s">
        <x:v>11</x:v>
      </x:c>
    </x:row>
    <x:row r="51">
      <x:c r="A51" s="7" t="s">
        <x:v>431</x:v>
      </x:c>
      <x:c r="B51" s="7" t="s">
        <x:v>417</x:v>
      </x:c>
      <x:c r="C51" s="7" t="s">
        <x:v>64</x:v>
      </x:c>
      <x:c r="D51" s="7" t="s">
        <x:v>8</x:v>
      </x:c>
    </x:row>
    <x:row r="52">
      <x:c r="A52" s="7" t="s">
        <x:v>431</x:v>
      </x:c>
      <x:c r="B52" s="7" t="s">
        <x:v>418</x:v>
      </x:c>
      <x:c r="C52" s="7" t="s">
        <x:v>50</x:v>
      </x:c>
      <x:c r="D52" s="7" t="s">
        <x:v>11</x:v>
      </x:c>
    </x:row>
  </x:sheetData>
  <x:pageMargins left="0.7" right="0.7" top="0.75" bottom="0.75" header="0.3" footer="0.3"/>
</x:worksheet>
</file>